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4" activeTab="5"/>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N122" i="43" l="1"/>
  <c r="P33" i="11"/>
  <c r="O33" i="11"/>
  <c r="N33" i="11"/>
  <c r="O32" i="11"/>
  <c r="N32" i="11"/>
  <c r="P32" i="11" s="1"/>
  <c r="P31" i="11"/>
  <c r="O31" i="11"/>
  <c r="N31" i="11"/>
  <c r="O30" i="11"/>
  <c r="N30" i="11"/>
  <c r="P30" i="11" s="1"/>
  <c r="P29" i="11"/>
  <c r="O29" i="11"/>
  <c r="N29" i="11"/>
  <c r="O28" i="11"/>
  <c r="N28" i="11"/>
  <c r="P28" i="11" s="1"/>
  <c r="P27" i="11"/>
  <c r="O27" i="11"/>
  <c r="N27" i="11"/>
  <c r="O26" i="11"/>
  <c r="N26" i="11"/>
  <c r="P26" i="11" s="1"/>
  <c r="P25" i="11"/>
  <c r="O25" i="11"/>
  <c r="N25" i="11"/>
  <c r="O24" i="11"/>
  <c r="N24" i="11"/>
  <c r="P24" i="11" s="1"/>
  <c r="P23" i="11"/>
  <c r="O23" i="11"/>
  <c r="N23" i="11"/>
  <c r="O22" i="11"/>
  <c r="N22" i="11"/>
  <c r="P22" i="11" s="1"/>
  <c r="P21" i="11"/>
  <c r="O21" i="11"/>
  <c r="N21" i="11"/>
  <c r="O20" i="11"/>
  <c r="N20" i="11"/>
  <c r="P20" i="11" s="1"/>
  <c r="P19" i="11"/>
  <c r="O19" i="11"/>
  <c r="N19" i="11"/>
  <c r="O18" i="11"/>
  <c r="N18" i="11"/>
  <c r="P18" i="11" s="1"/>
  <c r="P17" i="11"/>
  <c r="O17" i="11"/>
  <c r="N17" i="11"/>
  <c r="O16" i="11"/>
  <c r="N16" i="11"/>
  <c r="P16" i="11" s="1"/>
  <c r="P15" i="11"/>
  <c r="O15" i="11"/>
  <c r="N15" i="11"/>
  <c r="O14" i="11"/>
  <c r="N14" i="11"/>
  <c r="P14" i="11" s="1"/>
  <c r="P13" i="11"/>
  <c r="O13" i="11"/>
  <c r="N13" i="11"/>
  <c r="O12" i="11"/>
  <c r="N12" i="11"/>
  <c r="P12" i="11" s="1"/>
  <c r="P11" i="11"/>
  <c r="O11" i="11"/>
  <c r="N11" i="11"/>
  <c r="O10" i="11"/>
  <c r="N10" i="11"/>
  <c r="P10" i="11" s="1"/>
  <c r="P9" i="11"/>
  <c r="O9" i="11"/>
  <c r="N9" i="11"/>
  <c r="O8" i="11"/>
  <c r="N8" i="11"/>
  <c r="P8" i="11" s="1"/>
  <c r="P7" i="11"/>
  <c r="O7" i="11"/>
  <c r="N7" i="11"/>
  <c r="O6" i="11"/>
  <c r="N6" i="11"/>
  <c r="P6" i="11" s="1"/>
  <c r="P5" i="11"/>
  <c r="O5" i="11"/>
  <c r="N5" i="11"/>
  <c r="O4" i="11"/>
  <c r="N4" i="11"/>
  <c r="P4" i="11" s="1"/>
  <c r="P3" i="11"/>
  <c r="O3" i="11"/>
  <c r="N3" i="11"/>
  <c r="A18" i="43" l="1"/>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P6" i="37" s="1"/>
  <c r="B31" i="39" s="1"/>
  <c r="R8" i="37"/>
  <c r="R9" i="37"/>
  <c r="P7" i="37" s="1"/>
  <c r="R10" i="37"/>
  <c r="R11" i="37"/>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B42" i="39" l="1"/>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I175" i="44" l="1"/>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BE31" i="8"/>
  <c r="BE30" i="8"/>
  <c r="AS29" i="8"/>
  <c r="BE28" i="8"/>
  <c r="BE27" i="8"/>
  <c r="AS26" i="8"/>
  <c r="BE25" i="8"/>
  <c r="BE24" i="8"/>
  <c r="BE23" i="8"/>
  <c r="BE22" i="8"/>
  <c r="BE21" i="8"/>
  <c r="AS20" i="8"/>
  <c r="BE19" i="8"/>
  <c r="BE18" i="8"/>
  <c r="AS17" i="8"/>
  <c r="BE16" i="8"/>
  <c r="BE15" i="8"/>
  <c r="AS14" i="8"/>
  <c r="BE13" i="8"/>
  <c r="BE12" i="8"/>
  <c r="AS11" i="8"/>
  <c r="BE10" i="8"/>
  <c r="BE9" i="8"/>
  <c r="AS8" i="8"/>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S32" i="8"/>
  <c r="AQ32" i="8" s="1"/>
  <c r="S31" i="8"/>
  <c r="AQ31" i="8" s="1"/>
  <c r="S30" i="8"/>
  <c r="AQ30" i="8" s="1"/>
  <c r="S29" i="8"/>
  <c r="AQ29" i="8" s="1"/>
  <c r="S28" i="8"/>
  <c r="AQ28" i="8" s="1"/>
  <c r="S27" i="8"/>
  <c r="AQ27" i="8" s="1"/>
  <c r="S26" i="8"/>
  <c r="AQ26" i="8" s="1"/>
  <c r="S25" i="8"/>
  <c r="AQ25" i="8" s="1"/>
  <c r="S24" i="8"/>
  <c r="AQ24" i="8" s="1"/>
  <c r="S23" i="8"/>
  <c r="AQ23" i="8" s="1"/>
  <c r="S22" i="8"/>
  <c r="AQ22" i="8" s="1"/>
  <c r="S21" i="8"/>
  <c r="AQ21" i="8" s="1"/>
  <c r="S20" i="8"/>
  <c r="AQ20" i="8" s="1"/>
  <c r="S19" i="8"/>
  <c r="AQ19" i="8" s="1"/>
  <c r="S18" i="8"/>
  <c r="AQ18" i="8" s="1"/>
  <c r="S17" i="8"/>
  <c r="AQ17" i="8" s="1"/>
  <c r="S16" i="8"/>
  <c r="AQ16" i="8" s="1"/>
  <c r="S15" i="8"/>
  <c r="AQ15" i="8" s="1"/>
  <c r="S14" i="8"/>
  <c r="AQ14" i="8" s="1"/>
  <c r="S13" i="8"/>
  <c r="AQ13" i="8" s="1"/>
  <c r="S12" i="8"/>
  <c r="AQ12" i="8" s="1"/>
  <c r="S11" i="8"/>
  <c r="AQ11" i="8" s="1"/>
  <c r="S10" i="8"/>
  <c r="AQ10" i="8" s="1"/>
  <c r="S9" i="8"/>
  <c r="AQ9" i="8" s="1"/>
  <c r="S8" i="8"/>
  <c r="AQ8" i="8" s="1"/>
  <c r="S7" i="8"/>
  <c r="AQ7" i="8" s="1"/>
  <c r="S6" i="8"/>
  <c r="AQ6" i="8" s="1"/>
  <c r="S5" i="8"/>
  <c r="AQ5" i="8" s="1"/>
  <c r="S4" i="8"/>
  <c r="AQ4" i="8"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AS22" i="8"/>
  <c r="AS23" i="8"/>
  <c r="AO4" i="8"/>
  <c r="AO6" i="8"/>
  <c r="AO10" i="8"/>
  <c r="AO30" i="8"/>
  <c r="BA13" i="8"/>
  <c r="BA15" i="8"/>
  <c r="BA19" i="8"/>
  <c r="AS28" i="8"/>
  <c r="AS9" i="8"/>
  <c r="AS5" i="8"/>
  <c r="BE32" i="8"/>
  <c r="AS18" i="8"/>
  <c r="AS7" i="8"/>
  <c r="BA12" i="8"/>
  <c r="BA16" i="8"/>
  <c r="BA18" i="8"/>
  <c r="BA22" i="8"/>
  <c r="BA24" i="8"/>
  <c r="BA28" i="8"/>
  <c r="AO7" i="8"/>
  <c r="AO9" i="8"/>
  <c r="AO21" i="8"/>
  <c r="AO25" i="8"/>
  <c r="AO27" i="8"/>
  <c r="AO31" i="8"/>
  <c r="AO33" i="8"/>
  <c r="AS15" i="8"/>
  <c r="BE11" i="8"/>
  <c r="BE29" i="8"/>
  <c r="AS24" i="8"/>
  <c r="AS13" i="8"/>
  <c r="AS21" i="8"/>
  <c r="AS30" i="8"/>
  <c r="BE8" i="8"/>
  <c r="AS19" i="8"/>
  <c r="AS27" i="8"/>
  <c r="AS4" i="8"/>
  <c r="BE20" i="8"/>
  <c r="BE17" i="8"/>
  <c r="AS31" i="8"/>
  <c r="AS25" i="8"/>
  <c r="AS33" i="8"/>
  <c r="AS10" i="8"/>
  <c r="AS6" i="8"/>
  <c r="BE26" i="8"/>
  <c r="BE14" i="8"/>
  <c r="AS16" i="8"/>
  <c r="AS12" i="8"/>
  <c r="AR3" i="8"/>
  <c r="BD3" i="8"/>
  <c r="T5" i="8"/>
  <c r="AR7" i="8"/>
  <c r="BD7" i="8"/>
  <c r="AR9" i="8"/>
  <c r="BD9" i="8"/>
  <c r="T11" i="8"/>
  <c r="AR13" i="8"/>
  <c r="BD13" i="8"/>
  <c r="AR15" i="8"/>
  <c r="BD15" i="8"/>
  <c r="T17" i="8"/>
  <c r="AR19" i="8"/>
  <c r="BD19" i="8"/>
  <c r="AR21" i="8"/>
  <c r="BD21" i="8"/>
  <c r="T23" i="8"/>
  <c r="AR25" i="8"/>
  <c r="BD25" i="8"/>
  <c r="AR27" i="8"/>
  <c r="BD27" i="8"/>
  <c r="T29" i="8"/>
  <c r="AR31" i="8"/>
  <c r="BD31" i="8"/>
  <c r="AR33" i="8"/>
  <c r="BD33" i="8"/>
  <c r="AR4" i="8"/>
  <c r="BD4" i="8"/>
  <c r="AR6" i="8"/>
  <c r="BD6" i="8"/>
  <c r="T8" i="8"/>
  <c r="AR10" i="8"/>
  <c r="BD10" i="8"/>
  <c r="AR12" i="8"/>
  <c r="BD12" i="8"/>
  <c r="T14" i="8"/>
  <c r="AR16" i="8"/>
  <c r="BD16" i="8"/>
  <c r="AR18" i="8"/>
  <c r="BD18" i="8"/>
  <c r="T20" i="8"/>
  <c r="AR22" i="8"/>
  <c r="BD22" i="8"/>
  <c r="AR24" i="8"/>
  <c r="BD24" i="8"/>
  <c r="T26" i="8"/>
  <c r="AR28" i="8"/>
  <c r="BD28" i="8"/>
  <c r="AR30" i="8"/>
  <c r="BD30" i="8"/>
  <c r="T32" i="8"/>
  <c r="BC6" i="8"/>
  <c r="BC12" i="8"/>
  <c r="BC18" i="8"/>
  <c r="BC24" i="8"/>
  <c r="BC30" i="8"/>
  <c r="BC5" i="8"/>
  <c r="BC7" i="8"/>
  <c r="BC11" i="8"/>
  <c r="BC13" i="8"/>
  <c r="BC17" i="8"/>
  <c r="BC19" i="8"/>
  <c r="BC23" i="8"/>
  <c r="BC25" i="8"/>
  <c r="BC29" i="8"/>
  <c r="BC31" i="8"/>
  <c r="AQ3" i="8"/>
  <c r="BC3" i="8"/>
  <c r="BC9" i="8"/>
  <c r="BC15" i="8"/>
  <c r="BC21" i="8"/>
  <c r="BC27" i="8"/>
  <c r="BC33" i="8"/>
  <c r="BC4" i="8"/>
  <c r="BC8" i="8"/>
  <c r="BC10" i="8"/>
  <c r="BC14" i="8"/>
  <c r="BC16" i="8"/>
  <c r="BC20" i="8"/>
  <c r="BC22" i="8"/>
  <c r="BC26" i="8"/>
  <c r="BC28" i="8"/>
  <c r="BC32" i="8"/>
  <c r="AP21" i="8"/>
  <c r="BB21" i="8"/>
  <c r="AP4" i="8"/>
  <c r="BB4" i="8"/>
  <c r="AP6" i="8"/>
  <c r="BB6" i="8"/>
  <c r="AP8" i="8"/>
  <c r="BB8" i="8"/>
  <c r="AP29" i="8"/>
  <c r="BB29" i="8"/>
  <c r="AP31" i="8"/>
  <c r="BB31" i="8"/>
  <c r="AP33" i="8"/>
  <c r="AF286" i="43" s="1"/>
  <c r="BB33" i="8"/>
  <c r="AP23" i="8"/>
  <c r="BB23" i="8"/>
  <c r="AP10" i="8"/>
  <c r="BB10" i="8"/>
  <c r="AP12" i="8"/>
  <c r="BB12" i="8"/>
  <c r="AP14" i="8"/>
  <c r="BB14" i="8"/>
  <c r="AP16" i="8"/>
  <c r="BB16" i="8"/>
  <c r="AP18" i="8"/>
  <c r="BB18" i="8"/>
  <c r="AP25" i="8"/>
  <c r="BB25" i="8"/>
  <c r="AP20" i="8"/>
  <c r="BB20" i="8"/>
  <c r="AP22" i="8"/>
  <c r="BB22" i="8"/>
  <c r="AP24" i="8"/>
  <c r="BB24" i="8"/>
  <c r="AP26" i="8"/>
  <c r="Y286" i="43" s="1"/>
  <c r="BB26" i="8"/>
  <c r="AP27" i="8"/>
  <c r="BB27" i="8"/>
  <c r="AP3" i="8"/>
  <c r="BB3" i="8"/>
  <c r="AP5" i="8"/>
  <c r="BB5" i="8"/>
  <c r="AP7" i="8"/>
  <c r="BB7" i="8"/>
  <c r="AP9" i="8"/>
  <c r="BB9" i="8"/>
  <c r="AP28" i="8"/>
  <c r="BB28" i="8"/>
  <c r="AP30" i="8"/>
  <c r="BB30" i="8"/>
  <c r="AP32" i="8"/>
  <c r="BB32" i="8"/>
  <c r="AP19" i="8"/>
  <c r="R286" i="43" s="1"/>
  <c r="BB19" i="8"/>
  <c r="AP11" i="8"/>
  <c r="BB11" i="8"/>
  <c r="AP13" i="8"/>
  <c r="BB13" i="8"/>
  <c r="AP15" i="8"/>
  <c r="BB15" i="8"/>
  <c r="AP17" i="8"/>
  <c r="BB17" i="8"/>
  <c r="AO8" i="8"/>
  <c r="BA8" i="8"/>
  <c r="BA7" i="8"/>
  <c r="BA9" i="8"/>
  <c r="AO12" i="8"/>
  <c r="Q14" i="8"/>
  <c r="AO16" i="8"/>
  <c r="AO18" i="8"/>
  <c r="AO20" i="8"/>
  <c r="BA20" i="8"/>
  <c r="BA30" i="8"/>
  <c r="Q23" i="8"/>
  <c r="AO22" i="8"/>
  <c r="AO24" i="8"/>
  <c r="AO26" i="8"/>
  <c r="Y247" i="43" s="1"/>
  <c r="BA26" i="8"/>
  <c r="AO28" i="8"/>
  <c r="AO3" i="8"/>
  <c r="BA3" i="8"/>
  <c r="AO11" i="8"/>
  <c r="BA11" i="8"/>
  <c r="BA21" i="8"/>
  <c r="BA25" i="8"/>
  <c r="BA27" i="8"/>
  <c r="Q32" i="8"/>
  <c r="AO29" i="8"/>
  <c r="BA29" i="8"/>
  <c r="Q5" i="8"/>
  <c r="BA4" i="8"/>
  <c r="BA6" i="8"/>
  <c r="BA10" i="8"/>
  <c r="AO13" i="8"/>
  <c r="AO15" i="8"/>
  <c r="N247" i="43" s="1"/>
  <c r="AO17" i="8"/>
  <c r="BA17" i="8"/>
  <c r="AO19" i="8"/>
  <c r="BA31" i="8"/>
  <c r="BA33" i="8"/>
  <c r="AN3" i="8"/>
  <c r="AZ3" i="8"/>
  <c r="AN7" i="8"/>
  <c r="F169" i="43" s="1"/>
  <c r="AZ7" i="8"/>
  <c r="AN9" i="8"/>
  <c r="H169" i="43" s="1"/>
  <c r="AZ9" i="8"/>
  <c r="AN11" i="8"/>
  <c r="AZ11" i="8"/>
  <c r="AN13" i="8"/>
  <c r="L169" i="43" s="1"/>
  <c r="AZ13" i="8"/>
  <c r="AN15" i="8"/>
  <c r="N169" i="43" s="1"/>
  <c r="AZ15" i="8"/>
  <c r="AN17" i="8"/>
  <c r="AZ17" i="8"/>
  <c r="AN19" i="8"/>
  <c r="R169" i="43" s="1"/>
  <c r="AZ19" i="8"/>
  <c r="AN21" i="8"/>
  <c r="AZ21" i="8"/>
  <c r="AN23" i="8"/>
  <c r="AZ23" i="8"/>
  <c r="AN25" i="8"/>
  <c r="AZ25" i="8"/>
  <c r="AN27" i="8"/>
  <c r="Z169" i="43" s="1"/>
  <c r="AZ27" i="8"/>
  <c r="AN29" i="8"/>
  <c r="AZ29" i="8"/>
  <c r="AN31" i="8"/>
  <c r="AD169" i="43" s="1"/>
  <c r="AZ31" i="8"/>
  <c r="AN33" i="8"/>
  <c r="AZ33" i="8"/>
  <c r="AN5" i="8"/>
  <c r="D169" i="43" s="1"/>
  <c r="AZ5" i="8"/>
  <c r="AN4" i="8"/>
  <c r="AZ4" i="8"/>
  <c r="AN8" i="8"/>
  <c r="G208" i="43" s="1"/>
  <c r="AZ8" i="8"/>
  <c r="AN10" i="8"/>
  <c r="AZ10" i="8"/>
  <c r="AN12" i="8"/>
  <c r="K208" i="43" s="1"/>
  <c r="AZ12" i="8"/>
  <c r="AN14" i="8"/>
  <c r="AZ14" i="8"/>
  <c r="AN16" i="8"/>
  <c r="AZ16" i="8"/>
  <c r="AN18" i="8"/>
  <c r="AZ18" i="8"/>
  <c r="AN20" i="8"/>
  <c r="AZ20" i="8"/>
  <c r="AN22" i="8"/>
  <c r="AZ22" i="8"/>
  <c r="AN24" i="8"/>
  <c r="AZ24" i="8"/>
  <c r="AN26" i="8"/>
  <c r="Y169" i="43" s="1"/>
  <c r="AZ26" i="8"/>
  <c r="AN28" i="8"/>
  <c r="AZ28" i="8"/>
  <c r="AN30" i="8"/>
  <c r="AZ30" i="8"/>
  <c r="AN32" i="8"/>
  <c r="AZ32" i="8"/>
  <c r="AN6" i="8"/>
  <c r="AZ6" i="8"/>
  <c r="C169" i="43"/>
  <c r="B286" i="43" l="1"/>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F130" i="43" s="1"/>
  <c r="AY33" i="8"/>
  <c r="AY5" i="8"/>
  <c r="AM25" i="8"/>
  <c r="X130" i="43" s="1"/>
  <c r="AY26" i="8"/>
  <c r="AM26" i="8"/>
  <c r="Y130" i="43" s="1"/>
  <c r="AY29" i="8"/>
  <c r="AM29" i="8"/>
  <c r="AB130" i="43" s="1"/>
  <c r="AM30" i="8"/>
  <c r="AC130" i="43" s="1"/>
  <c r="AY18" i="8"/>
  <c r="AY30" i="8"/>
  <c r="S364" i="43"/>
  <c r="AY6" i="8"/>
  <c r="AM6" i="8"/>
  <c r="E130" i="43" s="1"/>
  <c r="AM32" i="8"/>
  <c r="AE130" i="43" s="1"/>
  <c r="AY32" i="8"/>
  <c r="AY13" i="8"/>
  <c r="AM13" i="8"/>
  <c r="L130" i="43" s="1"/>
  <c r="AY27" i="8"/>
  <c r="AM27" i="8"/>
  <c r="Z130" i="43" s="1"/>
  <c r="AM14" i="8"/>
  <c r="M130" i="43" s="1"/>
  <c r="AY14" i="8"/>
  <c r="AM22" i="8"/>
  <c r="U130" i="43" s="1"/>
  <c r="AY22" i="8"/>
  <c r="AY15" i="8"/>
  <c r="AM15" i="8"/>
  <c r="N130" i="43" s="1"/>
  <c r="AY10" i="8"/>
  <c r="AM10" i="8"/>
  <c r="I130" i="43" s="1"/>
  <c r="AY25" i="8"/>
  <c r="AM18" i="8"/>
  <c r="Q130" i="43" s="1"/>
  <c r="AM5" i="8"/>
  <c r="D130" i="43" s="1"/>
  <c r="AY31" i="8"/>
  <c r="AM31" i="8"/>
  <c r="AD130" i="43" s="1"/>
  <c r="AM3" i="8"/>
  <c r="AY3" i="8"/>
  <c r="AY24" i="8"/>
  <c r="AM24" i="8"/>
  <c r="W130" i="43" s="1"/>
  <c r="AM19" i="8"/>
  <c r="R130" i="43" s="1"/>
  <c r="AY19" i="8"/>
  <c r="AM21" i="8"/>
  <c r="T130" i="43" s="1"/>
  <c r="AY21" i="8"/>
  <c r="AM12" i="8"/>
  <c r="K130" i="43" s="1"/>
  <c r="AY12" i="8"/>
  <c r="AM7" i="8"/>
  <c r="F130" i="43" s="1"/>
  <c r="AY7" i="8"/>
  <c r="AY9" i="8"/>
  <c r="AM9" i="8"/>
  <c r="H130" i="43" s="1"/>
  <c r="AM23" i="8"/>
  <c r="V130" i="43" s="1"/>
  <c r="AY23" i="8"/>
  <c r="AY11" i="8"/>
  <c r="AM11" i="8"/>
  <c r="J130" i="43" s="1"/>
  <c r="AY28" i="8"/>
  <c r="AM28" i="8"/>
  <c r="AA130" i="43" s="1"/>
  <c r="AY20" i="8"/>
  <c r="AM20" i="8"/>
  <c r="S130" i="43" s="1"/>
  <c r="AM16" i="8"/>
  <c r="O130" i="43" s="1"/>
  <c r="AY16" i="8"/>
  <c r="AM8" i="8"/>
  <c r="G130" i="43" s="1"/>
  <c r="AY8" i="8"/>
  <c r="AM4" i="8"/>
  <c r="C130" i="43" s="1"/>
  <c r="AY4" i="8"/>
  <c r="AM17" i="8"/>
  <c r="P130" i="43" s="1"/>
  <c r="AY17" i="8"/>
  <c r="AD325" i="43"/>
  <c r="AC325" i="43"/>
  <c r="I325" i="43"/>
  <c r="Q325" i="43"/>
  <c r="B325" i="43"/>
  <c r="O325" i="43"/>
  <c r="W325" i="43"/>
  <c r="E325" i="43"/>
  <c r="H325" i="43"/>
  <c r="U325" i="43"/>
  <c r="C364" i="43"/>
  <c r="X325" i="43"/>
  <c r="R325" i="43"/>
  <c r="L325" i="43"/>
  <c r="F325" i="43"/>
  <c r="AF325" i="43"/>
  <c r="Z325" i="43"/>
  <c r="T325" i="43"/>
  <c r="AR29" i="8"/>
  <c r="BD29" i="8"/>
  <c r="AR23" i="8"/>
  <c r="BD23" i="8"/>
  <c r="AR17" i="8"/>
  <c r="BD17" i="8"/>
  <c r="AR11" i="8"/>
  <c r="BD11" i="8"/>
  <c r="AR5" i="8"/>
  <c r="BD5" i="8"/>
  <c r="AR32" i="8"/>
  <c r="BD32" i="8"/>
  <c r="AR26" i="8"/>
  <c r="BD26" i="8"/>
  <c r="AR20" i="8"/>
  <c r="W16" i="43" s="1"/>
  <c r="BD20" i="8"/>
  <c r="AR14" i="8"/>
  <c r="BD14" i="8"/>
  <c r="AR8" i="8"/>
  <c r="BD8" i="8"/>
  <c r="AO5" i="8"/>
  <c r="D247" i="43" s="1"/>
  <c r="BA5" i="8"/>
  <c r="AO23" i="8"/>
  <c r="V247" i="43" s="1"/>
  <c r="BA23" i="8"/>
  <c r="AO32" i="8"/>
  <c r="AE247" i="43" s="1"/>
  <c r="BA32" i="8"/>
  <c r="AO14" i="8"/>
  <c r="M247" i="43" s="1"/>
  <c r="BA14" i="8"/>
  <c r="A103" i="39" l="1"/>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<sst xmlns="http://schemas.openxmlformats.org/spreadsheetml/2006/main" count="309" uniqueCount="163">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</sst>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3">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rgb="FFFFC000"/>
        <bgColor indexed="64"/>
      </patternFill>
    </fill>
    <fill>
      <patternFill patternType="solid">
        <fgColor theme="6" tint="0.39997558519241921"/>
        <bgColor indexed="64"/>
      </patternFill>
    </fill>
    <fill>
      <patternFill patternType="solid">
        <fgColor theme="7" tint="0.39997558519241921"/>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1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1" borderId="0" xfId="0" applyFill="1"/>
    <xf numFmtId="11" fontId="0" fillId="10" borderId="0" xfId="0" applyNumberFormat="1"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2"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-6.1953560000000004E-4</c:v>
                </c:pt>
                <c:pt idx="1">
                  <c:v>-6.1952405714285716E-4</c:v>
                </c:pt>
                <c:pt idx="2">
                  <c:v>-6.1952640000000005E-4</c:v>
                </c:pt>
                <c:pt idx="3">
                  <c:v>-6.1952705714285721E-4</c:v>
                </c:pt>
                <c:pt idx="4">
                  <c:v>-6.1952725714285717E-4</c:v>
                </c:pt>
                <c:pt idx="5">
                  <c:v>-6.1952734285714288E-4</c:v>
                </c:pt>
                <c:pt idx="6">
                  <c:v>-6.1952737142857142E-4</c:v>
                </c:pt>
                <c:pt idx="7">
                  <c:v>-6.1952737142857142E-4</c:v>
                </c:pt>
                <c:pt idx="8">
                  <c:v>-6.1952737142857142E-4</c:v>
                </c:pt>
                <c:pt idx="9">
                  <c:v>-6.1952737142857142E-4</c:v>
                </c:pt>
                <c:pt idx="10">
                  <c:v>-6.1952737142857142E-4</c:v>
                </c:pt>
                <c:pt idx="11">
                  <c:v>-6.1952737142857142E-4</c:v>
                </c:pt>
                <c:pt idx="12">
                  <c:v>-6.195274285714286E-4</c:v>
                </c:pt>
                <c:pt idx="13">
                  <c:v>-6.1952805714285723E-4</c:v>
                </c:pt>
                <c:pt idx="14">
                  <c:v>-6.1953428571428571E-4</c:v>
                </c:pt>
                <c:pt idx="15">
                  <c:v>-6.195964285714286E-4</c:v>
                </c:pt>
                <c:pt idx="16">
                  <c:v>-6.2020457142857152E-4</c:v>
                </c:pt>
                <c:pt idx="17">
                  <c:v>-6.2514277142857149E-4</c:v>
                </c:pt>
                <c:pt idx="18">
                  <c:v>-6.3898228571428574E-4</c:v>
                </c:pt>
                <c:pt idx="19">
                  <c:v>-6.5406977142857148E-4</c:v>
                </c:pt>
                <c:pt idx="20">
                  <c:v>-6.7496257142857143E-4</c:v>
                </c:pt>
                <c:pt idx="21">
                  <c:v>-7.0784651428571431E-4</c:v>
                </c:pt>
                <c:pt idx="22">
                  <c:v>-7.4948245714285731E-4</c:v>
                </c:pt>
                <c:pt idx="23">
                  <c:v>-8.0181628571428579E-4</c:v>
                </c:pt>
                <c:pt idx="24">
                  <c:v>-8.5946594285714285E-4</c:v>
                </c:pt>
                <c:pt idx="25">
                  <c:v>-9.1906580000000011E-4</c:v>
                </c:pt>
                <c:pt idx="26">
                  <c:v>-9.8779891428571421E-4</c:v>
                </c:pt>
                <c:pt idx="27">
                  <c:v>-1.0683100285714287E-3</c:v>
                </c:pt>
                <c:pt idx="28">
                  <c:v>-1.1885513428571428E-3</c:v>
                </c:pt>
                <c:pt idx="29">
                  <c:v>-1.3798511142857142E-3</c:v>
                </c:pt>
                <c:pt idx="30">
                  <c:v>-1.701471342857143E-3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-6.206781142857143E-4</c:v>
                </c:pt>
                <c:pt idx="1">
                  <c:v>-6.2066645714285718E-4</c:v>
                </c:pt>
                <c:pt idx="2">
                  <c:v>-6.2066877142857152E-4</c:v>
                </c:pt>
                <c:pt idx="3">
                  <c:v>-6.2066945714285722E-4</c:v>
                </c:pt>
                <c:pt idx="4">
                  <c:v>-6.2066965714285718E-4</c:v>
                </c:pt>
                <c:pt idx="5">
                  <c:v>-6.2066971428571425E-4</c:v>
                </c:pt>
                <c:pt idx="6">
                  <c:v>-6.2066974285714289E-4</c:v>
                </c:pt>
                <c:pt idx="7">
                  <c:v>-6.2066974285714289E-4</c:v>
                </c:pt>
                <c:pt idx="8">
                  <c:v>-6.2066977142857143E-4</c:v>
                </c:pt>
                <c:pt idx="9">
                  <c:v>-6.2066977142857143E-4</c:v>
                </c:pt>
                <c:pt idx="10">
                  <c:v>-6.2066980000000007E-4</c:v>
                </c:pt>
                <c:pt idx="11">
                  <c:v>-6.2067000000000003E-4</c:v>
                </c:pt>
                <c:pt idx="12">
                  <c:v>-6.2067228571428574E-4</c:v>
                </c:pt>
                <c:pt idx="13">
                  <c:v>-6.2069502857142864E-4</c:v>
                </c:pt>
                <c:pt idx="14">
                  <c:v>-6.2092060000000005E-4</c:v>
                </c:pt>
                <c:pt idx="15">
                  <c:v>-6.230076285714286E-4</c:v>
                </c:pt>
                <c:pt idx="16">
                  <c:v>-6.3449151428571432E-4</c:v>
                </c:pt>
                <c:pt idx="17">
                  <c:v>-6.4859785714285723E-4</c:v>
                </c:pt>
                <c:pt idx="18">
                  <c:v>-6.665313428571429E-4</c:v>
                </c:pt>
                <c:pt idx="19">
                  <c:v>-6.9502094285714292E-4</c:v>
                </c:pt>
                <c:pt idx="20">
                  <c:v>-7.3337408571428567E-4</c:v>
                </c:pt>
                <c:pt idx="21">
                  <c:v>-7.8033254285714293E-4</c:v>
                </c:pt>
                <c:pt idx="22">
                  <c:v>-8.349933714285714E-4</c:v>
                </c:pt>
                <c:pt idx="23">
                  <c:v>-8.9258854285714285E-4</c:v>
                </c:pt>
                <c:pt idx="24">
                  <c:v>-9.5556454285714292E-4</c:v>
                </c:pt>
                <c:pt idx="25">
                  <c:v>-1.0291650285714285E-3</c:v>
                </c:pt>
                <c:pt idx="26">
                  <c:v>-1.1262674571428572E-3</c:v>
                </c:pt>
                <c:pt idx="27">
                  <c:v>-1.2804857714285715E-3</c:v>
                </c:pt>
                <c:pt idx="28">
                  <c:v>-1.5340936E-3</c:v>
                </c:pt>
                <c:pt idx="29">
                  <c:v>-1.9957457428571431E-3</c:v>
                </c:pt>
                <c:pt idx="30">
                  <c:v>-2.978228857142857E-3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-6.2141817142857142E-4</c:v>
                </c:pt>
                <c:pt idx="1">
                  <c:v>-6.2140645714285723E-4</c:v>
                </c:pt>
                <c:pt idx="2">
                  <c:v>-6.2140877142857146E-4</c:v>
                </c:pt>
                <c:pt idx="3">
                  <c:v>-6.2140945714285716E-4</c:v>
                </c:pt>
                <c:pt idx="4">
                  <c:v>-6.2140965714285723E-4</c:v>
                </c:pt>
                <c:pt idx="5">
                  <c:v>-6.2140974285714284E-4</c:v>
                </c:pt>
                <c:pt idx="6">
                  <c:v>-6.2140974285714284E-4</c:v>
                </c:pt>
                <c:pt idx="7">
                  <c:v>-6.2140977142857148E-4</c:v>
                </c:pt>
                <c:pt idx="8">
                  <c:v>-6.2140980000000001E-4</c:v>
                </c:pt>
                <c:pt idx="9">
                  <c:v>-6.2141000000000008E-4</c:v>
                </c:pt>
                <c:pt idx="10">
                  <c:v>-6.214121428571429E-4</c:v>
                </c:pt>
                <c:pt idx="11">
                  <c:v>-6.2143345714285722E-4</c:v>
                </c:pt>
                <c:pt idx="12">
                  <c:v>-6.2164505714285717E-4</c:v>
                </c:pt>
                <c:pt idx="13">
                  <c:v>-6.2361234285714291E-4</c:v>
                </c:pt>
                <c:pt idx="14">
                  <c:v>-6.3481440000000007E-4</c:v>
                </c:pt>
                <c:pt idx="15">
                  <c:v>-6.4871805714285724E-4</c:v>
                </c:pt>
                <c:pt idx="16">
                  <c:v>-6.6495991428571432E-4</c:v>
                </c:pt>
                <c:pt idx="17">
                  <c:v>-6.8659568571428572E-4</c:v>
                </c:pt>
                <c:pt idx="18">
                  <c:v>-7.1666468571428569E-4</c:v>
                </c:pt>
                <c:pt idx="19">
                  <c:v>-7.6131068571428577E-4</c:v>
                </c:pt>
                <c:pt idx="20">
                  <c:v>-8.1763514285714293E-4</c:v>
                </c:pt>
                <c:pt idx="21">
                  <c:v>-8.7882385714285716E-4</c:v>
                </c:pt>
                <c:pt idx="22">
                  <c:v>-9.4455039999999997E-4</c:v>
                </c:pt>
                <c:pt idx="23">
                  <c:v>-1.0202113142857142E-3</c:v>
                </c:pt>
                <c:pt idx="24">
                  <c:v>-1.1177940285714287E-3</c:v>
                </c:pt>
                <c:pt idx="25">
                  <c:v>-1.2711824857142859E-3</c:v>
                </c:pt>
                <c:pt idx="26">
                  <c:v>-1.5219878857142858E-3</c:v>
                </c:pt>
                <c:pt idx="27">
                  <c:v>-1.9756241714285715E-3</c:v>
                </c:pt>
                <c:pt idx="28">
                  <c:v>-2.9386628571428574E-3</c:v>
                </c:pt>
                <c:pt idx="29">
                  <c:v>-4.8502194285714286E-3</c:v>
                </c:pt>
                <c:pt idx="30">
                  <c:v>-8.3903105714285726E-3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-6.2217942857142861E-4</c:v>
                </c:pt>
                <c:pt idx="1">
                  <c:v>-6.221676285714286E-4</c:v>
                </c:pt>
                <c:pt idx="2">
                  <c:v>-6.2216994285714284E-4</c:v>
                </c:pt>
                <c:pt idx="3">
                  <c:v>-6.2217062857142865E-4</c:v>
                </c:pt>
                <c:pt idx="4">
                  <c:v>-6.2217082857142861E-4</c:v>
                </c:pt>
                <c:pt idx="5">
                  <c:v>-6.2217091428571432E-4</c:v>
                </c:pt>
                <c:pt idx="6">
                  <c:v>-6.2217114285714292E-4</c:v>
                </c:pt>
                <c:pt idx="7">
                  <c:v>-6.2217305714285724E-4</c:v>
                </c:pt>
                <c:pt idx="8">
                  <c:v>-6.2219222857142864E-4</c:v>
                </c:pt>
                <c:pt idx="9">
                  <c:v>-6.2238277142857151E-4</c:v>
                </c:pt>
                <c:pt idx="10">
                  <c:v>-6.241672857142858E-4</c:v>
                </c:pt>
                <c:pt idx="11">
                  <c:v>-6.3489737142857143E-4</c:v>
                </c:pt>
                <c:pt idx="12">
                  <c:v>-6.4874699999999997E-4</c:v>
                </c:pt>
                <c:pt idx="13">
                  <c:v>-6.6470451428571429E-4</c:v>
                </c:pt>
                <c:pt idx="14">
                  <c:v>-6.8470391428571435E-4</c:v>
                </c:pt>
                <c:pt idx="15">
                  <c:v>-7.0731608571428576E-4</c:v>
                </c:pt>
                <c:pt idx="16">
                  <c:v>-7.3649559999999998E-4</c:v>
                </c:pt>
                <c:pt idx="17">
                  <c:v>-7.7964925714285723E-4</c:v>
                </c:pt>
                <c:pt idx="18">
                  <c:v>-8.3844428571428571E-4</c:v>
                </c:pt>
                <c:pt idx="19">
                  <c:v>-9.0886000000000005E-4</c:v>
                </c:pt>
                <c:pt idx="20">
                  <c:v>-9.9127794285714288E-4</c:v>
                </c:pt>
                <c:pt idx="21">
                  <c:v>-1.0927976285714286E-3</c:v>
                </c:pt>
                <c:pt idx="22">
                  <c:v>-1.2470880857142859E-3</c:v>
                </c:pt>
                <c:pt idx="23">
                  <c:v>-1.4947720285714288E-3</c:v>
                </c:pt>
                <c:pt idx="24">
                  <c:v>-1.9359241142857142E-3</c:v>
                </c:pt>
                <c:pt idx="25">
                  <c:v>-2.8654377142857141E-3</c:v>
                </c:pt>
                <c:pt idx="26">
                  <c:v>-4.7087302857142859E-3</c:v>
                </c:pt>
                <c:pt idx="27">
                  <c:v>-8.1325860000000007E-3</c:v>
                </c:pt>
                <c:pt idx="28">
                  <c:v>-1.4301890857142858E-2</c:v>
                </c:pt>
                <c:pt idx="29">
                  <c:v>-2.0572484000000002E-2</c:v>
                </c:pt>
                <c:pt idx="30">
                  <c:v>-2.3518056857142859E-2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-6.2312237142857143E-4</c:v>
                </c:pt>
                <c:pt idx="1">
                  <c:v>-6.2311097142857144E-4</c:v>
                </c:pt>
                <c:pt idx="2">
                  <c:v>-6.2311840000000012E-4</c:v>
                </c:pt>
                <c:pt idx="3">
                  <c:v>-6.2317011428571439E-4</c:v>
                </c:pt>
                <c:pt idx="4">
                  <c:v>-6.2367177142857153E-4</c:v>
                </c:pt>
                <c:pt idx="5">
                  <c:v>-6.2789734285714294E-4</c:v>
                </c:pt>
                <c:pt idx="6">
                  <c:v>-6.4159802857142859E-4</c:v>
                </c:pt>
                <c:pt idx="7">
                  <c:v>-6.5623828571428574E-4</c:v>
                </c:pt>
                <c:pt idx="8">
                  <c:v>-6.7388657142857151E-4</c:v>
                </c:pt>
                <c:pt idx="9">
                  <c:v>-6.9584814285714289E-4</c:v>
                </c:pt>
                <c:pt idx="10">
                  <c:v>-7.1980254285714288E-4</c:v>
                </c:pt>
                <c:pt idx="11">
                  <c:v>-7.5238042857142854E-4</c:v>
                </c:pt>
                <c:pt idx="12">
                  <c:v>-7.9162271428571431E-4</c:v>
                </c:pt>
                <c:pt idx="13">
                  <c:v>-8.3435134285714284E-4</c:v>
                </c:pt>
                <c:pt idx="14">
                  <c:v>-8.8610754285714283E-4</c:v>
                </c:pt>
                <c:pt idx="15">
                  <c:v>-9.4997799999999998E-4</c:v>
                </c:pt>
                <c:pt idx="16">
                  <c:v>-1.0555970285714286E-3</c:v>
                </c:pt>
                <c:pt idx="17">
                  <c:v>-1.240269E-3</c:v>
                </c:pt>
                <c:pt idx="18">
                  <c:v>-1.5493837142857142E-3</c:v>
                </c:pt>
                <c:pt idx="19">
                  <c:v>-2.1293292000000002E-3</c:v>
                </c:pt>
                <c:pt idx="20">
                  <c:v>-3.3221765714285716E-3</c:v>
                </c:pt>
                <c:pt idx="21">
                  <c:v>-5.6721531428571429E-3</c:v>
                </c:pt>
                <c:pt idx="22">
                  <c:v>-1.0032045714285715E-2</c:v>
                </c:pt>
                <c:pt idx="23">
                  <c:v>-1.7054402857142856E-2</c:v>
                </c:pt>
                <c:pt idx="24">
                  <c:v>-2.1908498571428573E-2</c:v>
                </c:pt>
                <c:pt idx="25">
                  <c:v>-2.4215067428571428E-2</c:v>
                </c:pt>
                <c:pt idx="26">
                  <c:v>-2.5915531714285719E-2</c:v>
                </c:pt>
                <c:pt idx="27">
                  <c:v>-2.5940484571428574E-2</c:v>
                </c:pt>
                <c:pt idx="28">
                  <c:v>-2.5945272857142859E-2</c:v>
                </c:pt>
                <c:pt idx="29">
                  <c:v>-2.594922828571429E-2</c:v>
                </c:pt>
                <c:pt idx="30">
                  <c:v>-2.595281942857143E-2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-6.8221225714285721E-4</c:v>
                </c:pt>
                <c:pt idx="1">
                  <c:v>-7.1116868571428579E-4</c:v>
                </c:pt>
                <c:pt idx="2">
                  <c:v>-7.4067305714285725E-4</c:v>
                </c:pt>
                <c:pt idx="3">
                  <c:v>-7.7760822857142866E-4</c:v>
                </c:pt>
                <c:pt idx="4">
                  <c:v>-8.190924571428572E-4</c:v>
                </c:pt>
                <c:pt idx="5">
                  <c:v>-8.6683934285714296E-4</c:v>
                </c:pt>
                <c:pt idx="6">
                  <c:v>-9.2476508571428574E-4</c:v>
                </c:pt>
                <c:pt idx="7">
                  <c:v>-1.0029450000000001E-3</c:v>
                </c:pt>
                <c:pt idx="8">
                  <c:v>-1.1283940285714287E-3</c:v>
                </c:pt>
                <c:pt idx="9">
                  <c:v>-1.3335056285714287E-3</c:v>
                </c:pt>
                <c:pt idx="10">
                  <c:v>-1.7015873428571429E-3</c:v>
                </c:pt>
                <c:pt idx="11">
                  <c:v>-2.4700689428571432E-3</c:v>
                </c:pt>
                <c:pt idx="12">
                  <c:v>-3.9745942857142861E-3</c:v>
                </c:pt>
                <c:pt idx="13">
                  <c:v>-6.7902885714285714E-3</c:v>
                </c:pt>
                <c:pt idx="14">
                  <c:v>-1.2002249428571428E-2</c:v>
                </c:pt>
                <c:pt idx="15">
                  <c:v>-1.7315724571428572E-2</c:v>
                </c:pt>
                <c:pt idx="16">
                  <c:v>-2.0362101428571429E-2</c:v>
                </c:pt>
                <c:pt idx="17">
                  <c:v>-2.3023530571428572E-2</c:v>
                </c:pt>
                <c:pt idx="18">
                  <c:v>-2.4109917714285715E-2</c:v>
                </c:pt>
                <c:pt idx="19">
                  <c:v>-2.4720074000000002E-2</c:v>
                </c:pt>
                <c:pt idx="20">
                  <c:v>-2.5134670571428576E-2</c:v>
                </c:pt>
                <c:pt idx="21">
                  <c:v>-2.5445166000000005E-2</c:v>
                </c:pt>
                <c:pt idx="22">
                  <c:v>-2.5669595428571428E-2</c:v>
                </c:pt>
                <c:pt idx="23">
                  <c:v>-2.5825078857142861E-2</c:v>
                </c:pt>
                <c:pt idx="24">
                  <c:v>-2.5863216285714287E-2</c:v>
                </c:pt>
                <c:pt idx="25">
                  <c:v>-2.5912107428571432E-2</c:v>
                </c:pt>
                <c:pt idx="26">
                  <c:v>-2.5958522285714283E-2</c:v>
                </c:pt>
                <c:pt idx="27">
                  <c:v>-2.5996258285714287E-2</c:v>
                </c:pt>
                <c:pt idx="28">
                  <c:v>-2.5998281142857144E-2</c:v>
                </c:pt>
                <c:pt idx="29">
                  <c:v>-2.5999255142857142E-2</c:v>
                </c:pt>
                <c:pt idx="30">
                  <c:v>-2.5999937428571429E-2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-7.2659245714285707E-4</c:v>
                </c:pt>
                <c:pt idx="1">
                  <c:v>-7.6944214285714285E-4</c:v>
                </c:pt>
                <c:pt idx="2">
                  <c:v>-8.1148822857142868E-4</c:v>
                </c:pt>
                <c:pt idx="3">
                  <c:v>-8.5763660000000004E-4</c:v>
                </c:pt>
                <c:pt idx="4">
                  <c:v>-9.1411340000000006E-4</c:v>
                </c:pt>
                <c:pt idx="5">
                  <c:v>-9.859250571428572E-4</c:v>
                </c:pt>
                <c:pt idx="6">
                  <c:v>-1.1008914E-3</c:v>
                </c:pt>
                <c:pt idx="7">
                  <c:v>-1.2869660000000001E-3</c:v>
                </c:pt>
                <c:pt idx="8">
                  <c:v>-1.6095891714285717E-3</c:v>
                </c:pt>
                <c:pt idx="9">
                  <c:v>-2.2664522285714287E-3</c:v>
                </c:pt>
                <c:pt idx="10">
                  <c:v>-3.5457385714285717E-3</c:v>
                </c:pt>
                <c:pt idx="11">
                  <c:v>-5.9282531428571442E-3</c:v>
                </c:pt>
                <c:pt idx="12">
                  <c:v>-1.0308408000000002E-2</c:v>
                </c:pt>
                <c:pt idx="13">
                  <c:v>-1.5675806E-2</c:v>
                </c:pt>
                <c:pt idx="14">
                  <c:v>-1.8852515428571429E-2</c:v>
                </c:pt>
                <c:pt idx="15">
                  <c:v>-2.1389056571428575E-2</c:v>
                </c:pt>
                <c:pt idx="16">
                  <c:v>-2.2954753142857144E-2</c:v>
                </c:pt>
                <c:pt idx="17">
                  <c:v>-2.3821136E-2</c:v>
                </c:pt>
                <c:pt idx="18">
                  <c:v>-2.4494131714285713E-2</c:v>
                </c:pt>
                <c:pt idx="19">
                  <c:v>-2.4967701714285716E-2</c:v>
                </c:pt>
                <c:pt idx="20">
                  <c:v>-2.5325042857142856E-2</c:v>
                </c:pt>
                <c:pt idx="21">
                  <c:v>-2.5585562571428574E-2</c:v>
                </c:pt>
                <c:pt idx="22">
                  <c:v>-2.5768378857142858E-2</c:v>
                </c:pt>
                <c:pt idx="23">
                  <c:v>-2.5890898857142859E-2</c:v>
                </c:pt>
                <c:pt idx="24">
                  <c:v>-2.5892521714285716E-2</c:v>
                </c:pt>
                <c:pt idx="25">
                  <c:v>-2.5934564857142857E-2</c:v>
                </c:pt>
                <c:pt idx="26">
                  <c:v>-2.5979272000000001E-2</c:v>
                </c:pt>
                <c:pt idx="27">
                  <c:v>-2.6014335142857146E-2</c:v>
                </c:pt>
                <c:pt idx="28">
                  <c:v>-2.6016274000000002E-2</c:v>
                </c:pt>
                <c:pt idx="29">
                  <c:v>-2.6017058285714288E-2</c:v>
                </c:pt>
                <c:pt idx="30">
                  <c:v>-2.6017475428571427E-2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118570584"/>
        <c:axId val="11856901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11857058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18569016"/>
        <c:crossesAt val="-8.0000000000000019E-3"/>
        <c:crossBetween val="midCat"/>
      </c:valAx>
      <c:valAx>
        <c:axId val="118569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18570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16141.122479483018</c:v>
                </c:pt>
                <c:pt idx="1">
                  <c:v>16141.423217878499</c:v>
                </c:pt>
                <c:pt idx="2">
                  <c:v>16141.362176010578</c:v>
                </c:pt>
                <c:pt idx="3">
                  <c:v>16141.345054593947</c:v>
                </c:pt>
                <c:pt idx="4">
                  <c:v>16141.339843735226</c:v>
                </c:pt>
                <c:pt idx="5">
                  <c:v>16141.337610511091</c:v>
                </c:pt>
                <c:pt idx="6">
                  <c:v>16141.336866103184</c:v>
                </c:pt>
                <c:pt idx="7">
                  <c:v>16141.336866103184</c:v>
                </c:pt>
                <c:pt idx="8">
                  <c:v>16141.336866103184</c:v>
                </c:pt>
                <c:pt idx="9">
                  <c:v>16141.336866103184</c:v>
                </c:pt>
                <c:pt idx="10">
                  <c:v>16141.336866103184</c:v>
                </c:pt>
                <c:pt idx="11">
                  <c:v>16141.336866103184</c:v>
                </c:pt>
                <c:pt idx="12">
                  <c:v>16141.335377287573</c:v>
                </c:pt>
                <c:pt idx="13">
                  <c:v>16141.319000333984</c:v>
                </c:pt>
                <c:pt idx="14">
                  <c:v>16141.156721408246</c:v>
                </c:pt>
                <c:pt idx="15">
                  <c:v>16139.537832805916</c:v>
                </c:pt>
                <c:pt idx="16">
                  <c:v>16123.712176074619</c:v>
                </c:pt>
                <c:pt idx="17">
                  <c:v>15996.345886153456</c:v>
                </c:pt>
                <c:pt idx="18">
                  <c:v>15649.886113543052</c:v>
                </c:pt>
                <c:pt idx="19">
                  <c:v>15288.888795699469</c:v>
                </c:pt>
                <c:pt idx="20">
                  <c:v>14815.636337930273</c:v>
                </c:pt>
                <c:pt idx="21">
                  <c:v>14127.356422869396</c:v>
                </c:pt>
                <c:pt idx="22">
                  <c:v>13342.540448673799</c:v>
                </c:pt>
                <c:pt idx="23">
                  <c:v>12471.684821282537</c:v>
                </c:pt>
                <c:pt idx="24">
                  <c:v>11635.132355281892</c:v>
                </c:pt>
                <c:pt idx="25">
                  <c:v>10880.613771070579</c:v>
                </c:pt>
                <c:pt idx="26">
                  <c:v>10123.51790974693</c:v>
                </c:pt>
                <c:pt idx="27">
                  <c:v>9360.5786078524925</c:v>
                </c:pt>
                <c:pt idx="28">
                  <c:v>8413.6037202744083</c:v>
                </c:pt>
                <c:pt idx="29">
                  <c:v>7247.1586944918636</c:v>
                </c:pt>
                <c:pt idx="30">
                  <c:v>5877.2661919817056</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16111.410681055107</c:v>
                </c:pt>
                <c:pt idx="1">
                  <c:v>16111.713280001413</c:v>
                </c:pt>
                <c:pt idx="2">
                  <c:v>16111.653204306302</c:v>
                </c:pt>
                <c:pt idx="3">
                  <c:v>16111.635404186381</c:v>
                </c:pt>
                <c:pt idx="4">
                  <c:v>16111.630212492148</c:v>
                </c:pt>
                <c:pt idx="5">
                  <c:v>16111.628729151553</c:v>
                </c:pt>
                <c:pt idx="6">
                  <c:v>16111.627987481355</c:v>
                </c:pt>
                <c:pt idx="7">
                  <c:v>16111.627987481355</c:v>
                </c:pt>
                <c:pt idx="8">
                  <c:v>16111.627245811231</c:v>
                </c:pt>
                <c:pt idx="9">
                  <c:v>16111.627245811231</c:v>
                </c:pt>
                <c:pt idx="10">
                  <c:v>16111.62650414117</c:v>
                </c:pt>
                <c:pt idx="11">
                  <c:v>16111.621312452671</c:v>
                </c:pt>
                <c:pt idx="12">
                  <c:v>16111.561979107446</c:v>
                </c:pt>
                <c:pt idx="13">
                  <c:v>16110.971636128088</c:v>
                </c:pt>
                <c:pt idx="14">
                  <c:v>16105.118754314157</c:v>
                </c:pt>
                <c:pt idx="15">
                  <c:v>16051.167821059013</c:v>
                </c:pt>
                <c:pt idx="16">
                  <c:v>15760.652073113393</c:v>
                </c:pt>
                <c:pt idx="17">
                  <c:v>15417.873941260101</c:v>
                </c:pt>
                <c:pt idx="18">
                  <c:v>15003.045403887769</c:v>
                </c:pt>
                <c:pt idx="19">
                  <c:v>14388.05564461305</c:v>
                </c:pt>
                <c:pt idx="20">
                  <c:v>13635.605886265101</c:v>
                </c:pt>
                <c:pt idx="21">
                  <c:v>12815.049290890231</c:v>
                </c:pt>
                <c:pt idx="22">
                  <c:v>11976.142975711562</c:v>
                </c:pt>
                <c:pt idx="23">
                  <c:v>11203.370332303808</c:v>
                </c:pt>
                <c:pt idx="24">
                  <c:v>10465.017852273953</c:v>
                </c:pt>
                <c:pt idx="25">
                  <c:v>9716.6146559418939</c:v>
                </c:pt>
                <c:pt idx="26">
                  <c:v>8878.8856825964267</c:v>
                </c:pt>
                <c:pt idx="27">
                  <c:v>7809.5362112798175</c:v>
                </c:pt>
                <c:pt idx="28">
                  <c:v>6518.5070845742393</c:v>
                </c:pt>
                <c:pt idx="29">
                  <c:v>5010.6583144623582</c:v>
                </c:pt>
                <c:pt idx="30">
                  <c:v>3357.700324478566</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16092.223336519288</c:v>
                </c:pt>
                <c:pt idx="1">
                  <c:v>16092.526694972959</c:v>
                </c:pt>
                <c:pt idx="2">
                  <c:v>16092.466762274309</c:v>
                </c:pt>
                <c:pt idx="3">
                  <c:v>16092.449004523403</c:v>
                </c:pt>
                <c:pt idx="4">
                  <c:v>16092.443825186769</c:v>
                </c:pt>
                <c:pt idx="5">
                  <c:v>16092.441605472093</c:v>
                </c:pt>
                <c:pt idx="6">
                  <c:v>16092.441605472093</c:v>
                </c:pt>
                <c:pt idx="7">
                  <c:v>16092.440865567334</c:v>
                </c:pt>
                <c:pt idx="8">
                  <c:v>16092.440125662646</c:v>
                </c:pt>
                <c:pt idx="9">
                  <c:v>16092.434946331727</c:v>
                </c:pt>
                <c:pt idx="10">
                  <c:v>16092.379453709695</c:v>
                </c:pt>
                <c:pt idx="11">
                  <c:v>16091.827507930855</c:v>
                </c:pt>
                <c:pt idx="12">
                  <c:v>16086.350056350484</c:v>
                </c:pt>
                <c:pt idx="13">
                  <c:v>16035.603070625559</c:v>
                </c:pt>
                <c:pt idx="14">
                  <c:v>15752.63573101051</c:v>
                </c:pt>
                <c:pt idx="15">
                  <c:v>15415.017186422874</c:v>
                </c:pt>
                <c:pt idx="16">
                  <c:v>15038.50049478815</c:v>
                </c:pt>
                <c:pt idx="17">
                  <c:v>14564.612344740712</c:v>
                </c:pt>
                <c:pt idx="18">
                  <c:v>13953.526941310351</c:v>
                </c:pt>
                <c:pt idx="19">
                  <c:v>13135.241876472131</c:v>
                </c:pt>
                <c:pt idx="20">
                  <c:v>12230.394066791228</c:v>
                </c:pt>
                <c:pt idx="21">
                  <c:v>11378.84448484476</c:v>
                </c:pt>
                <c:pt idx="22">
                  <c:v>10587.047551935821</c:v>
                </c:pt>
                <c:pt idx="23">
                  <c:v>9801.8909023777596</c:v>
                </c:pt>
                <c:pt idx="24">
                  <c:v>8946.1920035306266</c:v>
                </c:pt>
                <c:pt idx="25">
                  <c:v>7866.6911418158297</c:v>
                </c:pt>
                <c:pt idx="26">
                  <c:v>6570.354530323275</c:v>
                </c:pt>
                <c:pt idx="27">
                  <c:v>5061.6914616756339</c:v>
                </c:pt>
                <c:pt idx="28">
                  <c:v>3402.9082225929769</c:v>
                </c:pt>
                <c:pt idx="29">
                  <c:v>2061.7623897781828</c:v>
                </c:pt>
                <c:pt idx="30">
                  <c:v>1191.8509946524368</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16072.533968152502</c:v>
                </c:pt>
                <c:pt idx="1">
                  <c:v>16072.838799024626</c:v>
                </c:pt>
                <c:pt idx="2">
                  <c:v>16072.779012881552</c:v>
                </c:pt>
                <c:pt idx="3">
                  <c:v>16072.761298554202</c:v>
                </c:pt>
                <c:pt idx="4">
                  <c:v>16072.75613188275</c:v>
                </c:pt>
                <c:pt idx="5">
                  <c:v>16072.753917596001</c:v>
                </c:pt>
                <c:pt idx="6">
                  <c:v>16072.748012834318</c:v>
                </c:pt>
                <c:pt idx="7">
                  <c:v>16072.698560625551</c:v>
                </c:pt>
                <c:pt idx="8">
                  <c:v>16072.20331722929</c:v>
                </c:pt>
                <c:pt idx="9">
                  <c:v>16067.282802585838</c:v>
                </c:pt>
                <c:pt idx="10">
                  <c:v>16021.345925806061</c:v>
                </c:pt>
                <c:pt idx="11">
                  <c:v>15750.577101144985</c:v>
                </c:pt>
                <c:pt idx="12">
                  <c:v>15414.329468960936</c:v>
                </c:pt>
                <c:pt idx="13">
                  <c:v>15044.278751056645</c:v>
                </c:pt>
                <c:pt idx="14">
                  <c:v>14604.852975657423</c:v>
                </c:pt>
                <c:pt idx="15">
                  <c:v>14137.950771897777</c:v>
                </c:pt>
                <c:pt idx="16">
                  <c:v>13577.813635274942</c:v>
                </c:pt>
                <c:pt idx="17">
                  <c:v>12826.28041825694</c:v>
                </c:pt>
                <c:pt idx="18">
                  <c:v>11926.850919475015</c:v>
                </c:pt>
                <c:pt idx="19">
                  <c:v>11002.794709856304</c:v>
                </c:pt>
                <c:pt idx="20">
                  <c:v>10087.98800786102</c:v>
                </c:pt>
                <c:pt idx="21">
                  <c:v>9150.8251285945844</c:v>
                </c:pt>
                <c:pt idx="22">
                  <c:v>8018.6797665317845</c:v>
                </c:pt>
                <c:pt idx="23">
                  <c:v>6689.9833612468101</c:v>
                </c:pt>
                <c:pt idx="24">
                  <c:v>5165.4917288375409</c:v>
                </c:pt>
                <c:pt idx="25">
                  <c:v>3489.8682145993753</c:v>
                </c:pt>
                <c:pt idx="26">
                  <c:v>2123.7147581671393</c:v>
                </c:pt>
                <c:pt idx="27">
                  <c:v>1229.6211807658719</c:v>
                </c:pt>
                <c:pt idx="28">
                  <c:v>699.20824455219883</c:v>
                </c:pt>
                <c:pt idx="29">
                  <c:v>486.08617218999899</c:v>
                </c:pt>
                <c:pt idx="30">
                  <c:v>425.20519704257879</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16048.212130586779</c:v>
                </c:pt>
                <c:pt idx="1">
                  <c:v>16048.505737386653</c:v>
                </c:pt>
                <c:pt idx="2">
                  <c:v>16048.314413440525</c:v>
                </c:pt>
                <c:pt idx="3">
                  <c:v>16046.982630837694</c:v>
                </c:pt>
                <c:pt idx="4">
                  <c:v>16034.075066591802</c:v>
                </c:pt>
                <c:pt idx="5">
                  <c:v>15926.170278881345</c:v>
                </c:pt>
                <c:pt idx="6">
                  <c:v>15586.082803692263</c:v>
                </c:pt>
                <c:pt idx="7">
                  <c:v>15238.367248133734</c:v>
                </c:pt>
                <c:pt idx="8">
                  <c:v>14839.292581244064</c:v>
                </c:pt>
                <c:pt idx="9">
                  <c:v>14370.951625939731</c:v>
                </c:pt>
                <c:pt idx="10">
                  <c:v>13892.69890643422</c:v>
                </c:pt>
                <c:pt idx="11">
                  <c:v>13291.14849383756</c:v>
                </c:pt>
                <c:pt idx="12">
                  <c:v>12632.280276372638</c:v>
                </c:pt>
                <c:pt idx="13">
                  <c:v>11985.35854902099</c:v>
                </c:pt>
                <c:pt idx="14">
                  <c:v>11285.311902160602</c:v>
                </c:pt>
                <c:pt idx="15">
                  <c:v>10526.559562431972</c:v>
                </c:pt>
                <c:pt idx="16">
                  <c:v>9473.3120019609214</c:v>
                </c:pt>
                <c:pt idx="17">
                  <c:v>8062.7670287655337</c:v>
                </c:pt>
                <c:pt idx="18">
                  <c:v>6454.1791086336079</c:v>
                </c:pt>
                <c:pt idx="19">
                  <c:v>4696.31468915187</c:v>
                </c:pt>
                <c:pt idx="20">
                  <c:v>3010.0748063790879</c:v>
                </c:pt>
                <c:pt idx="21">
                  <c:v>1762.9989438125185</c:v>
                </c:pt>
                <c:pt idx="22">
                  <c:v>996.80566504595549</c:v>
                </c:pt>
                <c:pt idx="23">
                  <c:v>586.35884725871381</c:v>
                </c:pt>
                <c:pt idx="24">
                  <c:v>456.44387575884605</c:v>
                </c:pt>
                <c:pt idx="25">
                  <c:v>412.96601917370549</c:v>
                </c:pt>
                <c:pt idx="26">
                  <c:v>385.86898815151778</c:v>
                </c:pt>
                <c:pt idx="27">
                  <c:v>385.49781028432375</c:v>
                </c:pt>
                <c:pt idx="28">
                  <c:v>385.426665391455</c:v>
                </c:pt>
                <c:pt idx="29">
                  <c:v>385.36791498748556</c:v>
                </c:pt>
                <c:pt idx="30">
                  <c:v>385.3145908683436</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14658.194565252397</c:v>
                </c:pt>
                <c:pt idx="1">
                  <c:v>14061.361531907398</c:v>
                </c:pt>
                <c:pt idx="2">
                  <c:v>13501.233646293213</c:v>
                </c:pt>
                <c:pt idx="3">
                  <c:v>12859.946220439759</c:v>
                </c:pt>
                <c:pt idx="4">
                  <c:v>12208.633973851756</c:v>
                </c:pt>
                <c:pt idx="5">
                  <c:v>11536.163053051483</c:v>
                </c:pt>
                <c:pt idx="6">
                  <c:v>10813.5570367863</c:v>
                </c:pt>
                <c:pt idx="7">
                  <c:v>9970.6364755794184</c:v>
                </c:pt>
                <c:pt idx="8">
                  <c:v>8862.152534305962</c:v>
                </c:pt>
                <c:pt idx="9">
                  <c:v>7499.0309645058651</c:v>
                </c:pt>
                <c:pt idx="10">
                  <c:v>5876.8655291058731</c:v>
                </c:pt>
                <c:pt idx="11">
                  <c:v>4048.4699947010149</c:v>
                </c:pt>
                <c:pt idx="12">
                  <c:v>2515.9800676870523</c:v>
                </c:pt>
                <c:pt idx="13">
                  <c:v>1472.6914614611371</c:v>
                </c:pt>
                <c:pt idx="14">
                  <c:v>833.17715229238104</c:v>
                </c:pt>
                <c:pt idx="15">
                  <c:v>577.50976338005967</c:v>
                </c:pt>
                <c:pt idx="16">
                  <c:v>491.10844649699709</c:v>
                </c:pt>
                <c:pt idx="17">
                  <c:v>434.33825098960557</c:v>
                </c:pt>
                <c:pt idx="18">
                  <c:v>414.76707297407143</c:v>
                </c:pt>
                <c:pt idx="19">
                  <c:v>404.5295333662836</c:v>
                </c:pt>
                <c:pt idx="20">
                  <c:v>397.85681581072066</c:v>
                </c:pt>
                <c:pt idx="21">
                  <c:v>393.00195565633163</c:v>
                </c:pt>
                <c:pt idx="22">
                  <c:v>389.56593717365507</c:v>
                </c:pt>
                <c:pt idx="23">
                  <c:v>387.22050202894684</c:v>
                </c:pt>
                <c:pt idx="24">
                  <c:v>386.64951371587779</c:v>
                </c:pt>
                <c:pt idx="25">
                  <c:v>385.91998074898817</c:v>
                </c:pt>
                <c:pt idx="26">
                  <c:v>385.22994066974627</c:v>
                </c:pt>
                <c:pt idx="27">
                  <c:v>384.67074338522389</c:v>
                </c:pt>
                <c:pt idx="28">
                  <c:v>384.6408131772755</c:v>
                </c:pt>
                <c:pt idx="29">
                  <c:v>384.62640352784615</c:v>
                </c:pt>
                <c:pt idx="30">
                  <c:v>384.6163102304609</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13762.873398552052</c:v>
                </c:pt>
                <c:pt idx="1">
                  <c:v>12996.428767038085</c:v>
                </c:pt>
                <c:pt idx="2">
                  <c:v>12323.037658358075</c:v>
                </c:pt>
                <c:pt idx="3">
                  <c:v>11659.950146717152</c:v>
                </c:pt>
                <c:pt idx="4">
                  <c:v>10939.561765531496</c:v>
                </c:pt>
                <c:pt idx="5">
                  <c:v>10142.758749817465</c:v>
                </c:pt>
                <c:pt idx="6">
                  <c:v>9083.5481138284849</c:v>
                </c:pt>
                <c:pt idx="7">
                  <c:v>7770.213043701232</c:v>
                </c:pt>
                <c:pt idx="8">
                  <c:v>6212.7654543827603</c:v>
                </c:pt>
                <c:pt idx="9">
                  <c:v>4412.1821205572542</c:v>
                </c:pt>
                <c:pt idx="10">
                  <c:v>2820.2868876401731</c:v>
                </c:pt>
                <c:pt idx="11">
                  <c:v>1686.8375487724975</c:v>
                </c:pt>
                <c:pt idx="12">
                  <c:v>970.08189819417305</c:v>
                </c:pt>
                <c:pt idx="13">
                  <c:v>637.92573090021654</c:v>
                </c:pt>
                <c:pt idx="14">
                  <c:v>530.43319539443348</c:v>
                </c:pt>
                <c:pt idx="15">
                  <c:v>467.52880224544191</c:v>
                </c:pt>
                <c:pt idx="16">
                  <c:v>435.63962277292933</c:v>
                </c:pt>
                <c:pt idx="17">
                  <c:v>419.79526081375803</c:v>
                </c:pt>
                <c:pt idx="18">
                  <c:v>408.26105275524833</c:v>
                </c:pt>
                <c:pt idx="19">
                  <c:v>400.51744106980908</c:v>
                </c:pt>
                <c:pt idx="20">
                  <c:v>394.86606425147778</c:v>
                </c:pt>
                <c:pt idx="21">
                  <c:v>390.84542198681265</c:v>
                </c:pt>
                <c:pt idx="22">
                  <c:v>388.07253088907657</c:v>
                </c:pt>
                <c:pt idx="23">
                  <c:v>386.23610772173595</c:v>
                </c:pt>
                <c:pt idx="24">
                  <c:v>386.21189972712028</c:v>
                </c:pt>
                <c:pt idx="25">
                  <c:v>385.58580238703394</c:v>
                </c:pt>
                <c:pt idx="26">
                  <c:v>384.92225648201378</c:v>
                </c:pt>
                <c:pt idx="27">
                  <c:v>384.4034431433754</c:v>
                </c:pt>
                <c:pt idx="28">
                  <c:v>384.37479556065557</c:v>
                </c:pt>
                <c:pt idx="29">
                  <c:v>384.3632085603968</c:v>
                </c:pt>
                <c:pt idx="30">
                  <c:v>384.35704599602968</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118568232"/>
        <c:axId val="11856980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118568232"/>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18569800"/>
        <c:crosses val="autoZero"/>
        <c:crossBetween val="midCat"/>
      </c:valAx>
      <c:valAx>
        <c:axId val="118569800"/>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18568232"/>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18868.788525551143</c:v>
                </c:pt>
                <c:pt idx="1">
                  <c:v>18871.364508460858</c:v>
                </c:pt>
                <c:pt idx="2">
                  <c:v>18871.300405566886</c:v>
                </c:pt>
                <c:pt idx="3">
                  <c:v>18871.290027044066</c:v>
                </c:pt>
                <c:pt idx="4">
                  <c:v>18871.288195541227</c:v>
                </c:pt>
                <c:pt idx="5">
                  <c:v>18871.285753537995</c:v>
                </c:pt>
                <c:pt idx="6">
                  <c:v>18871.284532536614</c:v>
                </c:pt>
                <c:pt idx="7">
                  <c:v>18871.285753537988</c:v>
                </c:pt>
                <c:pt idx="8">
                  <c:v>18871.285753537988</c:v>
                </c:pt>
                <c:pt idx="9">
                  <c:v>18871.285753537988</c:v>
                </c:pt>
                <c:pt idx="10">
                  <c:v>18871.285753537988</c:v>
                </c:pt>
                <c:pt idx="11">
                  <c:v>18871.286974539533</c:v>
                </c:pt>
                <c:pt idx="12">
                  <c:v>18871.288195541223</c:v>
                </c:pt>
                <c:pt idx="13">
                  <c:v>18871.296132056101</c:v>
                </c:pt>
                <c:pt idx="14">
                  <c:v>18871.380381625688</c:v>
                </c:pt>
                <c:pt idx="15">
                  <c:v>18872.226582066036</c:v>
                </c:pt>
                <c:pt idx="16">
                  <c:v>18880.533875038498</c:v>
                </c:pt>
                <c:pt idx="17">
                  <c:v>18948.720031827786</c:v>
                </c:pt>
                <c:pt idx="18">
                  <c:v>19118.564685664354</c:v>
                </c:pt>
                <c:pt idx="19">
                  <c:v>19295.884784293998</c:v>
                </c:pt>
                <c:pt idx="20">
                  <c:v>19283.18176642276</c:v>
                </c:pt>
                <c:pt idx="21">
                  <c:v>18651.906294101758</c:v>
                </c:pt>
                <c:pt idx="22">
                  <c:v>17649.447935858225</c:v>
                </c:pt>
                <c:pt idx="23">
                  <c:v>16815.420682429347</c:v>
                </c:pt>
                <c:pt idx="24">
                  <c:v>16179.214664618288</c:v>
                </c:pt>
                <c:pt idx="25">
                  <c:v>15717.836983127349</c:v>
                </c:pt>
                <c:pt idx="26">
                  <c:v>15355.245356200901</c:v>
                </c:pt>
                <c:pt idx="27">
                  <c:v>15008.202411423625</c:v>
                </c:pt>
                <c:pt idx="28">
                  <c:v>14583.043495343869</c:v>
                </c:pt>
                <c:pt idx="29">
                  <c:v>14012.345997811763</c:v>
                </c:pt>
                <c:pt idx="30">
                  <c:v>13392.356125248529</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18779.802809280354</c:v>
                </c:pt>
                <c:pt idx="1">
                  <c:v>18782.392651005717</c:v>
                </c:pt>
                <c:pt idx="2">
                  <c:v>18782.332779683817</c:v>
                </c:pt>
                <c:pt idx="3">
                  <c:v>18782.319474997461</c:v>
                </c:pt>
                <c:pt idx="4">
                  <c:v>18782.318265481463</c:v>
                </c:pt>
                <c:pt idx="5">
                  <c:v>18782.31826548147</c:v>
                </c:pt>
                <c:pt idx="6">
                  <c:v>18782.317660723515</c:v>
                </c:pt>
                <c:pt idx="7">
                  <c:v>18782.318265481459</c:v>
                </c:pt>
                <c:pt idx="8">
                  <c:v>18782.31584644991</c:v>
                </c:pt>
                <c:pt idx="9">
                  <c:v>18782.31584644991</c:v>
                </c:pt>
                <c:pt idx="10">
                  <c:v>18782.315846449907</c:v>
                </c:pt>
                <c:pt idx="11">
                  <c:v>18782.321289271767</c:v>
                </c:pt>
                <c:pt idx="12">
                  <c:v>18782.349712948275</c:v>
                </c:pt>
                <c:pt idx="13">
                  <c:v>18782.642421344921</c:v>
                </c:pt>
                <c:pt idx="14">
                  <c:v>18785.556092929808</c:v>
                </c:pt>
                <c:pt idx="15">
                  <c:v>18812.624337337409</c:v>
                </c:pt>
                <c:pt idx="16">
                  <c:v>18945.60662208495</c:v>
                </c:pt>
                <c:pt idx="17">
                  <c:v>19112.275642088352</c:v>
                </c:pt>
                <c:pt idx="18">
                  <c:v>19181.062876400953</c:v>
                </c:pt>
                <c:pt idx="19">
                  <c:v>18753.707875957185</c:v>
                </c:pt>
                <c:pt idx="20">
                  <c:v>17835.205917847718</c:v>
                </c:pt>
                <c:pt idx="21">
                  <c:v>16961.469115224347</c:v>
                </c:pt>
                <c:pt idx="22">
                  <c:v>16327.621278305334</c:v>
                </c:pt>
                <c:pt idx="23">
                  <c:v>15851.283439924156</c:v>
                </c:pt>
                <c:pt idx="24">
                  <c:v>15487.425338994295</c:v>
                </c:pt>
                <c:pt idx="25">
                  <c:v>15155.550070689824</c:v>
                </c:pt>
                <c:pt idx="26">
                  <c:v>14780.926607842799</c:v>
                </c:pt>
                <c:pt idx="27">
                  <c:v>14269.699605699665</c:v>
                </c:pt>
                <c:pt idx="28">
                  <c:v>13639.283505835199</c:v>
                </c:pt>
                <c:pt idx="29">
                  <c:v>13128.624320851572</c:v>
                </c:pt>
                <c:pt idx="30">
                  <c:v>14021.161859170812</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18723.496222400907</c:v>
                </c:pt>
                <c:pt idx="1">
                  <c:v>18726.093399740123</c:v>
                </c:pt>
                <c:pt idx="2">
                  <c:v>18726.034487941026</c:v>
                </c:pt>
                <c:pt idx="3">
                  <c:v>18726.021262894224</c:v>
                </c:pt>
                <c:pt idx="4">
                  <c:v>18726.020060618161</c:v>
                </c:pt>
                <c:pt idx="5">
                  <c:v>18726.0170549287</c:v>
                </c:pt>
                <c:pt idx="6">
                  <c:v>18726.019459480198</c:v>
                </c:pt>
                <c:pt idx="7">
                  <c:v>18726.017656066506</c:v>
                </c:pt>
                <c:pt idx="8">
                  <c:v>18726.017054928692</c:v>
                </c:pt>
                <c:pt idx="9">
                  <c:v>18726.021262894217</c:v>
                </c:pt>
                <c:pt idx="10">
                  <c:v>18726.047111866774</c:v>
                </c:pt>
                <c:pt idx="11">
                  <c:v>18726.314021709637</c:v>
                </c:pt>
                <c:pt idx="12">
                  <c:v>18728.965498848247</c:v>
                </c:pt>
                <c:pt idx="13">
                  <c:v>18753.713302211381</c:v>
                </c:pt>
                <c:pt idx="14">
                  <c:v>18880.347491608816</c:v>
                </c:pt>
                <c:pt idx="15">
                  <c:v>19056.575793806016</c:v>
                </c:pt>
                <c:pt idx="16">
                  <c:v>19269.921900438017</c:v>
                </c:pt>
                <c:pt idx="17">
                  <c:v>19441.854141411004</c:v>
                </c:pt>
                <c:pt idx="18">
                  <c:v>19075.329194401118</c:v>
                </c:pt>
                <c:pt idx="19">
                  <c:v>18108.254456363815</c:v>
                </c:pt>
                <c:pt idx="20">
                  <c:v>17091.457757778491</c:v>
                </c:pt>
                <c:pt idx="21">
                  <c:v>16308.12781714172</c:v>
                </c:pt>
                <c:pt idx="22">
                  <c:v>15731.589949545645</c:v>
                </c:pt>
                <c:pt idx="23">
                  <c:v>15295.270833360655</c:v>
                </c:pt>
                <c:pt idx="24">
                  <c:v>14899.034563844589</c:v>
                </c:pt>
                <c:pt idx="25">
                  <c:v>14421.532749343662</c:v>
                </c:pt>
                <c:pt idx="26">
                  <c:v>13828.897813137615</c:v>
                </c:pt>
                <c:pt idx="27">
                  <c:v>13353.098971948728</c:v>
                </c:pt>
                <c:pt idx="28">
                  <c:v>14308.864276007014</c:v>
                </c:pt>
                <c:pt idx="29">
                  <c:v>28243.116748975397</c:v>
                </c:pt>
                <c:pt idx="30">
                  <c:v>-15374.647206756053</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18666.649941348311</c:v>
                </c:pt>
                <c:pt idx="1">
                  <c:v>18669.257660921885</c:v>
                </c:pt>
                <c:pt idx="2">
                  <c:v>18669.199703682465</c:v>
                </c:pt>
                <c:pt idx="3">
                  <c:v>18669.186558791618</c:v>
                </c:pt>
                <c:pt idx="4">
                  <c:v>18669.185363802473</c:v>
                </c:pt>
                <c:pt idx="5">
                  <c:v>18669.184766307942</c:v>
                </c:pt>
                <c:pt idx="6">
                  <c:v>18669.185363802462</c:v>
                </c:pt>
                <c:pt idx="7">
                  <c:v>18669.209861110783</c:v>
                </c:pt>
                <c:pt idx="8">
                  <c:v>18669.442289990799</c:v>
                </c:pt>
                <c:pt idx="9">
                  <c:v>18671.742393118806</c:v>
                </c:pt>
                <c:pt idx="10">
                  <c:v>18693.372167692403</c:v>
                </c:pt>
                <c:pt idx="11">
                  <c:v>18810.164445336726</c:v>
                </c:pt>
                <c:pt idx="12">
                  <c:v>18979.94755525967</c:v>
                </c:pt>
                <c:pt idx="13">
                  <c:v>19196.640767765603</c:v>
                </c:pt>
                <c:pt idx="14">
                  <c:v>19500.733963053262</c:v>
                </c:pt>
                <c:pt idx="15">
                  <c:v>19883.049267616963</c:v>
                </c:pt>
                <c:pt idx="16">
                  <c:v>20315.074028710202</c:v>
                </c:pt>
                <c:pt idx="17">
                  <c:v>20247.585157293637</c:v>
                </c:pt>
                <c:pt idx="18">
                  <c:v>19077.707317445413</c:v>
                </c:pt>
                <c:pt idx="19">
                  <c:v>17613.609542912749</c:v>
                </c:pt>
                <c:pt idx="20">
                  <c:v>16453.151765752249</c:v>
                </c:pt>
                <c:pt idx="21">
                  <c:v>15627.280606263477</c:v>
                </c:pt>
                <c:pt idx="22">
                  <c:v>15030.817685500569</c:v>
                </c:pt>
                <c:pt idx="23">
                  <c:v>14510.301173738246</c:v>
                </c:pt>
                <c:pt idx="24">
                  <c:v>14214.308561611075</c:v>
                </c:pt>
                <c:pt idx="25">
                  <c:v>15697.726726976471</c:v>
                </c:pt>
                <c:pt idx="26">
                  <c:v>36104.039877015442</c:v>
                </c:pt>
                <c:pt idx="27">
                  <c:v>-13587.837410266889</c:v>
                </c:pt>
                <c:pt idx="28">
                  <c:v>-3330.4463121587378</c:v>
                </c:pt>
                <c:pt idx="29">
                  <c:v>-1786.8228451937523</c:v>
                </c:pt>
                <c:pt idx="30">
                  <c:v>-1472.3001244261891</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18597.725938086842</c:v>
                </c:pt>
                <c:pt idx="1">
                  <c:v>18600.3517996138</c:v>
                </c:pt>
                <c:pt idx="2">
                  <c:v>18600.35357890412</c:v>
                </c:pt>
                <c:pt idx="3">
                  <c:v>18600.927714360827</c:v>
                </c:pt>
                <c:pt idx="4">
                  <c:v>18606.708409487917</c:v>
                </c:pt>
                <c:pt idx="5">
                  <c:v>18655.928016005801</c:v>
                </c:pt>
                <c:pt idx="6">
                  <c:v>18800.684564080409</c:v>
                </c:pt>
                <c:pt idx="7">
                  <c:v>18979.84257207538</c:v>
                </c:pt>
                <c:pt idx="8">
                  <c:v>19220.391697744119</c:v>
                </c:pt>
                <c:pt idx="9">
                  <c:v>19560.27124261664</c:v>
                </c:pt>
                <c:pt idx="10">
                  <c:v>19987.546045595358</c:v>
                </c:pt>
                <c:pt idx="11">
                  <c:v>20668.842564304166</c:v>
                </c:pt>
                <c:pt idx="12">
                  <c:v>21678.58524313927</c:v>
                </c:pt>
                <c:pt idx="13">
                  <c:v>23067.48974106348</c:v>
                </c:pt>
                <c:pt idx="14">
                  <c:v>25232.361209757648</c:v>
                </c:pt>
                <c:pt idx="15">
                  <c:v>28364.407757649318</c:v>
                </c:pt>
                <c:pt idx="16">
                  <c:v>31171.975432208354</c:v>
                </c:pt>
                <c:pt idx="17">
                  <c:v>30483.086372431768</c:v>
                </c:pt>
                <c:pt idx="18">
                  <c:v>29715.300255279948</c:v>
                </c:pt>
                <c:pt idx="19">
                  <c:v>39390.673549005092</c:v>
                </c:pt>
                <c:pt idx="20">
                  <c:v>-100288.88930914762</c:v>
                </c:pt>
                <c:pt idx="21">
                  <c:v>-9677.1910266448958</c:v>
                </c:pt>
                <c:pt idx="22">
                  <c:v>-3404.6460773127037</c:v>
                </c:pt>
                <c:pt idx="23">
                  <c:v>-1620.30960876004</c:v>
                </c:pt>
                <c:pt idx="24">
                  <c:v>-1274.3170179612785</c:v>
                </c:pt>
                <c:pt idx="25">
                  <c:v>-1222.5153231817048</c:v>
                </c:pt>
                <c:pt idx="26">
                  <c:v>-1174.3938257217701</c:v>
                </c:pt>
                <c:pt idx="27">
                  <c:v>-1172.9702085675094</c:v>
                </c:pt>
                <c:pt idx="28">
                  <c:v>-1178.3820229001365</c:v>
                </c:pt>
                <c:pt idx="29">
                  <c:v>-1182.88364659641</c:v>
                </c:pt>
                <c:pt idx="30">
                  <c:v>-1186.9994931851288</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19182.996192175262</c:v>
                </c:pt>
                <c:pt idx="1">
                  <c:v>19625.065699112787</c:v>
                </c:pt>
                <c:pt idx="2">
                  <c:v>20160.459981054919</c:v>
                </c:pt>
                <c:pt idx="3">
                  <c:v>20973.224742364902</c:v>
                </c:pt>
                <c:pt idx="4">
                  <c:v>22115.821949687881</c:v>
                </c:pt>
                <c:pt idx="5">
                  <c:v>23803.36893841259</c:v>
                </c:pt>
                <c:pt idx="6">
                  <c:v>26602.771370310296</c:v>
                </c:pt>
                <c:pt idx="7">
                  <c:v>32488.27614143609</c:v>
                </c:pt>
                <c:pt idx="8">
                  <c:v>55891.784562401474</c:v>
                </c:pt>
                <c:pt idx="9">
                  <c:v>-125452.21041418209</c:v>
                </c:pt>
                <c:pt idx="10">
                  <c:v>-15013.200678407917</c:v>
                </c:pt>
                <c:pt idx="11">
                  <c:v>-4459.4119297041279</c:v>
                </c:pt>
                <c:pt idx="12">
                  <c:v>-1666.4033749334276</c:v>
                </c:pt>
                <c:pt idx="13">
                  <c:v>-748.42715894185017</c:v>
                </c:pt>
                <c:pt idx="14">
                  <c:v>-387.56477383906753</c:v>
                </c:pt>
                <c:pt idx="15">
                  <c:v>-286.9797986884268</c:v>
                </c:pt>
                <c:pt idx="16">
                  <c:v>-299.5158155689432</c:v>
                </c:pt>
                <c:pt idx="17">
                  <c:v>-343.00242468413995</c:v>
                </c:pt>
                <c:pt idx="18">
                  <c:v>-446.48678556022952</c:v>
                </c:pt>
                <c:pt idx="19">
                  <c:v>-582.90154901090352</c:v>
                </c:pt>
                <c:pt idx="20">
                  <c:v>-730.95114683833287</c:v>
                </c:pt>
                <c:pt idx="21">
                  <c:v>-892.80095561332928</c:v>
                </c:pt>
                <c:pt idx="22">
                  <c:v>-1048.7351415205135</c:v>
                </c:pt>
                <c:pt idx="23">
                  <c:v>-1175.441336241712</c:v>
                </c:pt>
                <c:pt idx="24">
                  <c:v>-1207.7500978708922</c:v>
                </c:pt>
                <c:pt idx="25">
                  <c:v>-1247.1729262275853</c:v>
                </c:pt>
                <c:pt idx="26">
                  <c:v>-1278.3129891647243</c:v>
                </c:pt>
                <c:pt idx="27">
                  <c:v>-1294.2956029154343</c:v>
                </c:pt>
                <c:pt idx="28">
                  <c:v>-1294.8417573888285</c:v>
                </c:pt>
                <c:pt idx="29">
                  <c:v>-1294.9292826169442</c:v>
                </c:pt>
                <c:pt idx="30">
                  <c:v>-1294.8384520702036</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19725.603331530423</c:v>
                </c:pt>
                <c:pt idx="1">
                  <c:v>20548.498124949547</c:v>
                </c:pt>
                <c:pt idx="2">
                  <c:v>21580.87160330953</c:v>
                </c:pt>
                <c:pt idx="3">
                  <c:v>23027.095983844181</c:v>
                </c:pt>
                <c:pt idx="4">
                  <c:v>25398.88771739545</c:v>
                </c:pt>
                <c:pt idx="5">
                  <c:v>29875.423750876511</c:v>
                </c:pt>
                <c:pt idx="6">
                  <c:v>44624.967312211462</c:v>
                </c:pt>
                <c:pt idx="7">
                  <c:v>1949773.826236272</c:v>
                </c:pt>
                <c:pt idx="8">
                  <c:v>-21112.176170131828</c:v>
                </c:pt>
                <c:pt idx="9">
                  <c:v>-5776.2884415709104</c:v>
                </c:pt>
                <c:pt idx="10">
                  <c:v>-2078.9091177437581</c:v>
                </c:pt>
                <c:pt idx="11">
                  <c:v>-878.07330045525862</c:v>
                </c:pt>
                <c:pt idx="12">
                  <c:v>-417.20769564627085</c:v>
                </c:pt>
                <c:pt idx="13">
                  <c:v>-262.96642552119516</c:v>
                </c:pt>
                <c:pt idx="14">
                  <c:v>-238.73416868465253</c:v>
                </c:pt>
                <c:pt idx="15">
                  <c:v>-251.81162274676265</c:v>
                </c:pt>
                <c:pt idx="16">
                  <c:v>-307.3591654836851</c:v>
                </c:pt>
                <c:pt idx="17">
                  <c:v>-401.8141241843515</c:v>
                </c:pt>
                <c:pt idx="18">
                  <c:v>-524.93336758298562</c:v>
                </c:pt>
                <c:pt idx="19">
                  <c:v>-665.42206124331733</c:v>
                </c:pt>
                <c:pt idx="20">
                  <c:v>-825.37343195555366</c:v>
                </c:pt>
                <c:pt idx="21">
                  <c:v>-987.77381548774645</c:v>
                </c:pt>
                <c:pt idx="22">
                  <c:v>-1129.4617450016162</c:v>
                </c:pt>
                <c:pt idx="23">
                  <c:v>-1229.5365595670069</c:v>
                </c:pt>
                <c:pt idx="24">
                  <c:v>-1230.488408974971</c:v>
                </c:pt>
                <c:pt idx="25">
                  <c:v>-1261.3650341035277</c:v>
                </c:pt>
                <c:pt idx="26">
                  <c:v>-1287.3091619337808</c:v>
                </c:pt>
                <c:pt idx="27">
                  <c:v>-1298.2741448296031</c:v>
                </c:pt>
                <c:pt idx="28">
                  <c:v>-1298.7730565150696</c:v>
                </c:pt>
                <c:pt idx="29">
                  <c:v>-1298.7789844795204</c:v>
                </c:pt>
                <c:pt idx="30">
                  <c:v>-1298.5716824554424</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43823744"/>
        <c:axId val="44382256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4382374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3822568"/>
        <c:crosses val="autoZero"/>
        <c:crossBetween val="midCat"/>
        <c:majorUnit val="10000"/>
      </c:valAx>
      <c:valAx>
        <c:axId val="443822568"/>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3823744"/>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0.35742661346429722</c:v>
                </c:pt>
                <c:pt idx="1">
                  <c:v>0.35744341900801085</c:v>
                </c:pt>
                <c:pt idx="2">
                  <c:v>0.35744347387202313</c:v>
                </c:pt>
                <c:pt idx="3">
                  <c:v>0.35744354668332945</c:v>
                </c:pt>
                <c:pt idx="4">
                  <c:v>0.35744357886893852</c:v>
                </c:pt>
                <c:pt idx="5">
                  <c:v>0.35744358014499261</c:v>
                </c:pt>
                <c:pt idx="6">
                  <c:v>0.35744357749580352</c:v>
                </c:pt>
                <c:pt idx="7">
                  <c:v>0.35744358671942456</c:v>
                </c:pt>
                <c:pt idx="8">
                  <c:v>0.35744358671942456</c:v>
                </c:pt>
                <c:pt idx="9">
                  <c:v>0.35744358671942456</c:v>
                </c:pt>
                <c:pt idx="10">
                  <c:v>0.35744358671942456</c:v>
                </c:pt>
                <c:pt idx="11">
                  <c:v>0.35744359594304564</c:v>
                </c:pt>
                <c:pt idx="12">
                  <c:v>0.35744361831552712</c:v>
                </c:pt>
                <c:pt idx="13">
                  <c:v>0.35744382290630256</c:v>
                </c:pt>
                <c:pt idx="14">
                  <c:v>0.35744589253679038</c:v>
                </c:pt>
                <c:pt idx="15">
                  <c:v>0.357466581357681</c:v>
                </c:pt>
                <c:pt idx="16">
                  <c:v>0.35766899493070486</c:v>
                </c:pt>
                <c:pt idx="17">
                  <c:v>0.35930143866107478</c:v>
                </c:pt>
                <c:pt idx="18">
                  <c:v>0.36357164383720897</c:v>
                </c:pt>
                <c:pt idx="19">
                  <c:v>0.36794344176999549</c:v>
                </c:pt>
                <c:pt idx="20">
                  <c:v>0.37194682117823258</c:v>
                </c:pt>
                <c:pt idx="21">
                  <c:v>0.37376306921742675</c:v>
                </c:pt>
                <c:pt idx="22">
                  <c:v>0.37400417568145877</c:v>
                </c:pt>
                <c:pt idx="23">
                  <c:v>0.3763864326598505</c:v>
                </c:pt>
                <c:pt idx="24">
                  <c:v>0.38014321052794647</c:v>
                </c:pt>
                <c:pt idx="25">
                  <c:v>0.38462562434904785</c:v>
                </c:pt>
                <c:pt idx="26">
                  <c:v>0.39011878704520608</c:v>
                </c:pt>
                <c:pt idx="27">
                  <c:v>0.39605041350890891</c:v>
                </c:pt>
                <c:pt idx="28">
                  <c:v>0.40384261782116176</c:v>
                </c:pt>
                <c:pt idx="29">
                  <c:v>0.41380031704869863</c:v>
                </c:pt>
                <c:pt idx="30">
                  <c:v>0.42685795119474496</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0.35701473328664396</c:v>
                </c:pt>
                <c:pt idx="1">
                  <c:v>0.35703176392049729</c:v>
                </c:pt>
                <c:pt idx="2">
                  <c:v>0.35703184127609444</c:v>
                </c:pt>
                <c:pt idx="3">
                  <c:v>0.35703189795387291</c:v>
                </c:pt>
                <c:pt idx="4">
                  <c:v>0.35703193481621098</c:v>
                </c:pt>
                <c:pt idx="5">
                  <c:v>0.35703194797877325</c:v>
                </c:pt>
                <c:pt idx="6">
                  <c:v>0.3570319499567311</c:v>
                </c:pt>
                <c:pt idx="7">
                  <c:v>0.35703195456005338</c:v>
                </c:pt>
                <c:pt idx="8">
                  <c:v>0.35703194272804467</c:v>
                </c:pt>
                <c:pt idx="9">
                  <c:v>0.35703194272804467</c:v>
                </c:pt>
                <c:pt idx="10">
                  <c:v>0.35703194930932447</c:v>
                </c:pt>
                <c:pt idx="11">
                  <c:v>0.35703203680814971</c:v>
                </c:pt>
                <c:pt idx="12">
                  <c:v>0.35703277966334201</c:v>
                </c:pt>
                <c:pt idx="13">
                  <c:v>0.35704024603571133</c:v>
                </c:pt>
                <c:pt idx="14">
                  <c:v>0.35711434648119955</c:v>
                </c:pt>
                <c:pt idx="15">
                  <c:v>0.35779790268103578</c:v>
                </c:pt>
                <c:pt idx="16">
                  <c:v>0.36135174249544172</c:v>
                </c:pt>
                <c:pt idx="17">
                  <c:v>0.36554998970306268</c:v>
                </c:pt>
                <c:pt idx="18">
                  <c:v>0.36963665238848264</c:v>
                </c:pt>
                <c:pt idx="19">
                  <c:v>0.37213145848472479</c:v>
                </c:pt>
                <c:pt idx="20">
                  <c:v>0.37257781090320979</c:v>
                </c:pt>
                <c:pt idx="21">
                  <c:v>0.37407685419392078</c:v>
                </c:pt>
                <c:pt idx="22">
                  <c:v>0.37775170704520222</c:v>
                </c:pt>
                <c:pt idx="23">
                  <c:v>0.38220333099246911</c:v>
                </c:pt>
                <c:pt idx="24">
                  <c:v>0.38738156253420752</c:v>
                </c:pt>
                <c:pt idx="25">
                  <c:v>0.39314569458470305</c:v>
                </c:pt>
                <c:pt idx="26">
                  <c:v>0.39988352424079121</c:v>
                </c:pt>
                <c:pt idx="27">
                  <c:v>0.40878649134094247</c:v>
                </c:pt>
                <c:pt idx="28">
                  <c:v>0.42034641358072472</c:v>
                </c:pt>
                <c:pt idx="29">
                  <c:v>0.43639015797331526</c:v>
                </c:pt>
                <c:pt idx="30">
                  <c:v>0.46008770696984719</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0.35675553374778324</c:v>
                </c:pt>
                <c:pt idx="1">
                  <c:v>0.3567727007848463</c:v>
                </c:pt>
                <c:pt idx="2">
                  <c:v>0.35677278361099046</c:v>
                </c:pt>
                <c:pt idx="3">
                  <c:v>0.35677284050714025</c:v>
                </c:pt>
                <c:pt idx="4">
                  <c:v>0.35677287740895841</c:v>
                </c:pt>
                <c:pt idx="5">
                  <c:v>0.35677287417581988</c:v>
                </c:pt>
                <c:pt idx="6">
                  <c:v>0.35677289256718175</c:v>
                </c:pt>
                <c:pt idx="7">
                  <c:v>0.35677288535901452</c:v>
                </c:pt>
                <c:pt idx="8">
                  <c:v>0.35677288734652812</c:v>
                </c:pt>
                <c:pt idx="9">
                  <c:v>0.35677296562885791</c:v>
                </c:pt>
                <c:pt idx="10">
                  <c:v>0.35677365723461657</c:v>
                </c:pt>
                <c:pt idx="11">
                  <c:v>0.35678061105818432</c:v>
                </c:pt>
                <c:pt idx="12">
                  <c:v>0.35684962990134428</c:v>
                </c:pt>
                <c:pt idx="13">
                  <c:v>0.35748952920935495</c:v>
                </c:pt>
                <c:pt idx="14">
                  <c:v>0.36094327502877782</c:v>
                </c:pt>
                <c:pt idx="15">
                  <c:v>0.36518199497805165</c:v>
                </c:pt>
                <c:pt idx="16">
                  <c:v>0.36993114128426302</c:v>
                </c:pt>
                <c:pt idx="17">
                  <c:v>0.37514383282921049</c:v>
                </c:pt>
                <c:pt idx="18">
                  <c:v>0.37808400055112451</c:v>
                </c:pt>
                <c:pt idx="19">
                  <c:v>0.37910447223461313</c:v>
                </c:pt>
                <c:pt idx="20">
                  <c:v>0.38073580147344799</c:v>
                </c:pt>
                <c:pt idx="21">
                  <c:v>0.38370988368057507</c:v>
                </c:pt>
                <c:pt idx="22">
                  <c:v>0.38783664391318573</c:v>
                </c:pt>
                <c:pt idx="23">
                  <c:v>0.39319257556613768</c:v>
                </c:pt>
                <c:pt idx="24">
                  <c:v>0.39992425387033348</c:v>
                </c:pt>
                <c:pt idx="25">
                  <c:v>0.4090862800029138</c:v>
                </c:pt>
                <c:pt idx="26">
                  <c:v>0.42081371175171361</c:v>
                </c:pt>
                <c:pt idx="27">
                  <c:v>0.43682251248307119</c:v>
                </c:pt>
                <c:pt idx="28">
                  <c:v>0.46036363477266623</c:v>
                </c:pt>
                <c:pt idx="29">
                  <c:v>0.48783324560043478</c:v>
                </c:pt>
                <c:pt idx="30">
                  <c:v>0.51292009044310194</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0.356495103846938</c:v>
                </c:pt>
                <c:pt idx="1">
                  <c:v>0.35651242726638627</c:v>
                </c:pt>
                <c:pt idx="2">
                  <c:v>0.35651251555156177</c:v>
                </c:pt>
                <c:pt idx="3">
                  <c:v>0.35651257266495379</c:v>
                </c:pt>
                <c:pt idx="4">
                  <c:v>0.35651260960529035</c:v>
                </c:pt>
                <c:pt idx="5">
                  <c:v>0.35651262478082502</c:v>
                </c:pt>
                <c:pt idx="6">
                  <c:v>0.35651268208701414</c:v>
                </c:pt>
                <c:pt idx="7">
                  <c:v>0.35651331184520685</c:v>
                </c:pt>
                <c:pt idx="8">
                  <c:v>0.35651951936948467</c:v>
                </c:pt>
                <c:pt idx="9">
                  <c:v>0.35658111542474297</c:v>
                </c:pt>
                <c:pt idx="10">
                  <c:v>0.35715662765316347</c:v>
                </c:pt>
                <c:pt idx="11">
                  <c:v>0.360442677619708</c:v>
                </c:pt>
                <c:pt idx="12">
                  <c:v>0.36464372970400755</c:v>
                </c:pt>
                <c:pt idx="13">
                  <c:v>0.369384450009968</c:v>
                </c:pt>
                <c:pt idx="14">
                  <c:v>0.37517689502244495</c:v>
                </c:pt>
                <c:pt idx="15">
                  <c:v>0.38149075642601166</c:v>
                </c:pt>
                <c:pt idx="16">
                  <c:v>0.38860641432985388</c:v>
                </c:pt>
                <c:pt idx="17">
                  <c:v>0.39442131560697397</c:v>
                </c:pt>
                <c:pt idx="18">
                  <c:v>0.39580464499728235</c:v>
                </c:pt>
                <c:pt idx="19">
                  <c:v>0.39588737539334995</c:v>
                </c:pt>
                <c:pt idx="20">
                  <c:v>0.39781098730619824</c:v>
                </c:pt>
                <c:pt idx="21">
                  <c:v>0.40240544341277462</c:v>
                </c:pt>
                <c:pt idx="22">
                  <c:v>0.41108623258437255</c:v>
                </c:pt>
                <c:pt idx="23">
                  <c:v>0.42315822989997837</c:v>
                </c:pt>
                <c:pt idx="24">
                  <c:v>0.43943319265879138</c:v>
                </c:pt>
                <c:pt idx="25">
                  <c:v>0.46294720168407089</c:v>
                </c:pt>
                <c:pt idx="26">
                  <c:v>0.49019631983289891</c:v>
                </c:pt>
                <c:pt idx="27">
                  <c:v>0.51508237530912238</c:v>
                </c:pt>
                <c:pt idx="28">
                  <c:v>0.53499071791066666</c:v>
                </c:pt>
                <c:pt idx="29">
                  <c:v>0.54533989603366739</c:v>
                </c:pt>
                <c:pt idx="30">
                  <c:v>0.54813389041045524</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0.35618123255129486</c:v>
                </c:pt>
                <c:pt idx="1">
                  <c:v>0.35619890499669771</c:v>
                </c:pt>
                <c:pt idx="2">
                  <c:v>0.35620063309224786</c:v>
                </c:pt>
                <c:pt idx="3">
                  <c:v>0.35621700453817834</c:v>
                </c:pt>
                <c:pt idx="4">
                  <c:v>0.35637729223137143</c:v>
                </c:pt>
                <c:pt idx="5">
                  <c:v>0.35772019966685181</c:v>
                </c:pt>
                <c:pt idx="6">
                  <c:v>0.36183053822172867</c:v>
                </c:pt>
                <c:pt idx="7">
                  <c:v>0.36618814855579462</c:v>
                </c:pt>
                <c:pt idx="8">
                  <c:v>0.37132335963279961</c:v>
                </c:pt>
                <c:pt idx="9">
                  <c:v>0.3775498266555285</c:v>
                </c:pt>
                <c:pt idx="10">
                  <c:v>0.38415537292786922</c:v>
                </c:pt>
                <c:pt idx="11">
                  <c:v>0.39282460259940688</c:v>
                </c:pt>
                <c:pt idx="12">
                  <c:v>0.40288203669893974</c:v>
                </c:pt>
                <c:pt idx="13">
                  <c:v>0.41340367848460691</c:v>
                </c:pt>
                <c:pt idx="14">
                  <c:v>0.42545741948639326</c:v>
                </c:pt>
                <c:pt idx="15">
                  <c:v>0.43814689843945259</c:v>
                </c:pt>
                <c:pt idx="16">
                  <c:v>0.44934920511874987</c:v>
                </c:pt>
                <c:pt idx="17">
                  <c:v>0.45591671760607699</c:v>
                </c:pt>
                <c:pt idx="18">
                  <c:v>0.46379991085856631</c:v>
                </c:pt>
                <c:pt idx="19">
                  <c:v>0.48012932899243571</c:v>
                </c:pt>
                <c:pt idx="20">
                  <c:v>0.50500234011815659</c:v>
                </c:pt>
                <c:pt idx="21">
                  <c:v>0.53036347598110389</c:v>
                </c:pt>
                <c:pt idx="22">
                  <c:v>0.54879634291937607</c:v>
                </c:pt>
                <c:pt idx="23">
                  <c:v>0.56031345738787863</c:v>
                </c:pt>
                <c:pt idx="24">
                  <c:v>0.55969784458725058</c:v>
                </c:pt>
                <c:pt idx="25">
                  <c:v>0.55630004676191225</c:v>
                </c:pt>
                <c:pt idx="26">
                  <c:v>0.55476144085288237</c:v>
                </c:pt>
                <c:pt idx="27">
                  <c:v>0.55477516357883649</c:v>
                </c:pt>
                <c:pt idx="28">
                  <c:v>0.55451354171811429</c:v>
                </c:pt>
                <c:pt idx="29">
                  <c:v>0.55429780521191163</c:v>
                </c:pt>
                <c:pt idx="30">
                  <c:v>0.55410204372180083</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0.3726459410684459</c:v>
                </c:pt>
                <c:pt idx="1">
                  <c:v>0.38058331670075135</c:v>
                </c:pt>
                <c:pt idx="2">
                  <c:v>0.38838520500871077</c:v>
                </c:pt>
                <c:pt idx="3">
                  <c:v>0.39780663696680457</c:v>
                </c:pt>
                <c:pt idx="4">
                  <c:v>0.40799472280052385</c:v>
                </c:pt>
                <c:pt idx="5">
                  <c:v>0.41922597817351359</c:v>
                </c:pt>
                <c:pt idx="6">
                  <c:v>0.4322529415810249</c:v>
                </c:pt>
                <c:pt idx="7">
                  <c:v>0.44885007937338817</c:v>
                </c:pt>
                <c:pt idx="8">
                  <c:v>0.47357347892989043</c:v>
                </c:pt>
                <c:pt idx="9">
                  <c:v>0.50996266618147224</c:v>
                </c:pt>
                <c:pt idx="10">
                  <c:v>0.56524109076840645</c:v>
                </c:pt>
                <c:pt idx="11">
                  <c:v>0.65130806701716915</c:v>
                </c:pt>
                <c:pt idx="12">
                  <c:v>0.75163775925377463</c:v>
                </c:pt>
                <c:pt idx="13">
                  <c:v>0.82795252547651055</c:v>
                </c:pt>
                <c:pt idx="14">
                  <c:v>0.85829587229993787</c:v>
                </c:pt>
                <c:pt idx="15">
                  <c:v>0.83539513119008801</c:v>
                </c:pt>
                <c:pt idx="16">
                  <c:v>0.77327908409116641</c:v>
                </c:pt>
                <c:pt idx="17">
                  <c:v>0.71104722091958672</c:v>
                </c:pt>
                <c:pt idx="18">
                  <c:v>0.65482618462927267</c:v>
                </c:pt>
                <c:pt idx="19">
                  <c:v>0.61566548246232133</c:v>
                </c:pt>
                <c:pt idx="20">
                  <c:v>0.59071669096984492</c:v>
                </c:pt>
                <c:pt idx="21">
                  <c:v>0.57336498189310858</c:v>
                </c:pt>
                <c:pt idx="22">
                  <c:v>0.56191044204113683</c:v>
                </c:pt>
                <c:pt idx="23">
                  <c:v>0.55490427156875721</c:v>
                </c:pt>
                <c:pt idx="24">
                  <c:v>0.55335672150465165</c:v>
                </c:pt>
                <c:pt idx="25">
                  <c:v>0.55157263715309424</c:v>
                </c:pt>
                <c:pt idx="26">
                  <c:v>0.55022634570394002</c:v>
                </c:pt>
                <c:pt idx="27">
                  <c:v>0.54953411756927129</c:v>
                </c:pt>
                <c:pt idx="28">
                  <c:v>0.54950937196023864</c:v>
                </c:pt>
                <c:pt idx="29">
                  <c:v>0.54950417096015058</c:v>
                </c:pt>
                <c:pt idx="30">
                  <c:v>0.54950634441636736</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0.38371396329229329</c:v>
                </c:pt>
                <c:pt idx="1">
                  <c:v>0.39458735874506484</c:v>
                </c:pt>
                <c:pt idx="2">
                  <c:v>0.40483055330298245</c:v>
                </c:pt>
                <c:pt idx="3">
                  <c:v>0.41560702983058323</c:v>
                </c:pt>
                <c:pt idx="4">
                  <c:v>0.4282149551373261</c:v>
                </c:pt>
                <c:pt idx="5">
                  <c:v>0.44341637441756293</c:v>
                </c:pt>
                <c:pt idx="6">
                  <c:v>0.46607449199802997</c:v>
                </c:pt>
                <c:pt idx="7">
                  <c:v>0.49933580218902446</c:v>
                </c:pt>
                <c:pt idx="8">
                  <c:v>0.54904567396177273</c:v>
                </c:pt>
                <c:pt idx="9">
                  <c:v>0.62730730021500691</c:v>
                </c:pt>
                <c:pt idx="10">
                  <c:v>0.72610310888281582</c:v>
                </c:pt>
                <c:pt idx="11">
                  <c:v>0.82017781581141258</c:v>
                </c:pt>
                <c:pt idx="12">
                  <c:v>0.88752956393876303</c:v>
                </c:pt>
                <c:pt idx="13">
                  <c:v>0.90431380142658779</c:v>
                </c:pt>
                <c:pt idx="14">
                  <c:v>0.87030950807261731</c:v>
                </c:pt>
                <c:pt idx="15">
                  <c:v>0.80944348871167726</c:v>
                </c:pt>
                <c:pt idx="16">
                  <c:v>0.73622722843234112</c:v>
                </c:pt>
                <c:pt idx="17">
                  <c:v>0.67412498115719</c:v>
                </c:pt>
                <c:pt idx="18">
                  <c:v>0.6296231350387238</c:v>
                </c:pt>
                <c:pt idx="19">
                  <c:v>0.60031664222289649</c:v>
                </c:pt>
                <c:pt idx="20">
                  <c:v>0.57973483051502384</c:v>
                </c:pt>
                <c:pt idx="21">
                  <c:v>0.56594718613016004</c:v>
                </c:pt>
                <c:pt idx="22">
                  <c:v>0.55726511361222497</c:v>
                </c:pt>
                <c:pt idx="23">
                  <c:v>0.55235524240365719</c:v>
                </c:pt>
                <c:pt idx="24">
                  <c:v>0.55231146387485341</c:v>
                </c:pt>
                <c:pt idx="25">
                  <c:v>0.55094821773263492</c:v>
                </c:pt>
                <c:pt idx="26">
                  <c:v>0.54983551062224867</c:v>
                </c:pt>
                <c:pt idx="27">
                  <c:v>0.54934800618116342</c:v>
                </c:pt>
                <c:pt idx="28">
                  <c:v>0.54932537336328136</c:v>
                </c:pt>
                <c:pt idx="29">
                  <c:v>0.54932366132004984</c:v>
                </c:pt>
                <c:pt idx="30">
                  <c:v>0.54933074433355589</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43822960"/>
        <c:axId val="44382413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382296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3824136"/>
        <c:crosses val="autoZero"/>
        <c:crossBetween val="midCat"/>
        <c:majorUnit val="10000"/>
      </c:valAx>
      <c:valAx>
        <c:axId val="443824136"/>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3822960"/>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2996.6335305209523</c:v>
                </c:pt>
                <c:pt idx="29">
                  <c:v>2563.0064610610193</c:v>
                </c:pt>
                <c:pt idx="30">
                  <c:v>2059.5134179476377</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5936.3433151657146</c:v>
                </c:pt>
                <c:pt idx="1">
                  <c:v>5936.3803075081632</c:v>
                </c:pt>
                <c:pt idx="2">
                  <c:v>5936.3578341520697</c:v>
                </c:pt>
                <c:pt idx="3">
                  <c:v>5936.3510277390824</c:v>
                </c:pt>
                <c:pt idx="4">
                  <c:v>5936.3489535985827</c:v>
                </c:pt>
                <c:pt idx="5">
                  <c:v>5936.3483494802622</c:v>
                </c:pt>
                <c:pt idx="6">
                  <c:v>5936.3480675584215</c:v>
                </c:pt>
                <c:pt idx="7">
                  <c:v>5936.3480474211492</c:v>
                </c:pt>
                <c:pt idx="8">
                  <c:v>5936.3478259111525</c:v>
                </c:pt>
                <c:pt idx="9">
                  <c:v>5936.3478259111525</c:v>
                </c:pt>
                <c:pt idx="10">
                  <c:v>5936.3475238520905</c:v>
                </c:pt>
                <c:pt idx="11">
                  <c:v>5936.3452282042372</c:v>
                </c:pt>
                <c:pt idx="12">
                  <c:v>5936.3201171545998</c:v>
                </c:pt>
                <c:pt idx="13">
                  <c:v>5936.0699445696901</c:v>
                </c:pt>
                <c:pt idx="14">
                  <c:v>5933.5894562136173</c:v>
                </c:pt>
                <c:pt idx="15">
                  <c:v>5910.7352387881974</c:v>
                </c:pt>
                <c:pt idx="16">
                  <c:v>5788.6039225333288</c:v>
                </c:pt>
                <c:pt idx="17">
                  <c:v>5645.2982525424422</c:v>
                </c:pt>
                <c:pt idx="18">
                  <c:v>5477.0166152184411</c:v>
                </c:pt>
                <c:pt idx="19">
                  <c:v>5242.9581566849647</c:v>
                </c:pt>
                <c:pt idx="20">
                  <c:v>4967.1522364522052</c:v>
                </c:pt>
                <c:pt idx="21">
                  <c:v>4663.1486629646943</c:v>
                </c:pt>
                <c:pt idx="22">
                  <c:v>4346.263159926043</c:v>
                </c:pt>
                <c:pt idx="23">
                  <c:v>4052.7215067045913</c:v>
                </c:pt>
                <c:pt idx="24">
                  <c:v>3771.4995408899726</c:v>
                </c:pt>
                <c:pt idx="25">
                  <c:v>3487.2930712528305</c:v>
                </c:pt>
                <c:pt idx="26">
                  <c:v>3171.2944430186703</c:v>
                </c:pt>
                <c:pt idx="27">
                  <c:v>2771.7245513357993</c:v>
                </c:pt>
                <c:pt idx="28">
                  <c:v>2294.6891766146468</c:v>
                </c:pt>
                <c:pt idx="29">
                  <c:v>1744.1842965326991</c:v>
                </c:pt>
                <c:pt idx="30">
                  <c:v>1149.8282974544306</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5930.406376183163</c:v>
                </c:pt>
                <c:pt idx="1">
                  <c:v>5930.4431337924134</c:v>
                </c:pt>
                <c:pt idx="2">
                  <c:v>5930.4206852693951</c:v>
                </c:pt>
                <c:pt idx="3">
                  <c:v>5930.413892464232</c:v>
                </c:pt>
                <c:pt idx="4">
                  <c:v>5930.4118224704844</c:v>
                </c:pt>
                <c:pt idx="5">
                  <c:v>5930.4110185898089</c:v>
                </c:pt>
                <c:pt idx="6">
                  <c:v>5930.4109382017532</c:v>
                </c:pt>
                <c:pt idx="7">
                  <c:v>5930.4106970375988</c:v>
                </c:pt>
                <c:pt idx="8">
                  <c:v>5930.4104156794438</c:v>
                </c:pt>
                <c:pt idx="9">
                  <c:v>5930.408164815165</c:v>
                </c:pt>
                <c:pt idx="10">
                  <c:v>5930.384691618081</c:v>
                </c:pt>
                <c:pt idx="11">
                  <c:v>5930.150894248286</c:v>
                </c:pt>
                <c:pt idx="12">
                  <c:v>5927.8308007940832</c:v>
                </c:pt>
                <c:pt idx="13">
                  <c:v>5906.3450308766669</c:v>
                </c:pt>
                <c:pt idx="14">
                  <c:v>5787.3961464989843</c:v>
                </c:pt>
                <c:pt idx="15">
                  <c:v>5645.7736928586964</c:v>
                </c:pt>
                <c:pt idx="16">
                  <c:v>5488.7797063617654</c:v>
                </c:pt>
                <c:pt idx="17">
                  <c:v>5295.6687137139643</c:v>
                </c:pt>
                <c:pt idx="18">
                  <c:v>5062.6547205141496</c:v>
                </c:pt>
                <c:pt idx="19">
                  <c:v>4762.2359802766141</c:v>
                </c:pt>
                <c:pt idx="20">
                  <c:v>4428.9407335348296</c:v>
                </c:pt>
                <c:pt idx="21">
                  <c:v>4111.7161259908762</c:v>
                </c:pt>
                <c:pt idx="22">
                  <c:v>3814.2268394370481</c:v>
                </c:pt>
                <c:pt idx="23">
                  <c:v>3517.7803393025779</c:v>
                </c:pt>
                <c:pt idx="24">
                  <c:v>3195.2414492417452</c:v>
                </c:pt>
                <c:pt idx="25">
                  <c:v>2791.4157044377589</c:v>
                </c:pt>
                <c:pt idx="26">
                  <c:v>2312.1801528163464</c:v>
                </c:pt>
                <c:pt idx="27">
                  <c:v>1761.4184833894965</c:v>
                </c:pt>
                <c:pt idx="28">
                  <c:v>1165.0893454090649</c:v>
                </c:pt>
                <c:pt idx="29">
                  <c:v>692.87414966525068</c:v>
                </c:pt>
                <c:pt idx="30">
                  <c:v>393.89092728068977</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5924.2874974527258</c:v>
                </c:pt>
                <c:pt idx="1">
                  <c:v>5924.3241993050724</c:v>
                </c:pt>
                <c:pt idx="2">
                  <c:v>5924.3017770264787</c:v>
                </c:pt>
                <c:pt idx="3">
                  <c:v>5924.2949982314785</c:v>
                </c:pt>
                <c:pt idx="4">
                  <c:v>5924.2929325070927</c:v>
                </c:pt>
                <c:pt idx="5">
                  <c:v>5924.292050062164</c:v>
                </c:pt>
                <c:pt idx="6">
                  <c:v>5924.2896233399624</c:v>
                </c:pt>
                <c:pt idx="7">
                  <c:v>5924.2686453119095</c:v>
                </c:pt>
                <c:pt idx="8">
                  <c:v>5924.0589935262078</c:v>
                </c:pt>
                <c:pt idx="9">
                  <c:v>5921.976437640149</c:v>
                </c:pt>
                <c:pt idx="10">
                  <c:v>5902.5412392933085</c:v>
                </c:pt>
                <c:pt idx="11">
                  <c:v>5788.7691117948852</c:v>
                </c:pt>
                <c:pt idx="12">
                  <c:v>5647.748615055857</c:v>
                </c:pt>
                <c:pt idx="13">
                  <c:v>5493.0807600988655</c:v>
                </c:pt>
                <c:pt idx="14">
                  <c:v>5310.1724689095536</c:v>
                </c:pt>
                <c:pt idx="15">
                  <c:v>5116.9183384452708</c:v>
                </c:pt>
                <c:pt idx="16">
                  <c:v>4889.0072432178858</c:v>
                </c:pt>
                <c:pt idx="17">
                  <c:v>4599.1409750767552</c:v>
                </c:pt>
                <c:pt idx="18">
                  <c:v>4272.3926167684576</c:v>
                </c:pt>
                <c:pt idx="19">
                  <c:v>3941.1470093551798</c:v>
                </c:pt>
                <c:pt idx="20">
                  <c:v>3608.495032401398</c:v>
                </c:pt>
                <c:pt idx="21">
                  <c:v>3262.5462100054015</c:v>
                </c:pt>
                <c:pt idx="22">
                  <c:v>2841.314577864513</c:v>
                </c:pt>
                <c:pt idx="23">
                  <c:v>2350.4004054830193</c:v>
                </c:pt>
                <c:pt idx="24">
                  <c:v>1794.2797745605371</c:v>
                </c:pt>
                <c:pt idx="25">
                  <c:v>1192.7526197056241</c:v>
                </c:pt>
                <c:pt idx="26">
                  <c:v>712.56207316539314</c:v>
                </c:pt>
                <c:pt idx="27">
                  <c:v>405.79350694215293</c:v>
                </c:pt>
                <c:pt idx="28">
                  <c:v>227.75650575396227</c:v>
                </c:pt>
                <c:pt idx="29">
                  <c:v>157.27484077697326</c:v>
                </c:pt>
                <c:pt idx="30">
                  <c:v>137.32830205333357</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1000.0232976856266</c:v>
                </c:pt>
                <c:pt idx="21">
                  <c:v>576.00660610456418</c:v>
                </c:pt>
                <c:pt idx="22">
                  <c:v>321.80010935687142</c:v>
                </c:pt>
                <c:pt idx="23">
                  <c:v>187.89777287454069</c:v>
                </c:pt>
                <c:pt idx="24">
                  <c:v>146.32445551645827</c:v>
                </c:pt>
                <c:pt idx="25">
                  <c:v>132.67557886184474</c:v>
                </c:pt>
                <c:pt idx="26">
                  <c:v>124.09266721325585</c:v>
                </c:pt>
                <c:pt idx="27">
                  <c:v>123.97220489326934</c:v>
                </c:pt>
                <c:pt idx="28">
                  <c:v>123.97018586453261</c:v>
                </c:pt>
                <c:pt idx="29">
                  <c:v>123.96849358445334</c:v>
                </c:pt>
                <c:pt idx="30">
                  <c:v>123.96695327212331</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5339.3938402799959</c:v>
                </c:pt>
                <c:pt idx="1">
                  <c:v>5092.5436233397832</c:v>
                </c:pt>
                <c:pt idx="2">
                  <c:v>4862.2074038193541</c:v>
                </c:pt>
                <c:pt idx="3">
                  <c:v>4600.0447702643005</c:v>
                </c:pt>
                <c:pt idx="4">
                  <c:v>4335.4686548713016</c:v>
                </c:pt>
                <c:pt idx="5">
                  <c:v>4064.2446060274551</c:v>
                </c:pt>
                <c:pt idx="6">
                  <c:v>3775.0165221687416</c:v>
                </c:pt>
                <c:pt idx="7">
                  <c:v>3440.8792936987693</c:v>
                </c:pt>
                <c:pt idx="8">
                  <c:v>3007.0276986600152</c:v>
                </c:pt>
                <c:pt idx="9">
                  <c:v>2483.1842311274095</c:v>
                </c:pt>
                <c:pt idx="10">
                  <c:v>1877.3036191571002</c:v>
                </c:pt>
                <c:pt idx="11">
                  <c:v>1225.8372848665197</c:v>
                </c:pt>
                <c:pt idx="12">
                  <c:v>718.17933085631228</c:v>
                </c:pt>
                <c:pt idx="13">
                  <c:v>402.8254128419544</c:v>
                </c:pt>
                <c:pt idx="14">
                  <c:v>224.17774389747507</c:v>
                </c:pt>
                <c:pt idx="15">
                  <c:v>157.32573154577258</c:v>
                </c:pt>
                <c:pt idx="16">
                  <c:v>138.47466281617423</c:v>
                </c:pt>
                <c:pt idx="17">
                  <c:v>126.92176045152465</c:v>
                </c:pt>
                <c:pt idx="18">
                  <c:v>125.32043450442224</c:v>
                </c:pt>
                <c:pt idx="19">
                  <c:v>125.18975547765271</c:v>
                </c:pt>
                <c:pt idx="20">
                  <c:v>125.05583743141311</c:v>
                </c:pt>
                <c:pt idx="21">
                  <c:v>124.89217701523481</c:v>
                </c:pt>
                <c:pt idx="22">
                  <c:v>124.70815441395035</c:v>
                </c:pt>
                <c:pt idx="23">
                  <c:v>124.51586541667818</c:v>
                </c:pt>
                <c:pt idx="24">
                  <c:v>124.45612407089325</c:v>
                </c:pt>
                <c:pt idx="25">
                  <c:v>124.36413594438419</c:v>
                </c:pt>
                <c:pt idx="26">
                  <c:v>124.24957869452857</c:v>
                </c:pt>
                <c:pt idx="27">
                  <c:v>124.12464463468883</c:v>
                </c:pt>
                <c:pt idx="28">
                  <c:v>124.11696893794122</c:v>
                </c:pt>
                <c:pt idx="29">
                  <c:v>124.11273578228328</c:v>
                </c:pt>
                <c:pt idx="30">
                  <c:v>124.10930475258213</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4973.1641667493986</c:v>
                </c:pt>
                <c:pt idx="1">
                  <c:v>4659.596505568883</c:v>
                </c:pt>
                <c:pt idx="2">
                  <c:v>4385.9516115251872</c:v>
                </c:pt>
                <c:pt idx="3">
                  <c:v>4118.3569666620651</c:v>
                </c:pt>
                <c:pt idx="4">
                  <c:v>3829.8022738739742</c:v>
                </c:pt>
                <c:pt idx="5">
                  <c:v>3513.4556215320054</c:v>
                </c:pt>
                <c:pt idx="6">
                  <c:v>3097.9149297690292</c:v>
                </c:pt>
                <c:pt idx="7">
                  <c:v>2591.2184022941196</c:v>
                </c:pt>
                <c:pt idx="8">
                  <c:v>2005.3525724949279</c:v>
                </c:pt>
                <c:pt idx="9">
                  <c:v>1355.6696144527521</c:v>
                </c:pt>
                <c:pt idx="10">
                  <c:v>816.95203291347548</c:v>
                </c:pt>
                <c:pt idx="11">
                  <c:v>463.37163713330017</c:v>
                </c:pt>
                <c:pt idx="12">
                  <c:v>256.97131232473913</c:v>
                </c:pt>
                <c:pt idx="13">
                  <c:v>167.49490825050054</c:v>
                </c:pt>
                <c:pt idx="14">
                  <c:v>141.80358734877336</c:v>
                </c:pt>
                <c:pt idx="15">
                  <c:v>129.19132461504012</c:v>
                </c:pt>
                <c:pt idx="16">
                  <c:v>125.45582042457461</c:v>
                </c:pt>
                <c:pt idx="17">
                  <c:v>125.37751528072498</c:v>
                </c:pt>
                <c:pt idx="18">
                  <c:v>125.26241312398497</c:v>
                </c:pt>
                <c:pt idx="19">
                  <c:v>125.1369355609138</c:v>
                </c:pt>
                <c:pt idx="20">
                  <c:v>124.97859027478171</c:v>
                </c:pt>
                <c:pt idx="21">
                  <c:v>124.79521194858673</c:v>
                </c:pt>
                <c:pt idx="22">
                  <c:v>124.60066288549459</c:v>
                </c:pt>
                <c:pt idx="23">
                  <c:v>124.40326066206676</c:v>
                </c:pt>
                <c:pt idx="24">
                  <c:v>124.39897169961779</c:v>
                </c:pt>
                <c:pt idx="25">
                  <c:v>124.30647199515475</c:v>
                </c:pt>
                <c:pt idx="26">
                  <c:v>124.18164826003697</c:v>
                </c:pt>
                <c:pt idx="27">
                  <c:v>124.05329261398603</c:v>
                </c:pt>
                <c:pt idx="28">
                  <c:v>124.04585962671396</c:v>
                </c:pt>
                <c:pt idx="29">
                  <c:v>124.04225732695286</c:v>
                </c:pt>
                <c:pt idx="30">
                  <c:v>124.03970146521578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53810768"/>
        <c:axId val="45381390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381076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813904"/>
        <c:crosses val="autoZero"/>
        <c:crossBetween val="midCat"/>
        <c:majorUnit val="10000"/>
      </c:valAx>
      <c:valAx>
        <c:axId val="453813904"/>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810768"/>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1.2772158581224265E-2</c:v>
                </c:pt>
                <c:pt idx="1">
                  <c:v>1.7317994957891405E-2</c:v>
                </c:pt>
                <c:pt idx="2">
                  <c:v>4.8029508703538448E-3</c:v>
                </c:pt>
                <c:pt idx="3">
                  <c:v>8.308505324207846E-4</c:v>
                </c:pt>
                <c:pt idx="4">
                  <c:v>1.1955142511504207E-4</c:v>
                </c:pt>
                <c:pt idx="5">
                  <c:v>1.8635884863106856E-5</c:v>
                </c:pt>
                <c:pt idx="6">
                  <c:v>1.2259332088094071E-6</c:v>
                </c:pt>
                <c:pt idx="7">
                  <c:v>4.6367103123270082E-6</c:v>
                </c:pt>
                <c:pt idx="8">
                  <c:v>4.5714647142276493E-6</c:v>
                </c:pt>
                <c:pt idx="9">
                  <c:v>1.4788486156031606E-5</c:v>
                </c:pt>
                <c:pt idx="10">
                  <c:v>3.2983682467886605E-5</c:v>
                </c:pt>
                <c:pt idx="11">
                  <c:v>6.7277895111914372E-5</c:v>
                </c:pt>
                <c:pt idx="12">
                  <c:v>1.9347477942878181E-4</c:v>
                </c:pt>
                <c:pt idx="13">
                  <c:v>3.6356294048285013E-4</c:v>
                </c:pt>
                <c:pt idx="14">
                  <c:v>5.7876694836456947E-4</c:v>
                </c:pt>
                <c:pt idx="15">
                  <c:v>6.3227831307174074E-4</c:v>
                </c:pt>
                <c:pt idx="16">
                  <c:v>5.346405378318386E-4</c:v>
                </c:pt>
                <c:pt idx="17">
                  <c:v>2.802798023143813E-4</c:v>
                </c:pt>
                <c:pt idx="18">
                  <c:v>1.9146616717258635E-4</c:v>
                </c:pt>
                <c:pt idx="19">
                  <c:v>7.5362016602318757E-6</c:v>
                </c:pt>
                <c:pt idx="20">
                  <c:v>1.4806819359920262E-4</c:v>
                </c:pt>
                <c:pt idx="21">
                  <c:v>1.0242518261363493E-5</c:v>
                </c:pt>
                <c:pt idx="22">
                  <c:v>2.7622576435044185E-5</c:v>
                </c:pt>
                <c:pt idx="23">
                  <c:v>8.4678189294419811E-5</c:v>
                </c:pt>
                <c:pt idx="24">
                  <c:v>2.9155860216224035E-4</c:v>
                </c:pt>
                <c:pt idx="25">
                  <c:v>1.2813298082230373E-4</c:v>
                </c:pt>
                <c:pt idx="26">
                  <c:v>1.0090322866904684E-3</c:v>
                </c:pt>
                <c:pt idx="27">
                  <c:v>1.9810335042217599E-3</c:v>
                </c:pt>
                <c:pt idx="28">
                  <c:v>1.9646389068045797E-3</c:v>
                </c:pt>
                <c:pt idx="29">
                  <c:v>1.2190917538153555E-3</c:v>
                </c:pt>
                <c:pt idx="30">
                  <c:v>6.1765639816416086E-3</c:v>
                </c:pt>
              </c:numCache>
            </c:numRef>
          </c:yVal>
          <c:smooth val="1"/>
        </c:ser>
        <c:dLbls>
          <c:showLegendKey val="0"/>
          <c:showVal val="0"/>
          <c:showCatName val="0"/>
          <c:showSerName val="0"/>
          <c:showPercent val="0"/>
          <c:showBubbleSize val="0"/>
        </c:dLbls>
        <c:axId val="453811160"/>
        <c:axId val="453812728"/>
      </c:scatterChart>
      <c:valAx>
        <c:axId val="45381116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812728"/>
        <c:crossesAt val="-1.5000000000000005E-3"/>
        <c:crossBetween val="midCat"/>
      </c:valAx>
      <c:valAx>
        <c:axId val="453812728"/>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811160"/>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5339.3938402799959</c:v>
                </c:pt>
                <c:pt idx="1">
                  <c:v>5092.5436233397832</c:v>
                </c:pt>
                <c:pt idx="2">
                  <c:v>4862.2074038193541</c:v>
                </c:pt>
                <c:pt idx="3">
                  <c:v>4600.0447702643005</c:v>
                </c:pt>
                <c:pt idx="4">
                  <c:v>4335.4686548713016</c:v>
                </c:pt>
                <c:pt idx="5">
                  <c:v>4064.2446060274551</c:v>
                </c:pt>
                <c:pt idx="6">
                  <c:v>3775.0165221687416</c:v>
                </c:pt>
                <c:pt idx="7">
                  <c:v>3440.8792936987693</c:v>
                </c:pt>
                <c:pt idx="8">
                  <c:v>3007.0276986600152</c:v>
                </c:pt>
                <c:pt idx="9">
                  <c:v>2483.1842311274095</c:v>
                </c:pt>
                <c:pt idx="10">
                  <c:v>1877.3036191571002</c:v>
                </c:pt>
                <c:pt idx="11">
                  <c:v>1225.8372848665197</c:v>
                </c:pt>
                <c:pt idx="12">
                  <c:v>718.17933085631228</c:v>
                </c:pt>
                <c:pt idx="13">
                  <c:v>402.8254128419544</c:v>
                </c:pt>
                <c:pt idx="14">
                  <c:v>224.17774389747507</c:v>
                </c:pt>
                <c:pt idx="15">
                  <c:v>157.32573154577258</c:v>
                </c:pt>
                <c:pt idx="16">
                  <c:v>138.47466281617423</c:v>
                </c:pt>
                <c:pt idx="17">
                  <c:v>126.92176045152465</c:v>
                </c:pt>
                <c:pt idx="18">
                  <c:v>125.32043450442224</c:v>
                </c:pt>
                <c:pt idx="19">
                  <c:v>125.18975547765271</c:v>
                </c:pt>
                <c:pt idx="20">
                  <c:v>125.05583743141311</c:v>
                </c:pt>
                <c:pt idx="21">
                  <c:v>124.89217701523481</c:v>
                </c:pt>
                <c:pt idx="22">
                  <c:v>124.70815441395035</c:v>
                </c:pt>
                <c:pt idx="23">
                  <c:v>124.51586541667818</c:v>
                </c:pt>
                <c:pt idx="24">
                  <c:v>124.45612407089325</c:v>
                </c:pt>
                <c:pt idx="25">
                  <c:v>124.36413594438419</c:v>
                </c:pt>
                <c:pt idx="26">
                  <c:v>124.24957869452857</c:v>
                </c:pt>
                <c:pt idx="27">
                  <c:v>124.12464463468883</c:v>
                </c:pt>
                <c:pt idx="28">
                  <c:v>124.11696893794122</c:v>
                </c:pt>
                <c:pt idx="29">
                  <c:v>124.11273578228328</c:v>
                </c:pt>
                <c:pt idx="30">
                  <c:v>124.10930475258213</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5271.1982554243277</c:v>
                </c:pt>
                <c:pt idx="1">
                  <c:v>5180.7362681316235</c:v>
                </c:pt>
                <c:pt idx="2">
                  <c:v>4838.854460537339</c:v>
                </c:pt>
                <c:pt idx="3">
                  <c:v>4603.866719910834</c:v>
                </c:pt>
                <c:pt idx="4">
                  <c:v>4334.9503434150702</c:v>
                </c:pt>
                <c:pt idx="5">
                  <c:v>4064.3203468219886</c:v>
                </c:pt>
                <c:pt idx="6">
                  <c:v>3775.0118942506233</c:v>
                </c:pt>
                <c:pt idx="7">
                  <c:v>3440.8952480592739</c:v>
                </c:pt>
                <c:pt idx="8">
                  <c:v>3007.013952138996</c:v>
                </c:pt>
                <c:pt idx="9">
                  <c:v>2483.2209536630344</c:v>
                </c:pt>
                <c:pt idx="10">
                  <c:v>1877.2416987706301</c:v>
                </c:pt>
                <c:pt idx="11">
                  <c:v>1225.9197566187952</c:v>
                </c:pt>
                <c:pt idx="12">
                  <c:v>718.04038126868454</c:v>
                </c:pt>
                <c:pt idx="13">
                  <c:v>402.97186523354844</c:v>
                </c:pt>
                <c:pt idx="14">
                  <c:v>224.04799722874827</c:v>
                </c:pt>
                <c:pt idx="15">
                  <c:v>157.42520519391712</c:v>
                </c:pt>
                <c:pt idx="16">
                  <c:v>138.40062864797011</c:v>
                </c:pt>
                <c:pt idx="17">
                  <c:v>126.95733405745339</c:v>
                </c:pt>
                <c:pt idx="18">
                  <c:v>125.29643988115927</c:v>
                </c:pt>
                <c:pt idx="19">
                  <c:v>125.18881202240964</c:v>
                </c:pt>
                <c:pt idx="20">
                  <c:v>125.03732063946561</c:v>
                </c:pt>
                <c:pt idx="21">
                  <c:v>124.89089780483103</c:v>
                </c:pt>
                <c:pt idx="22">
                  <c:v>124.71159917447773</c:v>
                </c:pt>
                <c:pt idx="23">
                  <c:v>124.52640919470009</c:v>
                </c:pt>
                <c:pt idx="24">
                  <c:v>124.41983781732861</c:v>
                </c:pt>
                <c:pt idx="25">
                  <c:v>124.38007109183013</c:v>
                </c:pt>
                <c:pt idx="26">
                  <c:v>124.37495053103903</c:v>
                </c:pt>
                <c:pt idx="27">
                  <c:v>124.37053971440977</c:v>
                </c:pt>
                <c:pt idx="28">
                  <c:v>124.36081396411136</c:v>
                </c:pt>
                <c:pt idx="29">
                  <c:v>124.26404059501893</c:v>
                </c:pt>
                <c:pt idx="30">
                  <c:v>123.34273569106075</c:v>
                </c:pt>
              </c:numCache>
            </c:numRef>
          </c:yVal>
          <c:smooth val="1"/>
        </c:ser>
        <c:dLbls>
          <c:showLegendKey val="0"/>
          <c:showVal val="0"/>
          <c:showCatName val="0"/>
          <c:showSerName val="0"/>
          <c:showPercent val="0"/>
          <c:showBubbleSize val="0"/>
        </c:dLbls>
        <c:axId val="453813120"/>
        <c:axId val="453811944"/>
      </c:scatterChart>
      <c:valAx>
        <c:axId val="45381312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811944"/>
        <c:crosses val="autoZero"/>
        <c:crossBetween val="midCat"/>
      </c:valAx>
      <c:valAx>
        <c:axId val="453811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813120"/>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2.536097177703658E-3</c:v>
                </c:pt>
                <c:pt idx="1">
                  <c:v>2.5423325780108089E-3</c:v>
                </c:pt>
                <c:pt idx="2">
                  <c:v>2.538520172939933E-3</c:v>
                </c:pt>
                <c:pt idx="3">
                  <c:v>2.5374086451352171E-3</c:v>
                </c:pt>
                <c:pt idx="4">
                  <c:v>2.5370629878379031E-3</c:v>
                </c:pt>
                <c:pt idx="5">
                  <c:v>2.5369240544817944E-3</c:v>
                </c:pt>
                <c:pt idx="6">
                  <c:v>2.5368800763135918E-3</c:v>
                </c:pt>
                <c:pt idx="7">
                  <c:v>2.5368740616105549E-3</c:v>
                </c:pt>
                <c:pt idx="8">
                  <c:v>2.5368816906679108E-3</c:v>
                </c:pt>
                <c:pt idx="9">
                  <c:v>2.5369579812127086E-3</c:v>
                </c:pt>
                <c:pt idx="10">
                  <c:v>2.53772088372301E-3</c:v>
                </c:pt>
                <c:pt idx="11">
                  <c:v>2.5453428375196451E-3</c:v>
                </c:pt>
                <c:pt idx="12">
                  <c:v>2.6214923510349143E-3</c:v>
                </c:pt>
                <c:pt idx="13">
                  <c:v>3.3799813165433187E-3</c:v>
                </c:pt>
                <c:pt idx="14">
                  <c:v>1.0679566240671793E-2</c:v>
                </c:pt>
                <c:pt idx="15">
                  <c:v>6.1328584941934473E-2</c:v>
                </c:pt>
                <c:pt idx="16">
                  <c:v>0.11034216251633364</c:v>
                </c:pt>
                <c:pt idx="17">
                  <c:v>0.10222772645826039</c:v>
                </c:pt>
                <c:pt idx="18">
                  <c:v>7.9483925803960229E-2</c:v>
                </c:pt>
                <c:pt idx="19">
                  <c:v>5.487150347418112E-2</c:v>
                </c:pt>
                <c:pt idx="20">
                  <c:v>2.3298958962093868E-2</c:v>
                </c:pt>
                <c:pt idx="21">
                  <c:v>1.1554486949718747E-2</c:v>
                </c:pt>
                <c:pt idx="22">
                  <c:v>3.9274756898446716E-3</c:v>
                </c:pt>
                <c:pt idx="23">
                  <c:v>2.2059154532932619E-2</c:v>
                </c:pt>
                <c:pt idx="24">
                  <c:v>3.6093233696893823E-2</c:v>
                </c:pt>
                <c:pt idx="25">
                  <c:v>4.2796890350176794E-2</c:v>
                </c:pt>
                <c:pt idx="26">
                  <c:v>4.6830582273340839E-2</c:v>
                </c:pt>
                <c:pt idx="27">
                  <c:v>3.9578853155078808E-2</c:v>
                </c:pt>
                <c:pt idx="28">
                  <c:v>2.3011771380773073E-2</c:v>
                </c:pt>
                <c:pt idx="29">
                  <c:v>4.5071899382147064E-3</c:v>
                </c:pt>
                <c:pt idx="30">
                  <c:v>5.1004889761372886E-2</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1.0331034364334862E-3</c:v>
                </c:pt>
                <c:pt idx="1">
                  <c:v>1.026900746462505E-3</c:v>
                </c:pt>
                <c:pt idx="2">
                  <c:v>1.0306776527535299E-3</c:v>
                </c:pt>
                <c:pt idx="3">
                  <c:v>1.0317052970903503E-3</c:v>
                </c:pt>
                <c:pt idx="4">
                  <c:v>1.0308766347311407E-3</c:v>
                </c:pt>
                <c:pt idx="5">
                  <c:v>1.0192493459352295E-3</c:v>
                </c:pt>
                <c:pt idx="6">
                  <c:v>9.0196510379517072E-4</c:v>
                </c:pt>
                <c:pt idx="7">
                  <c:v>2.6449272659846815E-4</c:v>
                </c:pt>
                <c:pt idx="8">
                  <c:v>1.1261923631060296E-2</c:v>
                </c:pt>
                <c:pt idx="9">
                  <c:v>7.491436595455675E-2</c:v>
                </c:pt>
                <c:pt idx="10">
                  <c:v>0.10504101598622523</c:v>
                </c:pt>
                <c:pt idx="11">
                  <c:v>8.745439025133929E-2</c:v>
                </c:pt>
                <c:pt idx="12">
                  <c:v>6.4690606627196029E-2</c:v>
                </c:pt>
                <c:pt idx="13">
                  <c:v>3.8579756542359074E-2</c:v>
                </c:pt>
                <c:pt idx="14">
                  <c:v>7.7529148491515612E-3</c:v>
                </c:pt>
                <c:pt idx="15">
                  <c:v>9.0976643254236343E-3</c:v>
                </c:pt>
                <c:pt idx="16">
                  <c:v>1.4718360564456148E-2</c:v>
                </c:pt>
                <c:pt idx="17">
                  <c:v>2.9595883033035268E-3</c:v>
                </c:pt>
                <c:pt idx="18">
                  <c:v>9.5823744868243025E-3</c:v>
                </c:pt>
                <c:pt idx="19">
                  <c:v>2.5545940521062065E-2</c:v>
                </c:pt>
                <c:pt idx="20">
                  <c:v>3.9054465719654187E-2</c:v>
                </c:pt>
                <c:pt idx="21">
                  <c:v>4.4959825119501348E-2</c:v>
                </c:pt>
                <c:pt idx="22">
                  <c:v>4.3542677335361976E-2</c:v>
                </c:pt>
                <c:pt idx="23">
                  <c:v>3.5413233013636851E-2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2.2965381306264635E-3</c:v>
                </c:pt>
                <c:pt idx="1">
                  <c:v>2.0961099567313288E-3</c:v>
                </c:pt>
                <c:pt idx="2">
                  <c:v>1.7681990385314496E-4</c:v>
                </c:pt>
                <c:pt idx="3">
                  <c:v>1.7271635576351752E-2</c:v>
                </c:pt>
                <c:pt idx="4">
                  <c:v>9.1167701229767639E-2</c:v>
                </c:pt>
                <c:pt idx="5">
                  <c:v>9.9319687845567023E-2</c:v>
                </c:pt>
                <c:pt idx="6">
                  <c:v>7.6884268631033301E-2</c:v>
                </c:pt>
                <c:pt idx="7">
                  <c:v>5.2835702845406181E-2</c:v>
                </c:pt>
                <c:pt idx="8">
                  <c:v>2.4084814793164887E-2</c:v>
                </c:pt>
                <c:pt idx="9">
                  <c:v>8.4746990177187072E-3</c:v>
                </c:pt>
                <c:pt idx="10">
                  <c:v>1.6654389095575785E-2</c:v>
                </c:pt>
                <c:pt idx="11">
                  <c:v>7.1129060762040056E-4</c:v>
                </c:pt>
                <c:pt idx="12">
                  <c:v>7.3942653745083494E-3</c:v>
                </c:pt>
                <c:pt idx="13">
                  <c:v>4.5509707734448261E-3</c:v>
                </c:pt>
                <c:pt idx="14">
                  <c:v>6.5104900952603932E-3</c:v>
                </c:pt>
                <c:pt idx="15">
                  <c:v>6.3106225413864323E-3</c:v>
                </c:pt>
                <c:pt idx="16">
                  <c:v>1.7031449717921223E-2</c:v>
                </c:pt>
                <c:pt idx="17">
                  <c:v>3.0445391393734256E-2</c:v>
                </c:pt>
                <c:pt idx="18">
                  <c:v>4.3072859384833365E-2</c:v>
                </c:pt>
                <c:pt idx="19">
                  <c:v>5.0035351006127271E-2</c:v>
                </c:pt>
                <c:pt idx="20">
                  <c:v>2.0633046543921889E-2</c:v>
                </c:pt>
                <c:pt idx="21">
                  <c:v>3.3986380301549254E-2</c:v>
                </c:pt>
                <c:pt idx="22">
                  <c:v>1.3712795841560967E-2</c:v>
                </c:pt>
                <c:pt idx="23">
                  <c:v>2.921391564061122E-2</c:v>
                </c:pt>
                <c:pt idx="24">
                  <c:v>3.0948814381206453E-2</c:v>
                </c:pt>
                <c:pt idx="25">
                  <c:v>6.6340064385176532E-3</c:v>
                </c:pt>
                <c:pt idx="26">
                  <c:v>1.7347162578989658E-2</c:v>
                </c:pt>
                <c:pt idx="27">
                  <c:v>1.0402879674363937E-2</c:v>
                </c:pt>
                <c:pt idx="28">
                  <c:v>9.4895350260486289E-3</c:v>
                </c:pt>
                <c:pt idx="29">
                  <c:v>8.2708427651102309E-3</c:v>
                </c:pt>
                <c:pt idx="30">
                  <c:v>7.1923468318853588E-3</c:v>
                </c:pt>
              </c:numCache>
            </c:numRef>
          </c:yVal>
          <c:smooth val="1"/>
        </c:ser>
        <c:ser>
          <c:idx val="8"/>
          <c:order val="4"/>
          <c:tx>
            <c:v>100°C</c:v>
          </c:tx>
          <c:spPr>
            <a:ln w="19050" cap="rnd">
              <a:solidFill>
                <a:schemeClr val="accent3">
                  <a:lumMod val="60000"/>
                </a:schemeClr>
              </a:solidFill>
              <a:round/>
            </a:ln>
            <a:effectLst/>
          </c:spPr>
          <c:marker>
            <c:symbol val="none"/>
          </c:marker>
          <c:xVal>
            <c:numRef>
              <c:f>'Mastercurve bestimmen'!$B$402:$AF$402</c:f>
              <c:numCache>
                <c:formatCode>0.00E+00</c:formatCode>
                <c:ptCount val="31"/>
              </c:numCache>
            </c:num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1.3087512315067157E-2</c:v>
                </c:pt>
                <c:pt idx="1">
                  <c:v>1.3368799542041797E-3</c:v>
                </c:pt>
                <c:pt idx="2">
                  <c:v>2.1772700687174643E-3</c:v>
                </c:pt>
                <c:pt idx="3">
                  <c:v>1.6490125419549415E-3</c:v>
                </c:pt>
                <c:pt idx="4">
                  <c:v>3.261869739092549E-3</c:v>
                </c:pt>
                <c:pt idx="5">
                  <c:v>2.1755700361260795E-3</c:v>
                </c:pt>
                <c:pt idx="6">
                  <c:v>4.7797416600599205E-3</c:v>
                </c:pt>
                <c:pt idx="7">
                  <c:v>5.5479028146057782E-3</c:v>
                </c:pt>
                <c:pt idx="8">
                  <c:v>4.8809733874568455E-3</c:v>
                </c:pt>
                <c:pt idx="9">
                  <c:v>5.1146150481966223E-3</c:v>
                </c:pt>
                <c:pt idx="10">
                  <c:v>2.5400451703400408E-2</c:v>
                </c:pt>
                <c:pt idx="11">
                  <c:v>2.5698736418581065E-2</c:v>
                </c:pt>
                <c:pt idx="12">
                  <c:v>5.1047116358086952E-2</c:v>
                </c:pt>
                <c:pt idx="13">
                  <c:v>3.2670952849890765E-2</c:v>
                </c:pt>
                <c:pt idx="14">
                  <c:v>3.1206396750604382E-3</c:v>
                </c:pt>
                <c:pt idx="15">
                  <c:v>1.161786629032107E-2</c:v>
                </c:pt>
                <c:pt idx="16">
                  <c:v>5.7514009391588508E-4</c:v>
                </c:pt>
                <c:pt idx="17">
                  <c:v>1.3236920926739029E-3</c:v>
                </c:pt>
                <c:pt idx="18">
                  <c:v>1.5770167450719684E-3</c:v>
                </c:pt>
                <c:pt idx="19">
                  <c:v>1.7839523769454966E-3</c:v>
                </c:pt>
                <c:pt idx="20">
                  <c:v>1.7161253794539333E-3</c:v>
                </c:pt>
                <c:pt idx="21">
                  <c:v>1.9436156329043805E-3</c:v>
                </c:pt>
                <c:pt idx="22">
                  <c:v>1.3094798259599941E-3</c:v>
                </c:pt>
                <c:pt idx="23">
                  <c:v>1.8230924918018337E-4</c:v>
                </c:pt>
                <c:pt idx="24">
                  <c:v>1.8044069742620503E-4</c:v>
                </c:pt>
                <c:pt idx="25">
                  <c:v>5.1874419157243231E-4</c:v>
                </c:pt>
                <c:pt idx="26">
                  <c:v>1.4748753340292976E-3</c:v>
                </c:pt>
                <c:pt idx="27">
                  <c:v>2.017874154898752E-3</c:v>
                </c:pt>
                <c:pt idx="28">
                  <c:v>2.70343198236576E-3</c:v>
                </c:pt>
                <c:pt idx="29">
                  <c:v>3.8129920033190524E-2</c:v>
                </c:pt>
                <c:pt idx="30">
                  <c:v>8.4330091295819268E-2</c:v>
                </c:pt>
              </c:numCache>
            </c:numRef>
          </c:yVal>
          <c:smooth val="1"/>
        </c:ser>
        <c:dLbls>
          <c:showLegendKey val="0"/>
          <c:showVal val="0"/>
          <c:showCatName val="0"/>
          <c:showSerName val="0"/>
          <c:showPercent val="0"/>
          <c:showBubbleSize val="0"/>
        </c:dLbls>
        <c:axId val="118571760"/>
        <c:axId val="452290520"/>
      </c:scatterChart>
      <c:valAx>
        <c:axId val="11857176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290520"/>
        <c:crossesAt val="1.0000000000000005E-9"/>
        <c:crossBetween val="midCat"/>
      </c:valAx>
      <c:valAx>
        <c:axId val="4522905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18571760"/>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-46.302861916991581</c:v>
                </c:pt>
                <c:pt idx="1">
                  <c:v>-43.101560067053263</c:v>
                </c:pt>
                <c:pt idx="2">
                  <c:v>-38.710306534216876</c:v>
                </c:pt>
                <c:pt idx="3">
                  <c:v>-32.056724600979742</c:v>
                </c:pt>
                <c:pt idx="4">
                  <c:v>-20.038957206425195</c:v>
                </c:pt>
                <c:pt idx="5">
                  <c:v>0</c:v>
                </c:pt>
                <c:pt idx="6">
                  <c:v>4.1446590411178166</c:v>
                </c:pt>
              </c:numCache>
            </c:numRef>
          </c:yVal>
          <c:smooth val="0"/>
        </c:ser>
        <c:dLbls>
          <c:showLegendKey val="0"/>
          <c:showVal val="0"/>
          <c:showCatName val="0"/>
          <c:showSerName val="0"/>
          <c:showPercent val="0"/>
          <c:showBubbleSize val="0"/>
        </c:dLbls>
        <c:axId val="452290912"/>
        <c:axId val="452290128"/>
      </c:scatterChart>
      <c:valAx>
        <c:axId val="4522909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290128"/>
        <c:crossesAt val="-100"/>
        <c:crossBetween val="midCat"/>
      </c:valAx>
      <c:valAx>
        <c:axId val="452290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290912"/>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2996.6335305209523</c:v>
                </c:pt>
                <c:pt idx="29">
                  <c:v>2563.0064610610193</c:v>
                </c:pt>
                <c:pt idx="30">
                  <c:v>2059.5134179476377</c:v>
                </c:pt>
              </c:numCache>
            </c:numRef>
          </c:yVal>
          <c:smooth val="0"/>
        </c:ser>
        <c:dLbls>
          <c:showLegendKey val="0"/>
          <c:showVal val="0"/>
          <c:showCatName val="0"/>
          <c:showSerName val="0"/>
          <c:showPercent val="0"/>
          <c:showBubbleSize val="0"/>
        </c:dLbls>
        <c:axId val="452291696"/>
        <c:axId val="452292088"/>
      </c:scatterChart>
      <c:valAx>
        <c:axId val="452291696"/>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292088"/>
        <c:crosses val="autoZero"/>
        <c:crossBetween val="midCat"/>
      </c:valAx>
      <c:valAx>
        <c:axId val="452292088"/>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291696"/>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-46.302861916991574</c:v>
                </c:pt>
                <c:pt idx="1">
                  <c:v>-46.245765552626743</c:v>
                </c:pt>
                <c:pt idx="2">
                  <c:v>-46.188583123789556</c:v>
                </c:pt>
                <c:pt idx="3">
                  <c:v>-46.13122856600765</c:v>
                </c:pt>
                <c:pt idx="4">
                  <c:v>-46.073615814808669</c:v>
                </c:pt>
                <c:pt idx="5">
                  <c:v>-46.01565880572025</c:v>
                </c:pt>
                <c:pt idx="6">
                  <c:v>-45.957271474270037</c:v>
                </c:pt>
                <c:pt idx="7">
                  <c:v>-45.898367755985674</c:v>
                </c:pt>
                <c:pt idx="8">
                  <c:v>-45.838861586394799</c:v>
                </c:pt>
                <c:pt idx="9">
                  <c:v>-45.778666901025048</c:v>
                </c:pt>
                <c:pt idx="10">
                  <c:v>-45.717697635404079</c:v>
                </c:pt>
                <c:pt idx="11">
                  <c:v>-45.655867725059515</c:v>
                </c:pt>
                <c:pt idx="12">
                  <c:v>-45.593091105519001</c:v>
                </c:pt>
                <c:pt idx="13">
                  <c:v>-45.52928171231018</c:v>
                </c:pt>
                <c:pt idx="14">
                  <c:v>-45.464353480960696</c:v>
                </c:pt>
                <c:pt idx="15">
                  <c:v>-45.398220346998187</c:v>
                </c:pt>
                <c:pt idx="16">
                  <c:v>-45.330796245950303</c:v>
                </c:pt>
                <c:pt idx="17">
                  <c:v>-45.261995113344668</c:v>
                </c:pt>
                <c:pt idx="18">
                  <c:v>-45.191730884708946</c:v>
                </c:pt>
                <c:pt idx="19">
                  <c:v>-45.119917495570753</c:v>
                </c:pt>
                <c:pt idx="20">
                  <c:v>-45.046468881457741</c:v>
                </c:pt>
                <c:pt idx="21">
                  <c:v>-44.971298977897561</c:v>
                </c:pt>
                <c:pt idx="22">
                  <c:v>-44.894321720417842</c:v>
                </c:pt>
                <c:pt idx="23">
                  <c:v>-44.815451044546222</c:v>
                </c:pt>
                <c:pt idx="24">
                  <c:v>-44.734600885810366</c:v>
                </c:pt>
                <c:pt idx="25">
                  <c:v>-44.651685179737882</c:v>
                </c:pt>
                <c:pt idx="26">
                  <c:v>-44.566617861856429</c:v>
                </c:pt>
                <c:pt idx="27">
                  <c:v>-44.47931286769365</c:v>
                </c:pt>
                <c:pt idx="28">
                  <c:v>-44.389684132777191</c:v>
                </c:pt>
                <c:pt idx="29">
                  <c:v>-44.297645592634673</c:v>
                </c:pt>
                <c:pt idx="30">
                  <c:v>-44.203111182793748</c:v>
                </c:pt>
                <c:pt idx="31">
                  <c:v>-44.105994838782067</c:v>
                </c:pt>
                <c:pt idx="32">
                  <c:v>-44.006210496127252</c:v>
                </c:pt>
                <c:pt idx="33">
                  <c:v>-43.903672090356963</c:v>
                </c:pt>
                <c:pt idx="34">
                  <c:v>-43.798293556998829</c:v>
                </c:pt>
                <c:pt idx="35">
                  <c:v>-43.689988831580493</c:v>
                </c:pt>
                <c:pt idx="36">
                  <c:v>-43.5786718496296</c:v>
                </c:pt>
                <c:pt idx="37">
                  <c:v>-43.464256546673788</c:v>
                </c:pt>
                <c:pt idx="38">
                  <c:v>-43.346656858240699</c:v>
                </c:pt>
                <c:pt idx="39">
                  <c:v>-43.225786719857972</c:v>
                </c:pt>
                <c:pt idx="40">
                  <c:v>-43.101560067053256</c:v>
                </c:pt>
                <c:pt idx="41">
                  <c:v>-42.966413521785753</c:v>
                </c:pt>
                <c:pt idx="42">
                  <c:v>-42.827832160611244</c:v>
                </c:pt>
                <c:pt idx="43">
                  <c:v>-42.68582374651713</c:v>
                </c:pt>
                <c:pt idx="44">
                  <c:v>-42.540396042490755</c:v>
                </c:pt>
                <c:pt idx="45">
                  <c:v>-42.391556811519514</c:v>
                </c:pt>
                <c:pt idx="46">
                  <c:v>-42.239313816590759</c:v>
                </c:pt>
                <c:pt idx="47">
                  <c:v>-42.083674820691854</c:v>
                </c:pt>
                <c:pt idx="48">
                  <c:v>-41.924647586810181</c:v>
                </c:pt>
                <c:pt idx="49">
                  <c:v>-41.762239877933098</c:v>
                </c:pt>
                <c:pt idx="50">
                  <c:v>-41.59645945704797</c:v>
                </c:pt>
                <c:pt idx="51">
                  <c:v>-41.427314087142179</c:v>
                </c:pt>
                <c:pt idx="52">
                  <c:v>-41.254811531203082</c:v>
                </c:pt>
                <c:pt idx="53">
                  <c:v>-41.078959552218052</c:v>
                </c:pt>
                <c:pt idx="54">
                  <c:v>-40.899765913174456</c:v>
                </c:pt>
                <c:pt idx="55">
                  <c:v>-40.717238377059658</c:v>
                </c:pt>
                <c:pt idx="56">
                  <c:v>-40.53138470686104</c:v>
                </c:pt>
                <c:pt idx="57">
                  <c:v>-40.342212665565953</c:v>
                </c:pt>
                <c:pt idx="58">
                  <c:v>-40.149730016161776</c:v>
                </c:pt>
                <c:pt idx="59">
                  <c:v>-39.953944521635876</c:v>
                </c:pt>
                <c:pt idx="60">
                  <c:v>-39.754863944975618</c:v>
                </c:pt>
                <c:pt idx="61">
                  <c:v>-39.552496049168369</c:v>
                </c:pt>
                <c:pt idx="62">
                  <c:v>-39.346848597201507</c:v>
                </c:pt>
                <c:pt idx="63">
                  <c:v>-39.137929352062386</c:v>
                </c:pt>
                <c:pt idx="64">
                  <c:v>-38.925746076738392</c:v>
                </c:pt>
                <c:pt idx="65">
                  <c:v>-38.710306534216876</c:v>
                </c:pt>
                <c:pt idx="66">
                  <c:v>-38.491603638636001</c:v>
                </c:pt>
                <c:pt idx="67">
                  <c:v>-38.269570908737009</c:v>
                </c:pt>
                <c:pt idx="68">
                  <c:v>-38.044127014411991</c:v>
                </c:pt>
                <c:pt idx="69">
                  <c:v>-37.815190625552965</c:v>
                </c:pt>
                <c:pt idx="70">
                  <c:v>-37.582680412051992</c:v>
                </c:pt>
                <c:pt idx="71">
                  <c:v>-37.346515043801119</c:v>
                </c:pt>
                <c:pt idx="72">
                  <c:v>-37.1066131906924</c:v>
                </c:pt>
                <c:pt idx="73">
                  <c:v>-36.862893522617881</c:v>
                </c:pt>
                <c:pt idx="74">
                  <c:v>-36.61527470946961</c:v>
                </c:pt>
                <c:pt idx="75">
                  <c:v>-36.363675421139646</c:v>
                </c:pt>
                <c:pt idx="76">
                  <c:v>-36.108014327520024</c:v>
                </c:pt>
                <c:pt idx="77">
                  <c:v>-35.848210098502797</c:v>
                </c:pt>
                <c:pt idx="78">
                  <c:v>-35.584181403980025</c:v>
                </c:pt>
                <c:pt idx="79">
                  <c:v>-35.315846913843743</c:v>
                </c:pt>
                <c:pt idx="80">
                  <c:v>-35.043125297986016</c:v>
                </c:pt>
                <c:pt idx="81">
                  <c:v>-34.765935226298879</c:v>
                </c:pt>
                <c:pt idx="82">
                  <c:v>-34.484195368674399</c:v>
                </c:pt>
                <c:pt idx="83">
                  <c:v>-34.197824395004609</c:v>
                </c:pt>
                <c:pt idx="84">
                  <c:v>-33.906740975181563</c:v>
                </c:pt>
                <c:pt idx="85">
                  <c:v>-33.610863779097315</c:v>
                </c:pt>
                <c:pt idx="86">
                  <c:v>-33.310111476643911</c:v>
                </c:pt>
                <c:pt idx="87">
                  <c:v>-33.004402737713406</c:v>
                </c:pt>
                <c:pt idx="88">
                  <c:v>-32.693656232197839</c:v>
                </c:pt>
                <c:pt idx="89">
                  <c:v>-32.377790629989263</c:v>
                </c:pt>
                <c:pt idx="90">
                  <c:v>-32.056724600979742</c:v>
                </c:pt>
                <c:pt idx="91">
                  <c:v>-31.730392956145515</c:v>
                </c:pt>
                <c:pt idx="92">
                  <c:v>-31.398795070799679</c:v>
                </c:pt>
                <c:pt idx="93">
                  <c:v>-31.061946461339524</c:v>
                </c:pt>
                <c:pt idx="94">
                  <c:v>-30.719862644162355</c:v>
                </c:pt>
                <c:pt idx="95">
                  <c:v>-30.372559135665462</c:v>
                </c:pt>
                <c:pt idx="96">
                  <c:v>-30.02005145224614</c:v>
                </c:pt>
                <c:pt idx="97">
                  <c:v>-29.662355110301689</c:v>
                </c:pt>
                <c:pt idx="98">
                  <c:v>-29.299485626229412</c:v>
                </c:pt>
                <c:pt idx="99">
                  <c:v>-28.931458516426591</c:v>
                </c:pt>
                <c:pt idx="100">
                  <c:v>-28.558289297290532</c:v>
                </c:pt>
                <c:pt idx="101">
                  <c:v>-28.179993485218532</c:v>
                </c:pt>
                <c:pt idx="102">
                  <c:v>-27.796586596607877</c:v>
                </c:pt>
                <c:pt idx="103">
                  <c:v>-27.408084147855881</c:v>
                </c:pt>
                <c:pt idx="104">
                  <c:v>-27.014501655359823</c:v>
                </c:pt>
                <c:pt idx="105">
                  <c:v>-26.615854635517003</c:v>
                </c:pt>
                <c:pt idx="106">
                  <c:v>-26.212158604724728</c:v>
                </c:pt>
                <c:pt idx="107">
                  <c:v>-25.80342907938028</c:v>
                </c:pt>
                <c:pt idx="108">
                  <c:v>-25.389681575880964</c:v>
                </c:pt>
                <c:pt idx="109">
                  <c:v>-24.970931610624078</c:v>
                </c:pt>
                <c:pt idx="110">
                  <c:v>-24.547194700006912</c:v>
                </c:pt>
                <c:pt idx="111">
                  <c:v>-24.118486360426765</c:v>
                </c:pt>
                <c:pt idx="112">
                  <c:v>-23.684822108280933</c:v>
                </c:pt>
                <c:pt idx="113">
                  <c:v>-23.246217459966715</c:v>
                </c:pt>
                <c:pt idx="114">
                  <c:v>-22.802687931881401</c:v>
                </c:pt>
                <c:pt idx="115">
                  <c:v>-22.354249040422296</c:v>
                </c:pt>
                <c:pt idx="116">
                  <c:v>-21.90091630198669</c:v>
                </c:pt>
                <c:pt idx="117">
                  <c:v>-21.442705232971878</c:v>
                </c:pt>
                <c:pt idx="118">
                  <c:v>-20.979631349775161</c:v>
                </c:pt>
                <c:pt idx="119">
                  <c:v>-20.511710168793833</c:v>
                </c:pt>
                <c:pt idx="120">
                  <c:v>-20.038957206425195</c:v>
                </c:pt>
                <c:pt idx="121">
                  <c:v>-19.561453649535167</c:v>
                </c:pt>
                <c:pt idx="122">
                  <c:v>-19.079543366864193</c:v>
                </c:pt>
                <c:pt idx="123">
                  <c:v>-18.59363589762135</c:v>
                </c:pt>
                <c:pt idx="124">
                  <c:v>-18.104140781015712</c:v>
                </c:pt>
                <c:pt idx="125">
                  <c:v>-17.611467556256354</c:v>
                </c:pt>
                <c:pt idx="126">
                  <c:v>-17.116025762552347</c:v>
                </c:pt>
                <c:pt idx="127">
                  <c:v>-16.618224939112764</c:v>
                </c:pt>
                <c:pt idx="128">
                  <c:v>-16.118474625146682</c:v>
                </c:pt>
                <c:pt idx="129">
                  <c:v>-15.617184359863174</c:v>
                </c:pt>
                <c:pt idx="130">
                  <c:v>-15.114763682471319</c:v>
                </c:pt>
                <c:pt idx="131">
                  <c:v>-14.611622132180184</c:v>
                </c:pt>
                <c:pt idx="132">
                  <c:v>-14.108169248198841</c:v>
                </c:pt>
                <c:pt idx="133">
                  <c:v>-13.604814569736375</c:v>
                </c:pt>
                <c:pt idx="134">
                  <c:v>-13.101967636001849</c:v>
                </c:pt>
                <c:pt idx="135">
                  <c:v>-12.600037986204343</c:v>
                </c:pt>
                <c:pt idx="136">
                  <c:v>-12.099435159552931</c:v>
                </c:pt>
                <c:pt idx="137">
                  <c:v>-11.600568695256687</c:v>
                </c:pt>
                <c:pt idx="138">
                  <c:v>-11.103848132524679</c:v>
                </c:pt>
                <c:pt idx="139">
                  <c:v>-10.609683010565988</c:v>
                </c:pt>
                <c:pt idx="140">
                  <c:v>-10.118482868589687</c:v>
                </c:pt>
                <c:pt idx="141">
                  <c:v>-9.6306572458048461</c:v>
                </c:pt>
                <c:pt idx="142">
                  <c:v>-9.1466156814205437</c:v>
                </c:pt>
                <c:pt idx="143">
                  <c:v>-8.6667677146458537</c:v>
                </c:pt>
                <c:pt idx="144">
                  <c:v>-8.191522884689844</c:v>
                </c:pt>
                <c:pt idx="145">
                  <c:v>-7.7212907307615968</c:v>
                </c:pt>
                <c:pt idx="146">
                  <c:v>-7.2564807920701835</c:v>
                </c:pt>
                <c:pt idx="147">
                  <c:v>-6.7975026078246721</c:v>
                </c:pt>
                <c:pt idx="148">
                  <c:v>-6.3447657172341465</c:v>
                </c:pt>
                <c:pt idx="149">
                  <c:v>-5.8986796595076747</c:v>
                </c:pt>
                <c:pt idx="150">
                  <c:v>-5.4596539738543308</c:v>
                </c:pt>
                <c:pt idx="151">
                  <c:v>-5.0280981994831908</c:v>
                </c:pt>
                <c:pt idx="152">
                  <c:v>-4.6044218756033271</c:v>
                </c:pt>
                <c:pt idx="153">
                  <c:v>-4.1890345414238146</c:v>
                </c:pt>
                <c:pt idx="154">
                  <c:v>-3.7823457361537276</c:v>
                </c:pt>
                <c:pt idx="155">
                  <c:v>-3.3847649990021398</c:v>
                </c:pt>
                <c:pt idx="156">
                  <c:v>-2.9967018691781258</c:v>
                </c:pt>
                <c:pt idx="157">
                  <c:v>-2.6185658858907579</c:v>
                </c:pt>
                <c:pt idx="158">
                  <c:v>-2.2507665883491117</c:v>
                </c:pt>
                <c:pt idx="159">
                  <c:v>-1.8937135157622604</c:v>
                </c:pt>
                <c:pt idx="160">
                  <c:v>-1.5478162073392783</c:v>
                </c:pt>
                <c:pt idx="161">
                  <c:v>-1.2134842022892407</c:v>
                </c:pt>
                <c:pt idx="162">
                  <c:v>-0.89112703982121921</c:v>
                </c:pt>
                <c:pt idx="163">
                  <c:v>-0.58115425914428887</c:v>
                </c:pt>
                <c:pt idx="164">
                  <c:v>-0.28397539946752559</c:v>
                </c:pt>
                <c:pt idx="165">
                  <c:v>0</c:v>
                </c:pt>
                <c:pt idx="166">
                  <c:v>0.27049548039081095</c:v>
                </c:pt>
                <c:pt idx="167">
                  <c:v>0.52776690420383132</c:v>
                </c:pt>
                <c:pt idx="168">
                  <c:v>0.77220321427958516</c:v>
                </c:pt>
                <c:pt idx="169">
                  <c:v>1.0041933534585952</c:v>
                </c:pt>
                <c:pt idx="170">
                  <c:v>1.2241262645813844</c:v>
                </c:pt>
                <c:pt idx="171">
                  <c:v>1.4323908904884766</c:v>
                </c:pt>
                <c:pt idx="172">
                  <c:v>1.6293761740203947</c:v>
                </c:pt>
                <c:pt idx="173">
                  <c:v>1.8154710580176621</c:v>
                </c:pt>
                <c:pt idx="174">
                  <c:v>1.9910644853208024</c:v>
                </c:pt>
                <c:pt idx="175">
                  <c:v>2.1565453987703376</c:v>
                </c:pt>
                <c:pt idx="176">
                  <c:v>2.3123027412067922</c:v>
                </c:pt>
                <c:pt idx="177">
                  <c:v>2.458725455470689</c:v>
                </c:pt>
                <c:pt idx="178">
                  <c:v>2.5962024844025509</c:v>
                </c:pt>
                <c:pt idx="179">
                  <c:v>2.7251227708429022</c:v>
                </c:pt>
                <c:pt idx="180">
                  <c:v>2.8458752576322648</c:v>
                </c:pt>
                <c:pt idx="181">
                  <c:v>2.9588488876111629</c:v>
                </c:pt>
                <c:pt idx="182">
                  <c:v>3.0644326036201193</c:v>
                </c:pt>
                <c:pt idx="183">
                  <c:v>3.1630153484996573</c:v>
                </c:pt>
                <c:pt idx="184">
                  <c:v>3.2549860650903</c:v>
                </c:pt>
                <c:pt idx="185">
                  <c:v>3.3407336962325709</c:v>
                </c:pt>
                <c:pt idx="186">
                  <c:v>3.4206471847669935</c:v>
                </c:pt>
                <c:pt idx="187">
                  <c:v>3.4951154735340908</c:v>
                </c:pt>
                <c:pt idx="188">
                  <c:v>3.5645275053743855</c:v>
                </c:pt>
                <c:pt idx="189">
                  <c:v>3.6292722231284014</c:v>
                </c:pt>
                <c:pt idx="190">
                  <c:v>3.6897385696366616</c:v>
                </c:pt>
                <c:pt idx="191">
                  <c:v>3.7463154877396896</c:v>
                </c:pt>
                <c:pt idx="192">
                  <c:v>3.7993919202780084</c:v>
                </c:pt>
                <c:pt idx="193">
                  <c:v>3.8493568100921411</c:v>
                </c:pt>
                <c:pt idx="194">
                  <c:v>3.8965991000226112</c:v>
                </c:pt>
                <c:pt idx="195">
                  <c:v>3.9415077329099417</c:v>
                </c:pt>
                <c:pt idx="196">
                  <c:v>3.9844716515946561</c:v>
                </c:pt>
                <c:pt idx="197">
                  <c:v>4.0258797989172779</c:v>
                </c:pt>
                <c:pt idx="198">
                  <c:v>4.0661211177183292</c:v>
                </c:pt>
                <c:pt idx="199">
                  <c:v>4.1055845508383353</c:v>
                </c:pt>
                <c:pt idx="200">
                  <c:v>4.1446590411178166</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-46.302861916991581</c:v>
                </c:pt>
                <c:pt idx="1">
                  <c:v>-43.101560067053263</c:v>
                </c:pt>
                <c:pt idx="2">
                  <c:v>-38.710306534216876</c:v>
                </c:pt>
                <c:pt idx="3">
                  <c:v>-32.056724600979742</c:v>
                </c:pt>
                <c:pt idx="4">
                  <c:v>-20.038957206425195</c:v>
                </c:pt>
                <c:pt idx="5">
                  <c:v>0</c:v>
                </c:pt>
                <c:pt idx="6">
                  <c:v>4.1446590411178166</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-165</c:v>
                </c:pt>
                <c:pt idx="1">
                  <c:v>-164</c:v>
                </c:pt>
                <c:pt idx="2">
                  <c:v>-163</c:v>
                </c:pt>
                <c:pt idx="3">
                  <c:v>-162</c:v>
                </c:pt>
                <c:pt idx="4">
                  <c:v>-161</c:v>
                </c:pt>
                <c:pt idx="5">
                  <c:v>-160</c:v>
                </c:pt>
                <c:pt idx="6">
                  <c:v>-159</c:v>
                </c:pt>
                <c:pt idx="7">
                  <c:v>-158</c:v>
                </c:pt>
                <c:pt idx="8">
                  <c:v>-157</c:v>
                </c:pt>
                <c:pt idx="9">
                  <c:v>-156</c:v>
                </c:pt>
                <c:pt idx="10">
                  <c:v>-155</c:v>
                </c:pt>
                <c:pt idx="11">
                  <c:v>-154</c:v>
                </c:pt>
                <c:pt idx="12">
                  <c:v>-153</c:v>
                </c:pt>
                <c:pt idx="13">
                  <c:v>-152</c:v>
                </c:pt>
                <c:pt idx="14">
                  <c:v>-151</c:v>
                </c:pt>
                <c:pt idx="15">
                  <c:v>-150</c:v>
                </c:pt>
                <c:pt idx="16">
                  <c:v>-149</c:v>
                </c:pt>
                <c:pt idx="17">
                  <c:v>-148</c:v>
                </c:pt>
                <c:pt idx="18">
                  <c:v>-147</c:v>
                </c:pt>
                <c:pt idx="19">
                  <c:v>-146</c:v>
                </c:pt>
                <c:pt idx="20">
                  <c:v>-145</c:v>
                </c:pt>
                <c:pt idx="21">
                  <c:v>-144</c:v>
                </c:pt>
                <c:pt idx="22">
                  <c:v>-143</c:v>
                </c:pt>
                <c:pt idx="23">
                  <c:v>-142</c:v>
                </c:pt>
                <c:pt idx="24">
                  <c:v>-141</c:v>
                </c:pt>
                <c:pt idx="25">
                  <c:v>-140</c:v>
                </c:pt>
                <c:pt idx="26">
                  <c:v>-139</c:v>
                </c:pt>
                <c:pt idx="27">
                  <c:v>-138</c:v>
                </c:pt>
                <c:pt idx="28">
                  <c:v>-137</c:v>
                </c:pt>
                <c:pt idx="29">
                  <c:v>-136</c:v>
                </c:pt>
                <c:pt idx="30">
                  <c:v>-135</c:v>
                </c:pt>
                <c:pt idx="31">
                  <c:v>-134</c:v>
                </c:pt>
                <c:pt idx="32">
                  <c:v>-133</c:v>
                </c:pt>
                <c:pt idx="33">
                  <c:v>-132</c:v>
                </c:pt>
                <c:pt idx="34">
                  <c:v>-131</c:v>
                </c:pt>
                <c:pt idx="35">
                  <c:v>-130</c:v>
                </c:pt>
                <c:pt idx="36">
                  <c:v>-129</c:v>
                </c:pt>
                <c:pt idx="37">
                  <c:v>-128</c:v>
                </c:pt>
                <c:pt idx="38">
                  <c:v>-127</c:v>
                </c:pt>
                <c:pt idx="39">
                  <c:v>-126</c:v>
                </c:pt>
                <c:pt idx="40">
                  <c:v>-125</c:v>
                </c:pt>
                <c:pt idx="41">
                  <c:v>-124</c:v>
                </c:pt>
                <c:pt idx="42">
                  <c:v>-123</c:v>
                </c:pt>
                <c:pt idx="43">
                  <c:v>-122</c:v>
                </c:pt>
                <c:pt idx="44">
                  <c:v>-121</c:v>
                </c:pt>
                <c:pt idx="45">
                  <c:v>-120</c:v>
                </c:pt>
                <c:pt idx="46">
                  <c:v>-119</c:v>
                </c:pt>
                <c:pt idx="47">
                  <c:v>-118</c:v>
                </c:pt>
                <c:pt idx="48">
                  <c:v>-117</c:v>
                </c:pt>
                <c:pt idx="49">
                  <c:v>-116</c:v>
                </c:pt>
                <c:pt idx="50">
                  <c:v>-115</c:v>
                </c:pt>
                <c:pt idx="51">
                  <c:v>-114</c:v>
                </c:pt>
                <c:pt idx="52">
                  <c:v>-113</c:v>
                </c:pt>
                <c:pt idx="53">
                  <c:v>-112</c:v>
                </c:pt>
                <c:pt idx="54">
                  <c:v>-111</c:v>
                </c:pt>
                <c:pt idx="55">
                  <c:v>-110</c:v>
                </c:pt>
                <c:pt idx="56">
                  <c:v>-109</c:v>
                </c:pt>
                <c:pt idx="57">
                  <c:v>-108</c:v>
                </c:pt>
                <c:pt idx="58">
                  <c:v>-107</c:v>
                </c:pt>
                <c:pt idx="59">
                  <c:v>-106</c:v>
                </c:pt>
                <c:pt idx="60">
                  <c:v>-105</c:v>
                </c:pt>
                <c:pt idx="61">
                  <c:v>-104</c:v>
                </c:pt>
                <c:pt idx="62">
                  <c:v>-103</c:v>
                </c:pt>
                <c:pt idx="63">
                  <c:v>-102</c:v>
                </c:pt>
                <c:pt idx="64">
                  <c:v>-101</c:v>
                </c:pt>
                <c:pt idx="65">
                  <c:v>-100</c:v>
                </c:pt>
                <c:pt idx="66">
                  <c:v>-99</c:v>
                </c:pt>
                <c:pt idx="67">
                  <c:v>-98</c:v>
                </c:pt>
                <c:pt idx="68">
                  <c:v>-97</c:v>
                </c:pt>
                <c:pt idx="69">
                  <c:v>-96</c:v>
                </c:pt>
                <c:pt idx="70">
                  <c:v>-95</c:v>
                </c:pt>
                <c:pt idx="71">
                  <c:v>-94</c:v>
                </c:pt>
                <c:pt idx="72">
                  <c:v>-93</c:v>
                </c:pt>
                <c:pt idx="73">
                  <c:v>-92</c:v>
                </c:pt>
                <c:pt idx="74">
                  <c:v>-91</c:v>
                </c:pt>
                <c:pt idx="75">
                  <c:v>-90</c:v>
                </c:pt>
                <c:pt idx="76">
                  <c:v>-89</c:v>
                </c:pt>
                <c:pt idx="77">
                  <c:v>-88</c:v>
                </c:pt>
                <c:pt idx="78">
                  <c:v>-87</c:v>
                </c:pt>
                <c:pt idx="79">
                  <c:v>-86</c:v>
                </c:pt>
                <c:pt idx="80">
                  <c:v>-85</c:v>
                </c:pt>
                <c:pt idx="81">
                  <c:v>-84</c:v>
                </c:pt>
                <c:pt idx="82">
                  <c:v>-83</c:v>
                </c:pt>
                <c:pt idx="83">
                  <c:v>-82</c:v>
                </c:pt>
                <c:pt idx="84">
                  <c:v>-81</c:v>
                </c:pt>
                <c:pt idx="85">
                  <c:v>-80</c:v>
                </c:pt>
                <c:pt idx="86">
                  <c:v>-79</c:v>
                </c:pt>
                <c:pt idx="87">
                  <c:v>-78</c:v>
                </c:pt>
                <c:pt idx="88">
                  <c:v>-77</c:v>
                </c:pt>
                <c:pt idx="89">
                  <c:v>-76</c:v>
                </c:pt>
                <c:pt idx="90">
                  <c:v>-75</c:v>
                </c:pt>
                <c:pt idx="91">
                  <c:v>-74</c:v>
                </c:pt>
                <c:pt idx="92">
                  <c:v>-73</c:v>
                </c:pt>
                <c:pt idx="93">
                  <c:v>-72</c:v>
                </c:pt>
                <c:pt idx="94">
                  <c:v>-71</c:v>
                </c:pt>
                <c:pt idx="95">
                  <c:v>-70</c:v>
                </c:pt>
                <c:pt idx="96">
                  <c:v>-69</c:v>
                </c:pt>
                <c:pt idx="97">
                  <c:v>-68</c:v>
                </c:pt>
                <c:pt idx="98">
                  <c:v>-67</c:v>
                </c:pt>
                <c:pt idx="99">
                  <c:v>-66</c:v>
                </c:pt>
                <c:pt idx="100">
                  <c:v>-65</c:v>
                </c:pt>
                <c:pt idx="101">
                  <c:v>-64</c:v>
                </c:pt>
                <c:pt idx="102">
                  <c:v>-63</c:v>
                </c:pt>
                <c:pt idx="103">
                  <c:v>-62</c:v>
                </c:pt>
                <c:pt idx="104">
                  <c:v>-61</c:v>
                </c:pt>
                <c:pt idx="105">
                  <c:v>-60</c:v>
                </c:pt>
                <c:pt idx="106">
                  <c:v>-59</c:v>
                </c:pt>
                <c:pt idx="107">
                  <c:v>-58</c:v>
                </c:pt>
                <c:pt idx="108">
                  <c:v>-57</c:v>
                </c:pt>
                <c:pt idx="109">
                  <c:v>-56</c:v>
                </c:pt>
                <c:pt idx="110">
                  <c:v>-55</c:v>
                </c:pt>
                <c:pt idx="111">
                  <c:v>-54</c:v>
                </c:pt>
                <c:pt idx="112">
                  <c:v>-53</c:v>
                </c:pt>
                <c:pt idx="113">
                  <c:v>-52</c:v>
                </c:pt>
                <c:pt idx="114">
                  <c:v>-51</c:v>
                </c:pt>
                <c:pt idx="115">
                  <c:v>-50</c:v>
                </c:pt>
                <c:pt idx="116">
                  <c:v>-49</c:v>
                </c:pt>
                <c:pt idx="117">
                  <c:v>-48</c:v>
                </c:pt>
                <c:pt idx="118">
                  <c:v>-47</c:v>
                </c:pt>
                <c:pt idx="119">
                  <c:v>-46</c:v>
                </c:pt>
                <c:pt idx="120">
                  <c:v>-45</c:v>
                </c:pt>
                <c:pt idx="121">
                  <c:v>-44</c:v>
                </c:pt>
                <c:pt idx="122">
                  <c:v>-43</c:v>
                </c:pt>
                <c:pt idx="123">
                  <c:v>-42</c:v>
                </c:pt>
                <c:pt idx="124">
                  <c:v>-41</c:v>
                </c:pt>
                <c:pt idx="125">
                  <c:v>-40</c:v>
                </c:pt>
                <c:pt idx="126">
                  <c:v>-39</c:v>
                </c:pt>
                <c:pt idx="127">
                  <c:v>-38</c:v>
                </c:pt>
                <c:pt idx="128">
                  <c:v>-37</c:v>
                </c:pt>
                <c:pt idx="129">
                  <c:v>-36</c:v>
                </c:pt>
                <c:pt idx="130">
                  <c:v>-35</c:v>
                </c:pt>
                <c:pt idx="131">
                  <c:v>-34</c:v>
                </c:pt>
                <c:pt idx="132">
                  <c:v>-33</c:v>
                </c:pt>
                <c:pt idx="133">
                  <c:v>-32</c:v>
                </c:pt>
                <c:pt idx="134">
                  <c:v>-31</c:v>
                </c:pt>
                <c:pt idx="135">
                  <c:v>-30</c:v>
                </c:pt>
                <c:pt idx="136">
                  <c:v>-29</c:v>
                </c:pt>
                <c:pt idx="137">
                  <c:v>-28</c:v>
                </c:pt>
                <c:pt idx="138">
                  <c:v>-27</c:v>
                </c:pt>
                <c:pt idx="139">
                  <c:v>-26</c:v>
                </c:pt>
                <c:pt idx="140">
                  <c:v>-25</c:v>
                </c:pt>
                <c:pt idx="141">
                  <c:v>-24</c:v>
                </c:pt>
                <c:pt idx="142">
                  <c:v>-23</c:v>
                </c:pt>
                <c:pt idx="143">
                  <c:v>-22</c:v>
                </c:pt>
                <c:pt idx="144">
                  <c:v>-21</c:v>
                </c:pt>
                <c:pt idx="145">
                  <c:v>-20</c:v>
                </c:pt>
                <c:pt idx="146">
                  <c:v>-19</c:v>
                </c:pt>
                <c:pt idx="147">
                  <c:v>-18</c:v>
                </c:pt>
                <c:pt idx="148">
                  <c:v>-17</c:v>
                </c:pt>
                <c:pt idx="149">
                  <c:v>-16</c:v>
                </c:pt>
                <c:pt idx="150">
                  <c:v>-15</c:v>
                </c:pt>
                <c:pt idx="151">
                  <c:v>-14</c:v>
                </c:pt>
                <c:pt idx="152">
                  <c:v>-13</c:v>
                </c:pt>
                <c:pt idx="153">
                  <c:v>-12</c:v>
                </c:pt>
                <c:pt idx="154">
                  <c:v>-11</c:v>
                </c:pt>
                <c:pt idx="155">
                  <c:v>-10</c:v>
                </c:pt>
                <c:pt idx="156">
                  <c:v>-9</c:v>
                </c:pt>
                <c:pt idx="157">
                  <c:v>-8</c:v>
                </c:pt>
                <c:pt idx="158">
                  <c:v>-7</c:v>
                </c:pt>
                <c:pt idx="159">
                  <c:v>-6</c:v>
                </c:pt>
                <c:pt idx="160">
                  <c:v>-5</c:v>
                </c:pt>
                <c:pt idx="161">
                  <c:v>-4</c:v>
                </c:pt>
                <c:pt idx="162">
                  <c:v>-3</c:v>
                </c:pt>
                <c:pt idx="163">
                  <c:v>-2</c:v>
                </c:pt>
                <c:pt idx="164">
                  <c:v>-1</c:v>
                </c:pt>
                <c:pt idx="165">
                  <c:v>0</c:v>
                </c:pt>
                <c:pt idx="166">
                  <c:v>1</c:v>
                </c:pt>
                <c:pt idx="167">
                  <c:v>2</c:v>
                </c:pt>
                <c:pt idx="168">
                  <c:v>3</c:v>
                </c:pt>
                <c:pt idx="169">
                  <c:v>4</c:v>
                </c:pt>
                <c:pt idx="170">
                  <c:v>5</c:v>
                </c:pt>
                <c:pt idx="171">
                  <c:v>6</c:v>
                </c:pt>
                <c:pt idx="172">
                  <c:v>7</c:v>
                </c:pt>
                <c:pt idx="173">
                  <c:v>8</c:v>
                </c:pt>
                <c:pt idx="174">
                  <c:v>9</c:v>
                </c:pt>
                <c:pt idx="175">
                  <c:v>10</c:v>
                </c:pt>
                <c:pt idx="176">
                  <c:v>11</c:v>
                </c:pt>
                <c:pt idx="177">
                  <c:v>12</c:v>
                </c:pt>
                <c:pt idx="178">
                  <c:v>13</c:v>
                </c:pt>
                <c:pt idx="179">
                  <c:v>14</c:v>
                </c:pt>
                <c:pt idx="180">
                  <c:v>15</c:v>
                </c:pt>
                <c:pt idx="181">
                  <c:v>16</c:v>
                </c:pt>
                <c:pt idx="182">
                  <c:v>17</c:v>
                </c:pt>
                <c:pt idx="183">
                  <c:v>18</c:v>
                </c:pt>
                <c:pt idx="184">
                  <c:v>19</c:v>
                </c:pt>
                <c:pt idx="185">
                  <c:v>20</c:v>
                </c:pt>
                <c:pt idx="186">
                  <c:v>21</c:v>
                </c:pt>
                <c:pt idx="187">
                  <c:v>22</c:v>
                </c:pt>
                <c:pt idx="188">
                  <c:v>23</c:v>
                </c:pt>
                <c:pt idx="189">
                  <c:v>24</c:v>
                </c:pt>
                <c:pt idx="190">
                  <c:v>25</c:v>
                </c:pt>
                <c:pt idx="191">
                  <c:v>26</c:v>
                </c:pt>
                <c:pt idx="192">
                  <c:v>27</c:v>
                </c:pt>
                <c:pt idx="193">
                  <c:v>28</c:v>
                </c:pt>
                <c:pt idx="194">
                  <c:v>29</c:v>
                </c:pt>
                <c:pt idx="195">
                  <c:v>30</c:v>
                </c:pt>
                <c:pt idx="196">
                  <c:v>31</c:v>
                </c:pt>
                <c:pt idx="197">
                  <c:v>32</c:v>
                </c:pt>
                <c:pt idx="198">
                  <c:v>33</c:v>
                </c:pt>
                <c:pt idx="199">
                  <c:v>34</c:v>
                </c:pt>
                <c:pt idx="200">
                  <c:v>35</c:v>
                </c:pt>
              </c:numCache>
            </c:numRef>
          </c:xVal>
          <c:yVal>
            <c:numRef>
              <c:f>'Shiftfunktion bestimmen'!$F$222:$F$422</c:f>
              <c:numCache>
                <c:formatCode>General</c:formatCode>
                <c:ptCount val="201"/>
                <c:pt idx="0">
                  <c:v>-46.406713674726284</c:v>
                </c:pt>
                <c:pt idx="1">
                  <c:v>-46.306129067328932</c:v>
                </c:pt>
                <c:pt idx="2">
                  <c:v>-46.213985596810659</c:v>
                </c:pt>
                <c:pt idx="3">
                  <c:v>-46.12920794545618</c:v>
                </c:pt>
                <c:pt idx="4">
                  <c:v>-46.050792469763991</c:v>
                </c:pt>
                <c:pt idx="5">
                  <c:v>-45.97780395358545</c:v>
                </c:pt>
                <c:pt idx="6">
                  <c:v>-45.909372450183838</c:v>
                </c:pt>
                <c:pt idx="7">
                  <c:v>-45.844690212028659</c:v>
                </c:pt>
                <c:pt idx="8">
                  <c:v>-45.783008707157904</c:v>
                </c:pt>
                <c:pt idx="9">
                  <c:v>-45.723635720936485</c:v>
                </c:pt>
                <c:pt idx="10">
                  <c:v>-45.665932542038682</c:v>
                </c:pt>
                <c:pt idx="11">
                  <c:v>-45.609311231492214</c:v>
                </c:pt>
                <c:pt idx="12">
                  <c:v>-45.553231973624591</c:v>
                </c:pt>
                <c:pt idx="13">
                  <c:v>-45.497200507750492</c:v>
                </c:pt>
                <c:pt idx="14">
                  <c:v>-45.440765639442809</c:v>
                </c:pt>
                <c:pt idx="15">
                  <c:v>-45.38351683024085</c:v>
                </c:pt>
                <c:pt idx="16">
                  <c:v>-45.325081864640509</c:v>
                </c:pt>
                <c:pt idx="17">
                  <c:v>-45.265124593225792</c:v>
                </c:pt>
                <c:pt idx="18">
                  <c:v>-45.203342750790902</c:v>
                </c:pt>
                <c:pt idx="19">
                  <c:v>-45.139465848323454</c:v>
                </c:pt>
                <c:pt idx="20">
                  <c:v>-45.073253137702608</c:v>
                </c:pt>
                <c:pt idx="21">
                  <c:v>-45.004491647983279</c:v>
                </c:pt>
                <c:pt idx="22">
                  <c:v>-44.932994292135774</c:v>
                </c:pt>
                <c:pt idx="23">
                  <c:v>-44.858598043111257</c:v>
                </c:pt>
                <c:pt idx="24">
                  <c:v>-44.781162178111813</c:v>
                </c:pt>
                <c:pt idx="25">
                  <c:v>-44.700566589939307</c:v>
                </c:pt>
                <c:pt idx="26">
                  <c:v>-44.616710164310867</c:v>
                </c:pt>
                <c:pt idx="27">
                  <c:v>-44.529509222020941</c:v>
                </c:pt>
                <c:pt idx="28">
                  <c:v>-44.438896024840915</c:v>
                </c:pt>
                <c:pt idx="29">
                  <c:v>-44.344817344045921</c:v>
                </c:pt>
                <c:pt idx="30">
                  <c:v>-44.247233090465016</c:v>
                </c:pt>
                <c:pt idx="31">
                  <c:v>-44.146115004950609</c:v>
                </c:pt>
                <c:pt idx="32">
                  <c:v>-44.041445408168045</c:v>
                </c:pt>
                <c:pt idx="33">
                  <c:v>-43.933216008609875</c:v>
                </c:pt>
                <c:pt idx="34">
                  <c:v>-43.821426767740796</c:v>
                </c:pt>
                <c:pt idx="35">
                  <c:v>-43.706084821183794</c:v>
                </c:pt>
                <c:pt idx="36">
                  <c:v>-43.587203454859512</c:v>
                </c:pt>
                <c:pt idx="37">
                  <c:v>-43.464801134997188</c:v>
                </c:pt>
                <c:pt idx="38">
                  <c:v>-43.338900590933257</c:v>
                </c:pt>
                <c:pt idx="39">
                  <c:v>-43.209527949623535</c:v>
                </c:pt>
                <c:pt idx="40">
                  <c:v>-43.076711920790871</c:v>
                </c:pt>
                <c:pt idx="41">
                  <c:v>-42.940483031641165</c:v>
                </c:pt>
                <c:pt idx="42">
                  <c:v>-42.800872910074645</c:v>
                </c:pt>
                <c:pt idx="43">
                  <c:v>-42.657913615331438</c:v>
                </c:pt>
                <c:pt idx="44">
                  <c:v>-42.511637015007025</c:v>
                </c:pt>
                <c:pt idx="45">
                  <c:v>-42.362074207379877</c:v>
                </c:pt>
                <c:pt idx="46">
                  <c:v>-42.209254987993837</c:v>
                </c:pt>
                <c:pt idx="47">
                  <c:v>-42.053207359445146</c:v>
                </c:pt>
                <c:pt idx="48">
                  <c:v>-41.893957083321908</c:v>
                </c:pt>
                <c:pt idx="49">
                  <c:v>-41.731527273251238</c:v>
                </c:pt>
                <c:pt idx="50">
                  <c:v>-41.565938028010514</c:v>
                </c:pt>
                <c:pt idx="51">
                  <c:v>-41.397206103661411</c:v>
                </c:pt>
                <c:pt idx="52">
                  <c:v>-41.225344623671035</c:v>
                </c:pt>
                <c:pt idx="53">
                  <c:v>-41.050362825985452</c:v>
                </c:pt>
                <c:pt idx="54">
                  <c:v>-40.872265846024973</c:v>
                </c:pt>
                <c:pt idx="55">
                  <c:v>-40.69105453457265</c:v>
                </c:pt>
                <c:pt idx="56">
                  <c:v>-40.506725309532762</c:v>
                </c:pt>
                <c:pt idx="57">
                  <c:v>-40.319270040536445</c:v>
                </c:pt>
                <c:pt idx="58">
                  <c:v>-40.128675965376658</c:v>
                </c:pt>
                <c:pt idx="59">
                  <c:v>-39.934925637257258</c:v>
                </c:pt>
                <c:pt idx="60">
                  <c:v>-39.737996901843566</c:v>
                </c:pt>
                <c:pt idx="61">
                  <c:v>-39.537862903105719</c:v>
                </c:pt>
                <c:pt idx="62">
                  <c:v>-39.334492116948525</c:v>
                </c:pt>
                <c:pt idx="63">
                  <c:v>-39.127848411625521</c:v>
                </c:pt>
                <c:pt idx="64">
                  <c:v>-38.917891133936692</c:v>
                </c:pt>
                <c:pt idx="65">
                  <c:v>-38.704575220213862</c:v>
                </c:pt>
                <c:pt idx="66">
                  <c:v>-38.48785133110021</c:v>
                </c:pt>
                <c:pt idx="67">
                  <c:v>-38.267666009132967</c:v>
                </c:pt>
                <c:pt idx="68">
                  <c:v>-38.043961858142708</c:v>
                </c:pt>
                <c:pt idx="69">
                  <c:v>-37.81667774348481</c:v>
                </c:pt>
                <c:pt idx="70">
                  <c:v>-37.585749012121617</c:v>
                </c:pt>
                <c:pt idx="71">
                  <c:v>-37.351107731578146</c:v>
                </c:pt>
                <c:pt idx="72">
                  <c:v>-37.112682946795893</c:v>
                </c:pt>
                <c:pt idx="73">
                  <c:v>-36.870400953913325</c:v>
                </c:pt>
                <c:pt idx="74">
                  <c:v>-36.624185590004359</c:v>
                </c:pt>
                <c:pt idx="75">
                  <c:v>-36.373958537809372</c:v>
                </c:pt>
                <c:pt idx="76">
                  <c:v>-36.119639644496417</c:v>
                </c:pt>
                <c:pt idx="77">
                  <c:v>-35.861147253493357</c:v>
                </c:pt>
                <c:pt idx="78">
                  <c:v>-35.598398548434744</c:v>
                </c:pt>
                <c:pt idx="79">
                  <c:v>-35.331309908270583</c:v>
                </c:pt>
                <c:pt idx="80">
                  <c:v>-35.059797272586842</c:v>
                </c:pt>
                <c:pt idx="81">
                  <c:v>-34.783776516190997</c:v>
                </c:pt>
                <c:pt idx="82">
                  <c:v>-34.50316383201924</c:v>
                </c:pt>
                <c:pt idx="83">
                  <c:v>-34.217876121424133</c:v>
                </c:pt>
                <c:pt idx="84">
                  <c:v>-33.927831390905986</c:v>
                </c:pt>
                <c:pt idx="85">
                  <c:v>-33.632949154353078</c:v>
                </c:pt>
                <c:pt idx="86">
                  <c:v>-33.333150839859783</c:v>
                </c:pt>
                <c:pt idx="87">
                  <c:v>-33.028360200194399</c:v>
                </c:pt>
                <c:pt idx="88">
                  <c:v>-32.718503725991752</c:v>
                </c:pt>
                <c:pt idx="89">
                  <c:v>-32.403511060748599</c:v>
                </c:pt>
                <c:pt idx="90">
                  <c:v>-32.083315416703186</c:v>
                </c:pt>
                <c:pt idx="91">
                  <c:v>-31.757853990683188</c:v>
                </c:pt>
                <c:pt idx="92">
                  <c:v>-31.427068379009608</c:v>
                </c:pt>
                <c:pt idx="93">
                  <c:v>-31.090904990547216</c:v>
                </c:pt>
                <c:pt idx="94">
                  <c:v>-30.749315456995028</c:v>
                </c:pt>
                <c:pt idx="95">
                  <c:v>-30.402257039513998</c:v>
                </c:pt>
                <c:pt idx="96">
                  <c:v>-30.049693030791413</c:v>
                </c:pt>
                <c:pt idx="97">
                  <c:v>-29.691593151645474</c:v>
                </c:pt>
                <c:pt idx="98">
                  <c:v>-29.327933941275813</c:v>
                </c:pt>
                <c:pt idx="99">
                  <c:v>-28.95869914026952</c:v>
                </c:pt>
                <c:pt idx="100">
                  <c:v>-28.583880065474837</c:v>
                </c:pt>
                <c:pt idx="101">
                  <c:v>-28.203475975858218</c:v>
                </c:pt>
                <c:pt idx="102">
                  <c:v>-27.817494428463231</c:v>
                </c:pt>
                <c:pt idx="103">
                  <c:v>-27.425951623593004</c:v>
                </c:pt>
                <c:pt idx="104">
                  <c:v>-27.028872738341175</c:v>
                </c:pt>
                <c:pt idx="105">
                  <c:v>-26.626292247599263</c:v>
                </c:pt>
                <c:pt idx="106">
                  <c:v>-26.218254231671402</c:v>
                </c:pt>
                <c:pt idx="107">
                  <c:v>-25.804812669630859</c:v>
                </c:pt>
                <c:pt idx="108">
                  <c:v>-25.386031717555383</c:v>
                </c:pt>
                <c:pt idx="109">
                  <c:v>-24.961985970781946</c:v>
                </c:pt>
                <c:pt idx="110">
                  <c:v>-24.532760709324407</c:v>
                </c:pt>
                <c:pt idx="111">
                  <c:v>-24.098452125600684</c:v>
                </c:pt>
                <c:pt idx="112">
                  <c:v>-23.659167533619151</c:v>
                </c:pt>
                <c:pt idx="113">
                  <c:v>-23.21502555877727</c:v>
                </c:pt>
                <c:pt idx="114">
                  <c:v>-22.766156307428322</c:v>
                </c:pt>
                <c:pt idx="115">
                  <c:v>-22.312701515375331</c:v>
                </c:pt>
                <c:pt idx="116">
                  <c:v>-21.854814674454506</c:v>
                </c:pt>
                <c:pt idx="117">
                  <c:v>-21.39266113637342</c:v>
                </c:pt>
                <c:pt idx="118">
                  <c:v>-20.926418192972388</c:v>
                </c:pt>
                <c:pt idx="119">
                  <c:v>-20.456275132080641</c:v>
                </c:pt>
                <c:pt idx="120">
                  <c:v>-19.982433268141957</c:v>
                </c:pt>
                <c:pt idx="121">
                  <c:v>-19.505105946787495</c:v>
                </c:pt>
                <c:pt idx="122">
                  <c:v>-19.024518522536738</c:v>
                </c:pt>
                <c:pt idx="123">
                  <c:v>-18.540908308810611</c:v>
                </c:pt>
                <c:pt idx="124">
                  <c:v>-18.054524499443868</c:v>
                </c:pt>
                <c:pt idx="125">
                  <c:v>-17.565628060886993</c:v>
                </c:pt>
                <c:pt idx="126">
                  <c:v>-17.074491594290901</c:v>
                </c:pt>
                <c:pt idx="127">
                  <c:v>-16.58139916667109</c:v>
                </c:pt>
                <c:pt idx="128">
                  <c:v>-16.086646110350664</c:v>
                </c:pt>
                <c:pt idx="129">
                  <c:v>-15.590538789884947</c:v>
                </c:pt>
                <c:pt idx="130">
                  <c:v>-15.09339433567362</c:v>
                </c:pt>
                <c:pt idx="131">
                  <c:v>-14.595540343469152</c:v>
                </c:pt>
                <c:pt idx="132">
                  <c:v>-14.097314538993713</c:v>
                </c:pt>
                <c:pt idx="133">
                  <c:v>-13.599064406879611</c:v>
                </c:pt>
                <c:pt idx="134">
                  <c:v>-13.101146783151584</c:v>
                </c:pt>
                <c:pt idx="135">
                  <c:v>-12.603927410472355</c:v>
                </c:pt>
                <c:pt idx="136">
                  <c:v>-12.107780455375888</c:v>
                </c:pt>
                <c:pt idx="137">
                  <c:v>-11.613087986716</c:v>
                </c:pt>
                <c:pt idx="138">
                  <c:v>-11.12023941456107</c:v>
                </c:pt>
                <c:pt idx="139">
                  <c:v>-10.62963088876865</c:v>
                </c:pt>
                <c:pt idx="140">
                  <c:v>-10.141664656476989</c:v>
                </c:pt>
                <c:pt idx="141">
                  <c:v>-9.6567483777534733</c:v>
                </c:pt>
                <c:pt idx="142">
                  <c:v>-9.1752943986432527</c:v>
                </c:pt>
                <c:pt idx="143">
                  <c:v>-8.6977189808642947</c:v>
                </c:pt>
                <c:pt idx="144">
                  <c:v>-8.2244414873982965</c:v>
                </c:pt>
                <c:pt idx="145">
                  <c:v>-7.7558835232300218</c:v>
                </c:pt>
                <c:pt idx="146">
                  <c:v>-7.2924680304906362</c:v>
                </c:pt>
                <c:pt idx="147">
                  <c:v>-6.8346183372638762</c:v>
                </c:pt>
                <c:pt idx="148">
                  <c:v>-6.3827571593168928</c:v>
                </c:pt>
                <c:pt idx="149">
                  <c:v>-5.9373055540207398</c:v>
                </c:pt>
                <c:pt idx="150">
                  <c:v>-5.4986818257286432</c:v>
                </c:pt>
                <c:pt idx="151">
                  <c:v>-5.0673003818832525</c:v>
                </c:pt>
                <c:pt idx="152">
                  <c:v>-4.6435705391272233</c:v>
                </c:pt>
                <c:pt idx="153">
                  <c:v>-4.2278952786945379</c:v>
                </c:pt>
                <c:pt idx="154">
                  <c:v>-3.8206699503631665</c:v>
                </c:pt>
                <c:pt idx="155">
                  <c:v>-3.4222809242527377</c:v>
                </c:pt>
                <c:pt idx="156">
                  <c:v>-3.033104189753979</c:v>
                </c:pt>
                <c:pt idx="157">
                  <c:v>-2.6535039008798651</c:v>
                </c:pt>
                <c:pt idx="158">
                  <c:v>-2.2838308673314764</c:v>
                </c:pt>
                <c:pt idx="159">
                  <c:v>-1.9244209905747027</c:v>
                </c:pt>
                <c:pt idx="160">
                  <c:v>-1.5755936442270437</c:v>
                </c:pt>
                <c:pt idx="161">
                  <c:v>-1.2376499980568587</c:v>
                </c:pt>
                <c:pt idx="162">
                  <c:v>-0.91087128490055502</c:v>
                </c:pt>
                <c:pt idx="163">
                  <c:v>-0.59551700980629529</c:v>
                </c:pt>
                <c:pt idx="164">
                  <c:v>-0.29182310071593393</c:v>
                </c:pt>
                <c:pt idx="165">
                  <c:v>0</c:v>
                </c:pt>
                <c:pt idx="166">
                  <c:v>0.27976930383633697</c:v>
                </c:pt>
                <c:pt idx="167">
                  <c:v>0.54733130495527293</c:v>
                </c:pt>
                <c:pt idx="168">
                  <c:v>0.80256407017218112</c:v>
                </c:pt>
                <c:pt idx="169">
                  <c:v>1.0453793907979554</c:v>
                </c:pt>
                <c:pt idx="170">
                  <c:v>1.2757249970074911</c:v>
                </c:pt>
                <c:pt idx="171">
                  <c:v>1.4935868354007971</c:v>
                </c:pt>
                <c:pt idx="172">
                  <c:v>1.6989914104201225</c:v>
                </c:pt>
                <c:pt idx="173">
                  <c:v>1.8920081902833545</c:v>
                </c:pt>
                <c:pt idx="174">
                  <c:v>2.0727520780908546</c:v>
                </c:pt>
                <c:pt idx="175">
                  <c:v>2.2413859487597434</c:v>
                </c:pt>
                <c:pt idx="176">
                  <c:v>2.3981232524365819</c:v>
                </c:pt>
                <c:pt idx="177">
                  <c:v>2.5432306850362436</c:v>
                </c:pt>
                <c:pt idx="178">
                  <c:v>2.677030926551669</c:v>
                </c:pt>
                <c:pt idx="179">
                  <c:v>2.7999054477760867</c:v>
                </c:pt>
                <c:pt idx="180">
                  <c:v>2.9122973860761614</c:v>
                </c:pt>
                <c:pt idx="181">
                  <c:v>3.0147144908514232</c:v>
                </c:pt>
                <c:pt idx="182">
                  <c:v>3.1077321393122075</c:v>
                </c:pt>
                <c:pt idx="183">
                  <c:v>3.1919964232052269</c:v>
                </c:pt>
                <c:pt idx="184">
                  <c:v>3.268227307112789</c:v>
                </c:pt>
                <c:pt idx="185">
                  <c:v>3.3372218589485421</c:v>
                </c:pt>
                <c:pt idx="186">
                  <c:v>3.3998575532695323</c:v>
                </c:pt>
                <c:pt idx="187">
                  <c:v>3.4570956480212383</c:v>
                </c:pt>
                <c:pt idx="188">
                  <c:v>3.5099846353291193</c:v>
                </c:pt>
                <c:pt idx="189">
                  <c:v>3.5596637669471285</c:v>
                </c:pt>
                <c:pt idx="190">
                  <c:v>3.6073666549704968</c:v>
                </c:pt>
                <c:pt idx="191">
                  <c:v>3.6544249484169979</c:v>
                </c:pt>
                <c:pt idx="192">
                  <c:v>3.702272086277794</c:v>
                </c:pt>
                <c:pt idx="193">
                  <c:v>3.7524471276358207</c:v>
                </c:pt>
                <c:pt idx="194">
                  <c:v>3.8065986594465868</c:v>
                </c:pt>
                <c:pt idx="195">
                  <c:v>3.8664887825731431</c:v>
                </c:pt>
                <c:pt idx="196">
                  <c:v>3.9339971766638273</c:v>
                </c:pt>
                <c:pt idx="197">
                  <c:v>4.0111252444583316</c:v>
                </c:pt>
                <c:pt idx="198">
                  <c:v>4.1000003361044879</c:v>
                </c:pt>
                <c:pt idx="199">
                  <c:v>4.2028800540650524</c:v>
                </c:pt>
                <c:pt idx="200">
                  <c:v>4.3221566391906743</c:v>
                </c:pt>
              </c:numCache>
            </c:numRef>
          </c:yVal>
          <c:smooth val="1"/>
        </c:ser>
        <c:dLbls>
          <c:showLegendKey val="0"/>
          <c:showVal val="0"/>
          <c:showCatName val="0"/>
          <c:showSerName val="0"/>
          <c:showPercent val="0"/>
          <c:showBubbleSize val="0"/>
        </c:dLbls>
        <c:axId val="452292872"/>
        <c:axId val="452289344"/>
      </c:scatterChart>
      <c:valAx>
        <c:axId val="452292872"/>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289344"/>
        <c:crossesAt val="-1000"/>
        <c:crossBetween val="midCat"/>
      </c:valAx>
      <c:valAx>
        <c:axId val="4522893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292872"/>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02" t="s">
        <v>107</v>
      </c>
      <c r="E2" s="102"/>
      <c r="F2" s="102"/>
      <c r="G2" s="102"/>
      <c r="H2" s="102"/>
      <c r="I2" s="102"/>
      <c r="J2" s="102"/>
      <c r="K2" s="102"/>
      <c r="L2" s="102"/>
      <c r="M2" s="102"/>
    </row>
    <row r="3" spans="1:13" x14ac:dyDescent="0.25">
      <c r="D3" s="102"/>
      <c r="E3" s="102"/>
      <c r="F3" s="102"/>
      <c r="G3" s="102"/>
      <c r="H3" s="102"/>
      <c r="I3" s="102"/>
      <c r="J3" s="102"/>
      <c r="K3" s="102"/>
      <c r="L3" s="102"/>
      <c r="M3" s="102"/>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100">
        <f>CTE!N5</f>
        <v>0.5</v>
      </c>
    </row>
    <row r="21" spans="1:2" s="11" customFormat="1" x14ac:dyDescent="0.25">
      <c r="A21" s="61" t="s">
        <v>156</v>
      </c>
      <c r="B21" s="100">
        <f>CTE!N6-0.5</f>
        <v>85</v>
      </c>
    </row>
    <row r="22" spans="1:2" s="11" customFormat="1" x14ac:dyDescent="0.25">
      <c r="A22" s="61" t="s">
        <v>157</v>
      </c>
      <c r="B22" s="100">
        <f>CTE!N8-0.5</f>
        <v>95</v>
      </c>
    </row>
    <row r="23" spans="1:2" s="11" customFormat="1" x14ac:dyDescent="0.25">
      <c r="A23" s="61" t="s">
        <v>158</v>
      </c>
      <c r="B23" s="100">
        <f>CTE!N9</f>
        <v>180.5</v>
      </c>
    </row>
    <row r="24" spans="1:2" s="11" customFormat="1" x14ac:dyDescent="0.25"/>
    <row r="25" spans="1:2" s="11" customFormat="1" x14ac:dyDescent="0.25">
      <c r="A25" s="61" t="s">
        <v>147</v>
      </c>
      <c r="B25" s="53">
        <f>CTE!O5</f>
        <v>2.5181388285714289E-5</v>
      </c>
    </row>
    <row r="26" spans="1:2" s="11" customFormat="1" x14ac:dyDescent="0.25">
      <c r="A26" s="61" t="s">
        <v>148</v>
      </c>
      <c r="B26" s="53">
        <f>CTE!O6</f>
        <v>2.7886904000000003E-5</v>
      </c>
    </row>
    <row r="27" spans="1:2" s="11" customFormat="1" x14ac:dyDescent="0.25">
      <c r="A27" s="61" t="s">
        <v>149</v>
      </c>
      <c r="B27" s="53">
        <f>CTE!O8</f>
        <v>7.1150880000000002E-5</v>
      </c>
    </row>
    <row r="28" spans="1:2" s="11" customFormat="1" x14ac:dyDescent="0.25">
      <c r="A28" s="61" t="s">
        <v>150</v>
      </c>
      <c r="B28" s="53">
        <f>CTE!O9</f>
        <v>7.0799597142857145E-5</v>
      </c>
    </row>
    <row r="29" spans="1:2" s="11" customFormat="1" x14ac:dyDescent="0.25">
      <c r="A29" s="61"/>
    </row>
    <row r="30" spans="1:2" s="11" customFormat="1" x14ac:dyDescent="0.25">
      <c r="A30" s="61" t="s">
        <v>151</v>
      </c>
      <c r="B30" s="52">
        <f>CTE!P5</f>
        <v>2.503583894736842E-5</v>
      </c>
    </row>
    <row r="31" spans="1:2" s="11" customFormat="1" x14ac:dyDescent="0.25">
      <c r="A31" s="61" t="s">
        <v>152</v>
      </c>
      <c r="B31" s="52">
        <f>CTE!P6</f>
        <v>2.7577463157894738E-5</v>
      </c>
    </row>
    <row r="32" spans="1:2" s="11" customFormat="1" x14ac:dyDescent="0.25">
      <c r="A32" s="61" t="s">
        <v>153</v>
      </c>
      <c r="B32" s="52">
        <f>CTE!P8</f>
        <v>6.5041527368421044E-5</v>
      </c>
    </row>
    <row r="33" spans="1:2" s="11" customFormat="1" x14ac:dyDescent="0.25">
      <c r="A33" s="61" t="s">
        <v>154</v>
      </c>
      <c r="B33" s="52">
        <f>CTE!P9</f>
        <v>6.6264183157894736E-5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398.15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0.28582431211303061</v>
      </c>
      <c r="D59" s="55">
        <v>1</v>
      </c>
    </row>
    <row r="60" spans="1:4" s="11" customFormat="1" x14ac:dyDescent="0.25">
      <c r="A60" s="54">
        <v>2</v>
      </c>
      <c r="B60" s="56">
        <f>'Shiftfunktion bestimmen'!N2</f>
        <v>-6.0281265443592018E-3</v>
      </c>
      <c r="D60" s="55">
        <v>2</v>
      </c>
    </row>
    <row r="61" spans="1:4" s="11" customFormat="1" x14ac:dyDescent="0.25">
      <c r="A61" s="54">
        <v>3</v>
      </c>
      <c r="B61" s="56">
        <f>'Shiftfunktion bestimmen'!N3</f>
        <v>-2.812699677183407E-5</v>
      </c>
      <c r="D61" s="55">
        <v>3</v>
      </c>
    </row>
    <row r="62" spans="1:4" s="11" customFormat="1" x14ac:dyDescent="0.25">
      <c r="A62" s="54">
        <v>4</v>
      </c>
      <c r="B62" s="56">
        <f>'Shiftfunktion bestimmen'!N4</f>
        <v>1.2280195822139409E-6</v>
      </c>
      <c r="D62" s="55">
        <v>4</v>
      </c>
    </row>
    <row r="63" spans="1:4" s="11" customFormat="1" x14ac:dyDescent="0.25">
      <c r="A63" s="54">
        <v>5</v>
      </c>
      <c r="B63" s="56">
        <f>'Shiftfunktion bestimmen'!N5</f>
        <v>1.7159742907401429E-8</v>
      </c>
      <c r="D63" s="55">
        <v>5</v>
      </c>
    </row>
    <row r="64" spans="1:4" s="11" customFormat="1" x14ac:dyDescent="0.25">
      <c r="A64" s="54">
        <v>6</v>
      </c>
      <c r="B64" s="56">
        <f>'Shiftfunktion bestimmen'!N6</f>
        <v>8.4978591540669464E-11</v>
      </c>
      <c r="D64" s="55">
        <v>6</v>
      </c>
    </row>
    <row r="65" spans="1:5" s="11" customFormat="1" x14ac:dyDescent="0.25">
      <c r="A65" s="54">
        <v>7</v>
      </c>
      <c r="B65" s="56">
        <f>'Shiftfunktion bestimmen'!N7</f>
        <v>1.3378570285760924E-13</v>
      </c>
      <c r="D65" s="55">
        <v>7</v>
      </c>
    </row>
    <row r="66" spans="1:5" x14ac:dyDescent="0.25">
      <c r="A66" s="54">
        <v>8</v>
      </c>
      <c r="B66" s="56">
        <f>'Shiftfunktion bestimmen'!N8</f>
        <v>-7.724257394412011E-17</v>
      </c>
      <c r="D66" s="55">
        <v>8</v>
      </c>
    </row>
    <row r="67" spans="1:5" x14ac:dyDescent="0.25">
      <c r="A67" s="54">
        <v>9</v>
      </c>
      <c r="B67" s="56">
        <f>'Shiftfunktion bestimmen'!N9</f>
        <v>0</v>
      </c>
      <c r="D67" s="55">
        <v>0</v>
      </c>
    </row>
    <row r="70" spans="1:5" x14ac:dyDescent="0.25">
      <c r="A70" s="61"/>
      <c r="B70" s="84"/>
    </row>
    <row r="71" spans="1:5" x14ac:dyDescent="0.25">
      <c r="A71" s="61"/>
      <c r="B71" s="85"/>
    </row>
    <row r="72" spans="1:5" x14ac:dyDescent="0.25">
      <c r="A72" t="s">
        <v>42</v>
      </c>
    </row>
    <row r="73" spans="1:5" x14ac:dyDescent="0.25">
      <c r="A73" s="61" t="s">
        <v>101</v>
      </c>
      <c r="B73" s="62">
        <f>A104</f>
        <v>31</v>
      </c>
    </row>
    <row r="74" spans="1:5" x14ac:dyDescent="0.25">
      <c r="A74" s="50">
        <v>1</v>
      </c>
      <c r="B74" s="56">
        <f>'Mastercurve bestimmen'!C18</f>
        <v>0.10924684220979419</v>
      </c>
      <c r="D74" s="51">
        <v>1</v>
      </c>
      <c r="E74" s="56">
        <f>'Mastercurve bestimmen'!A18</f>
        <v>1.0000000000000001E-20</v>
      </c>
    </row>
    <row r="75" spans="1:5" x14ac:dyDescent="0.25">
      <c r="A75" s="50">
        <f>A74+1</f>
        <v>2</v>
      </c>
      <c r="B75" s="56">
        <f>'Mastercurve bestimmen'!C19</f>
        <v>7.1825631805889176E-2</v>
      </c>
      <c r="D75" s="51">
        <v>2</v>
      </c>
      <c r="E75" s="56">
        <f>'Mastercurve bestimmen'!A19</f>
        <v>3.9038946506297401E-14</v>
      </c>
    </row>
    <row r="76" spans="1:5" x14ac:dyDescent="0.25">
      <c r="A76" s="50">
        <f t="shared" ref="A76:A104" si="0">A75+1</f>
        <v>3</v>
      </c>
      <c r="B76" s="56">
        <f>'Mastercurve bestimmen'!C20</f>
        <v>3.596772409142239E-2</v>
      </c>
      <c r="D76" s="51">
        <v>3</v>
      </c>
      <c r="E76" s="56">
        <f>'Mastercurve bestimmen'!A20</f>
        <v>4.3276437088188502E-13</v>
      </c>
    </row>
    <row r="77" spans="1:5" x14ac:dyDescent="0.25">
      <c r="A77" s="50">
        <f t="shared" si="0"/>
        <v>4</v>
      </c>
      <c r="B77" s="56">
        <f>'Mastercurve bestimmen'!C21</f>
        <v>4.9137716927094087E-2</v>
      </c>
      <c r="D77" s="51">
        <v>4</v>
      </c>
      <c r="E77" s="56">
        <f>'Mastercurve bestimmen'!A21</f>
        <v>4.7973886968128502E-12</v>
      </c>
    </row>
    <row r="78" spans="1:5" x14ac:dyDescent="0.25">
      <c r="A78" s="50">
        <f t="shared" si="0"/>
        <v>5</v>
      </c>
      <c r="B78" s="56">
        <f>'Mastercurve bestimmen'!C22</f>
        <v>4.6762783367912203E-2</v>
      </c>
      <c r="D78" s="51">
        <v>5</v>
      </c>
      <c r="E78" s="56">
        <f>'Mastercurve bestimmen'!A22</f>
        <v>5.31812225239524E-11</v>
      </c>
    </row>
    <row r="79" spans="1:5" x14ac:dyDescent="0.25">
      <c r="A79" s="50">
        <f t="shared" si="0"/>
        <v>6</v>
      </c>
      <c r="B79" s="56">
        <f>'Mastercurve bestimmen'!C23</f>
        <v>5.0407962506303181E-2</v>
      </c>
      <c r="D79" s="51">
        <v>6</v>
      </c>
      <c r="E79" s="56">
        <f>'Mastercurve bestimmen'!A23</f>
        <v>5.8953789402578301E-10</v>
      </c>
    </row>
    <row r="80" spans="1:5" x14ac:dyDescent="0.25">
      <c r="A80" s="50">
        <f t="shared" si="0"/>
        <v>7</v>
      </c>
      <c r="B80" s="56">
        <f>'Mastercurve bestimmen'!C24</f>
        <v>5.7182312842770561E-2</v>
      </c>
      <c r="D80" s="51">
        <v>7</v>
      </c>
      <c r="E80" s="56">
        <f>'Mastercurve bestimmen'!A24</f>
        <v>6.5352940755699598E-9</v>
      </c>
    </row>
    <row r="81" spans="1:5" x14ac:dyDescent="0.25">
      <c r="A81" s="50">
        <f t="shared" si="0"/>
        <v>8</v>
      </c>
      <c r="B81" s="56">
        <f>'Mastercurve bestimmen'!C25</f>
        <v>8.0089931313285845E-2</v>
      </c>
      <c r="D81" s="51">
        <v>8</v>
      </c>
      <c r="E81" s="56">
        <f>'Mastercurve bestimmen'!A25</f>
        <v>7.2446689325643296E-8</v>
      </c>
    </row>
    <row r="82" spans="1:5" x14ac:dyDescent="0.25">
      <c r="A82" s="50">
        <f t="shared" si="0"/>
        <v>9</v>
      </c>
      <c r="B82" s="56">
        <f>'Mastercurve bestimmen'!C26</f>
        <v>9.4725402978259585E-2</v>
      </c>
      <c r="D82" s="51">
        <f>A82</f>
        <v>9</v>
      </c>
      <c r="E82" s="56">
        <f>'Mastercurve bestimmen'!A26</f>
        <v>8.03104303120212E-7</v>
      </c>
    </row>
    <row r="83" spans="1:5" x14ac:dyDescent="0.25">
      <c r="A83" s="50">
        <f t="shared" si="0"/>
        <v>10</v>
      </c>
      <c r="B83" s="56">
        <f>'Mastercurve bestimmen'!C27</f>
        <v>0.11171287761739628</v>
      </c>
      <c r="C83" s="11"/>
      <c r="D83" s="51">
        <f t="shared" ref="D83:D104" si="1">A83</f>
        <v>10</v>
      </c>
      <c r="E83" s="56">
        <f>'Mastercurve bestimmen'!A27</f>
        <v>8.9027742702096099E-6</v>
      </c>
    </row>
    <row r="84" spans="1:5" x14ac:dyDescent="0.25">
      <c r="A84" s="50">
        <f t="shared" si="0"/>
        <v>11</v>
      </c>
      <c r="B84" s="56">
        <f>'Mastercurve bestimmen'!C28</f>
        <v>0.12486929252202905</v>
      </c>
      <c r="C84" s="11"/>
      <c r="D84" s="51">
        <f t="shared" si="1"/>
        <v>11</v>
      </c>
      <c r="E84" s="56">
        <f>'Mastercurve bestimmen'!A28</f>
        <v>9.86912775817142E-5</v>
      </c>
    </row>
    <row r="85" spans="1:5" x14ac:dyDescent="0.25">
      <c r="A85" s="50">
        <f t="shared" si="0"/>
        <v>12</v>
      </c>
      <c r="B85" s="56">
        <f>'Mastercurve bestimmen'!C29</f>
        <v>7.1899142973036512E-2</v>
      </c>
      <c r="C85" s="11"/>
      <c r="D85" s="51">
        <f t="shared" si="1"/>
        <v>12</v>
      </c>
      <c r="E85" s="56">
        <f>'Mastercurve bestimmen'!A29</f>
        <v>1.0940374286813801E-3</v>
      </c>
    </row>
    <row r="86" spans="1:5" x14ac:dyDescent="0.25">
      <c r="A86" s="50">
        <f t="shared" si="0"/>
        <v>13</v>
      </c>
      <c r="B86" s="56">
        <f>'Mastercurve bestimmen'!C30</f>
        <v>4.7675556768581172E-2</v>
      </c>
      <c r="C86" s="11"/>
      <c r="D86" s="51">
        <f t="shared" si="1"/>
        <v>13</v>
      </c>
      <c r="E86" s="56">
        <f>'Mastercurve bestimmen'!A30</f>
        <v>1.2127899493091E-2</v>
      </c>
    </row>
    <row r="87" spans="1:5" x14ac:dyDescent="0.25">
      <c r="A87" s="50">
        <f t="shared" si="0"/>
        <v>14</v>
      </c>
      <c r="B87" s="56">
        <f>'Mastercurve bestimmen'!C31</f>
        <v>1.9951380582978136E-2</v>
      </c>
      <c r="C87" s="11"/>
      <c r="D87" s="51">
        <f t="shared" si="1"/>
        <v>14</v>
      </c>
      <c r="E87" s="56">
        <f>'Mastercurve bestimmen'!A31</f>
        <v>0.13444324870292301</v>
      </c>
    </row>
    <row r="88" spans="1:5" x14ac:dyDescent="0.25">
      <c r="A88" s="50">
        <f t="shared" si="0"/>
        <v>15</v>
      </c>
      <c r="B88" s="56">
        <f>'Mastercurve bestimmen'!C32</f>
        <v>3.7229726854135226E-3</v>
      </c>
      <c r="C88" s="11"/>
      <c r="D88" s="51">
        <f t="shared" si="1"/>
        <v>15</v>
      </c>
      <c r="E88" s="56">
        <f>'Mastercurve bestimmen'!A32</f>
        <v>1.49036419143257</v>
      </c>
    </row>
    <row r="89" spans="1:5" x14ac:dyDescent="0.25">
      <c r="A89" s="50">
        <f t="shared" si="0"/>
        <v>16</v>
      </c>
      <c r="B89" s="56">
        <f>'Mastercurve bestimmen'!C33</f>
        <v>3.2258116785225384E-3</v>
      </c>
      <c r="C89" s="11"/>
      <c r="D89" s="51">
        <f t="shared" si="1"/>
        <v>16</v>
      </c>
      <c r="E89" s="56">
        <f>'Mastercurve bestimmen'!A33</f>
        <v>16.521360830937301</v>
      </c>
    </row>
    <row r="90" spans="1:5" x14ac:dyDescent="0.25">
      <c r="A90" s="50">
        <f t="shared" si="0"/>
        <v>17</v>
      </c>
      <c r="B90" s="56">
        <f>'Mastercurve bestimmen'!C34</f>
        <v>4.6514491459037388E-4</v>
      </c>
      <c r="C90" s="11"/>
      <c r="D90" s="51">
        <f t="shared" si="1"/>
        <v>17</v>
      </c>
      <c r="E90" s="56">
        <f>'Mastercurve bestimmen'!A34</f>
        <v>183.146753843879</v>
      </c>
    </row>
    <row r="91" spans="1:5" x14ac:dyDescent="0.25">
      <c r="A91" s="50">
        <f t="shared" si="0"/>
        <v>18</v>
      </c>
      <c r="B91" s="56">
        <f>'Mastercurve bestimmen'!C35</f>
        <v>1.1429544870574336E-5</v>
      </c>
      <c r="C91" s="11"/>
      <c r="D91" s="51">
        <f t="shared" si="1"/>
        <v>18</v>
      </c>
      <c r="E91" s="56">
        <f>'Mastercurve bestimmen'!A35</f>
        <v>2030.26456396616</v>
      </c>
    </row>
    <row r="92" spans="1:5" x14ac:dyDescent="0.25">
      <c r="A92" s="50">
        <f t="shared" si="0"/>
        <v>19</v>
      </c>
      <c r="B92" s="56">
        <f>'Mastercurve bestimmen'!C36</f>
        <v>2.5915484418969715E-5</v>
      </c>
      <c r="C92" s="11"/>
      <c r="D92" s="51">
        <f t="shared" si="1"/>
        <v>19</v>
      </c>
      <c r="E92" s="56">
        <f>'Mastercurve bestimmen'!A36</f>
        <v>22506.400540467101</v>
      </c>
    </row>
    <row r="93" spans="1:5" x14ac:dyDescent="0.25">
      <c r="A93" s="50">
        <f t="shared" si="0"/>
        <v>20</v>
      </c>
      <c r="B93" s="56">
        <f>'Mastercurve bestimmen'!C37</f>
        <v>2.9552981931303355E-5</v>
      </c>
      <c r="C93" s="11"/>
      <c r="D93" s="51">
        <f t="shared" si="1"/>
        <v>20</v>
      </c>
      <c r="E93" s="56">
        <f>'Mastercurve bestimmen'!A37</f>
        <v>249493.62476110301</v>
      </c>
    </row>
    <row r="94" spans="1:5" x14ac:dyDescent="0.25">
      <c r="A94" s="50">
        <f t="shared" si="0"/>
        <v>21</v>
      </c>
      <c r="B94" s="56">
        <f>'Mastercurve bestimmen'!C38</f>
        <v>3.2731039559542382E-6</v>
      </c>
      <c r="C94" s="11"/>
      <c r="D94" s="51">
        <f t="shared" si="1"/>
        <v>21</v>
      </c>
      <c r="E94" s="56">
        <f>'Mastercurve bestimmen'!A38</f>
        <v>2765749.6224023802</v>
      </c>
    </row>
    <row r="95" spans="1:5" x14ac:dyDescent="0.25">
      <c r="A95" s="50">
        <f t="shared" si="0"/>
        <v>22</v>
      </c>
      <c r="B95" s="56">
        <f>'Mastercurve bestimmen'!C39</f>
        <v>4.7316671387144988E-5</v>
      </c>
      <c r="C95" s="11"/>
      <c r="D95" s="51">
        <f t="shared" si="1"/>
        <v>22</v>
      </c>
      <c r="E95" s="56">
        <f>'Mastercurve bestimmen'!A39</f>
        <v>10000000</v>
      </c>
    </row>
    <row r="96" spans="1:5" x14ac:dyDescent="0.25">
      <c r="A96" s="50">
        <f t="shared" si="0"/>
        <v>23</v>
      </c>
      <c r="B96" s="56">
        <f>'Mastercurve bestimmen'!C40</f>
        <v>2.2741722122049058E-5</v>
      </c>
      <c r="C96" s="11"/>
      <c r="D96" s="51">
        <f t="shared" si="1"/>
        <v>23</v>
      </c>
      <c r="E96" s="56">
        <f>'Mastercurve bestimmen'!A40</f>
        <v>100000000</v>
      </c>
    </row>
    <row r="97" spans="1:5" x14ac:dyDescent="0.25">
      <c r="A97" s="50">
        <f t="shared" si="0"/>
        <v>24</v>
      </c>
      <c r="B97" s="56">
        <f>'Mastercurve bestimmen'!C41</f>
        <v>1.7857506760164985E-5</v>
      </c>
      <c r="C97" s="11"/>
      <c r="D97" s="51">
        <f t="shared" si="1"/>
        <v>24</v>
      </c>
      <c r="E97" s="56">
        <f>'Mastercurve bestimmen'!A41</f>
        <v>1000000000</v>
      </c>
    </row>
    <row r="98" spans="1:5" x14ac:dyDescent="0.25">
      <c r="A98" s="50">
        <f t="shared" si="0"/>
        <v>25</v>
      </c>
      <c r="B98" s="56">
        <f>'Mastercurve bestimmen'!C42</f>
        <v>0</v>
      </c>
      <c r="C98" s="11"/>
      <c r="D98" s="51">
        <f t="shared" si="1"/>
        <v>25</v>
      </c>
      <c r="E98" s="56">
        <f>'Mastercurve bestimmen'!A42</f>
        <v>10000000000</v>
      </c>
    </row>
    <row r="99" spans="1:5" x14ac:dyDescent="0.25">
      <c r="A99" s="50">
        <f t="shared" si="0"/>
        <v>26</v>
      </c>
      <c r="B99" s="56">
        <f>'Mastercurve bestimmen'!C43</f>
        <v>1.5759572914912317E-6</v>
      </c>
      <c r="C99" s="11"/>
      <c r="D99" s="51">
        <f t="shared" si="1"/>
        <v>26</v>
      </c>
      <c r="E99" s="56">
        <f>'Mastercurve bestimmen'!A43</f>
        <v>100000000000</v>
      </c>
    </row>
    <row r="100" spans="1:5" x14ac:dyDescent="0.25">
      <c r="A100" s="50">
        <f t="shared" si="0"/>
        <v>27</v>
      </c>
      <c r="B100" s="56">
        <f>'Mastercurve bestimmen'!C44</f>
        <v>0</v>
      </c>
      <c r="C100" s="11"/>
      <c r="D100" s="51">
        <f t="shared" si="1"/>
        <v>27</v>
      </c>
      <c r="E100" s="56">
        <f>'Mastercurve bestimmen'!A44</f>
        <v>1000000000000</v>
      </c>
    </row>
    <row r="101" spans="1:5" x14ac:dyDescent="0.25">
      <c r="A101" s="50">
        <f t="shared" si="0"/>
        <v>28</v>
      </c>
      <c r="B101" s="56">
        <f>'Mastercurve bestimmen'!C45</f>
        <v>0</v>
      </c>
      <c r="C101" s="11"/>
      <c r="D101" s="51">
        <f t="shared" si="1"/>
        <v>28</v>
      </c>
      <c r="E101" s="56">
        <f>'Mastercurve bestimmen'!A45</f>
        <v>10000000000000</v>
      </c>
    </row>
    <row r="102" spans="1:5" x14ac:dyDescent="0.25">
      <c r="A102" s="50">
        <f t="shared" si="0"/>
        <v>29</v>
      </c>
      <c r="B102" s="56">
        <f>'Mastercurve bestimmen'!C46</f>
        <v>0</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1.823122872957775E-3</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16092.433999999999</v>
      </c>
    </row>
    <row r="108" spans="1:5" s="11" customFormat="1" x14ac:dyDescent="0.25">
      <c r="A108" s="61" t="str">
        <f>STUTT!B3</f>
        <v>mp,PRXY,MatID,</v>
      </c>
      <c r="B108" s="52">
        <f>STUTT!C3</f>
        <v>0.31931748999999998</v>
      </c>
    </row>
    <row r="109" spans="1:5" s="11" customFormat="1" x14ac:dyDescent="0.25">
      <c r="A109" s="61" t="str">
        <f>STUTT!B4</f>
        <v>mp,ey,MatID,</v>
      </c>
      <c r="B109" s="52">
        <f>STUTT!C4</f>
        <v>17332.542000000001</v>
      </c>
    </row>
    <row r="110" spans="1:5" s="11" customFormat="1" x14ac:dyDescent="0.25">
      <c r="A110" s="61" t="str">
        <f>STUTT!B5</f>
        <v>mp,PRYZ,MatID,</v>
      </c>
      <c r="B110" s="52">
        <f>STUTT!C5</f>
        <v>0.34394524999999998</v>
      </c>
    </row>
    <row r="111" spans="1:5" s="11" customFormat="1" x14ac:dyDescent="0.25">
      <c r="A111" s="61" t="str">
        <f>STUTT!B6</f>
        <v>mp,ez,MatID,</v>
      </c>
      <c r="B111" s="52">
        <f>STUTT!C6</f>
        <v>16092.433999999999</v>
      </c>
    </row>
    <row r="112" spans="1:5" s="11" customFormat="1" x14ac:dyDescent="0.25">
      <c r="A112" s="61" t="str">
        <f>STUTT!B7</f>
        <v>mp,PRXZ,MatID,</v>
      </c>
      <c r="B112" s="52">
        <f>STUTT!C7</f>
        <v>0.35677292999999999</v>
      </c>
    </row>
    <row r="113" spans="1:4" s="11" customFormat="1" x14ac:dyDescent="0.25">
      <c r="A113" s="61" t="str">
        <f>STUTT!B8</f>
        <v>MP,GXZ,</v>
      </c>
      <c r="B113" s="52" t="str">
        <f>STUTT!C8</f>
        <v>MatID,</v>
      </c>
      <c r="C113" s="103">
        <f>STUTT!D8</f>
        <v>5930.4079000000002</v>
      </c>
      <c r="D113" s="103"/>
    </row>
    <row r="114" spans="1:4" s="11" customFormat="1" x14ac:dyDescent="0.25">
      <c r="A114" s="61" t="str">
        <f>STUTT!B9</f>
        <v>MP,GXY,</v>
      </c>
      <c r="B114" s="52" t="str">
        <f>STUTT!C9</f>
        <v>MatID,</v>
      </c>
      <c r="C114" s="103">
        <f>STUTT!D9</f>
        <v>6613.9741000000004</v>
      </c>
      <c r="D114" s="103"/>
    </row>
    <row r="115" spans="1:4" x14ac:dyDescent="0.25">
      <c r="A115" s="61" t="str">
        <f>STUTT!B10</f>
        <v>MP,GYZ,</v>
      </c>
      <c r="B115" s="52" t="str">
        <f>STUTT!C10</f>
        <v>MatID,</v>
      </c>
      <c r="C115" s="103">
        <f>STUTT!D10</f>
        <v>6613.9741000000004</v>
      </c>
      <c r="D115" s="103"/>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1.236E-7</v>
      </c>
      <c r="C3" s="3">
        <v>1.327E-6</v>
      </c>
      <c r="D3" s="3">
        <v>1.236E-7</v>
      </c>
      <c r="E3" s="3">
        <v>-1.415E-5</v>
      </c>
      <c r="F3" s="3">
        <v>-1.415E-5</v>
      </c>
      <c r="G3" s="3">
        <v>-1.415E-5</v>
      </c>
      <c r="H3" s="3">
        <v>-4.4104515000000002E-6</v>
      </c>
      <c r="I3" s="3">
        <v>-1.1860229E-6</v>
      </c>
      <c r="J3" s="3">
        <v>-4.4104515000000002E-6</v>
      </c>
      <c r="L3" s="48">
        <f>ABS(H3/(-0.5)/$L$1)</f>
        <v>2.5202580000000004E-5</v>
      </c>
      <c r="R3">
        <f>ABS(I3/(-0.5)/$R$1)</f>
        <v>2.4968903157894736E-5</v>
      </c>
    </row>
    <row r="4" spans="1:18" x14ac:dyDescent="0.25">
      <c r="A4">
        <v>-39</v>
      </c>
      <c r="B4" s="3">
        <v>-1.2380000000000001E-7</v>
      </c>
      <c r="C4" s="3">
        <v>-1.327E-6</v>
      </c>
      <c r="D4" s="3">
        <v>-1.2380000000000001E-7</v>
      </c>
      <c r="E4" s="3">
        <v>1.415E-5</v>
      </c>
      <c r="F4" s="3">
        <v>1.415E-5</v>
      </c>
      <c r="G4" s="3">
        <v>1.415E-5</v>
      </c>
      <c r="H4" s="3">
        <v>4.4103614999999998E-6</v>
      </c>
      <c r="I4" s="3">
        <v>1.1861000999999999E-6</v>
      </c>
      <c r="J4" s="3">
        <v>4.4103614999999998E-6</v>
      </c>
      <c r="L4" s="48">
        <f t="shared" ref="L4:L14" si="0">ABS(H4/(-0.5)/$L$1)</f>
        <v>2.5202065714285715E-5</v>
      </c>
      <c r="N4" s="39" t="s">
        <v>27</v>
      </c>
      <c r="O4" s="39" t="s">
        <v>131</v>
      </c>
      <c r="P4" s="86" t="s">
        <v>132</v>
      </c>
      <c r="R4" s="11">
        <f t="shared" ref="R4:R14" si="1">ABS(I4/(-0.5)/$R$1)</f>
        <v>2.4970528421052628E-5</v>
      </c>
    </row>
    <row r="5" spans="1:18" x14ac:dyDescent="0.25">
      <c r="A5">
        <v>0</v>
      </c>
      <c r="B5" s="3">
        <v>1.3260000000000001E-7</v>
      </c>
      <c r="C5" s="3">
        <v>1.2979999999999999E-6</v>
      </c>
      <c r="D5" s="3">
        <v>1.3260000000000001E-7</v>
      </c>
      <c r="E5" s="3">
        <v>-1.415E-5</v>
      </c>
      <c r="F5" s="3">
        <v>-1.415E-5</v>
      </c>
      <c r="G5" s="3">
        <v>-1.415E-5</v>
      </c>
      <c r="H5" s="3">
        <v>-4.4067895000000003E-6</v>
      </c>
      <c r="I5" s="3">
        <v>-1.1891624E-6</v>
      </c>
      <c r="J5" s="3">
        <v>-4.4067895000000003E-6</v>
      </c>
      <c r="L5" s="48">
        <f t="shared" si="0"/>
        <v>2.518165428571429E-5</v>
      </c>
      <c r="M5" s="48"/>
      <c r="N5" s="10">
        <f>(INDEX(A:A,ROW(A2)*2+1)+INDEX(A:A,ROW(A2)*2+2))/2</f>
        <v>0.5</v>
      </c>
      <c r="O5" s="90">
        <f>(INDEX(L:L,ROW(L2)*2+1)+INDEX(L:L,ROW(L2)*2+2))/2</f>
        <v>2.5181388285714289E-5</v>
      </c>
      <c r="P5" s="90">
        <f>(INDEX(R:R,ROW(M2)*2+1)+INDEX(R:R,ROW(R2)*2+2))/2</f>
        <v>2.503583894736842E-5</v>
      </c>
      <c r="R5" s="11">
        <f t="shared" si="1"/>
        <v>2.5034997894736842E-5</v>
      </c>
    </row>
    <row r="6" spans="1:18" x14ac:dyDescent="0.25">
      <c r="A6">
        <v>1</v>
      </c>
      <c r="B6" s="3">
        <v>-1.328E-7</v>
      </c>
      <c r="C6" s="3">
        <v>-1.2979999999999999E-6</v>
      </c>
      <c r="D6" s="3">
        <v>-1.328E-7</v>
      </c>
      <c r="E6" s="3">
        <v>1.415E-5</v>
      </c>
      <c r="F6" s="3">
        <v>1.415E-5</v>
      </c>
      <c r="G6" s="3">
        <v>1.415E-5</v>
      </c>
      <c r="H6" s="3">
        <v>4.4066964000000002E-6</v>
      </c>
      <c r="I6" s="3">
        <v>1.1892422999999999E-6</v>
      </c>
      <c r="J6" s="3">
        <v>4.4066964000000002E-6</v>
      </c>
      <c r="L6" s="48">
        <f t="shared" si="0"/>
        <v>2.5181122285714288E-5</v>
      </c>
      <c r="M6" s="49"/>
      <c r="N6" s="10">
        <f>(INDEX(A:A,ROW(A3)*2+1)+INDEX(A:A,ROW(A3)*2+2))/2</f>
        <v>85.5</v>
      </c>
      <c r="O6" s="90">
        <f t="shared" ref="O6:O7" si="2">(INDEX(L:L,ROW(L3)*2+1)+INDEX(L:L,ROW(L3)*2+2))/2</f>
        <v>2.7886904000000003E-5</v>
      </c>
      <c r="P6" s="90">
        <f t="shared" ref="P6:P9" si="3">(INDEX(R:R,ROW(M3)*2+1)+INDEX(R:R,ROW(R3)*2+2))/2</f>
        <v>2.7577463157894738E-5</v>
      </c>
      <c r="R6" s="11">
        <f t="shared" si="1"/>
        <v>2.5036679999999999E-5</v>
      </c>
    </row>
    <row r="7" spans="1:18" x14ac:dyDescent="0.25">
      <c r="A7">
        <v>85</v>
      </c>
      <c r="B7" s="3">
        <v>1.525E-7</v>
      </c>
      <c r="C7" s="3">
        <v>1.57E-6</v>
      </c>
      <c r="D7" s="3">
        <v>1.525E-7</v>
      </c>
      <c r="E7" s="3">
        <v>-1.525E-5</v>
      </c>
      <c r="F7" s="3">
        <v>-1.525E-5</v>
      </c>
      <c r="G7" s="3">
        <v>-1.525E-5</v>
      </c>
      <c r="H7" s="3">
        <v>-4.6795758000000004E-6</v>
      </c>
      <c r="I7" s="3">
        <v>-1.2625096000000001E-6</v>
      </c>
      <c r="J7" s="3">
        <v>-4.6795758000000004E-6</v>
      </c>
      <c r="L7" s="48">
        <f t="shared" si="0"/>
        <v>2.6740433142857147E-5</v>
      </c>
      <c r="M7" s="48"/>
      <c r="N7" s="10">
        <f>(INDEX(A:A,ROW(A4)*2+1)+INDEX(A:A,ROW(A4)*2+2))/2</f>
        <v>90.5</v>
      </c>
      <c r="O7" s="90">
        <f t="shared" si="2"/>
        <v>5.0859113714285718E-5</v>
      </c>
      <c r="P7" s="90">
        <f t="shared" si="3"/>
        <v>4.7508056842105268E-5</v>
      </c>
      <c r="R7" s="11">
        <f t="shared" si="1"/>
        <v>2.6579149473684211E-5</v>
      </c>
    </row>
    <row r="8" spans="1:18" x14ac:dyDescent="0.25">
      <c r="A8">
        <v>86</v>
      </c>
      <c r="B8" s="3">
        <v>-1.525E-7</v>
      </c>
      <c r="C8" s="3">
        <v>-2.0499999999999999E-6</v>
      </c>
      <c r="D8" s="3">
        <v>-1.525E-7</v>
      </c>
      <c r="E8" s="3">
        <v>1.681E-5</v>
      </c>
      <c r="F8" s="3">
        <v>1.681E-5</v>
      </c>
      <c r="G8" s="3">
        <v>1.681E-5</v>
      </c>
      <c r="H8" s="3">
        <v>5.0808405999999996E-6</v>
      </c>
      <c r="I8" s="3">
        <v>1.3573494E-6</v>
      </c>
      <c r="J8" s="3">
        <v>5.0808405999999996E-6</v>
      </c>
      <c r="L8" s="48">
        <f t="shared" si="0"/>
        <v>2.9033374857142856E-5</v>
      </c>
      <c r="M8" s="49"/>
      <c r="N8" s="10">
        <f>(INDEX(A:A,ROW(A5)*2+1)+INDEX(A:A,ROW(A5)*2+2))/2</f>
        <v>95.5</v>
      </c>
      <c r="O8" s="90">
        <f t="shared" ref="O8:O9" si="4">(INDEX(L:L,ROW(L5)*2+1)+INDEX(L:L,ROW(L5)*2+2))/2</f>
        <v>7.1150880000000002E-5</v>
      </c>
      <c r="P8" s="90">
        <f t="shared" si="3"/>
        <v>6.5041527368421044E-5</v>
      </c>
      <c r="R8" s="11">
        <f t="shared" si="1"/>
        <v>2.8575776842105261E-5</v>
      </c>
    </row>
    <row r="9" spans="1:18" x14ac:dyDescent="0.25">
      <c r="A9">
        <v>90</v>
      </c>
      <c r="B9" s="3">
        <v>1.5230000000000001E-7</v>
      </c>
      <c r="C9" s="3">
        <v>6.3740000000000003E-6</v>
      </c>
      <c r="D9" s="3">
        <v>1.5230000000000001E-7</v>
      </c>
      <c r="E9" s="3">
        <v>-3.0899999999999999E-5</v>
      </c>
      <c r="F9" s="3">
        <v>-3.0899999999999999E-5</v>
      </c>
      <c r="G9" s="3">
        <v>-3.0899999999999999E-5</v>
      </c>
      <c r="H9" s="3">
        <v>-8.6983006000000007E-6</v>
      </c>
      <c r="I9" s="3">
        <v>-2.2094638000000002E-6</v>
      </c>
      <c r="J9" s="3">
        <v>-8.6983006000000007E-6</v>
      </c>
      <c r="L9" s="48">
        <f t="shared" si="0"/>
        <v>4.9704574857142862E-5</v>
      </c>
      <c r="M9" s="48"/>
      <c r="N9" s="10">
        <f>(INDEX(A:A,ROW(A6)*2+1)+INDEX(A:A,ROW(A6)*2+2))/2</f>
        <v>180.5</v>
      </c>
      <c r="O9" s="90">
        <f t="shared" si="4"/>
        <v>7.0799597142857145E-5</v>
      </c>
      <c r="P9" s="90">
        <f t="shared" si="3"/>
        <v>6.6264183157894736E-5</v>
      </c>
      <c r="R9" s="11">
        <f t="shared" si="1"/>
        <v>4.6515027368421058E-5</v>
      </c>
    </row>
    <row r="10" spans="1:18" x14ac:dyDescent="0.25">
      <c r="A10">
        <v>91</v>
      </c>
      <c r="B10" s="3">
        <v>-1.5090000000000001E-7</v>
      </c>
      <c r="C10" s="3">
        <v>-6.8560000000000001E-6</v>
      </c>
      <c r="D10" s="3">
        <v>-1.5090000000000001E-7</v>
      </c>
      <c r="E10" s="3">
        <v>3.2459999999999998E-5</v>
      </c>
      <c r="F10" s="3">
        <v>3.2459999999999998E-5</v>
      </c>
      <c r="G10" s="3">
        <v>3.2459999999999998E-5</v>
      </c>
      <c r="H10" s="3">
        <v>9.1023891999999992E-6</v>
      </c>
      <c r="I10" s="3">
        <v>2.3038016000000002E-6</v>
      </c>
      <c r="J10" s="3">
        <v>9.1023891999999992E-6</v>
      </c>
      <c r="L10" s="48">
        <f t="shared" si="0"/>
        <v>5.2013652571428567E-5</v>
      </c>
      <c r="M10" s="49"/>
      <c r="N10" s="10"/>
      <c r="O10" s="3"/>
      <c r="R10" s="11">
        <f t="shared" si="1"/>
        <v>4.8501086315789479E-5</v>
      </c>
    </row>
    <row r="11" spans="1:18" x14ac:dyDescent="0.25">
      <c r="A11">
        <v>95</v>
      </c>
      <c r="B11" s="3">
        <v>1.3610000000000001E-7</v>
      </c>
      <c r="C11" s="3">
        <v>1.0849999999999999E-5</v>
      </c>
      <c r="D11" s="3">
        <v>1.3610000000000001E-7</v>
      </c>
      <c r="E11" s="3">
        <v>-4.545E-5</v>
      </c>
      <c r="F11" s="3">
        <v>-4.545E-5</v>
      </c>
      <c r="G11" s="3">
        <v>-4.545E-5</v>
      </c>
      <c r="H11" s="3">
        <v>-1.2451768000000001E-5</v>
      </c>
      <c r="I11" s="3">
        <v>-3.0891478E-6</v>
      </c>
      <c r="J11" s="3">
        <v>-1.2451768000000001E-5</v>
      </c>
      <c r="L11" s="48">
        <f t="shared" si="0"/>
        <v>7.1152960000000012E-5</v>
      </c>
      <c r="M11" s="48"/>
      <c r="N11" s="10"/>
      <c r="O11" s="3"/>
      <c r="R11" s="11">
        <f t="shared" si="1"/>
        <v>6.5034690526315789E-5</v>
      </c>
    </row>
    <row r="12" spans="1:18" x14ac:dyDescent="0.25">
      <c r="A12">
        <v>96</v>
      </c>
      <c r="B12" s="3">
        <v>-1.378E-7</v>
      </c>
      <c r="C12" s="3">
        <v>-1.084E-5</v>
      </c>
      <c r="D12" s="3">
        <v>-1.378E-7</v>
      </c>
      <c r="E12" s="3">
        <v>4.545E-5</v>
      </c>
      <c r="F12" s="3">
        <v>4.545E-5</v>
      </c>
      <c r="G12" s="3">
        <v>4.545E-5</v>
      </c>
      <c r="H12" s="3">
        <v>1.2451039999999999E-5</v>
      </c>
      <c r="I12" s="3">
        <v>3.0897973E-6</v>
      </c>
      <c r="J12" s="3">
        <v>1.2451039999999999E-5</v>
      </c>
      <c r="L12" s="48">
        <f t="shared" si="0"/>
        <v>7.1148800000000006E-5</v>
      </c>
      <c r="M12" s="49"/>
      <c r="N12" s="10"/>
      <c r="O12" s="3"/>
      <c r="R12" s="11">
        <f t="shared" si="1"/>
        <v>6.5048364210526312E-5</v>
      </c>
    </row>
    <row r="13" spans="1:18" x14ac:dyDescent="0.25">
      <c r="A13">
        <v>180</v>
      </c>
      <c r="B13" s="3">
        <v>2.9989999999999998E-7</v>
      </c>
      <c r="C13" s="3">
        <v>1.031E-5</v>
      </c>
      <c r="D13" s="3">
        <v>2.9989999999999998E-7</v>
      </c>
      <c r="E13" s="3">
        <v>-4.545E-5</v>
      </c>
      <c r="F13" s="3">
        <v>-4.545E-5</v>
      </c>
      <c r="G13" s="3">
        <v>-4.545E-5</v>
      </c>
      <c r="H13" s="3">
        <v>-1.2390254E-5</v>
      </c>
      <c r="I13" s="3">
        <v>-3.1472086E-6</v>
      </c>
      <c r="J13" s="3">
        <v>-1.2390254E-5</v>
      </c>
      <c r="L13" s="48">
        <f t="shared" si="0"/>
        <v>7.0801451428571433E-5</v>
      </c>
      <c r="M13" s="48"/>
      <c r="N13" s="10"/>
      <c r="O13" s="3"/>
      <c r="R13" s="11">
        <f t="shared" si="1"/>
        <v>6.6257023157894736E-5</v>
      </c>
    </row>
    <row r="14" spans="1:18" x14ac:dyDescent="0.25">
      <c r="A14" s="11">
        <v>181</v>
      </c>
      <c r="B14" s="3">
        <v>-3.016E-7</v>
      </c>
      <c r="C14" s="3">
        <v>-1.03E-5</v>
      </c>
      <c r="D14" s="3">
        <v>-3.016E-7</v>
      </c>
      <c r="E14" s="3">
        <v>4.545E-5</v>
      </c>
      <c r="F14" s="3">
        <v>4.545E-5</v>
      </c>
      <c r="G14" s="3">
        <v>4.545E-5</v>
      </c>
      <c r="H14" s="3">
        <v>1.2389604999999999E-5</v>
      </c>
      <c r="I14" s="3">
        <v>3.1478888E-6</v>
      </c>
      <c r="J14" s="3">
        <v>1.2389604999999999E-5</v>
      </c>
      <c r="L14" s="48">
        <f t="shared" si="0"/>
        <v>7.0797742857142858E-5</v>
      </c>
      <c r="M14" s="49"/>
      <c r="N14" s="10"/>
      <c r="O14" s="3"/>
      <c r="R14" s="11">
        <f t="shared" si="1"/>
        <v>6.6271343157894735E-5</v>
      </c>
    </row>
    <row r="15" spans="1:18" x14ac:dyDescent="0.25">
      <c r="L15" s="48"/>
      <c r="M15" s="48"/>
      <c r="N15" s="10"/>
      <c r="O15" s="3"/>
    </row>
    <row r="16" spans="1:18" x14ac:dyDescent="0.25">
      <c r="L16" s="48"/>
      <c r="M16" s="49"/>
      <c r="N16" s="10"/>
      <c r="O16" s="3"/>
    </row>
    <row r="17" spans="2:15" x14ac:dyDescent="0.25">
      <c r="B17" s="89" t="s">
        <v>128</v>
      </c>
      <c r="C17" s="89"/>
      <c r="D17" s="89"/>
      <c r="E17" s="89"/>
      <c r="F17" s="89"/>
      <c r="G17" s="89"/>
      <c r="H17" s="89"/>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16092.433999999999</v>
      </c>
    </row>
    <row r="3" spans="2:4" x14ac:dyDescent="0.25">
      <c r="B3" t="s">
        <v>119</v>
      </c>
      <c r="C3" s="3">
        <v>0.31931748999999998</v>
      </c>
    </row>
    <row r="4" spans="2:4" x14ac:dyDescent="0.25">
      <c r="B4" t="s">
        <v>120</v>
      </c>
      <c r="C4" s="3">
        <v>17332.542000000001</v>
      </c>
    </row>
    <row r="5" spans="2:4" x14ac:dyDescent="0.25">
      <c r="B5" t="s">
        <v>121</v>
      </c>
      <c r="C5" s="3">
        <v>0.34394524999999998</v>
      </c>
    </row>
    <row r="6" spans="2:4" x14ac:dyDescent="0.25">
      <c r="B6" t="s">
        <v>122</v>
      </c>
      <c r="C6" s="3">
        <v>16092.433999999999</v>
      </c>
    </row>
    <row r="7" spans="2:4" x14ac:dyDescent="0.25">
      <c r="B7" t="s">
        <v>123</v>
      </c>
      <c r="C7" s="3">
        <v>0.35677292999999999</v>
      </c>
    </row>
    <row r="8" spans="2:4" x14ac:dyDescent="0.25">
      <c r="B8" t="s">
        <v>124</v>
      </c>
      <c r="C8" t="s">
        <v>125</v>
      </c>
      <c r="D8" s="3">
        <v>5930.4079000000002</v>
      </c>
    </row>
    <row r="9" spans="2:4" x14ac:dyDescent="0.25">
      <c r="B9" t="s">
        <v>126</v>
      </c>
      <c r="C9" t="s">
        <v>125</v>
      </c>
      <c r="D9" s="3">
        <v>6613.9741000000004</v>
      </c>
    </row>
    <row r="10" spans="2:4" x14ac:dyDescent="0.25">
      <c r="B10" t="s">
        <v>127</v>
      </c>
      <c r="C10" t="s">
        <v>125</v>
      </c>
      <c r="D10" s="3">
        <v>6613.9741000000004</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X19"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04" t="s">
        <v>7</v>
      </c>
      <c r="B1" s="104"/>
      <c r="C1" s="104"/>
      <c r="D1" s="104"/>
      <c r="E1" s="104"/>
      <c r="F1" s="104"/>
      <c r="G1" s="104"/>
      <c r="H1" s="104"/>
      <c r="I1" s="104"/>
      <c r="J1" s="104"/>
      <c r="K1" s="104"/>
      <c r="M1" s="104" t="s">
        <v>8</v>
      </c>
      <c r="N1" s="104"/>
      <c r="O1" s="104"/>
      <c r="P1" s="104"/>
      <c r="Q1" s="104"/>
      <c r="R1" s="104"/>
      <c r="S1" s="104"/>
      <c r="T1" s="104"/>
      <c r="U1" s="104"/>
      <c r="V1" s="104"/>
      <c r="W1" s="104"/>
      <c r="X1" s="104"/>
      <c r="Z1" s="105" t="s">
        <v>10</v>
      </c>
      <c r="AA1" s="105"/>
      <c r="AB1" s="105"/>
      <c r="AC1" s="105"/>
      <c r="AD1" s="105"/>
      <c r="AE1" s="105"/>
      <c r="AF1" s="105"/>
      <c r="AG1" s="105"/>
      <c r="AH1" s="105"/>
      <c r="AI1" s="105"/>
      <c r="AJ1" s="105"/>
      <c r="AL1" s="104" t="s">
        <v>11</v>
      </c>
      <c r="AM1" s="104"/>
      <c r="AN1" s="104"/>
      <c r="AO1" s="104"/>
      <c r="AP1" s="104"/>
      <c r="AQ1" s="104"/>
      <c r="AR1" s="104"/>
      <c r="AS1" s="104"/>
      <c r="AT1" s="104"/>
      <c r="AU1" s="104"/>
      <c r="AV1" s="104"/>
      <c r="AX1" s="104" t="s">
        <v>12</v>
      </c>
      <c r="AY1" s="104"/>
      <c r="AZ1" s="104"/>
      <c r="BA1" s="104"/>
      <c r="BB1" s="104"/>
      <c r="BC1" s="104"/>
      <c r="BD1" s="104"/>
      <c r="BE1" s="104"/>
      <c r="BF1" s="104"/>
      <c r="BG1" s="104"/>
      <c r="BH1" s="104"/>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-6.1953560000000004E-4</v>
      </c>
      <c r="C3" s="2">
        <f>IF('Modell einstellen'!$B$2="Ja",creep_res0!O3,creep_res0!C3)</f>
        <v>-6.206781142857143E-4</v>
      </c>
      <c r="D3" s="2">
        <f>IF('Modell einstellen'!$B$2="Ja",creep_res25!O3,creep_res25!C3)</f>
        <v>-6.2141817142857142E-4</v>
      </c>
      <c r="E3" s="2">
        <f>IF('Modell einstellen'!$B$2="Ja",creep_res50!O3,creep_res50!C3)</f>
        <v>-6.2217942857142861E-4</v>
      </c>
      <c r="F3" s="2">
        <f>IF('Modell einstellen'!$B$2="Ja",creep_res80!O3,creep_res80!C3)</f>
        <v>-6.2312237142857143E-4</v>
      </c>
      <c r="G3" s="2">
        <f>IF('Modell einstellen'!$B$2="Ja",creep_res125!O3,creep_res125!C3)</f>
        <v>-6.8221225714285721E-4</v>
      </c>
      <c r="H3" s="2">
        <f>IF('Modell einstellen'!$B$2="Ja",creep_res160!O3,creep_res160!C3)</f>
        <v>-7.2659245714285707E-4</v>
      </c>
      <c r="M3" s="9">
        <v>-10</v>
      </c>
      <c r="N3" s="2">
        <f t="shared" ref="N3:N33" si="4">A3</f>
        <v>1.0000000000000001E-15</v>
      </c>
      <c r="O3" s="2">
        <f t="shared" ref="O3:O33" si="5">$M$3/B3</f>
        <v>16141.122479483018</v>
      </c>
      <c r="P3" s="2">
        <f t="shared" ref="P3:P33" si="6">$M$3/C3</f>
        <v>16111.410681055107</v>
      </c>
      <c r="Q3" s="2">
        <f t="shared" ref="Q3:Q33" si="7">$M$3/D3</f>
        <v>16092.223336519288</v>
      </c>
      <c r="R3" s="2">
        <f t="shared" ref="R3:R33" si="8">$M$3/E3</f>
        <v>16072.533968152502</v>
      </c>
      <c r="S3" s="2">
        <f t="shared" ref="S3:S33" si="9">$M$3/F3</f>
        <v>16048.212130586779</v>
      </c>
      <c r="T3" s="2">
        <f t="shared" ref="T3:T33" si="10">$M$3/G3</f>
        <v>14658.194565252397</v>
      </c>
      <c r="U3" s="2">
        <f t="shared" ref="U3:U33" si="11">$M$3/H3</f>
        <v>13762.873398552052</v>
      </c>
      <c r="Z3" s="2">
        <v>1.0000000000000001E-15</v>
      </c>
      <c r="AA3" s="3">
        <f>IF('Modell einstellen'!$B$2="Ja",'creep_res-40'!P3,'creep_res-40'!L3)</f>
        <v>0.35742661346429722</v>
      </c>
      <c r="AB3" s="2">
        <f>IF('Modell einstellen'!$B$2="Ja",creep_res0!P3,creep_res0!L3)</f>
        <v>0.35701473328664396</v>
      </c>
      <c r="AC3" s="2">
        <f>IF('Modell einstellen'!$B$2="Ja",creep_res25!P3,creep_res25!L3)</f>
        <v>0.35675553374778324</v>
      </c>
      <c r="AD3" s="2">
        <f>IF('Modell einstellen'!$B$2="Ja",creep_res50!P3,creep_res50!L3)</f>
        <v>0.356495103846938</v>
      </c>
      <c r="AE3" s="2">
        <f>IF('Modell einstellen'!$B$2="Ja",creep_res80!P3,creep_res80!L3)</f>
        <v>0.35618123255129486</v>
      </c>
      <c r="AF3" s="2">
        <f>IF('Modell einstellen'!$B$2="Ja",creep_res125!P3,creep_res125!L3)</f>
        <v>0.3726459410684459</v>
      </c>
      <c r="AG3" s="2">
        <f>IF('Modell einstellen'!$B$2="Ja",creep_res160!P3,creep_res160!L3)</f>
        <v>0.38371396329229329</v>
      </c>
      <c r="AL3" s="2">
        <f t="shared" ref="AL3:AL33" si="12">Z3</f>
        <v>1.0000000000000001E-15</v>
      </c>
      <c r="AM3" s="2">
        <f t="shared" ref="AM3:AM33" si="13">O3/(2*(1+AA3))</f>
        <v>5945.4862308501361</v>
      </c>
      <c r="AN3" s="2">
        <f t="shared" ref="AN3:AN33" si="14">P3/(2*(1+AB3))</f>
        <v>5936.3433151657146</v>
      </c>
      <c r="AO3" s="2">
        <f t="shared" ref="AO3:AO33" si="15">Q3/(2*(1+AC3))</f>
        <v>5930.406376183163</v>
      </c>
      <c r="AP3" s="2">
        <f t="shared" ref="AP3:AP33" si="16">R3/(2*(1+AD3))</f>
        <v>5924.2874974527258</v>
      </c>
      <c r="AQ3" s="2">
        <f t="shared" ref="AQ3:AQ33" si="17">S3/(2*(1+AE3))</f>
        <v>5916.6915694579875</v>
      </c>
      <c r="AR3" s="2">
        <f t="shared" ref="AR3:AR33" si="18">T3/(2*(1+AF3))</f>
        <v>5339.3938402799959</v>
      </c>
      <c r="AS3" s="2">
        <f t="shared" ref="AS3:AS33" si="19">U3/(2*(1+AG3))</f>
        <v>4973.1641667493986</v>
      </c>
      <c r="AX3" s="2">
        <f>AL3</f>
        <v>1.0000000000000001E-15</v>
      </c>
      <c r="AY3" s="37">
        <f t="shared" ref="AY3:AY33" si="20">O3/(3*(1-(2*AA3)))</f>
        <v>18868.788525551143</v>
      </c>
      <c r="AZ3" s="37">
        <f t="shared" ref="AZ3:AZ33" si="21">P3/(3*(1-(2*AB3)))</f>
        <v>18779.802809280354</v>
      </c>
      <c r="BA3" s="37">
        <f t="shared" ref="BA3:BA33" si="22">Q3/(3*(1-(2*AC3)))</f>
        <v>18723.496222400907</v>
      </c>
      <c r="BB3" s="37">
        <f t="shared" ref="BB3:BB33" si="23">R3/(3*(1-(2*AD3)))</f>
        <v>18666.649941348311</v>
      </c>
      <c r="BC3" s="37">
        <f t="shared" ref="BC3:BC33" si="24">S3/(3*(1-(2*AE3)))</f>
        <v>18597.725938086842</v>
      </c>
      <c r="BD3" s="37">
        <f t="shared" ref="BD3:BD33" si="25">T3/(3*(1-(2*AF3)))</f>
        <v>19182.996192175262</v>
      </c>
      <c r="BE3" s="37">
        <f t="shared" ref="BE3:BE33" si="26">U3/(3*(1-(2*AG3)))</f>
        <v>19725.603331530423</v>
      </c>
    </row>
    <row r="4" spans="1:308" x14ac:dyDescent="0.25">
      <c r="A4" s="2">
        <f>'creep_res-40'!A4</f>
        <v>1E-14</v>
      </c>
      <c r="B4" s="3">
        <f>'creep_res-40'!O4</f>
        <v>-6.1952405714285716E-4</v>
      </c>
      <c r="C4" s="2">
        <f>IF('Modell einstellen'!$B$2="Ja",creep_res0!O4,creep_res0!C4)</f>
        <v>-6.2066645714285718E-4</v>
      </c>
      <c r="D4" s="2">
        <f>IF('Modell einstellen'!$B$2="Ja",creep_res25!O4,creep_res25!C4)</f>
        <v>-6.2140645714285723E-4</v>
      </c>
      <c r="E4" s="2">
        <f>IF('Modell einstellen'!$B$2="Ja",creep_res50!O4,creep_res50!C4)</f>
        <v>-6.221676285714286E-4</v>
      </c>
      <c r="F4" s="2">
        <f>IF('Modell einstellen'!$B$2="Ja",creep_res80!O4,creep_res80!C4)</f>
        <v>-6.2311097142857144E-4</v>
      </c>
      <c r="G4" s="2">
        <f>IF('Modell einstellen'!$B$2="Ja",creep_res125!O4,creep_res125!C4)</f>
        <v>-7.1116868571428579E-4</v>
      </c>
      <c r="H4" s="2">
        <f>IF('Modell einstellen'!$B$2="Ja",creep_res160!O4,creep_res160!C4)</f>
        <v>-7.6944214285714285E-4</v>
      </c>
      <c r="M4" s="9">
        <f t="shared" ref="M4:M31" si="27">M3</f>
        <v>-10</v>
      </c>
      <c r="N4" s="2">
        <f t="shared" si="4"/>
        <v>1E-14</v>
      </c>
      <c r="O4" s="2">
        <f t="shared" si="5"/>
        <v>16141.423217878499</v>
      </c>
      <c r="P4" s="2">
        <f t="shared" si="6"/>
        <v>16111.713280001413</v>
      </c>
      <c r="Q4" s="2">
        <f t="shared" si="7"/>
        <v>16092.526694972959</v>
      </c>
      <c r="R4" s="2">
        <f t="shared" si="8"/>
        <v>16072.838799024626</v>
      </c>
      <c r="S4" s="2">
        <f t="shared" si="9"/>
        <v>16048.505737386653</v>
      </c>
      <c r="T4" s="2">
        <f t="shared" si="10"/>
        <v>14061.361531907398</v>
      </c>
      <c r="U4" s="2">
        <f t="shared" si="11"/>
        <v>12996.428767038085</v>
      </c>
      <c r="Z4" s="2">
        <v>1E-14</v>
      </c>
      <c r="AA4" s="3">
        <f>IF('Modell einstellen'!$B$2="Ja",'creep_res-40'!P4,'creep_res-40'!L4)</f>
        <v>0.35744341900801085</v>
      </c>
      <c r="AB4" s="2">
        <f>IF('Modell einstellen'!$B$2="Ja",creep_res0!P4,creep_res0!L4)</f>
        <v>0.35703176392049729</v>
      </c>
      <c r="AC4" s="2">
        <f>IF('Modell einstellen'!$B$2="Ja",creep_res25!P4,creep_res25!L4)</f>
        <v>0.3567727007848463</v>
      </c>
      <c r="AD4" s="2">
        <f>IF('Modell einstellen'!$B$2="Ja",creep_res50!P4,creep_res50!L4)</f>
        <v>0.35651242726638627</v>
      </c>
      <c r="AE4" s="2">
        <f>IF('Modell einstellen'!$B$2="Ja",creep_res80!P4,creep_res80!L4)</f>
        <v>0.35619890499669771</v>
      </c>
      <c r="AF4" s="2">
        <f>IF('Modell einstellen'!$B$2="Ja",creep_res125!P4,creep_res125!L4)</f>
        <v>0.38058331670075135</v>
      </c>
      <c r="AG4" s="2">
        <f>IF('Modell einstellen'!$B$2="Ja",creep_res160!P4,creep_res160!L4)</f>
        <v>0.39458735874506484</v>
      </c>
      <c r="AL4" s="2">
        <f t="shared" si="12"/>
        <v>1E-14</v>
      </c>
      <c r="AM4" s="2">
        <f t="shared" si="13"/>
        <v>5945.5233978276192</v>
      </c>
      <c r="AN4" s="2">
        <f t="shared" si="14"/>
        <v>5936.3803075081632</v>
      </c>
      <c r="AO4" s="2">
        <f t="shared" si="15"/>
        <v>5930.4431337924134</v>
      </c>
      <c r="AP4" s="2">
        <f t="shared" si="16"/>
        <v>5924.3241993050724</v>
      </c>
      <c r="AQ4" s="2">
        <f t="shared" si="17"/>
        <v>5916.7227160627044</v>
      </c>
      <c r="AR4" s="2">
        <f t="shared" si="18"/>
        <v>5092.5436233397832</v>
      </c>
      <c r="AS4" s="2">
        <f t="shared" si="19"/>
        <v>4659.596505568883</v>
      </c>
      <c r="AX4" s="2">
        <f t="shared" ref="AX4:AX32" si="28">AL4</f>
        <v>1E-14</v>
      </c>
      <c r="AY4" s="37">
        <f t="shared" si="20"/>
        <v>18871.364508460858</v>
      </c>
      <c r="AZ4" s="37">
        <f t="shared" si="21"/>
        <v>18782.392651005717</v>
      </c>
      <c r="BA4" s="37">
        <f t="shared" si="22"/>
        <v>18726.093399740123</v>
      </c>
      <c r="BB4" s="37">
        <f t="shared" si="23"/>
        <v>18669.257660921885</v>
      </c>
      <c r="BC4" s="37">
        <f t="shared" si="24"/>
        <v>18600.3517996138</v>
      </c>
      <c r="BD4" s="37">
        <f t="shared" si="25"/>
        <v>19625.065699112787</v>
      </c>
      <c r="BE4" s="37">
        <f t="shared" si="26"/>
        <v>20548.498124949547</v>
      </c>
      <c r="BF4" s="5"/>
      <c r="BG4" s="5"/>
    </row>
    <row r="5" spans="1:308" x14ac:dyDescent="0.25">
      <c r="A5" s="2">
        <f>'creep_res-40'!A5</f>
        <v>1E-13</v>
      </c>
      <c r="B5" s="3">
        <f>'creep_res-40'!O5</f>
        <v>-6.1952640000000005E-4</v>
      </c>
      <c r="C5" s="2">
        <f>IF('Modell einstellen'!$B$2="Ja",creep_res0!O5,creep_res0!C5)</f>
        <v>-6.2066877142857152E-4</v>
      </c>
      <c r="D5" s="2">
        <f>IF('Modell einstellen'!$B$2="Ja",creep_res25!O5,creep_res25!C5)</f>
        <v>-6.2140877142857146E-4</v>
      </c>
      <c r="E5" s="2">
        <f>IF('Modell einstellen'!$B$2="Ja",creep_res50!O5,creep_res50!C5)</f>
        <v>-6.2216994285714284E-4</v>
      </c>
      <c r="F5" s="2">
        <f>IF('Modell einstellen'!$B$2="Ja",creep_res80!O5,creep_res80!C5)</f>
        <v>-6.2311840000000012E-4</v>
      </c>
      <c r="G5" s="2">
        <f>IF('Modell einstellen'!$B$2="Ja",creep_res125!O5,creep_res125!C5)</f>
        <v>-7.4067305714285725E-4</v>
      </c>
      <c r="H5" s="2">
        <f>IF('Modell einstellen'!$B$2="Ja",creep_res160!O5,creep_res160!C5)</f>
        <v>-8.1148822857142868E-4</v>
      </c>
      <c r="M5" s="9">
        <f t="shared" si="27"/>
        <v>-10</v>
      </c>
      <c r="N5" s="2">
        <f t="shared" si="4"/>
        <v>1E-13</v>
      </c>
      <c r="O5" s="2">
        <f t="shared" si="5"/>
        <v>16141.362176010578</v>
      </c>
      <c r="P5" s="2">
        <f t="shared" si="6"/>
        <v>16111.653204306302</v>
      </c>
      <c r="Q5" s="2">
        <f t="shared" si="7"/>
        <v>16092.466762274309</v>
      </c>
      <c r="R5" s="2">
        <f t="shared" si="8"/>
        <v>16072.779012881552</v>
      </c>
      <c r="S5" s="2">
        <f t="shared" si="9"/>
        <v>16048.314413440525</v>
      </c>
      <c r="T5" s="2">
        <f t="shared" si="10"/>
        <v>13501.233646293213</v>
      </c>
      <c r="U5" s="2">
        <f t="shared" si="11"/>
        <v>12323.037658358075</v>
      </c>
      <c r="Z5" s="2">
        <v>1E-13</v>
      </c>
      <c r="AA5" s="3">
        <f>IF('Modell einstellen'!$B$2="Ja",'creep_res-40'!P5,'creep_res-40'!L5)</f>
        <v>0.35744347387202313</v>
      </c>
      <c r="AB5" s="2">
        <f>IF('Modell einstellen'!$B$2="Ja",creep_res0!P5,creep_res0!L5)</f>
        <v>0.35703184127609444</v>
      </c>
      <c r="AC5" s="2">
        <f>IF('Modell einstellen'!$B$2="Ja",creep_res25!P5,creep_res25!L5)</f>
        <v>0.35677278361099046</v>
      </c>
      <c r="AD5" s="2">
        <f>IF('Modell einstellen'!$B$2="Ja",creep_res50!P5,creep_res50!L5)</f>
        <v>0.35651251555156177</v>
      </c>
      <c r="AE5" s="2">
        <f>IF('Modell einstellen'!$B$2="Ja",creep_res80!P5,creep_res80!L5)</f>
        <v>0.35620063309224786</v>
      </c>
      <c r="AF5" s="2">
        <f>IF('Modell einstellen'!$B$2="Ja",creep_res125!P5,creep_res125!L5)</f>
        <v>0.38838520500871077</v>
      </c>
      <c r="AG5" s="2">
        <f>IF('Modell einstellen'!$B$2="Ja",creep_res160!P5,creep_res160!L5)</f>
        <v>0.40483055330298245</v>
      </c>
      <c r="AL5" s="2">
        <f t="shared" si="12"/>
        <v>1E-13</v>
      </c>
      <c r="AM5" s="2">
        <f t="shared" si="13"/>
        <v>5945.5006733975988</v>
      </c>
      <c r="AN5" s="2">
        <f t="shared" si="14"/>
        <v>5936.3578341520697</v>
      </c>
      <c r="AO5" s="2">
        <f t="shared" si="15"/>
        <v>5930.4206852693951</v>
      </c>
      <c r="AP5" s="2">
        <f t="shared" si="16"/>
        <v>5924.3017770264787</v>
      </c>
      <c r="AQ5" s="2">
        <f t="shared" si="17"/>
        <v>5916.6446401256508</v>
      </c>
      <c r="AR5" s="2">
        <f t="shared" si="18"/>
        <v>4862.2074038193541</v>
      </c>
      <c r="AS5" s="2">
        <f t="shared" si="19"/>
        <v>4385.9516115251872</v>
      </c>
      <c r="AX5" s="2">
        <f t="shared" si="28"/>
        <v>1E-13</v>
      </c>
      <c r="AY5" s="37">
        <f t="shared" si="20"/>
        <v>18871.300405566886</v>
      </c>
      <c r="AZ5" s="37">
        <f t="shared" si="21"/>
        <v>18782.332779683817</v>
      </c>
      <c r="BA5" s="37">
        <f t="shared" si="22"/>
        <v>18726.034487941026</v>
      </c>
      <c r="BB5" s="37">
        <f t="shared" si="23"/>
        <v>18669.199703682465</v>
      </c>
      <c r="BC5" s="37">
        <f t="shared" si="24"/>
        <v>18600.35357890412</v>
      </c>
      <c r="BD5" s="37">
        <f t="shared" si="25"/>
        <v>20160.459981054919</v>
      </c>
      <c r="BE5" s="37">
        <f t="shared" si="26"/>
        <v>21580.87160330953</v>
      </c>
    </row>
    <row r="6" spans="1:308" x14ac:dyDescent="0.25">
      <c r="A6" s="2">
        <f>'creep_res-40'!A6</f>
        <v>9.9999999999999998E-13</v>
      </c>
      <c r="B6" s="3">
        <f>'creep_res-40'!O6</f>
        <v>-6.1952705714285721E-4</v>
      </c>
      <c r="C6" s="2">
        <f>IF('Modell einstellen'!$B$2="Ja",creep_res0!O6,creep_res0!C6)</f>
        <v>-6.2066945714285722E-4</v>
      </c>
      <c r="D6" s="2">
        <f>IF('Modell einstellen'!$B$2="Ja",creep_res25!O6,creep_res25!C6)</f>
        <v>-6.2140945714285716E-4</v>
      </c>
      <c r="E6" s="2">
        <f>IF('Modell einstellen'!$B$2="Ja",creep_res50!O6,creep_res50!C6)</f>
        <v>-6.2217062857142865E-4</v>
      </c>
      <c r="F6" s="2">
        <f>IF('Modell einstellen'!$B$2="Ja",creep_res80!O6,creep_res80!C6)</f>
        <v>-6.2317011428571439E-4</v>
      </c>
      <c r="G6" s="2">
        <f>IF('Modell einstellen'!$B$2="Ja",creep_res125!O6,creep_res125!C6)</f>
        <v>-7.7760822857142866E-4</v>
      </c>
      <c r="H6" s="2">
        <f>IF('Modell einstellen'!$B$2="Ja",creep_res160!O6,creep_res160!C6)</f>
        <v>-8.5763660000000004E-4</v>
      </c>
      <c r="M6" s="9">
        <f t="shared" si="27"/>
        <v>-10</v>
      </c>
      <c r="N6" s="2">
        <f t="shared" si="4"/>
        <v>9.9999999999999998E-13</v>
      </c>
      <c r="O6" s="2">
        <f t="shared" si="5"/>
        <v>16141.345054593947</v>
      </c>
      <c r="P6" s="2">
        <f t="shared" si="6"/>
        <v>16111.635404186381</v>
      </c>
      <c r="Q6" s="2">
        <f t="shared" si="7"/>
        <v>16092.449004523403</v>
      </c>
      <c r="R6" s="2">
        <f t="shared" si="8"/>
        <v>16072.761298554202</v>
      </c>
      <c r="S6" s="2">
        <f t="shared" si="9"/>
        <v>16046.982630837694</v>
      </c>
      <c r="T6" s="2">
        <f t="shared" si="10"/>
        <v>12859.946220439759</v>
      </c>
      <c r="U6" s="2">
        <f t="shared" si="11"/>
        <v>11659.950146717152</v>
      </c>
      <c r="Z6" s="2">
        <v>9.9999999999999998E-13</v>
      </c>
      <c r="AA6" s="3">
        <f>IF('Modell einstellen'!$B$2="Ja",'creep_res-40'!P6,'creep_res-40'!L6)</f>
        <v>0.35744354668332945</v>
      </c>
      <c r="AB6" s="2">
        <f>IF('Modell einstellen'!$B$2="Ja",creep_res0!P6,creep_res0!L6)</f>
        <v>0.35703189795387291</v>
      </c>
      <c r="AC6" s="2">
        <f>IF('Modell einstellen'!$B$2="Ja",creep_res25!P6,creep_res25!L6)</f>
        <v>0.35677284050714025</v>
      </c>
      <c r="AD6" s="2">
        <f>IF('Modell einstellen'!$B$2="Ja",creep_res50!P6,creep_res50!L6)</f>
        <v>0.35651257266495379</v>
      </c>
      <c r="AE6" s="2">
        <f>IF('Modell einstellen'!$B$2="Ja",creep_res80!P6,creep_res80!L6)</f>
        <v>0.35621700453817834</v>
      </c>
      <c r="AF6" s="2">
        <f>IF('Modell einstellen'!$B$2="Ja",creep_res125!P6,creep_res125!L6)</f>
        <v>0.39780663696680457</v>
      </c>
      <c r="AG6" s="2">
        <f>IF('Modell einstellen'!$B$2="Ja",creep_res160!P6,creep_res160!L6)</f>
        <v>0.41560702983058323</v>
      </c>
      <c r="AL6" s="2">
        <f t="shared" si="12"/>
        <v>9.9999999999999998E-13</v>
      </c>
      <c r="AM6" s="2">
        <f t="shared" si="13"/>
        <v>5945.4940479964844</v>
      </c>
      <c r="AN6" s="2">
        <f t="shared" si="14"/>
        <v>5936.3510277390824</v>
      </c>
      <c r="AO6" s="2">
        <f t="shared" si="15"/>
        <v>5930.413892464232</v>
      </c>
      <c r="AP6" s="2">
        <f t="shared" si="16"/>
        <v>5924.2949982314785</v>
      </c>
      <c r="AQ6" s="2">
        <f t="shared" si="17"/>
        <v>5916.0822262002403</v>
      </c>
      <c r="AR6" s="2">
        <f t="shared" si="18"/>
        <v>4600.0447702643005</v>
      </c>
      <c r="AS6" s="2">
        <f t="shared" si="19"/>
        <v>4118.3569666620651</v>
      </c>
      <c r="AX6" s="2">
        <f t="shared" si="28"/>
        <v>9.9999999999999998E-13</v>
      </c>
      <c r="AY6" s="37">
        <f t="shared" si="20"/>
        <v>18871.290027044066</v>
      </c>
      <c r="AZ6" s="37">
        <f t="shared" si="21"/>
        <v>18782.319474997461</v>
      </c>
      <c r="BA6" s="37">
        <f t="shared" si="22"/>
        <v>18726.021262894224</v>
      </c>
      <c r="BB6" s="37">
        <f t="shared" si="23"/>
        <v>18669.186558791618</v>
      </c>
      <c r="BC6" s="37">
        <f t="shared" si="24"/>
        <v>18600.927714360827</v>
      </c>
      <c r="BD6" s="37">
        <f t="shared" si="25"/>
        <v>20973.224742364902</v>
      </c>
      <c r="BE6" s="37">
        <f t="shared" si="26"/>
        <v>23027.095983844181</v>
      </c>
    </row>
    <row r="7" spans="1:308" x14ac:dyDescent="0.25">
      <c r="A7" s="2">
        <f>'creep_res-40'!A7</f>
        <v>9.9999999999999994E-12</v>
      </c>
      <c r="B7" s="3">
        <f>'creep_res-40'!O7</f>
        <v>-6.1952725714285717E-4</v>
      </c>
      <c r="C7" s="2">
        <f>IF('Modell einstellen'!$B$2="Ja",creep_res0!O7,creep_res0!C7)</f>
        <v>-6.2066965714285718E-4</v>
      </c>
      <c r="D7" s="2">
        <f>IF('Modell einstellen'!$B$2="Ja",creep_res25!O7,creep_res25!C7)</f>
        <v>-6.2140965714285723E-4</v>
      </c>
      <c r="E7" s="2">
        <f>IF('Modell einstellen'!$B$2="Ja",creep_res50!O7,creep_res50!C7)</f>
        <v>-6.2217082857142861E-4</v>
      </c>
      <c r="F7" s="2">
        <f>IF('Modell einstellen'!$B$2="Ja",creep_res80!O7,creep_res80!C7)</f>
        <v>-6.2367177142857153E-4</v>
      </c>
      <c r="G7" s="2">
        <f>IF('Modell einstellen'!$B$2="Ja",creep_res125!O7,creep_res125!C7)</f>
        <v>-8.190924571428572E-4</v>
      </c>
      <c r="H7" s="2">
        <f>IF('Modell einstellen'!$B$2="Ja",creep_res160!O7,creep_res160!C7)</f>
        <v>-9.1411340000000006E-4</v>
      </c>
      <c r="M7" s="9">
        <f t="shared" si="27"/>
        <v>-10</v>
      </c>
      <c r="N7" s="2">
        <f t="shared" si="4"/>
        <v>9.9999999999999994E-12</v>
      </c>
      <c r="O7" s="2">
        <f t="shared" si="5"/>
        <v>16141.339843735226</v>
      </c>
      <c r="P7" s="2">
        <f t="shared" si="6"/>
        <v>16111.630212492148</v>
      </c>
      <c r="Q7" s="2">
        <f t="shared" si="7"/>
        <v>16092.443825186769</v>
      </c>
      <c r="R7" s="2">
        <f t="shared" si="8"/>
        <v>16072.75613188275</v>
      </c>
      <c r="S7" s="2">
        <f t="shared" si="9"/>
        <v>16034.075066591802</v>
      </c>
      <c r="T7" s="2">
        <f t="shared" si="10"/>
        <v>12208.633973851756</v>
      </c>
      <c r="U7" s="2">
        <f t="shared" si="11"/>
        <v>10939.561765531496</v>
      </c>
      <c r="Z7" s="2">
        <v>9.9999999999999994E-12</v>
      </c>
      <c r="AA7" s="3">
        <f>IF('Modell einstellen'!$B$2="Ja",'creep_res-40'!P7,'creep_res-40'!L7)</f>
        <v>0.35744357886893852</v>
      </c>
      <c r="AB7" s="2">
        <f>IF('Modell einstellen'!$B$2="Ja",creep_res0!P7,creep_res0!L7)</f>
        <v>0.35703193481621098</v>
      </c>
      <c r="AC7" s="2">
        <f>IF('Modell einstellen'!$B$2="Ja",creep_res25!P7,creep_res25!L7)</f>
        <v>0.35677287740895841</v>
      </c>
      <c r="AD7" s="2">
        <f>IF('Modell einstellen'!$B$2="Ja",creep_res50!P7,creep_res50!L7)</f>
        <v>0.35651260960529035</v>
      </c>
      <c r="AE7" s="2">
        <f>IF('Modell einstellen'!$B$2="Ja",creep_res80!P7,creep_res80!L7)</f>
        <v>0.35637729223137143</v>
      </c>
      <c r="AF7" s="2">
        <f>IF('Modell einstellen'!$B$2="Ja",creep_res125!P7,creep_res125!L7)</f>
        <v>0.40799472280052385</v>
      </c>
      <c r="AG7" s="2">
        <f>IF('Modell einstellen'!$B$2="Ja",creep_res160!P7,creep_res160!L7)</f>
        <v>0.4282149551373261</v>
      </c>
      <c r="AL7" s="2">
        <f t="shared" si="12"/>
        <v>9.9999999999999994E-12</v>
      </c>
      <c r="AM7" s="2">
        <f t="shared" si="13"/>
        <v>5945.491987661344</v>
      </c>
      <c r="AN7" s="2">
        <f t="shared" si="14"/>
        <v>5936.3489535985827</v>
      </c>
      <c r="AO7" s="2">
        <f t="shared" si="15"/>
        <v>5930.4118224704844</v>
      </c>
      <c r="AP7" s="2">
        <f t="shared" si="16"/>
        <v>5924.2929325070927</v>
      </c>
      <c r="AQ7" s="2">
        <f t="shared" si="17"/>
        <v>5910.6250002955303</v>
      </c>
      <c r="AR7" s="2">
        <f t="shared" si="18"/>
        <v>4335.4686548713016</v>
      </c>
      <c r="AS7" s="2">
        <f t="shared" si="19"/>
        <v>3829.8022738739742</v>
      </c>
      <c r="AX7" s="2">
        <f t="shared" si="28"/>
        <v>9.9999999999999994E-12</v>
      </c>
      <c r="AY7" s="37">
        <f t="shared" si="20"/>
        <v>18871.288195541227</v>
      </c>
      <c r="AZ7" s="37">
        <f t="shared" si="21"/>
        <v>18782.318265481463</v>
      </c>
      <c r="BA7" s="37">
        <f t="shared" si="22"/>
        <v>18726.020060618161</v>
      </c>
      <c r="BB7" s="37">
        <f t="shared" si="23"/>
        <v>18669.185363802473</v>
      </c>
      <c r="BC7" s="37">
        <f t="shared" si="24"/>
        <v>18606.708409487917</v>
      </c>
      <c r="BD7" s="37">
        <f t="shared" si="25"/>
        <v>22115.821949687881</v>
      </c>
      <c r="BE7" s="37">
        <f t="shared" si="26"/>
        <v>25398.88771739545</v>
      </c>
    </row>
    <row r="8" spans="1:308" x14ac:dyDescent="0.25">
      <c r="A8" s="2">
        <f>'creep_res-40'!A8</f>
        <v>1E-10</v>
      </c>
      <c r="B8" s="3">
        <f>'creep_res-40'!O8</f>
        <v>-6.1952734285714288E-4</v>
      </c>
      <c r="C8" s="2">
        <f>IF('Modell einstellen'!$B$2="Ja",creep_res0!O8,creep_res0!C8)</f>
        <v>-6.2066971428571425E-4</v>
      </c>
      <c r="D8" s="2">
        <f>IF('Modell einstellen'!$B$2="Ja",creep_res25!O8,creep_res25!C8)</f>
        <v>-6.2140974285714284E-4</v>
      </c>
      <c r="E8" s="2">
        <f>IF('Modell einstellen'!$B$2="Ja",creep_res50!O8,creep_res50!C8)</f>
        <v>-6.2217091428571432E-4</v>
      </c>
      <c r="F8" s="2">
        <f>IF('Modell einstellen'!$B$2="Ja",creep_res80!O8,creep_res80!C8)</f>
        <v>-6.2789734285714294E-4</v>
      </c>
      <c r="G8" s="2">
        <f>IF('Modell einstellen'!$B$2="Ja",creep_res125!O8,creep_res125!C8)</f>
        <v>-8.6683934285714296E-4</v>
      </c>
      <c r="H8" s="2">
        <f>IF('Modell einstellen'!$B$2="Ja",creep_res160!O8,creep_res160!C8)</f>
        <v>-9.859250571428572E-4</v>
      </c>
      <c r="M8" s="9">
        <f t="shared" si="27"/>
        <v>-10</v>
      </c>
      <c r="N8" s="2">
        <f t="shared" si="4"/>
        <v>1E-10</v>
      </c>
      <c r="O8" s="2">
        <f t="shared" si="5"/>
        <v>16141.337610511091</v>
      </c>
      <c r="P8" s="2">
        <f t="shared" si="6"/>
        <v>16111.628729151553</v>
      </c>
      <c r="Q8" s="2">
        <f t="shared" si="7"/>
        <v>16092.441605472093</v>
      </c>
      <c r="R8" s="2">
        <f t="shared" si="8"/>
        <v>16072.753917596001</v>
      </c>
      <c r="S8" s="2">
        <f t="shared" si="9"/>
        <v>15926.170278881345</v>
      </c>
      <c r="T8" s="2">
        <f t="shared" si="10"/>
        <v>11536.163053051483</v>
      </c>
      <c r="U8" s="2">
        <f t="shared" si="11"/>
        <v>10142.758749817465</v>
      </c>
      <c r="Z8" s="2">
        <v>1E-10</v>
      </c>
      <c r="AA8" s="3">
        <f>IF('Modell einstellen'!$B$2="Ja",'creep_res-40'!P8,'creep_res-40'!L8)</f>
        <v>0.35744358014499261</v>
      </c>
      <c r="AB8" s="2">
        <f>IF('Modell einstellen'!$B$2="Ja",creep_res0!P8,creep_res0!L8)</f>
        <v>0.35703194797877325</v>
      </c>
      <c r="AC8" s="2">
        <f>IF('Modell einstellen'!$B$2="Ja",creep_res25!P8,creep_res25!L8)</f>
        <v>0.35677287417581988</v>
      </c>
      <c r="AD8" s="2">
        <f>IF('Modell einstellen'!$B$2="Ja",creep_res50!P8,creep_res50!L8)</f>
        <v>0.35651262478082502</v>
      </c>
      <c r="AE8" s="2">
        <f>IF('Modell einstellen'!$B$2="Ja",creep_res80!P8,creep_res80!L8)</f>
        <v>0.35772019966685181</v>
      </c>
      <c r="AF8" s="2">
        <f>IF('Modell einstellen'!$B$2="Ja",creep_res125!P8,creep_res125!L8)</f>
        <v>0.41922597817351359</v>
      </c>
      <c r="AG8" s="2">
        <f>IF('Modell einstellen'!$B$2="Ja",creep_res160!P8,creep_res160!L8)</f>
        <v>0.44341637441756293</v>
      </c>
      <c r="AL8" s="2">
        <f t="shared" si="12"/>
        <v>1E-10</v>
      </c>
      <c r="AM8" s="2">
        <f t="shared" si="13"/>
        <v>5945.4911594878167</v>
      </c>
      <c r="AN8" s="2">
        <f t="shared" si="14"/>
        <v>5936.3483494802622</v>
      </c>
      <c r="AO8" s="2">
        <f t="shared" si="15"/>
        <v>5930.4110185898089</v>
      </c>
      <c r="AP8" s="2">
        <f t="shared" si="16"/>
        <v>5924.292050062164</v>
      </c>
      <c r="AQ8" s="2">
        <f t="shared" si="17"/>
        <v>5865.0413696390469</v>
      </c>
      <c r="AR8" s="2">
        <f t="shared" si="18"/>
        <v>4064.2446060274551</v>
      </c>
      <c r="AS8" s="2">
        <f t="shared" si="19"/>
        <v>3513.4556215320054</v>
      </c>
      <c r="AX8" s="2">
        <f t="shared" si="28"/>
        <v>1E-10</v>
      </c>
      <c r="AY8" s="37">
        <f t="shared" si="20"/>
        <v>18871.285753537995</v>
      </c>
      <c r="AZ8" s="37">
        <f t="shared" si="21"/>
        <v>18782.31826548147</v>
      </c>
      <c r="BA8" s="37">
        <f t="shared" si="22"/>
        <v>18726.0170549287</v>
      </c>
      <c r="BB8" s="37">
        <f t="shared" si="23"/>
        <v>18669.184766307942</v>
      </c>
      <c r="BC8" s="37">
        <f t="shared" si="24"/>
        <v>18655.928016005801</v>
      </c>
      <c r="BD8" s="37">
        <f t="shared" si="25"/>
        <v>23803.36893841259</v>
      </c>
      <c r="BE8" s="37">
        <f t="shared" si="26"/>
        <v>29875.423750876511</v>
      </c>
    </row>
    <row r="9" spans="1:308" x14ac:dyDescent="0.25">
      <c r="A9" s="2">
        <f>'creep_res-40'!A9</f>
        <v>1.0000000000000001E-9</v>
      </c>
      <c r="B9" s="3">
        <f>'creep_res-40'!O9</f>
        <v>-6.1952737142857142E-4</v>
      </c>
      <c r="C9" s="2">
        <f>IF('Modell einstellen'!$B$2="Ja",creep_res0!O9,creep_res0!C9)</f>
        <v>-6.2066974285714289E-4</v>
      </c>
      <c r="D9" s="2">
        <f>IF('Modell einstellen'!$B$2="Ja",creep_res25!O9,creep_res25!C9)</f>
        <v>-6.2140974285714284E-4</v>
      </c>
      <c r="E9" s="2">
        <f>IF('Modell einstellen'!$B$2="Ja",creep_res50!O9,creep_res50!C9)</f>
        <v>-6.2217114285714292E-4</v>
      </c>
      <c r="F9" s="2">
        <f>IF('Modell einstellen'!$B$2="Ja",creep_res80!O9,creep_res80!C9)</f>
        <v>-6.4159802857142859E-4</v>
      </c>
      <c r="G9" s="2">
        <f>IF('Modell einstellen'!$B$2="Ja",creep_res125!O9,creep_res125!C9)</f>
        <v>-9.2476508571428574E-4</v>
      </c>
      <c r="H9" s="2">
        <f>IF('Modell einstellen'!$B$2="Ja",creep_res160!O9,creep_res160!C9)</f>
        <v>-1.1008914E-3</v>
      </c>
      <c r="M9" s="9">
        <f t="shared" si="27"/>
        <v>-10</v>
      </c>
      <c r="N9" s="2">
        <f t="shared" si="4"/>
        <v>1.0000000000000001E-9</v>
      </c>
      <c r="O9" s="2">
        <f t="shared" si="5"/>
        <v>16141.336866103184</v>
      </c>
      <c r="P9" s="2">
        <f t="shared" si="6"/>
        <v>16111.627987481355</v>
      </c>
      <c r="Q9" s="2">
        <f t="shared" si="7"/>
        <v>16092.441605472093</v>
      </c>
      <c r="R9" s="2">
        <f t="shared" si="8"/>
        <v>16072.748012834318</v>
      </c>
      <c r="S9" s="2">
        <f t="shared" si="9"/>
        <v>15586.082803692263</v>
      </c>
      <c r="T9" s="2">
        <f t="shared" si="10"/>
        <v>10813.5570367863</v>
      </c>
      <c r="U9" s="2">
        <f t="shared" si="11"/>
        <v>9083.5481138284849</v>
      </c>
      <c r="Z9" s="2">
        <v>1.0000000000000001E-9</v>
      </c>
      <c r="AA9" s="3">
        <f>IF('Modell einstellen'!$B$2="Ja",'creep_res-40'!P9,'creep_res-40'!L9)</f>
        <v>0.35744357749580352</v>
      </c>
      <c r="AB9" s="2">
        <f>IF('Modell einstellen'!$B$2="Ja",creep_res0!P9,creep_res0!L9)</f>
        <v>0.3570319499567311</v>
      </c>
      <c r="AC9" s="2">
        <f>IF('Modell einstellen'!$B$2="Ja",creep_res25!P9,creep_res25!L9)</f>
        <v>0.35677289256718175</v>
      </c>
      <c r="AD9" s="2">
        <f>IF('Modell einstellen'!$B$2="Ja",creep_res50!P9,creep_res50!L9)</f>
        <v>0.35651268208701414</v>
      </c>
      <c r="AE9" s="2">
        <f>IF('Modell einstellen'!$B$2="Ja",creep_res80!P9,creep_res80!L9)</f>
        <v>0.36183053822172867</v>
      </c>
      <c r="AF9" s="2">
        <f>IF('Modell einstellen'!$B$2="Ja",creep_res125!P9,creep_res125!L9)</f>
        <v>0.4322529415810249</v>
      </c>
      <c r="AG9" s="2">
        <f>IF('Modell einstellen'!$B$2="Ja",creep_res160!P9,creep_res160!L9)</f>
        <v>0.46607449199802997</v>
      </c>
      <c r="AL9" s="2">
        <f t="shared" si="12"/>
        <v>1.0000000000000001E-9</v>
      </c>
      <c r="AM9" s="2">
        <f t="shared" si="13"/>
        <v>5945.4908968962591</v>
      </c>
      <c r="AN9" s="2">
        <f t="shared" si="14"/>
        <v>5936.3480675584215</v>
      </c>
      <c r="AO9" s="2">
        <f t="shared" si="15"/>
        <v>5930.4109382017532</v>
      </c>
      <c r="AP9" s="2">
        <f t="shared" si="16"/>
        <v>5924.2896233399624</v>
      </c>
      <c r="AQ9" s="2">
        <f t="shared" si="17"/>
        <v>5722.4751414535358</v>
      </c>
      <c r="AR9" s="2">
        <f t="shared" si="18"/>
        <v>3775.0165221687416</v>
      </c>
      <c r="AS9" s="2">
        <f t="shared" si="19"/>
        <v>3097.9149297690292</v>
      </c>
      <c r="AX9" s="2">
        <f t="shared" si="28"/>
        <v>1.0000000000000001E-9</v>
      </c>
      <c r="AY9" s="37">
        <f t="shared" si="20"/>
        <v>18871.284532536614</v>
      </c>
      <c r="AZ9" s="37">
        <f t="shared" si="21"/>
        <v>18782.317660723515</v>
      </c>
      <c r="BA9" s="37">
        <f t="shared" si="22"/>
        <v>18726.019459480198</v>
      </c>
      <c r="BB9" s="37">
        <f t="shared" si="23"/>
        <v>18669.185363802462</v>
      </c>
      <c r="BC9" s="37">
        <f t="shared" si="24"/>
        <v>18800.684564080409</v>
      </c>
      <c r="BD9" s="37">
        <f t="shared" si="25"/>
        <v>26602.771370310296</v>
      </c>
      <c r="BE9" s="37">
        <f t="shared" si="26"/>
        <v>44624.967312211462</v>
      </c>
    </row>
    <row r="10" spans="1:308" x14ac:dyDescent="0.25">
      <c r="A10" s="2">
        <f>'creep_res-40'!A10</f>
        <v>1E-8</v>
      </c>
      <c r="B10" s="3">
        <f>'creep_res-40'!O10</f>
        <v>-6.1952737142857142E-4</v>
      </c>
      <c r="C10" s="2">
        <f>IF('Modell einstellen'!$B$2="Ja",creep_res0!O10,creep_res0!C10)</f>
        <v>-6.2066974285714289E-4</v>
      </c>
      <c r="D10" s="2">
        <f>IF('Modell einstellen'!$B$2="Ja",creep_res25!O10,creep_res25!C10)</f>
        <v>-6.2140977142857148E-4</v>
      </c>
      <c r="E10" s="2">
        <f>IF('Modell einstellen'!$B$2="Ja",creep_res50!O10,creep_res50!C10)</f>
        <v>-6.2217305714285724E-4</v>
      </c>
      <c r="F10" s="2">
        <f>IF('Modell einstellen'!$B$2="Ja",creep_res80!O10,creep_res80!C10)</f>
        <v>-6.5623828571428574E-4</v>
      </c>
      <c r="G10" s="2">
        <f>IF('Modell einstellen'!$B$2="Ja",creep_res125!O10,creep_res125!C10)</f>
        <v>-1.0029450000000001E-3</v>
      </c>
      <c r="H10" s="2">
        <f>IF('Modell einstellen'!$B$2="Ja",creep_res160!O10,creep_res160!C10)</f>
        <v>-1.2869660000000001E-3</v>
      </c>
      <c r="M10" s="9">
        <f t="shared" si="27"/>
        <v>-10</v>
      </c>
      <c r="N10" s="2">
        <f t="shared" si="4"/>
        <v>1E-8</v>
      </c>
      <c r="O10" s="2">
        <f t="shared" si="5"/>
        <v>16141.336866103184</v>
      </c>
      <c r="P10" s="2">
        <f t="shared" si="6"/>
        <v>16111.627987481355</v>
      </c>
      <c r="Q10" s="2">
        <f t="shared" si="7"/>
        <v>16092.440865567334</v>
      </c>
      <c r="R10" s="2">
        <f t="shared" si="8"/>
        <v>16072.698560625551</v>
      </c>
      <c r="S10" s="2">
        <f t="shared" si="9"/>
        <v>15238.367248133734</v>
      </c>
      <c r="T10" s="2">
        <f t="shared" si="10"/>
        <v>9970.6364755794184</v>
      </c>
      <c r="U10" s="2">
        <f t="shared" si="11"/>
        <v>7770.213043701232</v>
      </c>
      <c r="Z10" s="2">
        <v>1E-8</v>
      </c>
      <c r="AA10" s="3">
        <f>IF('Modell einstellen'!$B$2="Ja",'creep_res-40'!P10,'creep_res-40'!L10)</f>
        <v>0.35744358671942456</v>
      </c>
      <c r="AB10" s="2">
        <f>IF('Modell einstellen'!$B$2="Ja",creep_res0!P10,creep_res0!L10)</f>
        <v>0.35703195456005338</v>
      </c>
      <c r="AC10" s="2">
        <f>IF('Modell einstellen'!$B$2="Ja",creep_res25!P10,creep_res25!L10)</f>
        <v>0.35677288535901452</v>
      </c>
      <c r="AD10" s="2">
        <f>IF('Modell einstellen'!$B$2="Ja",creep_res50!P10,creep_res50!L10)</f>
        <v>0.35651331184520685</v>
      </c>
      <c r="AE10" s="2">
        <f>IF('Modell einstellen'!$B$2="Ja",creep_res80!P10,creep_res80!L10)</f>
        <v>0.36618814855579462</v>
      </c>
      <c r="AF10" s="2">
        <f>IF('Modell einstellen'!$B$2="Ja",creep_res125!P10,creep_res125!L10)</f>
        <v>0.44885007937338817</v>
      </c>
      <c r="AG10" s="2">
        <f>IF('Modell einstellen'!$B$2="Ja",creep_res160!P10,creep_res160!L10)</f>
        <v>0.49933580218902446</v>
      </c>
      <c r="AL10" s="2">
        <f t="shared" si="12"/>
        <v>1E-8</v>
      </c>
      <c r="AM10" s="2">
        <f t="shared" si="13"/>
        <v>5945.4908564975603</v>
      </c>
      <c r="AN10" s="2">
        <f t="shared" si="14"/>
        <v>5936.3480474211492</v>
      </c>
      <c r="AO10" s="2">
        <f t="shared" si="15"/>
        <v>5930.4106970375988</v>
      </c>
      <c r="AP10" s="2">
        <f t="shared" si="16"/>
        <v>5924.2686453119095</v>
      </c>
      <c r="AQ10" s="2">
        <f t="shared" si="17"/>
        <v>5576.9650996615301</v>
      </c>
      <c r="AR10" s="2">
        <f t="shared" si="18"/>
        <v>3440.8792936987693</v>
      </c>
      <c r="AS10" s="2">
        <f t="shared" si="19"/>
        <v>2591.2184022941196</v>
      </c>
      <c r="AX10" s="2">
        <f t="shared" si="28"/>
        <v>1E-8</v>
      </c>
      <c r="AY10" s="37">
        <f t="shared" si="20"/>
        <v>18871.285753537988</v>
      </c>
      <c r="AZ10" s="37">
        <f t="shared" si="21"/>
        <v>18782.318265481459</v>
      </c>
      <c r="BA10" s="37">
        <f t="shared" si="22"/>
        <v>18726.017656066506</v>
      </c>
      <c r="BB10" s="37">
        <f t="shared" si="23"/>
        <v>18669.209861110783</v>
      </c>
      <c r="BC10" s="37">
        <f t="shared" si="24"/>
        <v>18979.84257207538</v>
      </c>
      <c r="BD10" s="37">
        <f t="shared" si="25"/>
        <v>32488.27614143609</v>
      </c>
      <c r="BE10" s="37">
        <f t="shared" si="26"/>
        <v>1949773.826236272</v>
      </c>
    </row>
    <row r="11" spans="1:308" x14ac:dyDescent="0.25">
      <c r="A11" s="2">
        <f>'creep_res-40'!A11</f>
        <v>9.9999999999999995E-8</v>
      </c>
      <c r="B11" s="3">
        <f>'creep_res-40'!O11</f>
        <v>-6.1952737142857142E-4</v>
      </c>
      <c r="C11" s="2">
        <f>IF('Modell einstellen'!$B$2="Ja",creep_res0!O11,creep_res0!C11)</f>
        <v>-6.2066977142857143E-4</v>
      </c>
      <c r="D11" s="2">
        <f>IF('Modell einstellen'!$B$2="Ja",creep_res25!O11,creep_res25!C11)</f>
        <v>-6.2140980000000001E-4</v>
      </c>
      <c r="E11" s="2">
        <f>IF('Modell einstellen'!$B$2="Ja",creep_res50!O11,creep_res50!C11)</f>
        <v>-6.2219222857142864E-4</v>
      </c>
      <c r="F11" s="2">
        <f>IF('Modell einstellen'!$B$2="Ja",creep_res80!O11,creep_res80!C11)</f>
        <v>-6.7388657142857151E-4</v>
      </c>
      <c r="G11" s="2">
        <f>IF('Modell einstellen'!$B$2="Ja",creep_res125!O11,creep_res125!C11)</f>
        <v>-1.1283940285714287E-3</v>
      </c>
      <c r="H11" s="2">
        <f>IF('Modell einstellen'!$B$2="Ja",creep_res160!O11,creep_res160!C11)</f>
        <v>-1.6095891714285717E-3</v>
      </c>
      <c r="M11" s="9">
        <f t="shared" si="27"/>
        <v>-10</v>
      </c>
      <c r="N11" s="2">
        <f t="shared" si="4"/>
        <v>9.9999999999999995E-8</v>
      </c>
      <c r="O11" s="2">
        <f t="shared" si="5"/>
        <v>16141.336866103184</v>
      </c>
      <c r="P11" s="2">
        <f t="shared" si="6"/>
        <v>16111.627245811231</v>
      </c>
      <c r="Q11" s="2">
        <f t="shared" si="7"/>
        <v>16092.440125662646</v>
      </c>
      <c r="R11" s="2">
        <f t="shared" si="8"/>
        <v>16072.20331722929</v>
      </c>
      <c r="S11" s="2">
        <f t="shared" si="9"/>
        <v>14839.292581244064</v>
      </c>
      <c r="T11" s="2">
        <f t="shared" si="10"/>
        <v>8862.152534305962</v>
      </c>
      <c r="U11" s="2">
        <f t="shared" si="11"/>
        <v>6212.7654543827603</v>
      </c>
      <c r="Z11" s="2">
        <v>9.9999999999999995E-8</v>
      </c>
      <c r="AA11" s="3">
        <f>IF('Modell einstellen'!$B$2="Ja",'creep_res-40'!P11,'creep_res-40'!L11)</f>
        <v>0.35744358671942456</v>
      </c>
      <c r="AB11" s="2">
        <f>IF('Modell einstellen'!$B$2="Ja",creep_res0!P11,creep_res0!L11)</f>
        <v>0.35703194272804467</v>
      </c>
      <c r="AC11" s="2">
        <f>IF('Modell einstellen'!$B$2="Ja",creep_res25!P11,creep_res25!L11)</f>
        <v>0.35677288734652812</v>
      </c>
      <c r="AD11" s="2">
        <f>IF('Modell einstellen'!$B$2="Ja",creep_res50!P11,creep_res50!L11)</f>
        <v>0.35651951936948467</v>
      </c>
      <c r="AE11" s="2">
        <f>IF('Modell einstellen'!$B$2="Ja",creep_res80!P11,creep_res80!L11)</f>
        <v>0.37132335963279961</v>
      </c>
      <c r="AF11" s="2">
        <f>IF('Modell einstellen'!$B$2="Ja",creep_res125!P11,creep_res125!L11)</f>
        <v>0.47357347892989043</v>
      </c>
      <c r="AG11" s="2">
        <f>IF('Modell einstellen'!$B$2="Ja",creep_res160!P11,creep_res160!L11)</f>
        <v>0.54904567396177273</v>
      </c>
      <c r="AL11" s="2">
        <f t="shared" si="12"/>
        <v>9.9999999999999995E-8</v>
      </c>
      <c r="AM11" s="2">
        <f t="shared" si="13"/>
        <v>5945.4908564975603</v>
      </c>
      <c r="AN11" s="2">
        <f t="shared" si="14"/>
        <v>5936.3478259111525</v>
      </c>
      <c r="AO11" s="2">
        <f t="shared" si="15"/>
        <v>5930.4104156794438</v>
      </c>
      <c r="AP11" s="2">
        <f t="shared" si="16"/>
        <v>5924.0589935262078</v>
      </c>
      <c r="AQ11" s="2">
        <f t="shared" si="17"/>
        <v>5410.5738362167167</v>
      </c>
      <c r="AR11" s="2">
        <f t="shared" si="18"/>
        <v>3007.0276986600152</v>
      </c>
      <c r="AS11" s="2">
        <f t="shared" si="19"/>
        <v>2005.3525724949279</v>
      </c>
      <c r="AX11" s="2">
        <f t="shared" si="28"/>
        <v>9.9999999999999995E-8</v>
      </c>
      <c r="AY11" s="37">
        <f t="shared" si="20"/>
        <v>18871.285753537988</v>
      </c>
      <c r="AZ11" s="37">
        <f t="shared" si="21"/>
        <v>18782.31584644991</v>
      </c>
      <c r="BA11" s="37">
        <f t="shared" si="22"/>
        <v>18726.017054928692</v>
      </c>
      <c r="BB11" s="37">
        <f t="shared" si="23"/>
        <v>18669.442289990799</v>
      </c>
      <c r="BC11" s="37">
        <f t="shared" si="24"/>
        <v>19220.391697744119</v>
      </c>
      <c r="BD11" s="37">
        <f t="shared" si="25"/>
        <v>55891.784562401474</v>
      </c>
      <c r="BE11" s="37">
        <f t="shared" si="26"/>
        <v>-21112.176170131828</v>
      </c>
    </row>
    <row r="12" spans="1:308" x14ac:dyDescent="0.25">
      <c r="A12" s="2">
        <f>'creep_res-40'!A12</f>
        <v>9.9999999999999995E-7</v>
      </c>
      <c r="B12" s="3">
        <f>'creep_res-40'!O12</f>
        <v>-6.1952737142857142E-4</v>
      </c>
      <c r="C12" s="2">
        <f>IF('Modell einstellen'!$B$2="Ja",creep_res0!O12,creep_res0!C12)</f>
        <v>-6.2066977142857143E-4</v>
      </c>
      <c r="D12" s="2">
        <f>IF('Modell einstellen'!$B$2="Ja",creep_res25!O12,creep_res25!C12)</f>
        <v>-6.2141000000000008E-4</v>
      </c>
      <c r="E12" s="2">
        <f>IF('Modell einstellen'!$B$2="Ja",creep_res50!O12,creep_res50!C12)</f>
        <v>-6.2238277142857151E-4</v>
      </c>
      <c r="F12" s="2">
        <f>IF('Modell einstellen'!$B$2="Ja",creep_res80!O12,creep_res80!C12)</f>
        <v>-6.9584814285714289E-4</v>
      </c>
      <c r="G12" s="2">
        <f>IF('Modell einstellen'!$B$2="Ja",creep_res125!O12,creep_res125!C12)</f>
        <v>-1.3335056285714287E-3</v>
      </c>
      <c r="H12" s="2">
        <f>IF('Modell einstellen'!$B$2="Ja",creep_res160!O12,creep_res160!C12)</f>
        <v>-2.2664522285714287E-3</v>
      </c>
      <c r="M12" s="9">
        <f t="shared" si="27"/>
        <v>-10</v>
      </c>
      <c r="N12" s="2">
        <f t="shared" si="4"/>
        <v>9.9999999999999995E-7</v>
      </c>
      <c r="O12" s="2">
        <f t="shared" si="5"/>
        <v>16141.336866103184</v>
      </c>
      <c r="P12" s="2">
        <f t="shared" si="6"/>
        <v>16111.627245811231</v>
      </c>
      <c r="Q12" s="2">
        <f t="shared" si="7"/>
        <v>16092.434946331727</v>
      </c>
      <c r="R12" s="2">
        <f t="shared" si="8"/>
        <v>16067.282802585838</v>
      </c>
      <c r="S12" s="2">
        <f t="shared" si="9"/>
        <v>14370.951625939731</v>
      </c>
      <c r="T12" s="2">
        <f t="shared" si="10"/>
        <v>7499.0309645058651</v>
      </c>
      <c r="U12" s="2">
        <f t="shared" si="11"/>
        <v>4412.1821205572542</v>
      </c>
      <c r="Z12" s="2">
        <v>9.9999999999999995E-7</v>
      </c>
      <c r="AA12" s="3">
        <f>IF('Modell einstellen'!$B$2="Ja",'creep_res-40'!P12,'creep_res-40'!L12)</f>
        <v>0.35744358671942456</v>
      </c>
      <c r="AB12" s="2">
        <f>IF('Modell einstellen'!$B$2="Ja",creep_res0!P12,creep_res0!L12)</f>
        <v>0.35703194272804467</v>
      </c>
      <c r="AC12" s="2">
        <f>IF('Modell einstellen'!$B$2="Ja",creep_res25!P12,creep_res25!L12)</f>
        <v>0.35677296562885791</v>
      </c>
      <c r="AD12" s="2">
        <f>IF('Modell einstellen'!$B$2="Ja",creep_res50!P12,creep_res50!L12)</f>
        <v>0.35658111542474297</v>
      </c>
      <c r="AE12" s="2">
        <f>IF('Modell einstellen'!$B$2="Ja",creep_res80!P12,creep_res80!L12)</f>
        <v>0.3775498266555285</v>
      </c>
      <c r="AF12" s="2">
        <f>IF('Modell einstellen'!$B$2="Ja",creep_res125!P12,creep_res125!L12)</f>
        <v>0.50996266618147224</v>
      </c>
      <c r="AG12" s="2">
        <f>IF('Modell einstellen'!$B$2="Ja",creep_res160!P12,creep_res160!L12)</f>
        <v>0.62730730021500691</v>
      </c>
      <c r="AL12" s="2">
        <f t="shared" si="12"/>
        <v>9.9999999999999995E-7</v>
      </c>
      <c r="AM12" s="2">
        <f t="shared" si="13"/>
        <v>5945.4908564975603</v>
      </c>
      <c r="AN12" s="2">
        <f t="shared" si="14"/>
        <v>5936.3478259111525</v>
      </c>
      <c r="AO12" s="2">
        <f t="shared" si="15"/>
        <v>5930.408164815165</v>
      </c>
      <c r="AP12" s="2">
        <f t="shared" si="16"/>
        <v>5921.976437640149</v>
      </c>
      <c r="AQ12" s="2">
        <f t="shared" si="17"/>
        <v>5216.1277029195053</v>
      </c>
      <c r="AR12" s="2">
        <f t="shared" si="18"/>
        <v>2483.1842311274095</v>
      </c>
      <c r="AS12" s="2">
        <f t="shared" si="19"/>
        <v>1355.6696144527521</v>
      </c>
      <c r="AX12" s="2">
        <f t="shared" si="28"/>
        <v>9.9999999999999995E-7</v>
      </c>
      <c r="AY12" s="37">
        <f t="shared" si="20"/>
        <v>18871.285753537988</v>
      </c>
      <c r="AZ12" s="37">
        <f t="shared" si="21"/>
        <v>18782.31584644991</v>
      </c>
      <c r="BA12" s="37">
        <f t="shared" si="22"/>
        <v>18726.021262894217</v>
      </c>
      <c r="BB12" s="37">
        <f t="shared" si="23"/>
        <v>18671.742393118806</v>
      </c>
      <c r="BC12" s="37">
        <f t="shared" si="24"/>
        <v>19560.27124261664</v>
      </c>
      <c r="BD12" s="37">
        <f t="shared" si="25"/>
        <v>-125452.21041418209</v>
      </c>
      <c r="BE12" s="37">
        <f t="shared" si="26"/>
        <v>-5776.2884415709104</v>
      </c>
    </row>
    <row r="13" spans="1:308" x14ac:dyDescent="0.25">
      <c r="A13" s="2">
        <f>'creep_res-40'!A13</f>
        <v>1.0000000000000001E-5</v>
      </c>
      <c r="B13" s="3">
        <f>'creep_res-40'!O13</f>
        <v>-6.1952737142857142E-4</v>
      </c>
      <c r="C13" s="2">
        <f>IF('Modell einstellen'!$B$2="Ja",creep_res0!O13,creep_res0!C13)</f>
        <v>-6.2066980000000007E-4</v>
      </c>
      <c r="D13" s="2">
        <f>IF('Modell einstellen'!$B$2="Ja",creep_res25!O13,creep_res25!C13)</f>
        <v>-6.214121428571429E-4</v>
      </c>
      <c r="E13" s="2">
        <f>IF('Modell einstellen'!$B$2="Ja",creep_res50!O13,creep_res50!C13)</f>
        <v>-6.241672857142858E-4</v>
      </c>
      <c r="F13" s="2">
        <f>IF('Modell einstellen'!$B$2="Ja",creep_res80!O13,creep_res80!C13)</f>
        <v>-7.1980254285714288E-4</v>
      </c>
      <c r="G13" s="2">
        <f>IF('Modell einstellen'!$B$2="Ja",creep_res125!O13,creep_res125!C13)</f>
        <v>-1.7015873428571429E-3</v>
      </c>
      <c r="H13" s="2">
        <f>IF('Modell einstellen'!$B$2="Ja",creep_res160!O13,creep_res160!C13)</f>
        <v>-3.5457385714285717E-3</v>
      </c>
      <c r="M13" s="9">
        <f t="shared" si="27"/>
        <v>-10</v>
      </c>
      <c r="N13" s="2">
        <f t="shared" si="4"/>
        <v>1.0000000000000001E-5</v>
      </c>
      <c r="O13" s="2">
        <f t="shared" si="5"/>
        <v>16141.336866103184</v>
      </c>
      <c r="P13" s="2">
        <f t="shared" si="6"/>
        <v>16111.62650414117</v>
      </c>
      <c r="Q13" s="2">
        <f t="shared" si="7"/>
        <v>16092.379453709695</v>
      </c>
      <c r="R13" s="2">
        <f t="shared" si="8"/>
        <v>16021.345925806061</v>
      </c>
      <c r="S13" s="2">
        <f t="shared" si="9"/>
        <v>13892.69890643422</v>
      </c>
      <c r="T13" s="2">
        <f t="shared" si="10"/>
        <v>5876.8655291058731</v>
      </c>
      <c r="U13" s="2">
        <f t="shared" si="11"/>
        <v>2820.2868876401731</v>
      </c>
      <c r="Z13" s="2">
        <v>1.0000000000000001E-5</v>
      </c>
      <c r="AA13" s="3">
        <f>IF('Modell einstellen'!$B$2="Ja",'creep_res-40'!P13,'creep_res-40'!L13)</f>
        <v>0.35744358671942456</v>
      </c>
      <c r="AB13" s="2">
        <f>IF('Modell einstellen'!$B$2="Ja",creep_res0!P13,creep_res0!L13)</f>
        <v>0.35703194930932447</v>
      </c>
      <c r="AC13" s="2">
        <f>IF('Modell einstellen'!$B$2="Ja",creep_res25!P13,creep_res25!L13)</f>
        <v>0.35677365723461657</v>
      </c>
      <c r="AD13" s="2">
        <f>IF('Modell einstellen'!$B$2="Ja",creep_res50!P13,creep_res50!L13)</f>
        <v>0.35715662765316347</v>
      </c>
      <c r="AE13" s="2">
        <f>IF('Modell einstellen'!$B$2="Ja",creep_res80!P13,creep_res80!L13)</f>
        <v>0.38415537292786922</v>
      </c>
      <c r="AF13" s="2">
        <f>IF('Modell einstellen'!$B$2="Ja",creep_res125!P13,creep_res125!L13)</f>
        <v>0.56524109076840645</v>
      </c>
      <c r="AG13" s="2">
        <f>IF('Modell einstellen'!$B$2="Ja",creep_res160!P13,creep_res160!L13)</f>
        <v>0.72610310888281582</v>
      </c>
      <c r="AL13" s="2">
        <f t="shared" si="12"/>
        <v>1.0000000000000001E-5</v>
      </c>
      <c r="AM13" s="2">
        <f t="shared" si="13"/>
        <v>5945.4908564975603</v>
      </c>
      <c r="AN13" s="2">
        <f t="shared" si="14"/>
        <v>5936.3475238520905</v>
      </c>
      <c r="AO13" s="2">
        <f t="shared" si="15"/>
        <v>5930.384691618081</v>
      </c>
      <c r="AP13" s="2">
        <f t="shared" si="16"/>
        <v>5902.5412392933085</v>
      </c>
      <c r="AQ13" s="2">
        <f t="shared" si="17"/>
        <v>5018.4752297884525</v>
      </c>
      <c r="AR13" s="2">
        <f t="shared" si="18"/>
        <v>1877.3036191571002</v>
      </c>
      <c r="AS13" s="2">
        <f t="shared" si="19"/>
        <v>816.95203291347548</v>
      </c>
      <c r="AX13" s="2">
        <f t="shared" si="28"/>
        <v>1.0000000000000001E-5</v>
      </c>
      <c r="AY13" s="37">
        <f t="shared" si="20"/>
        <v>18871.285753537988</v>
      </c>
      <c r="AZ13" s="37">
        <f t="shared" si="21"/>
        <v>18782.315846449907</v>
      </c>
      <c r="BA13" s="37">
        <f t="shared" si="22"/>
        <v>18726.047111866774</v>
      </c>
      <c r="BB13" s="37">
        <f t="shared" si="23"/>
        <v>18693.372167692403</v>
      </c>
      <c r="BC13" s="37">
        <f t="shared" si="24"/>
        <v>19987.546045595358</v>
      </c>
      <c r="BD13" s="37">
        <f t="shared" si="25"/>
        <v>-15013.200678407917</v>
      </c>
      <c r="BE13" s="37">
        <f t="shared" si="26"/>
        <v>-2078.9091177437581</v>
      </c>
    </row>
    <row r="14" spans="1:308" x14ac:dyDescent="0.25">
      <c r="A14" s="2">
        <f>'creep_res-40'!A14</f>
        <v>1E-4</v>
      </c>
      <c r="B14" s="3">
        <f>'creep_res-40'!O14</f>
        <v>-6.1952737142857142E-4</v>
      </c>
      <c r="C14" s="2">
        <f>IF('Modell einstellen'!$B$2="Ja",creep_res0!O14,creep_res0!C14)</f>
        <v>-6.2067000000000003E-4</v>
      </c>
      <c r="D14" s="2">
        <f>IF('Modell einstellen'!$B$2="Ja",creep_res25!O14,creep_res25!C14)</f>
        <v>-6.2143345714285722E-4</v>
      </c>
      <c r="E14" s="2">
        <f>IF('Modell einstellen'!$B$2="Ja",creep_res50!O14,creep_res50!C14)</f>
        <v>-6.3489737142857143E-4</v>
      </c>
      <c r="F14" s="2">
        <f>IF('Modell einstellen'!$B$2="Ja",creep_res80!O14,creep_res80!C14)</f>
        <v>-7.5238042857142854E-4</v>
      </c>
      <c r="G14" s="2">
        <f>IF('Modell einstellen'!$B$2="Ja",creep_res125!O14,creep_res125!C14)</f>
        <v>-2.4700689428571432E-3</v>
      </c>
      <c r="H14" s="2">
        <f>IF('Modell einstellen'!$B$2="Ja",creep_res160!O14,creep_res160!C14)</f>
        <v>-5.9282531428571442E-3</v>
      </c>
      <c r="M14" s="9">
        <f t="shared" si="27"/>
        <v>-10</v>
      </c>
      <c r="N14" s="2">
        <f t="shared" si="4"/>
        <v>1E-4</v>
      </c>
      <c r="O14" s="2">
        <f t="shared" si="5"/>
        <v>16141.336866103184</v>
      </c>
      <c r="P14" s="2">
        <f t="shared" si="6"/>
        <v>16111.621312452671</v>
      </c>
      <c r="Q14" s="2">
        <f t="shared" si="7"/>
        <v>16091.827507930855</v>
      </c>
      <c r="R14" s="2">
        <f t="shared" si="8"/>
        <v>15750.577101144985</v>
      </c>
      <c r="S14" s="2">
        <f t="shared" si="9"/>
        <v>13291.14849383756</v>
      </c>
      <c r="T14" s="2">
        <f t="shared" si="10"/>
        <v>4048.4699947010149</v>
      </c>
      <c r="U14" s="2">
        <f t="shared" si="11"/>
        <v>1686.8375487724975</v>
      </c>
      <c r="Z14" s="2">
        <v>1E-4</v>
      </c>
      <c r="AA14" s="3">
        <f>IF('Modell einstellen'!$B$2="Ja",'creep_res-40'!P14,'creep_res-40'!L14)</f>
        <v>0.35744359594304564</v>
      </c>
      <c r="AB14" s="2">
        <f>IF('Modell einstellen'!$B$2="Ja",creep_res0!P14,creep_res0!L14)</f>
        <v>0.35703203680814971</v>
      </c>
      <c r="AC14" s="2">
        <f>IF('Modell einstellen'!$B$2="Ja",creep_res25!P14,creep_res25!L14)</f>
        <v>0.35678061105818432</v>
      </c>
      <c r="AD14" s="2">
        <f>IF('Modell einstellen'!$B$2="Ja",creep_res50!P14,creep_res50!L14)</f>
        <v>0.360442677619708</v>
      </c>
      <c r="AE14" s="2">
        <f>IF('Modell einstellen'!$B$2="Ja",creep_res80!P14,creep_res80!L14)</f>
        <v>0.39282460259940688</v>
      </c>
      <c r="AF14" s="2">
        <f>IF('Modell einstellen'!$B$2="Ja",creep_res125!P14,creep_res125!L14)</f>
        <v>0.65130806701716915</v>
      </c>
      <c r="AG14" s="2">
        <f>IF('Modell einstellen'!$B$2="Ja",creep_res160!P14,creep_res160!L14)</f>
        <v>0.82017781581141258</v>
      </c>
      <c r="AL14" s="2">
        <f t="shared" si="12"/>
        <v>1E-4</v>
      </c>
      <c r="AM14" s="2">
        <f t="shared" si="13"/>
        <v>5945.4908160988625</v>
      </c>
      <c r="AN14" s="2">
        <f t="shared" si="14"/>
        <v>5936.3452282042372</v>
      </c>
      <c r="AO14" s="2">
        <f t="shared" si="15"/>
        <v>5930.150894248286</v>
      </c>
      <c r="AP14" s="2">
        <f t="shared" si="16"/>
        <v>5788.7691117948852</v>
      </c>
      <c r="AQ14" s="2">
        <f t="shared" si="17"/>
        <v>4771.2929786824907</v>
      </c>
      <c r="AR14" s="2">
        <f t="shared" si="18"/>
        <v>1225.8372848665197</v>
      </c>
      <c r="AS14" s="2">
        <f t="shared" si="19"/>
        <v>463.37163713330017</v>
      </c>
      <c r="AX14" s="2">
        <f t="shared" si="28"/>
        <v>1E-4</v>
      </c>
      <c r="AY14" s="37">
        <f t="shared" si="20"/>
        <v>18871.286974539533</v>
      </c>
      <c r="AZ14" s="37">
        <f t="shared" si="21"/>
        <v>18782.321289271767</v>
      </c>
      <c r="BA14" s="37">
        <f t="shared" si="22"/>
        <v>18726.314021709637</v>
      </c>
      <c r="BB14" s="37">
        <f t="shared" si="23"/>
        <v>18810.164445336726</v>
      </c>
      <c r="BC14" s="37">
        <f t="shared" si="24"/>
        <v>20668.842564304166</v>
      </c>
      <c r="BD14" s="37">
        <f t="shared" si="25"/>
        <v>-4459.4119297041279</v>
      </c>
      <c r="BE14" s="37">
        <f t="shared" si="26"/>
        <v>-878.07330045525862</v>
      </c>
    </row>
    <row r="15" spans="1:308" x14ac:dyDescent="0.25">
      <c r="A15" s="2">
        <f>'creep_res-40'!A15</f>
        <v>1E-3</v>
      </c>
      <c r="B15" s="3">
        <f>'creep_res-40'!O15</f>
        <v>-6.195274285714286E-4</v>
      </c>
      <c r="C15" s="2">
        <f>IF('Modell einstellen'!$B$2="Ja",creep_res0!O15,creep_res0!C15)</f>
        <v>-6.2067228571428574E-4</v>
      </c>
      <c r="D15" s="2">
        <f>IF('Modell einstellen'!$B$2="Ja",creep_res25!O15,creep_res25!C15)</f>
        <v>-6.2164505714285717E-4</v>
      </c>
      <c r="E15" s="2">
        <f>IF('Modell einstellen'!$B$2="Ja",creep_res50!O15,creep_res50!C15)</f>
        <v>-6.4874699999999997E-4</v>
      </c>
      <c r="F15" s="2">
        <f>IF('Modell einstellen'!$B$2="Ja",creep_res80!O15,creep_res80!C15)</f>
        <v>-7.9162271428571431E-4</v>
      </c>
      <c r="G15" s="2">
        <f>IF('Modell einstellen'!$B$2="Ja",creep_res125!O15,creep_res125!C15)</f>
        <v>-3.9745942857142861E-3</v>
      </c>
      <c r="H15" s="2">
        <f>IF('Modell einstellen'!$B$2="Ja",creep_res160!O15,creep_res160!C15)</f>
        <v>-1.0308408000000002E-2</v>
      </c>
      <c r="M15" s="9">
        <f t="shared" si="27"/>
        <v>-10</v>
      </c>
      <c r="N15" s="2">
        <f t="shared" si="4"/>
        <v>1E-3</v>
      </c>
      <c r="O15" s="2">
        <f t="shared" si="5"/>
        <v>16141.335377287573</v>
      </c>
      <c r="P15" s="2">
        <f t="shared" si="6"/>
        <v>16111.561979107446</v>
      </c>
      <c r="Q15" s="2">
        <f t="shared" si="7"/>
        <v>16086.350056350484</v>
      </c>
      <c r="R15" s="2">
        <f t="shared" si="8"/>
        <v>15414.329468960936</v>
      </c>
      <c r="S15" s="2">
        <f t="shared" si="9"/>
        <v>12632.280276372638</v>
      </c>
      <c r="T15" s="2">
        <f t="shared" si="10"/>
        <v>2515.9800676870523</v>
      </c>
      <c r="U15" s="2">
        <f t="shared" si="11"/>
        <v>970.08189819417305</v>
      </c>
      <c r="Z15" s="2">
        <v>1E-3</v>
      </c>
      <c r="AA15" s="3">
        <f>IF('Modell einstellen'!$B$2="Ja",'creep_res-40'!P15,'creep_res-40'!L15)</f>
        <v>0.35744361831552712</v>
      </c>
      <c r="AB15" s="2">
        <f>IF('Modell einstellen'!$B$2="Ja",creep_res0!P15,creep_res0!L15)</f>
        <v>0.35703277966334201</v>
      </c>
      <c r="AC15" s="2">
        <f>IF('Modell einstellen'!$B$2="Ja",creep_res25!P15,creep_res25!L15)</f>
        <v>0.35684962990134428</v>
      </c>
      <c r="AD15" s="2">
        <f>IF('Modell einstellen'!$B$2="Ja",creep_res50!P15,creep_res50!L15)</f>
        <v>0.36464372970400755</v>
      </c>
      <c r="AE15" s="2">
        <f>IF('Modell einstellen'!$B$2="Ja",creep_res80!P15,creep_res80!L15)</f>
        <v>0.40288203669893974</v>
      </c>
      <c r="AF15" s="2">
        <f>IF('Modell einstellen'!$B$2="Ja",creep_res125!P15,creep_res125!L15)</f>
        <v>0.75163775925377463</v>
      </c>
      <c r="AG15" s="2">
        <f>IF('Modell einstellen'!$B$2="Ja",creep_res160!P15,creep_res160!L15)</f>
        <v>0.88752956393876303</v>
      </c>
      <c r="AL15" s="2">
        <f t="shared" si="12"/>
        <v>1E-3</v>
      </c>
      <c r="AM15" s="2">
        <f t="shared" si="13"/>
        <v>5945.4901697197583</v>
      </c>
      <c r="AN15" s="2">
        <f t="shared" si="14"/>
        <v>5936.3201171545998</v>
      </c>
      <c r="AO15" s="2">
        <f t="shared" si="15"/>
        <v>5927.8308007940832</v>
      </c>
      <c r="AP15" s="2">
        <f t="shared" si="16"/>
        <v>5647.748615055857</v>
      </c>
      <c r="AQ15" s="2">
        <f t="shared" si="17"/>
        <v>4502.260327638488</v>
      </c>
      <c r="AR15" s="2">
        <f t="shared" si="18"/>
        <v>718.17933085631228</v>
      </c>
      <c r="AS15" s="2">
        <f t="shared" si="19"/>
        <v>256.97131232473913</v>
      </c>
      <c r="AX15" s="2">
        <f t="shared" si="28"/>
        <v>1E-3</v>
      </c>
      <c r="AY15" s="37">
        <f t="shared" si="20"/>
        <v>18871.288195541223</v>
      </c>
      <c r="AZ15" s="37">
        <f t="shared" si="21"/>
        <v>18782.349712948275</v>
      </c>
      <c r="BA15" s="37">
        <f t="shared" si="22"/>
        <v>18728.965498848247</v>
      </c>
      <c r="BB15" s="37">
        <f t="shared" si="23"/>
        <v>18979.94755525967</v>
      </c>
      <c r="BC15" s="37">
        <f t="shared" si="24"/>
        <v>21678.58524313927</v>
      </c>
      <c r="BD15" s="37">
        <f t="shared" si="25"/>
        <v>-1666.4033749334276</v>
      </c>
      <c r="BE15" s="37">
        <f t="shared" si="26"/>
        <v>-417.20769564627085</v>
      </c>
    </row>
    <row r="16" spans="1:308" x14ac:dyDescent="0.25">
      <c r="A16" s="2">
        <f>'creep_res-40'!A16</f>
        <v>0.01</v>
      </c>
      <c r="B16" s="3">
        <f>'creep_res-40'!O16</f>
        <v>-6.1952805714285723E-4</v>
      </c>
      <c r="C16" s="2">
        <f>IF('Modell einstellen'!$B$2="Ja",creep_res0!O16,creep_res0!C16)</f>
        <v>-6.2069502857142864E-4</v>
      </c>
      <c r="D16" s="2">
        <f>IF('Modell einstellen'!$B$2="Ja",creep_res25!O16,creep_res25!C16)</f>
        <v>-6.2361234285714291E-4</v>
      </c>
      <c r="E16" s="2">
        <f>IF('Modell einstellen'!$B$2="Ja",creep_res50!O16,creep_res50!C16)</f>
        <v>-6.6470451428571429E-4</v>
      </c>
      <c r="F16" s="2">
        <f>IF('Modell einstellen'!$B$2="Ja",creep_res80!O16,creep_res80!C16)</f>
        <v>-8.3435134285714284E-4</v>
      </c>
      <c r="G16" s="2">
        <f>IF('Modell einstellen'!$B$2="Ja",creep_res125!O16,creep_res125!C16)</f>
        <v>-6.7902885714285714E-3</v>
      </c>
      <c r="H16" s="2">
        <f>IF('Modell einstellen'!$B$2="Ja",creep_res160!O16,creep_res160!C16)</f>
        <v>-1.5675806E-2</v>
      </c>
      <c r="M16" s="9">
        <f t="shared" si="27"/>
        <v>-10</v>
      </c>
      <c r="N16" s="2">
        <f t="shared" si="4"/>
        <v>0.01</v>
      </c>
      <c r="O16" s="2">
        <f t="shared" si="5"/>
        <v>16141.319000333984</v>
      </c>
      <c r="P16" s="2">
        <f t="shared" si="6"/>
        <v>16110.971636128088</v>
      </c>
      <c r="Q16" s="2">
        <f t="shared" si="7"/>
        <v>16035.603070625559</v>
      </c>
      <c r="R16" s="2">
        <f t="shared" si="8"/>
        <v>15044.278751056645</v>
      </c>
      <c r="S16" s="2">
        <f t="shared" si="9"/>
        <v>11985.35854902099</v>
      </c>
      <c r="T16" s="2">
        <f t="shared" si="10"/>
        <v>1472.6914614611371</v>
      </c>
      <c r="U16" s="2">
        <f t="shared" si="11"/>
        <v>637.92573090021654</v>
      </c>
      <c r="Z16" s="2">
        <v>0.01</v>
      </c>
      <c r="AA16" s="3">
        <f>IF('Modell einstellen'!$B$2="Ja",'creep_res-40'!P16,'creep_res-40'!L16)</f>
        <v>0.35744382290630256</v>
      </c>
      <c r="AB16" s="2">
        <f>IF('Modell einstellen'!$B$2="Ja",creep_res0!P16,creep_res0!L16)</f>
        <v>0.35704024603571133</v>
      </c>
      <c r="AC16" s="2">
        <f>IF('Modell einstellen'!$B$2="Ja",creep_res25!P16,creep_res25!L16)</f>
        <v>0.35748952920935495</v>
      </c>
      <c r="AD16" s="2">
        <f>IF('Modell einstellen'!$B$2="Ja",creep_res50!P16,creep_res50!L16)</f>
        <v>0.369384450009968</v>
      </c>
      <c r="AE16" s="2">
        <f>IF('Modell einstellen'!$B$2="Ja",creep_res80!P16,creep_res80!L16)</f>
        <v>0.41340367848460691</v>
      </c>
      <c r="AF16" s="2">
        <f>IF('Modell einstellen'!$B$2="Ja",creep_res125!P16,creep_res125!L16)</f>
        <v>0.82795252547651055</v>
      </c>
      <c r="AG16" s="2">
        <f>IF('Modell einstellen'!$B$2="Ja",creep_res160!P16,creep_res160!L16)</f>
        <v>0.90431380142658779</v>
      </c>
      <c r="AL16" s="2">
        <f t="shared" si="12"/>
        <v>0.01</v>
      </c>
      <c r="AM16" s="2">
        <f t="shared" si="13"/>
        <v>5945.4832413525728</v>
      </c>
      <c r="AN16" s="2">
        <f t="shared" si="14"/>
        <v>5936.0699445696901</v>
      </c>
      <c r="AO16" s="2">
        <f t="shared" si="15"/>
        <v>5906.3450308766669</v>
      </c>
      <c r="AP16" s="2">
        <f t="shared" si="16"/>
        <v>5493.0807600988655</v>
      </c>
      <c r="AQ16" s="2">
        <f t="shared" si="17"/>
        <v>4239.8922301770135</v>
      </c>
      <c r="AR16" s="2">
        <f t="shared" si="18"/>
        <v>402.8254128419544</v>
      </c>
      <c r="AS16" s="2">
        <f t="shared" si="19"/>
        <v>167.49490825050054</v>
      </c>
      <c r="AX16" s="2">
        <f t="shared" si="28"/>
        <v>0.01</v>
      </c>
      <c r="AY16" s="37">
        <f t="shared" si="20"/>
        <v>18871.296132056101</v>
      </c>
      <c r="AZ16" s="37">
        <f t="shared" si="21"/>
        <v>18782.642421344921</v>
      </c>
      <c r="BA16" s="37">
        <f t="shared" si="22"/>
        <v>18753.713302211381</v>
      </c>
      <c r="BB16" s="37">
        <f t="shared" si="23"/>
        <v>19196.640767765603</v>
      </c>
      <c r="BC16" s="37">
        <f t="shared" si="24"/>
        <v>23067.48974106348</v>
      </c>
      <c r="BD16" s="37">
        <f t="shared" si="25"/>
        <v>-748.42715894185017</v>
      </c>
      <c r="BE16" s="37">
        <f t="shared" si="26"/>
        <v>-262.96642552119516</v>
      </c>
    </row>
    <row r="17" spans="1:57" x14ac:dyDescent="0.25">
      <c r="A17" s="2">
        <f>'creep_res-40'!A17</f>
        <v>0.1</v>
      </c>
      <c r="B17" s="3">
        <f>'creep_res-40'!O17</f>
        <v>-6.1953428571428571E-4</v>
      </c>
      <c r="C17" s="2">
        <f>IF('Modell einstellen'!$B$2="Ja",creep_res0!O17,creep_res0!C17)</f>
        <v>-6.2092060000000005E-4</v>
      </c>
      <c r="D17" s="2">
        <f>IF('Modell einstellen'!$B$2="Ja",creep_res25!O17,creep_res25!C17)</f>
        <v>-6.3481440000000007E-4</v>
      </c>
      <c r="E17" s="2">
        <f>IF('Modell einstellen'!$B$2="Ja",creep_res50!O17,creep_res50!C17)</f>
        <v>-6.8470391428571435E-4</v>
      </c>
      <c r="F17" s="2">
        <f>IF('Modell einstellen'!$B$2="Ja",creep_res80!O17,creep_res80!C17)</f>
        <v>-8.8610754285714283E-4</v>
      </c>
      <c r="G17" s="2">
        <f>IF('Modell einstellen'!$B$2="Ja",creep_res125!O17,creep_res125!C17)</f>
        <v>-1.2002249428571428E-2</v>
      </c>
      <c r="H17" s="2">
        <f>IF('Modell einstellen'!$B$2="Ja",creep_res160!O17,creep_res160!C17)</f>
        <v>-1.8852515428571429E-2</v>
      </c>
      <c r="M17" s="9">
        <f t="shared" si="27"/>
        <v>-10</v>
      </c>
      <c r="N17" s="2">
        <f t="shared" si="4"/>
        <v>0.1</v>
      </c>
      <c r="O17" s="2">
        <f t="shared" si="5"/>
        <v>16141.156721408246</v>
      </c>
      <c r="P17" s="2">
        <f t="shared" si="6"/>
        <v>16105.118754314157</v>
      </c>
      <c r="Q17" s="2">
        <f t="shared" si="7"/>
        <v>15752.63573101051</v>
      </c>
      <c r="R17" s="2">
        <f t="shared" si="8"/>
        <v>14604.852975657423</v>
      </c>
      <c r="S17" s="2">
        <f t="shared" si="9"/>
        <v>11285.311902160602</v>
      </c>
      <c r="T17" s="2">
        <f t="shared" si="10"/>
        <v>833.17715229238104</v>
      </c>
      <c r="U17" s="2">
        <f t="shared" si="11"/>
        <v>530.43319539443348</v>
      </c>
      <c r="Z17" s="2">
        <v>0.1</v>
      </c>
      <c r="AA17" s="3">
        <f>IF('Modell einstellen'!$B$2="Ja",'creep_res-40'!P17,'creep_res-40'!L17)</f>
        <v>0.35744589253679038</v>
      </c>
      <c r="AB17" s="2">
        <f>IF('Modell einstellen'!$B$2="Ja",creep_res0!P17,creep_res0!L17)</f>
        <v>0.35711434648119955</v>
      </c>
      <c r="AC17" s="2">
        <f>IF('Modell einstellen'!$B$2="Ja",creep_res25!P17,creep_res25!L17)</f>
        <v>0.36094327502877782</v>
      </c>
      <c r="AD17" s="2">
        <f>IF('Modell einstellen'!$B$2="Ja",creep_res50!P17,creep_res50!L17)</f>
        <v>0.37517689502244495</v>
      </c>
      <c r="AE17" s="2">
        <f>IF('Modell einstellen'!$B$2="Ja",creep_res80!P17,creep_res80!L17)</f>
        <v>0.42545741948639326</v>
      </c>
      <c r="AF17" s="2">
        <f>IF('Modell einstellen'!$B$2="Ja",creep_res125!P17,creep_res125!L17)</f>
        <v>0.85829587229993787</v>
      </c>
      <c r="AG17" s="2">
        <f>IF('Modell einstellen'!$B$2="Ja",creep_res160!P17,creep_res160!L17)</f>
        <v>0.87030950807261731</v>
      </c>
      <c r="AL17" s="2">
        <f t="shared" si="12"/>
        <v>0.1</v>
      </c>
      <c r="AM17" s="2">
        <f t="shared" si="13"/>
        <v>5945.4144029430536</v>
      </c>
      <c r="AN17" s="2">
        <f t="shared" si="14"/>
        <v>5933.5894562136173</v>
      </c>
      <c r="AO17" s="2">
        <f t="shared" si="15"/>
        <v>5787.3961464989843</v>
      </c>
      <c r="AP17" s="2">
        <f t="shared" si="16"/>
        <v>5310.1724689095536</v>
      </c>
      <c r="AQ17" s="2">
        <f t="shared" si="17"/>
        <v>3958.4879028609685</v>
      </c>
      <c r="AR17" s="2">
        <f t="shared" si="18"/>
        <v>224.17774389747507</v>
      </c>
      <c r="AS17" s="2">
        <f t="shared" si="19"/>
        <v>141.80358734877336</v>
      </c>
      <c r="AX17" s="2">
        <f t="shared" si="28"/>
        <v>0.1</v>
      </c>
      <c r="AY17" s="37">
        <f t="shared" si="20"/>
        <v>18871.380381625688</v>
      </c>
      <c r="AZ17" s="37">
        <f t="shared" si="21"/>
        <v>18785.556092929808</v>
      </c>
      <c r="BA17" s="37">
        <f t="shared" si="22"/>
        <v>18880.347491608816</v>
      </c>
      <c r="BB17" s="37">
        <f t="shared" si="23"/>
        <v>19500.733963053262</v>
      </c>
      <c r="BC17" s="37">
        <f t="shared" si="24"/>
        <v>25232.361209757648</v>
      </c>
      <c r="BD17" s="37">
        <f t="shared" si="25"/>
        <v>-387.56477383906753</v>
      </c>
      <c r="BE17" s="37">
        <f t="shared" si="26"/>
        <v>-238.73416868465253</v>
      </c>
    </row>
    <row r="18" spans="1:57" x14ac:dyDescent="0.25">
      <c r="A18" s="2">
        <f>'creep_res-40'!A18</f>
        <v>1</v>
      </c>
      <c r="B18" s="3">
        <f>'creep_res-40'!O18</f>
        <v>-6.195964285714286E-4</v>
      </c>
      <c r="C18" s="2">
        <f>IF('Modell einstellen'!$B$2="Ja",creep_res0!O18,creep_res0!C18)</f>
        <v>-6.230076285714286E-4</v>
      </c>
      <c r="D18" s="2">
        <f>IF('Modell einstellen'!$B$2="Ja",creep_res25!O18,creep_res25!C18)</f>
        <v>-6.4871805714285724E-4</v>
      </c>
      <c r="E18" s="2">
        <f>IF('Modell einstellen'!$B$2="Ja",creep_res50!O18,creep_res50!C18)</f>
        <v>-7.0731608571428576E-4</v>
      </c>
      <c r="F18" s="2">
        <f>IF('Modell einstellen'!$B$2="Ja",creep_res80!O18,creep_res80!C18)</f>
        <v>-9.4997799999999998E-4</v>
      </c>
      <c r="G18" s="2">
        <f>IF('Modell einstellen'!$B$2="Ja",creep_res125!O18,creep_res125!C18)</f>
        <v>-1.7315724571428572E-2</v>
      </c>
      <c r="H18" s="2">
        <f>IF('Modell einstellen'!$B$2="Ja",creep_res160!O18,creep_res160!C18)</f>
        <v>-2.1389056571428575E-2</v>
      </c>
      <c r="M18" s="9">
        <f t="shared" si="27"/>
        <v>-10</v>
      </c>
      <c r="N18" s="2">
        <f t="shared" si="4"/>
        <v>1</v>
      </c>
      <c r="O18" s="2">
        <f t="shared" si="5"/>
        <v>16139.537832805916</v>
      </c>
      <c r="P18" s="2">
        <f t="shared" si="6"/>
        <v>16051.167821059013</v>
      </c>
      <c r="Q18" s="2">
        <f t="shared" si="7"/>
        <v>15415.017186422874</v>
      </c>
      <c r="R18" s="2">
        <f t="shared" si="8"/>
        <v>14137.950771897777</v>
      </c>
      <c r="S18" s="2">
        <f t="shared" si="9"/>
        <v>10526.559562431972</v>
      </c>
      <c r="T18" s="2">
        <f t="shared" si="10"/>
        <v>577.50976338005967</v>
      </c>
      <c r="U18" s="2">
        <f t="shared" si="11"/>
        <v>467.52880224544191</v>
      </c>
      <c r="Z18" s="2">
        <v>1</v>
      </c>
      <c r="AA18" s="3">
        <f>IF('Modell einstellen'!$B$2="Ja",'creep_res-40'!P18,'creep_res-40'!L18)</f>
        <v>0.357466581357681</v>
      </c>
      <c r="AB18" s="2">
        <f>IF('Modell einstellen'!$B$2="Ja",creep_res0!P18,creep_res0!L18)</f>
        <v>0.35779790268103578</v>
      </c>
      <c r="AC18" s="2">
        <f>IF('Modell einstellen'!$B$2="Ja",creep_res25!P18,creep_res25!L18)</f>
        <v>0.36518199497805165</v>
      </c>
      <c r="AD18" s="2">
        <f>IF('Modell einstellen'!$B$2="Ja",creep_res50!P18,creep_res50!L18)</f>
        <v>0.38149075642601166</v>
      </c>
      <c r="AE18" s="2">
        <f>IF('Modell einstellen'!$B$2="Ja",creep_res80!P18,creep_res80!L18)</f>
        <v>0.43814689843945259</v>
      </c>
      <c r="AF18" s="2">
        <f>IF('Modell einstellen'!$B$2="Ja",creep_res125!P18,creep_res125!L18)</f>
        <v>0.83539513119008801</v>
      </c>
      <c r="AG18" s="2">
        <f>IF('Modell einstellen'!$B$2="Ja",creep_res160!P18,creep_res160!L18)</f>
        <v>0.80944348871167726</v>
      </c>
      <c r="AL18" s="2">
        <f t="shared" si="12"/>
        <v>1</v>
      </c>
      <c r="AM18" s="2">
        <f t="shared" si="13"/>
        <v>5944.7274999078909</v>
      </c>
      <c r="AN18" s="2">
        <f t="shared" si="14"/>
        <v>5910.7352387881974</v>
      </c>
      <c r="AO18" s="2">
        <f t="shared" si="15"/>
        <v>5645.7736928586964</v>
      </c>
      <c r="AP18" s="2">
        <f t="shared" si="16"/>
        <v>5116.9183384452708</v>
      </c>
      <c r="AQ18" s="2">
        <f t="shared" si="17"/>
        <v>3659.7650677599231</v>
      </c>
      <c r="AR18" s="2">
        <f t="shared" si="18"/>
        <v>157.32573154577258</v>
      </c>
      <c r="AS18" s="2">
        <f t="shared" si="19"/>
        <v>129.19132461504012</v>
      </c>
      <c r="AX18" s="2">
        <f t="shared" si="28"/>
        <v>1</v>
      </c>
      <c r="AY18" s="37">
        <f t="shared" si="20"/>
        <v>18872.226582066036</v>
      </c>
      <c r="AZ18" s="37">
        <f t="shared" si="21"/>
        <v>18812.624337337409</v>
      </c>
      <c r="BA18" s="37">
        <f t="shared" si="22"/>
        <v>19056.575793806016</v>
      </c>
      <c r="BB18" s="37">
        <f t="shared" si="23"/>
        <v>19883.049267616963</v>
      </c>
      <c r="BC18" s="37">
        <f t="shared" si="24"/>
        <v>28364.407757649318</v>
      </c>
      <c r="BD18" s="37">
        <f t="shared" si="25"/>
        <v>-286.9797986884268</v>
      </c>
      <c r="BE18" s="37">
        <f t="shared" si="26"/>
        <v>-251.81162274676265</v>
      </c>
    </row>
    <row r="19" spans="1:57" x14ac:dyDescent="0.25">
      <c r="A19" s="2">
        <f>'creep_res-40'!A19</f>
        <v>10</v>
      </c>
      <c r="B19" s="3">
        <f>'creep_res-40'!O19</f>
        <v>-6.2020457142857152E-4</v>
      </c>
      <c r="C19" s="2">
        <f>IF('Modell einstellen'!$B$2="Ja",creep_res0!O19,creep_res0!C19)</f>
        <v>-6.3449151428571432E-4</v>
      </c>
      <c r="D19" s="2">
        <f>IF('Modell einstellen'!$B$2="Ja",creep_res25!O19,creep_res25!C19)</f>
        <v>-6.6495991428571432E-4</v>
      </c>
      <c r="E19" s="2">
        <f>IF('Modell einstellen'!$B$2="Ja",creep_res50!O19,creep_res50!C19)</f>
        <v>-7.3649559999999998E-4</v>
      </c>
      <c r="F19" s="2">
        <f>IF('Modell einstellen'!$B$2="Ja",creep_res80!O19,creep_res80!C19)</f>
        <v>-1.0555970285714286E-3</v>
      </c>
      <c r="G19" s="2">
        <f>IF('Modell einstellen'!$B$2="Ja",creep_res125!O19,creep_res125!C19)</f>
        <v>-2.0362101428571429E-2</v>
      </c>
      <c r="H19" s="2">
        <f>IF('Modell einstellen'!$B$2="Ja",creep_res160!O19,creep_res160!C19)</f>
        <v>-2.2954753142857144E-2</v>
      </c>
      <c r="M19" s="9">
        <f t="shared" si="27"/>
        <v>-10</v>
      </c>
      <c r="N19" s="2">
        <f t="shared" si="4"/>
        <v>10</v>
      </c>
      <c r="O19" s="2">
        <f t="shared" si="5"/>
        <v>16123.712176074619</v>
      </c>
      <c r="P19" s="2">
        <f t="shared" si="6"/>
        <v>15760.652073113393</v>
      </c>
      <c r="Q19" s="2">
        <f t="shared" si="7"/>
        <v>15038.50049478815</v>
      </c>
      <c r="R19" s="2">
        <f t="shared" si="8"/>
        <v>13577.813635274942</v>
      </c>
      <c r="S19" s="2">
        <f t="shared" si="9"/>
        <v>9473.3120019609214</v>
      </c>
      <c r="T19" s="2">
        <f t="shared" si="10"/>
        <v>491.10844649699709</v>
      </c>
      <c r="U19" s="2">
        <f t="shared" si="11"/>
        <v>435.63962277292933</v>
      </c>
      <c r="Z19" s="2">
        <v>10</v>
      </c>
      <c r="AA19" s="3">
        <f>IF('Modell einstellen'!$B$2="Ja",'creep_res-40'!P19,'creep_res-40'!L19)</f>
        <v>0.35766899493070486</v>
      </c>
      <c r="AB19" s="2">
        <f>IF('Modell einstellen'!$B$2="Ja",creep_res0!P19,creep_res0!L19)</f>
        <v>0.36135174249544172</v>
      </c>
      <c r="AC19" s="2">
        <f>IF('Modell einstellen'!$B$2="Ja",creep_res25!P19,creep_res25!L19)</f>
        <v>0.36993114128426302</v>
      </c>
      <c r="AD19" s="2">
        <f>IF('Modell einstellen'!$B$2="Ja",creep_res50!P19,creep_res50!L19)</f>
        <v>0.38860641432985388</v>
      </c>
      <c r="AE19" s="2">
        <f>IF('Modell einstellen'!$B$2="Ja",creep_res80!P19,creep_res80!L19)</f>
        <v>0.44934920511874987</v>
      </c>
      <c r="AF19" s="2">
        <f>IF('Modell einstellen'!$B$2="Ja",creep_res125!P19,creep_res125!L19)</f>
        <v>0.77327908409116641</v>
      </c>
      <c r="AG19" s="2">
        <f>IF('Modell einstellen'!$B$2="Ja",creep_res160!P19,creep_res160!L19)</f>
        <v>0.73622722843234112</v>
      </c>
      <c r="AL19" s="2">
        <f t="shared" si="12"/>
        <v>10</v>
      </c>
      <c r="AM19" s="2">
        <f t="shared" si="13"/>
        <v>5938.0129605513939</v>
      </c>
      <c r="AN19" s="2">
        <f t="shared" si="14"/>
        <v>5788.6039225333288</v>
      </c>
      <c r="AO19" s="2">
        <f t="shared" si="15"/>
        <v>5488.7797063617654</v>
      </c>
      <c r="AP19" s="2">
        <f t="shared" si="16"/>
        <v>4889.0072432178858</v>
      </c>
      <c r="AQ19" s="2">
        <f t="shared" si="17"/>
        <v>3268.126124643903</v>
      </c>
      <c r="AR19" s="2">
        <f t="shared" si="18"/>
        <v>138.47466281617423</v>
      </c>
      <c r="AS19" s="2">
        <f t="shared" si="19"/>
        <v>125.45582042457461</v>
      </c>
      <c r="AX19" s="2">
        <f t="shared" si="28"/>
        <v>10</v>
      </c>
      <c r="AY19" s="37">
        <f t="shared" si="20"/>
        <v>18880.533875038498</v>
      </c>
      <c r="AZ19" s="37">
        <f t="shared" si="21"/>
        <v>18945.60662208495</v>
      </c>
      <c r="BA19" s="37">
        <f t="shared" si="22"/>
        <v>19269.921900438017</v>
      </c>
      <c r="BB19" s="37">
        <f t="shared" si="23"/>
        <v>20315.074028710202</v>
      </c>
      <c r="BC19" s="37">
        <f t="shared" si="24"/>
        <v>31171.975432208354</v>
      </c>
      <c r="BD19" s="37">
        <f t="shared" si="25"/>
        <v>-299.5158155689432</v>
      </c>
      <c r="BE19" s="37">
        <f t="shared" si="26"/>
        <v>-307.3591654836851</v>
      </c>
    </row>
    <row r="20" spans="1:57" x14ac:dyDescent="0.25">
      <c r="A20" s="2">
        <f>'creep_res-40'!A20</f>
        <v>100</v>
      </c>
      <c r="B20" s="3">
        <f>'creep_res-40'!O20</f>
        <v>-6.2514277142857149E-4</v>
      </c>
      <c r="C20" s="2">
        <f>IF('Modell einstellen'!$B$2="Ja",creep_res0!O20,creep_res0!C20)</f>
        <v>-6.4859785714285723E-4</v>
      </c>
      <c r="D20" s="2">
        <f>IF('Modell einstellen'!$B$2="Ja",creep_res25!O20,creep_res25!C20)</f>
        <v>-6.8659568571428572E-4</v>
      </c>
      <c r="E20" s="2">
        <f>IF('Modell einstellen'!$B$2="Ja",creep_res50!O20,creep_res50!C20)</f>
        <v>-7.7964925714285723E-4</v>
      </c>
      <c r="F20" s="2">
        <f>IF('Modell einstellen'!$B$2="Ja",creep_res80!O20,creep_res80!C20)</f>
        <v>-1.240269E-3</v>
      </c>
      <c r="G20" s="2">
        <f>IF('Modell einstellen'!$B$2="Ja",creep_res125!O20,creep_res125!C20)</f>
        <v>-2.3023530571428572E-2</v>
      </c>
      <c r="H20" s="2">
        <f>IF('Modell einstellen'!$B$2="Ja",creep_res160!O20,creep_res160!C20)</f>
        <v>-2.3821136E-2</v>
      </c>
      <c r="M20" s="9">
        <f t="shared" si="27"/>
        <v>-10</v>
      </c>
      <c r="N20" s="2">
        <f t="shared" si="4"/>
        <v>100</v>
      </c>
      <c r="O20" s="2">
        <f t="shared" si="5"/>
        <v>15996.345886153456</v>
      </c>
      <c r="P20" s="2">
        <f t="shared" si="6"/>
        <v>15417.873941260101</v>
      </c>
      <c r="Q20" s="2">
        <f t="shared" si="7"/>
        <v>14564.612344740712</v>
      </c>
      <c r="R20" s="2">
        <f t="shared" si="8"/>
        <v>12826.28041825694</v>
      </c>
      <c r="S20" s="2">
        <f t="shared" si="9"/>
        <v>8062.7670287655337</v>
      </c>
      <c r="T20" s="2">
        <f t="shared" si="10"/>
        <v>434.33825098960557</v>
      </c>
      <c r="U20" s="2">
        <f t="shared" si="11"/>
        <v>419.79526081375803</v>
      </c>
      <c r="Z20" s="2">
        <v>100</v>
      </c>
      <c r="AA20" s="3">
        <f>IF('Modell einstellen'!$B$2="Ja",'creep_res-40'!P20,'creep_res-40'!L20)</f>
        <v>0.35930143866107478</v>
      </c>
      <c r="AB20" s="2">
        <f>IF('Modell einstellen'!$B$2="Ja",creep_res0!P20,creep_res0!L20)</f>
        <v>0.36554998970306268</v>
      </c>
      <c r="AC20" s="2">
        <f>IF('Modell einstellen'!$B$2="Ja",creep_res25!P20,creep_res25!L20)</f>
        <v>0.37514383282921049</v>
      </c>
      <c r="AD20" s="2">
        <f>IF('Modell einstellen'!$B$2="Ja",creep_res50!P20,creep_res50!L20)</f>
        <v>0.39442131560697397</v>
      </c>
      <c r="AE20" s="2">
        <f>IF('Modell einstellen'!$B$2="Ja",creep_res80!P20,creep_res80!L20)</f>
        <v>0.45591671760607699</v>
      </c>
      <c r="AF20" s="2">
        <f>IF('Modell einstellen'!$B$2="Ja",creep_res125!P20,creep_res125!L20)</f>
        <v>0.71104722091958672</v>
      </c>
      <c r="AG20" s="2">
        <f>IF('Modell einstellen'!$B$2="Ja",creep_res160!P20,creep_res160!L20)</f>
        <v>0.67412498115719</v>
      </c>
      <c r="AL20" s="2">
        <f t="shared" si="12"/>
        <v>100</v>
      </c>
      <c r="AM20" s="2">
        <f t="shared" si="13"/>
        <v>5884.0318384088569</v>
      </c>
      <c r="AN20" s="2">
        <f t="shared" si="14"/>
        <v>5645.2982525424422</v>
      </c>
      <c r="AO20" s="2">
        <f t="shared" si="15"/>
        <v>5295.6687137139643</v>
      </c>
      <c r="AP20" s="2">
        <f t="shared" si="16"/>
        <v>4599.1409750767552</v>
      </c>
      <c r="AQ20" s="2">
        <f t="shared" si="17"/>
        <v>2768.9657420868534</v>
      </c>
      <c r="AR20" s="2">
        <f t="shared" si="18"/>
        <v>126.92176045152465</v>
      </c>
      <c r="AS20" s="2">
        <f t="shared" si="19"/>
        <v>125.37751528072498</v>
      </c>
      <c r="AX20" s="2">
        <f t="shared" si="28"/>
        <v>100</v>
      </c>
      <c r="AY20" s="37">
        <f t="shared" si="20"/>
        <v>18948.720031827786</v>
      </c>
      <c r="AZ20" s="37">
        <f t="shared" si="21"/>
        <v>19112.275642088352</v>
      </c>
      <c r="BA20" s="37">
        <f t="shared" si="22"/>
        <v>19441.854141411004</v>
      </c>
      <c r="BB20" s="37">
        <f t="shared" si="23"/>
        <v>20247.585157293637</v>
      </c>
      <c r="BC20" s="37">
        <f t="shared" si="24"/>
        <v>30483.086372431768</v>
      </c>
      <c r="BD20" s="37">
        <f t="shared" si="25"/>
        <v>-343.00242468413995</v>
      </c>
      <c r="BE20" s="37">
        <f t="shared" si="26"/>
        <v>-401.8141241843515</v>
      </c>
    </row>
    <row r="21" spans="1:57" x14ac:dyDescent="0.25">
      <c r="A21" s="2">
        <f>'creep_res-40'!A21</f>
        <v>1000</v>
      </c>
      <c r="B21" s="3">
        <f>'creep_res-40'!O21</f>
        <v>-6.3898228571428574E-4</v>
      </c>
      <c r="C21" s="2">
        <f>IF('Modell einstellen'!$B$2="Ja",creep_res0!O21,creep_res0!C21)</f>
        <v>-6.665313428571429E-4</v>
      </c>
      <c r="D21" s="2">
        <f>IF('Modell einstellen'!$B$2="Ja",creep_res25!O21,creep_res25!C21)</f>
        <v>-7.1666468571428569E-4</v>
      </c>
      <c r="E21" s="2">
        <f>IF('Modell einstellen'!$B$2="Ja",creep_res50!O21,creep_res50!C21)</f>
        <v>-8.3844428571428571E-4</v>
      </c>
      <c r="F21" s="2">
        <f>IF('Modell einstellen'!$B$2="Ja",creep_res80!O21,creep_res80!C21)</f>
        <v>-1.5493837142857142E-3</v>
      </c>
      <c r="G21" s="2">
        <f>IF('Modell einstellen'!$B$2="Ja",creep_res125!O21,creep_res125!C21)</f>
        <v>-2.4109917714285715E-2</v>
      </c>
      <c r="H21" s="2">
        <f>IF('Modell einstellen'!$B$2="Ja",creep_res160!O21,creep_res160!C21)</f>
        <v>-2.4494131714285713E-2</v>
      </c>
      <c r="M21" s="9">
        <f t="shared" si="27"/>
        <v>-10</v>
      </c>
      <c r="N21" s="2">
        <f t="shared" si="4"/>
        <v>1000</v>
      </c>
      <c r="O21" s="2">
        <f t="shared" si="5"/>
        <v>15649.886113543052</v>
      </c>
      <c r="P21" s="2">
        <f t="shared" si="6"/>
        <v>15003.045403887769</v>
      </c>
      <c r="Q21" s="2">
        <f t="shared" si="7"/>
        <v>13953.526941310351</v>
      </c>
      <c r="R21" s="2">
        <f t="shared" si="8"/>
        <v>11926.850919475015</v>
      </c>
      <c r="S21" s="2">
        <f t="shared" si="9"/>
        <v>6454.1791086336079</v>
      </c>
      <c r="T21" s="2">
        <f t="shared" si="10"/>
        <v>414.76707297407143</v>
      </c>
      <c r="U21" s="2">
        <f t="shared" si="11"/>
        <v>408.26105275524833</v>
      </c>
      <c r="Z21" s="2">
        <v>1000</v>
      </c>
      <c r="AA21" s="3">
        <f>IF('Modell einstellen'!$B$2="Ja",'creep_res-40'!P21,'creep_res-40'!L21)</f>
        <v>0.36357164383720897</v>
      </c>
      <c r="AB21" s="2">
        <f>IF('Modell einstellen'!$B$2="Ja",creep_res0!P21,creep_res0!L21)</f>
        <v>0.36963665238848264</v>
      </c>
      <c r="AC21" s="2">
        <f>IF('Modell einstellen'!$B$2="Ja",creep_res25!P21,creep_res25!L21)</f>
        <v>0.37808400055112451</v>
      </c>
      <c r="AD21" s="2">
        <f>IF('Modell einstellen'!$B$2="Ja",creep_res50!P21,creep_res50!L21)</f>
        <v>0.39580464499728235</v>
      </c>
      <c r="AE21" s="2">
        <f>IF('Modell einstellen'!$B$2="Ja",creep_res80!P21,creep_res80!L21)</f>
        <v>0.46379991085856631</v>
      </c>
      <c r="AF21" s="2">
        <f>IF('Modell einstellen'!$B$2="Ja",creep_res125!P21,creep_res125!L21)</f>
        <v>0.65482618462927267</v>
      </c>
      <c r="AG21" s="2">
        <f>IF('Modell einstellen'!$B$2="Ja",creep_res160!P21,creep_res160!L21)</f>
        <v>0.6296231350387238</v>
      </c>
      <c r="AL21" s="2">
        <f t="shared" si="12"/>
        <v>1000</v>
      </c>
      <c r="AM21" s="2">
        <f t="shared" si="13"/>
        <v>5738.5639340162998</v>
      </c>
      <c r="AN21" s="2">
        <f t="shared" si="14"/>
        <v>5477.0166152184411</v>
      </c>
      <c r="AO21" s="2">
        <f t="shared" si="15"/>
        <v>5062.6547205141496</v>
      </c>
      <c r="AP21" s="2">
        <f t="shared" si="16"/>
        <v>4272.3926167684576</v>
      </c>
      <c r="AQ21" s="2">
        <f t="shared" si="17"/>
        <v>2204.5974524100161</v>
      </c>
      <c r="AR21" s="2">
        <f t="shared" si="18"/>
        <v>125.32043450442224</v>
      </c>
      <c r="AS21" s="2">
        <f t="shared" si="19"/>
        <v>125.26241312398497</v>
      </c>
      <c r="AX21" s="2">
        <f t="shared" si="28"/>
        <v>1000</v>
      </c>
      <c r="AY21" s="37">
        <f t="shared" si="20"/>
        <v>19118.564685664354</v>
      </c>
      <c r="AZ21" s="37">
        <f t="shared" si="21"/>
        <v>19181.062876400953</v>
      </c>
      <c r="BA21" s="37">
        <f t="shared" si="22"/>
        <v>19075.329194401118</v>
      </c>
      <c r="BB21" s="37">
        <f t="shared" si="23"/>
        <v>19077.707317445413</v>
      </c>
      <c r="BC21" s="37">
        <f t="shared" si="24"/>
        <v>29715.300255279948</v>
      </c>
      <c r="BD21" s="37">
        <f t="shared" si="25"/>
        <v>-446.48678556022952</v>
      </c>
      <c r="BE21" s="37">
        <f t="shared" si="26"/>
        <v>-524.93336758298562</v>
      </c>
    </row>
    <row r="22" spans="1:57" x14ac:dyDescent="0.25">
      <c r="A22" s="2">
        <f>'creep_res-40'!A22</f>
        <v>10000</v>
      </c>
      <c r="B22" s="3">
        <f>'creep_res-40'!O22</f>
        <v>-6.5406977142857148E-4</v>
      </c>
      <c r="C22" s="2">
        <f>IF('Modell einstellen'!$B$2="Ja",creep_res0!O22,creep_res0!C22)</f>
        <v>-6.9502094285714292E-4</v>
      </c>
      <c r="D22" s="2">
        <f>IF('Modell einstellen'!$B$2="Ja",creep_res25!O22,creep_res25!C22)</f>
        <v>-7.6131068571428577E-4</v>
      </c>
      <c r="E22" s="2">
        <f>IF('Modell einstellen'!$B$2="Ja",creep_res50!O22,creep_res50!C22)</f>
        <v>-9.0886000000000005E-4</v>
      </c>
      <c r="F22" s="2">
        <f>IF('Modell einstellen'!$B$2="Ja",creep_res80!O22,creep_res80!C22)</f>
        <v>-2.1293292000000002E-3</v>
      </c>
      <c r="G22" s="2">
        <f>IF('Modell einstellen'!$B$2="Ja",creep_res125!O22,creep_res125!C22)</f>
        <v>-2.4720074000000002E-2</v>
      </c>
      <c r="H22" s="2">
        <f>IF('Modell einstellen'!$B$2="Ja",creep_res160!O22,creep_res160!C22)</f>
        <v>-2.4967701714285716E-2</v>
      </c>
      <c r="M22" s="9">
        <f t="shared" si="27"/>
        <v>-10</v>
      </c>
      <c r="N22" s="2">
        <f t="shared" si="4"/>
        <v>10000</v>
      </c>
      <c r="O22" s="2">
        <f t="shared" si="5"/>
        <v>15288.888795699469</v>
      </c>
      <c r="P22" s="2">
        <f t="shared" si="6"/>
        <v>14388.05564461305</v>
      </c>
      <c r="Q22" s="2">
        <f t="shared" si="7"/>
        <v>13135.241876472131</v>
      </c>
      <c r="R22" s="2">
        <f t="shared" si="8"/>
        <v>11002.794709856304</v>
      </c>
      <c r="S22" s="2">
        <f t="shared" si="9"/>
        <v>4696.31468915187</v>
      </c>
      <c r="T22" s="2">
        <f t="shared" si="10"/>
        <v>404.5295333662836</v>
      </c>
      <c r="U22" s="2">
        <f t="shared" si="11"/>
        <v>400.51744106980908</v>
      </c>
      <c r="Z22" s="2">
        <v>10000</v>
      </c>
      <c r="AA22" s="3">
        <f>IF('Modell einstellen'!$B$2="Ja",'creep_res-40'!P22,'creep_res-40'!L22)</f>
        <v>0.36794344176999549</v>
      </c>
      <c r="AB22" s="2">
        <f>IF('Modell einstellen'!$B$2="Ja",creep_res0!P22,creep_res0!L22)</f>
        <v>0.37213145848472479</v>
      </c>
      <c r="AC22" s="2">
        <f>IF('Modell einstellen'!$B$2="Ja",creep_res25!P22,creep_res25!L22)</f>
        <v>0.37910447223461313</v>
      </c>
      <c r="AD22" s="2">
        <f>IF('Modell einstellen'!$B$2="Ja",creep_res50!P22,creep_res50!L22)</f>
        <v>0.39588737539334995</v>
      </c>
      <c r="AE22" s="2">
        <f>IF('Modell einstellen'!$B$2="Ja",creep_res80!P22,creep_res80!L22)</f>
        <v>0.48012932899243571</v>
      </c>
      <c r="AF22" s="2">
        <f>IF('Modell einstellen'!$B$2="Ja",creep_res125!P22,creep_res125!L22)</f>
        <v>0.61566548246232133</v>
      </c>
      <c r="AG22" s="2">
        <f>IF('Modell einstellen'!$B$2="Ja",creep_res160!P22,creep_res160!L22)</f>
        <v>0.60031664222289649</v>
      </c>
      <c r="AL22" s="2">
        <f t="shared" si="12"/>
        <v>10000</v>
      </c>
      <c r="AM22" s="2">
        <f t="shared" si="13"/>
        <v>5588.2751906456833</v>
      </c>
      <c r="AN22" s="2">
        <f t="shared" si="14"/>
        <v>5242.9581566849647</v>
      </c>
      <c r="AO22" s="2">
        <f t="shared" si="15"/>
        <v>4762.2359802766141</v>
      </c>
      <c r="AP22" s="2">
        <f t="shared" si="16"/>
        <v>3941.1470093551798</v>
      </c>
      <c r="AQ22" s="2">
        <f t="shared" si="17"/>
        <v>1586.454168957242</v>
      </c>
      <c r="AR22" s="2">
        <f t="shared" si="18"/>
        <v>125.18975547765271</v>
      </c>
      <c r="AS22" s="2">
        <f t="shared" si="19"/>
        <v>125.1369355609138</v>
      </c>
      <c r="AX22" s="2">
        <f t="shared" si="28"/>
        <v>10000</v>
      </c>
      <c r="AY22" s="37">
        <f t="shared" si="20"/>
        <v>19295.884784293998</v>
      </c>
      <c r="AZ22" s="37">
        <f t="shared" si="21"/>
        <v>18753.707875957185</v>
      </c>
      <c r="BA22" s="37">
        <f t="shared" si="22"/>
        <v>18108.254456363815</v>
      </c>
      <c r="BB22" s="37">
        <f t="shared" si="23"/>
        <v>17613.609542912749</v>
      </c>
      <c r="BC22" s="37">
        <f t="shared" si="24"/>
        <v>39390.673549005092</v>
      </c>
      <c r="BD22" s="37">
        <f t="shared" si="25"/>
        <v>-582.90154901090352</v>
      </c>
      <c r="BE22" s="37">
        <f t="shared" si="26"/>
        <v>-665.42206124331733</v>
      </c>
    </row>
    <row r="23" spans="1:57" x14ac:dyDescent="0.25">
      <c r="A23" s="2">
        <f>'creep_res-40'!A23</f>
        <v>100000</v>
      </c>
      <c r="B23" s="3">
        <f>'creep_res-40'!O23</f>
        <v>-6.7496257142857143E-4</v>
      </c>
      <c r="C23" s="2">
        <f>IF('Modell einstellen'!$B$2="Ja",creep_res0!O23,creep_res0!C23)</f>
        <v>-7.3337408571428567E-4</v>
      </c>
      <c r="D23" s="2">
        <f>IF('Modell einstellen'!$B$2="Ja",creep_res25!O23,creep_res25!C23)</f>
        <v>-8.1763514285714293E-4</v>
      </c>
      <c r="E23" s="2">
        <f>IF('Modell einstellen'!$B$2="Ja",creep_res50!O23,creep_res50!C23)</f>
        <v>-9.9127794285714288E-4</v>
      </c>
      <c r="F23" s="2">
        <f>IF('Modell einstellen'!$B$2="Ja",creep_res80!O23,creep_res80!C23)</f>
        <v>-3.3221765714285716E-3</v>
      </c>
      <c r="G23" s="2">
        <f>IF('Modell einstellen'!$B$2="Ja",creep_res125!O23,creep_res125!C23)</f>
        <v>-2.5134670571428576E-2</v>
      </c>
      <c r="H23" s="2">
        <f>IF('Modell einstellen'!$B$2="Ja",creep_res160!O23,creep_res160!C23)</f>
        <v>-2.5325042857142856E-2</v>
      </c>
      <c r="M23" s="9">
        <f t="shared" si="27"/>
        <v>-10</v>
      </c>
      <c r="N23" s="2">
        <f t="shared" si="4"/>
        <v>100000</v>
      </c>
      <c r="O23" s="2">
        <f t="shared" si="5"/>
        <v>14815.636337930273</v>
      </c>
      <c r="P23" s="2">
        <f t="shared" si="6"/>
        <v>13635.605886265101</v>
      </c>
      <c r="Q23" s="2">
        <f t="shared" si="7"/>
        <v>12230.394066791228</v>
      </c>
      <c r="R23" s="2">
        <f t="shared" si="8"/>
        <v>10087.98800786102</v>
      </c>
      <c r="S23" s="2">
        <f t="shared" si="9"/>
        <v>3010.0748063790879</v>
      </c>
      <c r="T23" s="2">
        <f t="shared" si="10"/>
        <v>397.85681581072066</v>
      </c>
      <c r="U23" s="2">
        <f t="shared" si="11"/>
        <v>394.86606425147778</v>
      </c>
      <c r="Z23" s="2">
        <v>100000</v>
      </c>
      <c r="AA23" s="3">
        <f>IF('Modell einstellen'!$B$2="Ja",'creep_res-40'!P23,'creep_res-40'!L23)</f>
        <v>0.37194682117823258</v>
      </c>
      <c r="AB23" s="2">
        <f>IF('Modell einstellen'!$B$2="Ja",creep_res0!P23,creep_res0!L23)</f>
        <v>0.37257781090320979</v>
      </c>
      <c r="AC23" s="2">
        <f>IF('Modell einstellen'!$B$2="Ja",creep_res25!P23,creep_res25!L23)</f>
        <v>0.38073580147344799</v>
      </c>
      <c r="AD23" s="2">
        <f>IF('Modell einstellen'!$B$2="Ja",creep_res50!P23,creep_res50!L23)</f>
        <v>0.39781098730619824</v>
      </c>
      <c r="AE23" s="2">
        <f>IF('Modell einstellen'!$B$2="Ja",creep_res80!P23,creep_res80!L23)</f>
        <v>0.50500234011815659</v>
      </c>
      <c r="AF23" s="2">
        <f>IF('Modell einstellen'!$B$2="Ja",creep_res125!P23,creep_res125!L23)</f>
        <v>0.59071669096984492</v>
      </c>
      <c r="AG23" s="2">
        <f>IF('Modell einstellen'!$B$2="Ja",creep_res160!P23,creep_res160!L23)</f>
        <v>0.57973483051502384</v>
      </c>
      <c r="AL23" s="2">
        <f t="shared" si="12"/>
        <v>100000</v>
      </c>
      <c r="AM23" s="2">
        <f t="shared" si="13"/>
        <v>5399.4936644871386</v>
      </c>
      <c r="AN23" s="2">
        <f t="shared" si="14"/>
        <v>4967.1522364522052</v>
      </c>
      <c r="AO23" s="2">
        <f t="shared" si="15"/>
        <v>4428.9407335348296</v>
      </c>
      <c r="AP23" s="2">
        <f t="shared" si="16"/>
        <v>3608.495032401398</v>
      </c>
      <c r="AQ23" s="2">
        <f t="shared" si="17"/>
        <v>1000.0232976856266</v>
      </c>
      <c r="AR23" s="2">
        <f t="shared" si="18"/>
        <v>125.05583743141311</v>
      </c>
      <c r="AS23" s="2">
        <f t="shared" si="19"/>
        <v>124.97859027478171</v>
      </c>
      <c r="AX23" s="2">
        <f t="shared" si="28"/>
        <v>100000</v>
      </c>
      <c r="AY23" s="37">
        <f t="shared" si="20"/>
        <v>19283.18176642276</v>
      </c>
      <c r="AZ23" s="37">
        <f t="shared" si="21"/>
        <v>17835.205917847718</v>
      </c>
      <c r="BA23" s="37">
        <f t="shared" si="22"/>
        <v>17091.457757778491</v>
      </c>
      <c r="BB23" s="37">
        <f t="shared" si="23"/>
        <v>16453.151765752249</v>
      </c>
      <c r="BC23" s="37">
        <f t="shared" si="24"/>
        <v>-100288.88930914762</v>
      </c>
      <c r="BD23" s="37">
        <f t="shared" si="25"/>
        <v>-730.95114683833287</v>
      </c>
      <c r="BE23" s="37">
        <f t="shared" si="26"/>
        <v>-825.37343195555366</v>
      </c>
    </row>
    <row r="24" spans="1:57" x14ac:dyDescent="0.25">
      <c r="A24" s="2">
        <f>'creep_res-40'!A24</f>
        <v>1000000</v>
      </c>
      <c r="B24" s="3">
        <f>'creep_res-40'!O24</f>
        <v>-7.0784651428571431E-4</v>
      </c>
      <c r="C24" s="2">
        <f>IF('Modell einstellen'!$B$2="Ja",creep_res0!O24,creep_res0!C24)</f>
        <v>-7.8033254285714293E-4</v>
      </c>
      <c r="D24" s="2">
        <f>IF('Modell einstellen'!$B$2="Ja",creep_res25!O24,creep_res25!C24)</f>
        <v>-8.7882385714285716E-4</v>
      </c>
      <c r="E24" s="2">
        <f>IF('Modell einstellen'!$B$2="Ja",creep_res50!O24,creep_res50!C24)</f>
        <v>-1.0927976285714286E-3</v>
      </c>
      <c r="F24" s="2">
        <f>IF('Modell einstellen'!$B$2="Ja",creep_res80!O24,creep_res80!C24)</f>
        <v>-5.6721531428571429E-3</v>
      </c>
      <c r="G24" s="2">
        <f>IF('Modell einstellen'!$B$2="Ja",creep_res125!O24,creep_res125!C24)</f>
        <v>-2.5445166000000005E-2</v>
      </c>
      <c r="H24" s="2">
        <f>IF('Modell einstellen'!$B$2="Ja",creep_res160!O24,creep_res160!C24)</f>
        <v>-2.5585562571428574E-2</v>
      </c>
      <c r="M24" s="9">
        <f t="shared" si="27"/>
        <v>-10</v>
      </c>
      <c r="N24" s="2">
        <f t="shared" si="4"/>
        <v>1000000</v>
      </c>
      <c r="O24" s="2">
        <f t="shared" si="5"/>
        <v>14127.356422869396</v>
      </c>
      <c r="P24" s="2">
        <f t="shared" si="6"/>
        <v>12815.049290890231</v>
      </c>
      <c r="Q24" s="2">
        <f t="shared" si="7"/>
        <v>11378.84448484476</v>
      </c>
      <c r="R24" s="2">
        <f t="shared" si="8"/>
        <v>9150.8251285945844</v>
      </c>
      <c r="S24" s="2">
        <f t="shared" si="9"/>
        <v>1762.9989438125185</v>
      </c>
      <c r="T24" s="2">
        <f t="shared" si="10"/>
        <v>393.00195565633163</v>
      </c>
      <c r="U24" s="2">
        <f t="shared" si="11"/>
        <v>390.84542198681265</v>
      </c>
      <c r="Z24" s="2">
        <v>1000000</v>
      </c>
      <c r="AA24" s="3">
        <f>IF('Modell einstellen'!$B$2="Ja",'creep_res-40'!P24,'creep_res-40'!L24)</f>
        <v>0.37376306921742675</v>
      </c>
      <c r="AB24" s="2">
        <f>IF('Modell einstellen'!$B$2="Ja",creep_res0!P24,creep_res0!L24)</f>
        <v>0.37407685419392078</v>
      </c>
      <c r="AC24" s="2">
        <f>IF('Modell einstellen'!$B$2="Ja",creep_res25!P24,creep_res25!L24)</f>
        <v>0.38370988368057507</v>
      </c>
      <c r="AD24" s="2">
        <f>IF('Modell einstellen'!$B$2="Ja",creep_res50!P24,creep_res50!L24)</f>
        <v>0.40240544341277462</v>
      </c>
      <c r="AE24" s="2">
        <f>IF('Modell einstellen'!$B$2="Ja",creep_res80!P24,creep_res80!L24)</f>
        <v>0.53036347598110389</v>
      </c>
      <c r="AF24" s="2">
        <f>IF('Modell einstellen'!$B$2="Ja",creep_res125!P24,creep_res125!L24)</f>
        <v>0.57336498189310858</v>
      </c>
      <c r="AG24" s="2">
        <f>IF('Modell einstellen'!$B$2="Ja",creep_res160!P24,creep_res160!L24)</f>
        <v>0.56594718613016004</v>
      </c>
      <c r="AL24" s="2">
        <f t="shared" si="12"/>
        <v>1000000</v>
      </c>
      <c r="AM24" s="2">
        <f t="shared" si="13"/>
        <v>5141.8460502498219</v>
      </c>
      <c r="AN24" s="2">
        <f t="shared" si="14"/>
        <v>4663.1486629646943</v>
      </c>
      <c r="AO24" s="2">
        <f t="shared" si="15"/>
        <v>4111.7161259908762</v>
      </c>
      <c r="AP24" s="2">
        <f t="shared" si="16"/>
        <v>3262.5462100054015</v>
      </c>
      <c r="AQ24" s="2">
        <f t="shared" si="17"/>
        <v>576.00660610456418</v>
      </c>
      <c r="AR24" s="2">
        <f t="shared" si="18"/>
        <v>124.89217701523481</v>
      </c>
      <c r="AS24" s="2">
        <f t="shared" si="19"/>
        <v>124.79521194858673</v>
      </c>
      <c r="AX24" s="2">
        <f t="shared" si="28"/>
        <v>1000000</v>
      </c>
      <c r="AY24" s="37">
        <f t="shared" si="20"/>
        <v>18651.906294101758</v>
      </c>
      <c r="AZ24" s="37">
        <f t="shared" si="21"/>
        <v>16961.469115224347</v>
      </c>
      <c r="BA24" s="37">
        <f t="shared" si="22"/>
        <v>16308.12781714172</v>
      </c>
      <c r="BB24" s="37">
        <f t="shared" si="23"/>
        <v>15627.280606263477</v>
      </c>
      <c r="BC24" s="37">
        <f t="shared" si="24"/>
        <v>-9677.1910266448958</v>
      </c>
      <c r="BD24" s="37">
        <f t="shared" si="25"/>
        <v>-892.80095561332928</v>
      </c>
      <c r="BE24" s="37">
        <f t="shared" si="26"/>
        <v>-987.77381548774645</v>
      </c>
    </row>
    <row r="25" spans="1:57" x14ac:dyDescent="0.25">
      <c r="A25" s="2">
        <f>'creep_res-40'!A25</f>
        <v>10000000</v>
      </c>
      <c r="B25" s="3">
        <f>'creep_res-40'!O25</f>
        <v>-7.4948245714285731E-4</v>
      </c>
      <c r="C25" s="2">
        <f>IF('Modell einstellen'!$B$2="Ja",creep_res0!O25,creep_res0!C25)</f>
        <v>-8.349933714285714E-4</v>
      </c>
      <c r="D25" s="2">
        <f>IF('Modell einstellen'!$B$2="Ja",creep_res25!O25,creep_res25!C25)</f>
        <v>-9.4455039999999997E-4</v>
      </c>
      <c r="E25" s="2">
        <f>IF('Modell einstellen'!$B$2="Ja",creep_res50!O25,creep_res50!C25)</f>
        <v>-1.2470880857142859E-3</v>
      </c>
      <c r="F25" s="2">
        <f>IF('Modell einstellen'!$B$2="Ja",creep_res80!O25,creep_res80!C25)</f>
        <v>-1.0032045714285715E-2</v>
      </c>
      <c r="G25" s="2">
        <f>IF('Modell einstellen'!$B$2="Ja",creep_res125!O25,creep_res125!C25)</f>
        <v>-2.5669595428571428E-2</v>
      </c>
      <c r="H25" s="2">
        <f>IF('Modell einstellen'!$B$2="Ja",creep_res160!O25,creep_res160!C25)</f>
        <v>-2.5768378857142858E-2</v>
      </c>
      <c r="M25" s="9">
        <f t="shared" si="27"/>
        <v>-10</v>
      </c>
      <c r="N25" s="2">
        <f t="shared" si="4"/>
        <v>10000000</v>
      </c>
      <c r="O25" s="2">
        <f t="shared" si="5"/>
        <v>13342.540448673799</v>
      </c>
      <c r="P25" s="2">
        <f t="shared" si="6"/>
        <v>11976.142975711562</v>
      </c>
      <c r="Q25" s="2">
        <f t="shared" si="7"/>
        <v>10587.047551935821</v>
      </c>
      <c r="R25" s="2">
        <f t="shared" si="8"/>
        <v>8018.6797665317845</v>
      </c>
      <c r="S25" s="2">
        <f t="shared" si="9"/>
        <v>996.80566504595549</v>
      </c>
      <c r="T25" s="2">
        <f t="shared" si="10"/>
        <v>389.56593717365507</v>
      </c>
      <c r="U25" s="2">
        <f t="shared" si="11"/>
        <v>388.07253088907657</v>
      </c>
      <c r="Z25" s="2">
        <v>10000000</v>
      </c>
      <c r="AA25" s="3">
        <f>IF('Modell einstellen'!$B$2="Ja",'creep_res-40'!P25,'creep_res-40'!L25)</f>
        <v>0.37400417568145877</v>
      </c>
      <c r="AB25" s="2">
        <f>IF('Modell einstellen'!$B$2="Ja",creep_res0!P25,creep_res0!L25)</f>
        <v>0.37775170704520222</v>
      </c>
      <c r="AC25" s="2">
        <f>IF('Modell einstellen'!$B$2="Ja",creep_res25!P25,creep_res25!L25)</f>
        <v>0.38783664391318573</v>
      </c>
      <c r="AD25" s="2">
        <f>IF('Modell einstellen'!$B$2="Ja",creep_res50!P25,creep_res50!L25)</f>
        <v>0.41108623258437255</v>
      </c>
      <c r="AE25" s="2">
        <f>IF('Modell einstellen'!$B$2="Ja",creep_res80!P25,creep_res80!L25)</f>
        <v>0.54879634291937607</v>
      </c>
      <c r="AF25" s="2">
        <f>IF('Modell einstellen'!$B$2="Ja",creep_res125!P25,creep_res125!L25)</f>
        <v>0.56191044204113683</v>
      </c>
      <c r="AG25" s="2">
        <f>IF('Modell einstellen'!$B$2="Ja",creep_res160!P25,creep_res160!L25)</f>
        <v>0.55726511361222497</v>
      </c>
      <c r="AL25" s="2">
        <f t="shared" si="12"/>
        <v>10000000</v>
      </c>
      <c r="AM25" s="2">
        <f t="shared" si="13"/>
        <v>4855.3493085479013</v>
      </c>
      <c r="AN25" s="2">
        <f t="shared" si="14"/>
        <v>4346.263159926043</v>
      </c>
      <c r="AO25" s="2">
        <f t="shared" si="15"/>
        <v>3814.2268394370481</v>
      </c>
      <c r="AP25" s="2">
        <f t="shared" si="16"/>
        <v>2841.314577864513</v>
      </c>
      <c r="AQ25" s="2">
        <f t="shared" si="17"/>
        <v>321.80010935687142</v>
      </c>
      <c r="AR25" s="2">
        <f t="shared" si="18"/>
        <v>124.70815441395035</v>
      </c>
      <c r="AS25" s="2">
        <f t="shared" si="19"/>
        <v>124.60066288549459</v>
      </c>
      <c r="AX25" s="2">
        <f t="shared" si="28"/>
        <v>10000000</v>
      </c>
      <c r="AY25" s="37">
        <f t="shared" si="20"/>
        <v>17649.447935858225</v>
      </c>
      <c r="AZ25" s="37">
        <f t="shared" si="21"/>
        <v>16327.621278305334</v>
      </c>
      <c r="BA25" s="37">
        <f t="shared" si="22"/>
        <v>15731.589949545645</v>
      </c>
      <c r="BB25" s="37">
        <f t="shared" si="23"/>
        <v>15030.817685500569</v>
      </c>
      <c r="BC25" s="37">
        <f t="shared" si="24"/>
        <v>-3404.6460773127037</v>
      </c>
      <c r="BD25" s="37">
        <f t="shared" si="25"/>
        <v>-1048.7351415205135</v>
      </c>
      <c r="BE25" s="37">
        <f t="shared" si="26"/>
        <v>-1129.4617450016162</v>
      </c>
    </row>
    <row r="26" spans="1:57" x14ac:dyDescent="0.25">
      <c r="A26" s="2">
        <f>'creep_res-40'!A26</f>
        <v>100000000</v>
      </c>
      <c r="B26" s="3">
        <f>'creep_res-40'!O26</f>
        <v>-8.0181628571428579E-4</v>
      </c>
      <c r="C26" s="2">
        <f>IF('Modell einstellen'!$B$2="Ja",creep_res0!O26,creep_res0!C26)</f>
        <v>-8.9258854285714285E-4</v>
      </c>
      <c r="D26" s="2">
        <f>IF('Modell einstellen'!$B$2="Ja",creep_res25!O26,creep_res25!C26)</f>
        <v>-1.0202113142857142E-3</v>
      </c>
      <c r="E26" s="2">
        <f>IF('Modell einstellen'!$B$2="Ja",creep_res50!O26,creep_res50!C26)</f>
        <v>-1.4947720285714288E-3</v>
      </c>
      <c r="F26" s="2">
        <f>IF('Modell einstellen'!$B$2="Ja",creep_res80!O26,creep_res80!C26)</f>
        <v>-1.7054402857142856E-2</v>
      </c>
      <c r="G26" s="2">
        <f>IF('Modell einstellen'!$B$2="Ja",creep_res125!O26,creep_res125!C26)</f>
        <v>-2.5825078857142861E-2</v>
      </c>
      <c r="H26" s="2">
        <f>IF('Modell einstellen'!$B$2="Ja",creep_res160!O26,creep_res160!C26)</f>
        <v>-2.5890898857142859E-2</v>
      </c>
      <c r="M26" s="9">
        <f t="shared" si="27"/>
        <v>-10</v>
      </c>
      <c r="N26" s="2">
        <f t="shared" si="4"/>
        <v>100000000</v>
      </c>
      <c r="O26" s="2">
        <f t="shared" si="5"/>
        <v>12471.684821282537</v>
      </c>
      <c r="P26" s="2">
        <f t="shared" si="6"/>
        <v>11203.370332303808</v>
      </c>
      <c r="Q26" s="2">
        <f t="shared" si="7"/>
        <v>9801.8909023777596</v>
      </c>
      <c r="R26" s="2">
        <f t="shared" si="8"/>
        <v>6689.9833612468101</v>
      </c>
      <c r="S26" s="2">
        <f t="shared" si="9"/>
        <v>586.35884725871381</v>
      </c>
      <c r="T26" s="2">
        <f t="shared" si="10"/>
        <v>387.22050202894684</v>
      </c>
      <c r="U26" s="2">
        <f t="shared" si="11"/>
        <v>386.23610772173595</v>
      </c>
      <c r="Z26" s="2">
        <v>100000000</v>
      </c>
      <c r="AA26" s="3">
        <f>IF('Modell einstellen'!$B$2="Ja",'creep_res-40'!P26,'creep_res-40'!L26)</f>
        <v>0.3763864326598505</v>
      </c>
      <c r="AB26" s="2">
        <f>IF('Modell einstellen'!$B$2="Ja",creep_res0!P26,creep_res0!L26)</f>
        <v>0.38220333099246911</v>
      </c>
      <c r="AC26" s="2">
        <f>IF('Modell einstellen'!$B$2="Ja",creep_res25!P26,creep_res25!L26)</f>
        <v>0.39319257556613768</v>
      </c>
      <c r="AD26" s="2">
        <f>IF('Modell einstellen'!$B$2="Ja",creep_res50!P26,creep_res50!L26)</f>
        <v>0.42315822989997837</v>
      </c>
      <c r="AE26" s="2">
        <f>IF('Modell einstellen'!$B$2="Ja",creep_res80!P26,creep_res80!L26)</f>
        <v>0.56031345738787863</v>
      </c>
      <c r="AF26" s="2">
        <f>IF('Modell einstellen'!$B$2="Ja",creep_res125!P26,creep_res125!L26)</f>
        <v>0.55490427156875721</v>
      </c>
      <c r="AG26" s="2">
        <f>IF('Modell einstellen'!$B$2="Ja",creep_res160!P26,creep_res160!L26)</f>
        <v>0.55235524240365719</v>
      </c>
      <c r="AL26" s="2">
        <f t="shared" si="12"/>
        <v>100000000</v>
      </c>
      <c r="AM26" s="2">
        <f t="shared" si="13"/>
        <v>4530.5898566513597</v>
      </c>
      <c r="AN26" s="2">
        <f t="shared" si="14"/>
        <v>4052.7215067045913</v>
      </c>
      <c r="AO26" s="2">
        <f t="shared" si="15"/>
        <v>3517.7803393025779</v>
      </c>
      <c r="AP26" s="2">
        <f t="shared" si="16"/>
        <v>2350.4004054830193</v>
      </c>
      <c r="AQ26" s="2">
        <f t="shared" si="17"/>
        <v>187.89777287454069</v>
      </c>
      <c r="AR26" s="2">
        <f t="shared" si="18"/>
        <v>124.51586541667818</v>
      </c>
      <c r="AS26" s="2">
        <f t="shared" si="19"/>
        <v>124.40326066206676</v>
      </c>
      <c r="AX26" s="2">
        <f t="shared" si="28"/>
        <v>100000000</v>
      </c>
      <c r="AY26" s="37">
        <f t="shared" si="20"/>
        <v>16815.420682429347</v>
      </c>
      <c r="AZ26" s="37">
        <f t="shared" si="21"/>
        <v>15851.283439924156</v>
      </c>
      <c r="BA26" s="37">
        <f t="shared" si="22"/>
        <v>15295.270833360655</v>
      </c>
      <c r="BB26" s="37">
        <f t="shared" si="23"/>
        <v>14510.301173738246</v>
      </c>
      <c r="BC26" s="37">
        <f t="shared" si="24"/>
        <v>-1620.30960876004</v>
      </c>
      <c r="BD26" s="37">
        <f t="shared" si="25"/>
        <v>-1175.441336241712</v>
      </c>
      <c r="BE26" s="37">
        <f t="shared" si="26"/>
        <v>-1229.5365595670069</v>
      </c>
    </row>
    <row r="27" spans="1:57" x14ac:dyDescent="0.25">
      <c r="A27" s="2">
        <f>'creep_res-40'!A27</f>
        <v>1000000000</v>
      </c>
      <c r="B27" s="3">
        <f>'creep_res-40'!O27</f>
        <v>-8.5946594285714285E-4</v>
      </c>
      <c r="C27" s="2">
        <f>IF('Modell einstellen'!$B$2="Ja",creep_res0!O27,creep_res0!C27)</f>
        <v>-9.5556454285714292E-4</v>
      </c>
      <c r="D27" s="2">
        <f>IF('Modell einstellen'!$B$2="Ja",creep_res25!O27,creep_res25!C27)</f>
        <v>-1.1177940285714287E-3</v>
      </c>
      <c r="E27" s="2">
        <f>IF('Modell einstellen'!$B$2="Ja",creep_res50!O27,creep_res50!C27)</f>
        <v>-1.9359241142857142E-3</v>
      </c>
      <c r="F27" s="2">
        <f>IF('Modell einstellen'!$B$2="Ja",creep_res80!O27,creep_res80!C27)</f>
        <v>-2.1908498571428573E-2</v>
      </c>
      <c r="G27" s="2">
        <f>IF('Modell einstellen'!$B$2="Ja",creep_res125!O27,creep_res125!C27)</f>
        <v>-2.5863216285714287E-2</v>
      </c>
      <c r="H27" s="2">
        <f>IF('Modell einstellen'!$B$2="Ja",creep_res160!O27,creep_res160!C27)</f>
        <v>-2.5892521714285716E-2</v>
      </c>
      <c r="M27" s="9">
        <f t="shared" si="27"/>
        <v>-10</v>
      </c>
      <c r="N27" s="2">
        <f t="shared" si="4"/>
        <v>1000000000</v>
      </c>
      <c r="O27" s="2">
        <f t="shared" si="5"/>
        <v>11635.132355281892</v>
      </c>
      <c r="P27" s="2">
        <f t="shared" si="6"/>
        <v>10465.017852273953</v>
      </c>
      <c r="Q27" s="2">
        <f t="shared" si="7"/>
        <v>8946.1920035306266</v>
      </c>
      <c r="R27" s="2">
        <f t="shared" si="8"/>
        <v>5165.4917288375409</v>
      </c>
      <c r="S27" s="2">
        <f t="shared" si="9"/>
        <v>456.44387575884605</v>
      </c>
      <c r="T27" s="2">
        <f t="shared" si="10"/>
        <v>386.64951371587779</v>
      </c>
      <c r="U27" s="2">
        <f t="shared" si="11"/>
        <v>386.21189972712028</v>
      </c>
      <c r="Z27" s="2">
        <v>1000000000</v>
      </c>
      <c r="AA27" s="3">
        <f>IF('Modell einstellen'!$B$2="Ja",'creep_res-40'!P27,'creep_res-40'!L27)</f>
        <v>0.38014321052794647</v>
      </c>
      <c r="AB27" s="2">
        <f>IF('Modell einstellen'!$B$2="Ja",creep_res0!P27,creep_res0!L27)</f>
        <v>0.38738156253420752</v>
      </c>
      <c r="AC27" s="2">
        <f>IF('Modell einstellen'!$B$2="Ja",creep_res25!P27,creep_res25!L27)</f>
        <v>0.39992425387033348</v>
      </c>
      <c r="AD27" s="2">
        <f>IF('Modell einstellen'!$B$2="Ja",creep_res50!P27,creep_res50!L27)</f>
        <v>0.43943319265879138</v>
      </c>
      <c r="AE27" s="2">
        <f>IF('Modell einstellen'!$B$2="Ja",creep_res80!P27,creep_res80!L27)</f>
        <v>0.55969784458725058</v>
      </c>
      <c r="AF27" s="2">
        <f>IF('Modell einstellen'!$B$2="Ja",creep_res125!P27,creep_res125!L27)</f>
        <v>0.55335672150465165</v>
      </c>
      <c r="AG27" s="2">
        <f>IF('Modell einstellen'!$B$2="Ja",creep_res160!P27,creep_res160!L27)</f>
        <v>0.55231146387485341</v>
      </c>
      <c r="AL27" s="2">
        <f t="shared" si="12"/>
        <v>1000000000</v>
      </c>
      <c r="AM27" s="2">
        <f t="shared" si="13"/>
        <v>4215.1902304511941</v>
      </c>
      <c r="AN27" s="2">
        <f t="shared" si="14"/>
        <v>3771.4995408899726</v>
      </c>
      <c r="AO27" s="2">
        <f t="shared" si="15"/>
        <v>3195.2414492417452</v>
      </c>
      <c r="AP27" s="2">
        <f t="shared" si="16"/>
        <v>1794.2797745605371</v>
      </c>
      <c r="AQ27" s="2">
        <f t="shared" si="17"/>
        <v>146.32445551645827</v>
      </c>
      <c r="AR27" s="2">
        <f t="shared" si="18"/>
        <v>124.45612407089325</v>
      </c>
      <c r="AS27" s="2">
        <f t="shared" si="19"/>
        <v>124.39897169961779</v>
      </c>
      <c r="AX27" s="2">
        <f t="shared" si="28"/>
        <v>1000000000</v>
      </c>
      <c r="AY27" s="37">
        <f t="shared" si="20"/>
        <v>16179.214664618288</v>
      </c>
      <c r="AZ27" s="37">
        <f t="shared" si="21"/>
        <v>15487.425338994295</v>
      </c>
      <c r="BA27" s="37">
        <f t="shared" si="22"/>
        <v>14899.034563844589</v>
      </c>
      <c r="BB27" s="37">
        <f t="shared" si="23"/>
        <v>14214.308561611075</v>
      </c>
      <c r="BC27" s="37">
        <f t="shared" si="24"/>
        <v>-1274.3170179612785</v>
      </c>
      <c r="BD27" s="37">
        <f t="shared" si="25"/>
        <v>-1207.7500978708922</v>
      </c>
      <c r="BE27" s="37">
        <f t="shared" si="26"/>
        <v>-1230.488408974971</v>
      </c>
    </row>
    <row r="28" spans="1:57" x14ac:dyDescent="0.25">
      <c r="A28" s="2">
        <f>'creep_res-40'!A28</f>
        <v>10000000000</v>
      </c>
      <c r="B28" s="3">
        <f>'creep_res-40'!O28</f>
        <v>-9.1906580000000011E-4</v>
      </c>
      <c r="C28" s="2">
        <f>IF('Modell einstellen'!$B$2="Ja",creep_res0!O28,creep_res0!C28)</f>
        <v>-1.0291650285714285E-3</v>
      </c>
      <c r="D28" s="2">
        <f>IF('Modell einstellen'!$B$2="Ja",creep_res25!O28,creep_res25!C28)</f>
        <v>-1.2711824857142859E-3</v>
      </c>
      <c r="E28" s="2">
        <f>IF('Modell einstellen'!$B$2="Ja",creep_res50!O28,creep_res50!C28)</f>
        <v>-2.8654377142857141E-3</v>
      </c>
      <c r="F28" s="2">
        <f>IF('Modell einstellen'!$B$2="Ja",creep_res80!O28,creep_res80!C28)</f>
        <v>-2.4215067428571428E-2</v>
      </c>
      <c r="G28" s="2">
        <f>IF('Modell einstellen'!$B$2="Ja",creep_res125!O28,creep_res125!C28)</f>
        <v>-2.5912107428571432E-2</v>
      </c>
      <c r="H28" s="2">
        <f>IF('Modell einstellen'!$B$2="Ja",creep_res160!O28,creep_res160!C28)</f>
        <v>-2.5934564857142857E-2</v>
      </c>
      <c r="M28" s="9">
        <f t="shared" si="27"/>
        <v>-10</v>
      </c>
      <c r="N28" s="2">
        <f t="shared" si="4"/>
        <v>10000000000</v>
      </c>
      <c r="O28" s="2">
        <f t="shared" si="5"/>
        <v>10880.613771070579</v>
      </c>
      <c r="P28" s="2">
        <f t="shared" si="6"/>
        <v>9716.6146559418939</v>
      </c>
      <c r="Q28" s="2">
        <f t="shared" si="7"/>
        <v>7866.6911418158297</v>
      </c>
      <c r="R28" s="2">
        <f t="shared" si="8"/>
        <v>3489.8682145993753</v>
      </c>
      <c r="S28" s="2">
        <f t="shared" si="9"/>
        <v>412.96601917370549</v>
      </c>
      <c r="T28" s="2">
        <f t="shared" si="10"/>
        <v>385.91998074898817</v>
      </c>
      <c r="U28" s="2">
        <f t="shared" si="11"/>
        <v>385.58580238703394</v>
      </c>
      <c r="Z28" s="2">
        <v>10000000000</v>
      </c>
      <c r="AA28" s="3">
        <f>IF('Modell einstellen'!$B$2="Ja",'creep_res-40'!P28,'creep_res-40'!L28)</f>
        <v>0.38462562434904785</v>
      </c>
      <c r="AB28" s="2">
        <f>IF('Modell einstellen'!$B$2="Ja",creep_res0!P28,creep_res0!L28)</f>
        <v>0.39314569458470305</v>
      </c>
      <c r="AC28" s="2">
        <f>IF('Modell einstellen'!$B$2="Ja",creep_res25!P28,creep_res25!L28)</f>
        <v>0.4090862800029138</v>
      </c>
      <c r="AD28" s="2">
        <f>IF('Modell einstellen'!$B$2="Ja",creep_res50!P28,creep_res50!L28)</f>
        <v>0.46294720168407089</v>
      </c>
      <c r="AE28" s="2">
        <f>IF('Modell einstellen'!$B$2="Ja",creep_res80!P28,creep_res80!L28)</f>
        <v>0.55630004676191225</v>
      </c>
      <c r="AF28" s="2">
        <f>IF('Modell einstellen'!$B$2="Ja",creep_res125!P28,creep_res125!L28)</f>
        <v>0.55157263715309424</v>
      </c>
      <c r="AG28" s="2">
        <f>IF('Modell einstellen'!$B$2="Ja",creep_res160!P28,creep_res160!L28)</f>
        <v>0.55094821773263492</v>
      </c>
      <c r="AL28" s="2">
        <f t="shared" si="12"/>
        <v>10000000000</v>
      </c>
      <c r="AM28" s="2">
        <f t="shared" si="13"/>
        <v>3929.081471457625</v>
      </c>
      <c r="AN28" s="2">
        <f t="shared" si="14"/>
        <v>3487.2930712528305</v>
      </c>
      <c r="AO28" s="2">
        <f t="shared" si="15"/>
        <v>2791.4157044377589</v>
      </c>
      <c r="AP28" s="2">
        <f t="shared" si="16"/>
        <v>1192.7526197056241</v>
      </c>
      <c r="AQ28" s="2">
        <f t="shared" si="17"/>
        <v>132.67557886184474</v>
      </c>
      <c r="AR28" s="2">
        <f t="shared" si="18"/>
        <v>124.36413594438419</v>
      </c>
      <c r="AS28" s="2">
        <f t="shared" si="19"/>
        <v>124.30647199515475</v>
      </c>
      <c r="AX28" s="2">
        <f t="shared" si="28"/>
        <v>10000000000</v>
      </c>
      <c r="AY28" s="37">
        <f t="shared" si="20"/>
        <v>15717.836983127349</v>
      </c>
      <c r="AZ28" s="37">
        <f t="shared" si="21"/>
        <v>15155.550070689824</v>
      </c>
      <c r="BA28" s="37">
        <f t="shared" si="22"/>
        <v>14421.532749343662</v>
      </c>
      <c r="BB28" s="37">
        <f t="shared" si="23"/>
        <v>15697.726726976471</v>
      </c>
      <c r="BC28" s="37">
        <f t="shared" si="24"/>
        <v>-1222.5153231817048</v>
      </c>
      <c r="BD28" s="37">
        <f t="shared" si="25"/>
        <v>-1247.1729262275853</v>
      </c>
      <c r="BE28" s="37">
        <f t="shared" si="26"/>
        <v>-1261.3650341035277</v>
      </c>
    </row>
    <row r="29" spans="1:57" x14ac:dyDescent="0.25">
      <c r="A29" s="2">
        <f>'creep_res-40'!A29</f>
        <v>100000000000</v>
      </c>
      <c r="B29" s="3">
        <f>'creep_res-40'!O29</f>
        <v>-9.8779891428571421E-4</v>
      </c>
      <c r="C29" s="2">
        <f>IF('Modell einstellen'!$B$2="Ja",creep_res0!O29,creep_res0!C29)</f>
        <v>-1.1262674571428572E-3</v>
      </c>
      <c r="D29" s="2">
        <f>IF('Modell einstellen'!$B$2="Ja",creep_res25!O29,creep_res25!C29)</f>
        <v>-1.5219878857142858E-3</v>
      </c>
      <c r="E29" s="2">
        <f>IF('Modell einstellen'!$B$2="Ja",creep_res50!O29,creep_res50!C29)</f>
        <v>-4.7087302857142859E-3</v>
      </c>
      <c r="F29" s="2">
        <f>IF('Modell einstellen'!$B$2="Ja",creep_res80!O29,creep_res80!C29)</f>
        <v>-2.5915531714285719E-2</v>
      </c>
      <c r="G29" s="2">
        <f>IF('Modell einstellen'!$B$2="Ja",creep_res125!O29,creep_res125!C29)</f>
        <v>-2.5958522285714283E-2</v>
      </c>
      <c r="H29" s="2">
        <f>IF('Modell einstellen'!$B$2="Ja",creep_res160!O29,creep_res160!C29)</f>
        <v>-2.5979272000000001E-2</v>
      </c>
      <c r="M29" s="9">
        <f t="shared" si="27"/>
        <v>-10</v>
      </c>
      <c r="N29" s="2">
        <f t="shared" si="4"/>
        <v>100000000000</v>
      </c>
      <c r="O29" s="2">
        <f t="shared" si="5"/>
        <v>10123.51790974693</v>
      </c>
      <c r="P29" s="2">
        <f t="shared" si="6"/>
        <v>8878.8856825964267</v>
      </c>
      <c r="Q29" s="2">
        <f t="shared" si="7"/>
        <v>6570.354530323275</v>
      </c>
      <c r="R29" s="2">
        <f t="shared" si="8"/>
        <v>2123.7147581671393</v>
      </c>
      <c r="S29" s="2">
        <f t="shared" si="9"/>
        <v>385.86898815151778</v>
      </c>
      <c r="T29" s="2">
        <f t="shared" si="10"/>
        <v>385.22994066974627</v>
      </c>
      <c r="U29" s="2">
        <f t="shared" si="11"/>
        <v>384.92225648201378</v>
      </c>
      <c r="Z29" s="2">
        <v>100000000000</v>
      </c>
      <c r="AA29" s="3">
        <f>IF('Modell einstellen'!$B$2="Ja",'creep_res-40'!P29,'creep_res-40'!L29)</f>
        <v>0.39011878704520608</v>
      </c>
      <c r="AB29" s="2">
        <f>IF('Modell einstellen'!$B$2="Ja",creep_res0!P29,creep_res0!L29)</f>
        <v>0.39988352424079121</v>
      </c>
      <c r="AC29" s="2">
        <f>IF('Modell einstellen'!$B$2="Ja",creep_res25!P29,creep_res25!L29)</f>
        <v>0.42081371175171361</v>
      </c>
      <c r="AD29" s="2">
        <f>IF('Modell einstellen'!$B$2="Ja",creep_res50!P29,creep_res50!L29)</f>
        <v>0.49019631983289891</v>
      </c>
      <c r="AE29" s="2">
        <f>IF('Modell einstellen'!$B$2="Ja",creep_res80!P29,creep_res80!L29)</f>
        <v>0.55476144085288237</v>
      </c>
      <c r="AF29" s="2">
        <f>IF('Modell einstellen'!$B$2="Ja",creep_res125!P29,creep_res125!L29)</f>
        <v>0.55022634570394002</v>
      </c>
      <c r="AG29" s="2">
        <f>IF('Modell einstellen'!$B$2="Ja",creep_res160!P29,creep_res160!L29)</f>
        <v>0.54983551062224867</v>
      </c>
      <c r="AL29" s="2">
        <f t="shared" si="12"/>
        <v>100000000000</v>
      </c>
      <c r="AM29" s="2">
        <f t="shared" si="13"/>
        <v>3641.242030569621</v>
      </c>
      <c r="AN29" s="2">
        <f t="shared" si="14"/>
        <v>3171.2944430186703</v>
      </c>
      <c r="AO29" s="2">
        <f t="shared" si="15"/>
        <v>2312.1801528163464</v>
      </c>
      <c r="AP29" s="2">
        <f t="shared" si="16"/>
        <v>712.56207316539314</v>
      </c>
      <c r="AQ29" s="2">
        <f t="shared" si="17"/>
        <v>124.09266721325585</v>
      </c>
      <c r="AR29" s="2">
        <f t="shared" si="18"/>
        <v>124.24957869452857</v>
      </c>
      <c r="AS29" s="2">
        <f t="shared" si="19"/>
        <v>124.18164826003697</v>
      </c>
      <c r="AX29" s="2">
        <f t="shared" si="28"/>
        <v>100000000000</v>
      </c>
      <c r="AY29" s="37">
        <f t="shared" si="20"/>
        <v>15355.245356200901</v>
      </c>
      <c r="AZ29" s="37">
        <f t="shared" si="21"/>
        <v>14780.926607842799</v>
      </c>
      <c r="BA29" s="37">
        <f t="shared" si="22"/>
        <v>13828.897813137615</v>
      </c>
      <c r="BB29" s="37">
        <f t="shared" si="23"/>
        <v>36104.039877015442</v>
      </c>
      <c r="BC29" s="37">
        <f t="shared" si="24"/>
        <v>-1174.3938257217701</v>
      </c>
      <c r="BD29" s="37">
        <f t="shared" si="25"/>
        <v>-1278.3129891647243</v>
      </c>
      <c r="BE29" s="37">
        <f t="shared" si="26"/>
        <v>-1287.3091619337808</v>
      </c>
    </row>
    <row r="30" spans="1:57" x14ac:dyDescent="0.25">
      <c r="A30" s="2">
        <f>'creep_res-40'!A30</f>
        <v>1000000000000</v>
      </c>
      <c r="B30" s="3">
        <f>'creep_res-40'!O30</f>
        <v>-1.0683100285714287E-3</v>
      </c>
      <c r="C30" s="2">
        <f>IF('Modell einstellen'!$B$2="Ja",creep_res0!O30,creep_res0!C30)</f>
        <v>-1.2804857714285715E-3</v>
      </c>
      <c r="D30" s="2">
        <f>IF('Modell einstellen'!$B$2="Ja",creep_res25!O30,creep_res25!C30)</f>
        <v>-1.9756241714285715E-3</v>
      </c>
      <c r="E30" s="2">
        <f>IF('Modell einstellen'!$B$2="Ja",creep_res50!O30,creep_res50!C30)</f>
        <v>-8.1325860000000007E-3</v>
      </c>
      <c r="F30" s="2">
        <f>IF('Modell einstellen'!$B$2="Ja",creep_res80!O30,creep_res80!C30)</f>
        <v>-2.5940484571428574E-2</v>
      </c>
      <c r="G30" s="2">
        <f>IF('Modell einstellen'!$B$2="Ja",creep_res125!O30,creep_res125!C30)</f>
        <v>-2.5996258285714287E-2</v>
      </c>
      <c r="H30" s="2">
        <f>IF('Modell einstellen'!$B$2="Ja",creep_res160!O30,creep_res160!C30)</f>
        <v>-2.6014335142857146E-2</v>
      </c>
      <c r="M30" s="9">
        <f t="shared" si="27"/>
        <v>-10</v>
      </c>
      <c r="N30" s="2">
        <f t="shared" si="4"/>
        <v>1000000000000</v>
      </c>
      <c r="O30" s="2">
        <f t="shared" si="5"/>
        <v>9360.5786078524925</v>
      </c>
      <c r="P30" s="2">
        <f t="shared" si="6"/>
        <v>7809.5362112798175</v>
      </c>
      <c r="Q30" s="2">
        <f t="shared" si="7"/>
        <v>5061.6914616756339</v>
      </c>
      <c r="R30" s="2">
        <f t="shared" si="8"/>
        <v>1229.6211807658719</v>
      </c>
      <c r="S30" s="2">
        <f t="shared" si="9"/>
        <v>385.49781028432375</v>
      </c>
      <c r="T30" s="2">
        <f t="shared" si="10"/>
        <v>384.67074338522389</v>
      </c>
      <c r="U30" s="2">
        <f t="shared" si="11"/>
        <v>384.4034431433754</v>
      </c>
      <c r="Z30" s="2">
        <v>1000000000000</v>
      </c>
      <c r="AA30" s="3">
        <f>IF('Modell einstellen'!$B$2="Ja",'creep_res-40'!P30,'creep_res-40'!L30)</f>
        <v>0.39605041350890891</v>
      </c>
      <c r="AB30" s="2">
        <f>IF('Modell einstellen'!$B$2="Ja",creep_res0!P30,creep_res0!L30)</f>
        <v>0.40878649134094247</v>
      </c>
      <c r="AC30" s="2">
        <f>IF('Modell einstellen'!$B$2="Ja",creep_res25!P30,creep_res25!L30)</f>
        <v>0.43682251248307119</v>
      </c>
      <c r="AD30" s="2">
        <f>IF('Modell einstellen'!$B$2="Ja",creep_res50!P30,creep_res50!L30)</f>
        <v>0.51508237530912238</v>
      </c>
      <c r="AE30" s="2">
        <f>IF('Modell einstellen'!$B$2="Ja",creep_res80!P30,creep_res80!L30)</f>
        <v>0.55477516357883649</v>
      </c>
      <c r="AF30" s="2">
        <f>IF('Modell einstellen'!$B$2="Ja",creep_res125!P30,creep_res125!L30)</f>
        <v>0.54953411756927129</v>
      </c>
      <c r="AG30" s="2">
        <f>IF('Modell einstellen'!$B$2="Ja",creep_res160!P30,creep_res160!L30)</f>
        <v>0.54934800618116342</v>
      </c>
      <c r="AL30" s="2">
        <f t="shared" si="12"/>
        <v>1000000000000</v>
      </c>
      <c r="AM30" s="2">
        <f t="shared" si="13"/>
        <v>3352.5216988135498</v>
      </c>
      <c r="AN30" s="2">
        <f t="shared" si="14"/>
        <v>2771.7245513357993</v>
      </c>
      <c r="AO30" s="2">
        <f t="shared" si="15"/>
        <v>1761.4184833894965</v>
      </c>
      <c r="AP30" s="2">
        <f t="shared" si="16"/>
        <v>405.79350694215293</v>
      </c>
      <c r="AQ30" s="2">
        <f t="shared" si="17"/>
        <v>123.97220489326934</v>
      </c>
      <c r="AR30" s="2">
        <f t="shared" si="18"/>
        <v>124.12464463468883</v>
      </c>
      <c r="AS30" s="2">
        <f t="shared" si="19"/>
        <v>124.05329261398603</v>
      </c>
      <c r="AX30" s="2">
        <f t="shared" si="28"/>
        <v>1000000000000</v>
      </c>
      <c r="AY30" s="37">
        <f t="shared" si="20"/>
        <v>15008.202411423625</v>
      </c>
      <c r="AZ30" s="37">
        <f t="shared" si="21"/>
        <v>14269.699605699665</v>
      </c>
      <c r="BA30" s="37">
        <f t="shared" si="22"/>
        <v>13353.098971948728</v>
      </c>
      <c r="BB30" s="37">
        <f t="shared" si="23"/>
        <v>-13587.837410266889</v>
      </c>
      <c r="BC30" s="37">
        <f t="shared" si="24"/>
        <v>-1172.9702085675094</v>
      </c>
      <c r="BD30" s="37">
        <f t="shared" si="25"/>
        <v>-1294.2956029154343</v>
      </c>
      <c r="BE30" s="37">
        <f t="shared" si="26"/>
        <v>-1298.2741448296031</v>
      </c>
    </row>
    <row r="31" spans="1:57" x14ac:dyDescent="0.25">
      <c r="A31" s="2">
        <f>'creep_res-40'!A31</f>
        <v>10000000000000</v>
      </c>
      <c r="B31" s="3">
        <f>'creep_res-40'!O31</f>
        <v>-1.1885513428571428E-3</v>
      </c>
      <c r="C31" s="2">
        <f>IF('Modell einstellen'!$B$2="Ja",creep_res0!O31,creep_res0!C31)</f>
        <v>-1.5340936E-3</v>
      </c>
      <c r="D31" s="2">
        <f>IF('Modell einstellen'!$B$2="Ja",creep_res25!O31,creep_res25!C31)</f>
        <v>-2.9386628571428574E-3</v>
      </c>
      <c r="E31" s="2">
        <f>IF('Modell einstellen'!$B$2="Ja",creep_res50!O31,creep_res50!C31)</f>
        <v>-1.4301890857142858E-2</v>
      </c>
      <c r="F31" s="2">
        <f>IF('Modell einstellen'!$B$2="Ja",creep_res80!O31,creep_res80!C31)</f>
        <v>-2.5945272857142859E-2</v>
      </c>
      <c r="G31" s="2">
        <f>IF('Modell einstellen'!$B$2="Ja",creep_res125!O31,creep_res125!C31)</f>
        <v>-2.5998281142857144E-2</v>
      </c>
      <c r="H31" s="2">
        <f>IF('Modell einstellen'!$B$2="Ja",creep_res160!O31,creep_res160!C31)</f>
        <v>-2.6016274000000002E-2</v>
      </c>
      <c r="M31" s="9">
        <f t="shared" si="27"/>
        <v>-10</v>
      </c>
      <c r="N31" s="2">
        <f t="shared" si="4"/>
        <v>10000000000000</v>
      </c>
      <c r="O31" s="2">
        <f t="shared" si="5"/>
        <v>8413.6037202744083</v>
      </c>
      <c r="P31" s="2">
        <f t="shared" si="6"/>
        <v>6518.5070845742393</v>
      </c>
      <c r="Q31" s="2">
        <f t="shared" si="7"/>
        <v>3402.9082225929769</v>
      </c>
      <c r="R31" s="2">
        <f t="shared" si="8"/>
        <v>699.20824455219883</v>
      </c>
      <c r="S31" s="2">
        <f t="shared" si="9"/>
        <v>385.426665391455</v>
      </c>
      <c r="T31" s="2">
        <f t="shared" si="10"/>
        <v>384.6408131772755</v>
      </c>
      <c r="U31" s="2">
        <f t="shared" si="11"/>
        <v>384.37479556065557</v>
      </c>
      <c r="Z31" s="2">
        <v>10000000000000</v>
      </c>
      <c r="AA31" s="3">
        <f>IF('Modell einstellen'!$B$2="Ja",'creep_res-40'!P31,'creep_res-40'!L31)</f>
        <v>0.40384261782116176</v>
      </c>
      <c r="AB31" s="2">
        <f>IF('Modell einstellen'!$B$2="Ja",creep_res0!P31,creep_res0!L31)</f>
        <v>0.42034641358072472</v>
      </c>
      <c r="AC31" s="2">
        <f>IF('Modell einstellen'!$B$2="Ja",creep_res25!P31,creep_res25!L31)</f>
        <v>0.46036363477266623</v>
      </c>
      <c r="AD31" s="2">
        <f>IF('Modell einstellen'!$B$2="Ja",creep_res50!P31,creep_res50!L31)</f>
        <v>0.53499071791066666</v>
      </c>
      <c r="AE31" s="2">
        <f>IF('Modell einstellen'!$B$2="Ja",creep_res80!P31,creep_res80!L31)</f>
        <v>0.55451354171811429</v>
      </c>
      <c r="AF31" s="2">
        <f>IF('Modell einstellen'!$B$2="Ja",creep_res125!P31,creep_res125!L31)</f>
        <v>0.54950937196023864</v>
      </c>
      <c r="AG31" s="2">
        <f>IF('Modell einstellen'!$B$2="Ja",creep_res160!P31,creep_res160!L31)</f>
        <v>0.54932537336328136</v>
      </c>
      <c r="AL31" s="2">
        <f t="shared" si="12"/>
        <v>10000000000000</v>
      </c>
      <c r="AM31" s="2">
        <f t="shared" si="13"/>
        <v>2996.6335305209523</v>
      </c>
      <c r="AN31" s="2">
        <f t="shared" si="14"/>
        <v>2294.6891766146468</v>
      </c>
      <c r="AO31" s="2">
        <f t="shared" si="15"/>
        <v>1165.0893454090649</v>
      </c>
      <c r="AP31" s="2">
        <f t="shared" si="16"/>
        <v>227.75650575396227</v>
      </c>
      <c r="AQ31" s="2">
        <f t="shared" si="17"/>
        <v>123.97018586453261</v>
      </c>
      <c r="AR31" s="2">
        <f t="shared" si="18"/>
        <v>124.11696893794122</v>
      </c>
      <c r="AS31" s="2">
        <f t="shared" si="19"/>
        <v>124.04585962671396</v>
      </c>
      <c r="AX31" s="2">
        <f t="shared" si="28"/>
        <v>10000000000000</v>
      </c>
      <c r="AY31" s="37">
        <f t="shared" si="20"/>
        <v>14583.043495343869</v>
      </c>
      <c r="AZ31" s="37">
        <f t="shared" si="21"/>
        <v>13639.283505835199</v>
      </c>
      <c r="BA31" s="37">
        <f t="shared" si="22"/>
        <v>14308.864276007014</v>
      </c>
      <c r="BB31" s="37">
        <f t="shared" si="23"/>
        <v>-3330.4463121587378</v>
      </c>
      <c r="BC31" s="37">
        <f t="shared" si="24"/>
        <v>-1178.3820229001365</v>
      </c>
      <c r="BD31" s="37">
        <f t="shared" si="25"/>
        <v>-1294.8417573888285</v>
      </c>
      <c r="BE31" s="37">
        <f t="shared" si="26"/>
        <v>-1298.7730565150696</v>
      </c>
    </row>
    <row r="32" spans="1:57" x14ac:dyDescent="0.25">
      <c r="A32" s="2">
        <f>'creep_res-40'!A32</f>
        <v>100000000000000</v>
      </c>
      <c r="B32" s="3">
        <f>'creep_res-40'!O32</f>
        <v>-1.3798511142857142E-3</v>
      </c>
      <c r="C32" s="2">
        <f>IF('Modell einstellen'!$B$2="Ja",creep_res0!O32,creep_res0!C32)</f>
        <v>-1.9957457428571431E-3</v>
      </c>
      <c r="D32" s="2">
        <f>IF('Modell einstellen'!$B$2="Ja",creep_res25!O32,creep_res25!C32)</f>
        <v>-4.8502194285714286E-3</v>
      </c>
      <c r="E32" s="2">
        <f>IF('Modell einstellen'!$B$2="Ja",creep_res50!O32,creep_res50!C32)</f>
        <v>-2.0572484000000002E-2</v>
      </c>
      <c r="F32" s="2">
        <f>IF('Modell einstellen'!$B$2="Ja",creep_res80!O32,creep_res80!C32)</f>
        <v>-2.594922828571429E-2</v>
      </c>
      <c r="G32" s="2">
        <f>IF('Modell einstellen'!$B$2="Ja",creep_res125!O32,creep_res125!C32)</f>
        <v>-2.5999255142857142E-2</v>
      </c>
      <c r="H32" s="2">
        <f>IF('Modell einstellen'!$B$2="Ja",creep_res160!O32,creep_res160!C32)</f>
        <v>-2.6017058285714288E-2</v>
      </c>
      <c r="M32" s="9">
        <v>-1</v>
      </c>
      <c r="N32" s="2">
        <f t="shared" si="4"/>
        <v>100000000000000</v>
      </c>
      <c r="O32" s="2">
        <f t="shared" si="5"/>
        <v>7247.1586944918636</v>
      </c>
      <c r="P32" s="2">
        <f t="shared" si="6"/>
        <v>5010.6583144623582</v>
      </c>
      <c r="Q32" s="2">
        <f t="shared" si="7"/>
        <v>2061.7623897781828</v>
      </c>
      <c r="R32" s="2">
        <f t="shared" si="8"/>
        <v>486.08617218999899</v>
      </c>
      <c r="S32" s="2">
        <f t="shared" si="9"/>
        <v>385.36791498748556</v>
      </c>
      <c r="T32" s="2">
        <f t="shared" si="10"/>
        <v>384.62640352784615</v>
      </c>
      <c r="U32" s="2">
        <f t="shared" si="11"/>
        <v>384.3632085603968</v>
      </c>
      <c r="Z32" s="2">
        <v>100000000000000</v>
      </c>
      <c r="AA32" s="3">
        <f>IF('Modell einstellen'!$B$2="Ja",'creep_res-40'!P32,'creep_res-40'!L32)</f>
        <v>0.41380031704869863</v>
      </c>
      <c r="AB32" s="2">
        <f>IF('Modell einstellen'!$B$2="Ja",creep_res0!P32,creep_res0!L32)</f>
        <v>0.43639015797331526</v>
      </c>
      <c r="AC32" s="2">
        <f>IF('Modell einstellen'!$B$2="Ja",creep_res25!P32,creep_res25!L32)</f>
        <v>0.48783324560043478</v>
      </c>
      <c r="AD32" s="2">
        <f>IF('Modell einstellen'!$B$2="Ja",creep_res50!P32,creep_res50!L32)</f>
        <v>0.54533989603366739</v>
      </c>
      <c r="AE32" s="2">
        <f>IF('Modell einstellen'!$B$2="Ja",creep_res80!P32,creep_res80!L32)</f>
        <v>0.55429780521191163</v>
      </c>
      <c r="AF32" s="2">
        <f>IF('Modell einstellen'!$B$2="Ja",creep_res125!P32,creep_res125!L32)</f>
        <v>0.54950417096015058</v>
      </c>
      <c r="AG32" s="2">
        <f>IF('Modell einstellen'!$B$2="Ja",creep_res160!P32,creep_res160!L32)</f>
        <v>0.54932366132004984</v>
      </c>
      <c r="AL32" s="2">
        <f t="shared" si="12"/>
        <v>100000000000000</v>
      </c>
      <c r="AM32" s="2">
        <f t="shared" si="13"/>
        <v>2563.0064610610193</v>
      </c>
      <c r="AN32" s="2">
        <f t="shared" si="14"/>
        <v>1744.1842965326991</v>
      </c>
      <c r="AO32" s="2">
        <f t="shared" si="15"/>
        <v>692.87414966525068</v>
      </c>
      <c r="AP32" s="2">
        <f t="shared" si="16"/>
        <v>157.27484077697326</v>
      </c>
      <c r="AQ32" s="2">
        <f t="shared" si="17"/>
        <v>123.96849358445334</v>
      </c>
      <c r="AR32" s="2">
        <f t="shared" si="18"/>
        <v>124.11273578228328</v>
      </c>
      <c r="AS32" s="2">
        <f t="shared" si="19"/>
        <v>124.04225732695286</v>
      </c>
      <c r="AX32" s="2">
        <f t="shared" si="28"/>
        <v>100000000000000</v>
      </c>
      <c r="AY32" s="37">
        <f t="shared" si="20"/>
        <v>14012.345997811763</v>
      </c>
      <c r="AZ32" s="37">
        <f t="shared" si="21"/>
        <v>13128.624320851572</v>
      </c>
      <c r="BA32" s="37">
        <f t="shared" si="22"/>
        <v>28243.116748975397</v>
      </c>
      <c r="BB32" s="37">
        <f t="shared" si="23"/>
        <v>-1786.8228451937523</v>
      </c>
      <c r="BC32" s="37">
        <f t="shared" si="24"/>
        <v>-1182.88364659641</v>
      </c>
      <c r="BD32" s="37">
        <f t="shared" si="25"/>
        <v>-1294.9292826169442</v>
      </c>
      <c r="BE32" s="37">
        <f t="shared" si="26"/>
        <v>-1298.7789844795204</v>
      </c>
    </row>
    <row r="33" spans="1:60" x14ac:dyDescent="0.25">
      <c r="A33" s="2">
        <f>'creep_res-40'!A33</f>
        <v>1000000000000000</v>
      </c>
      <c r="B33" s="3">
        <f>'creep_res-40'!O33</f>
        <v>-1.701471342857143E-3</v>
      </c>
      <c r="C33" s="2">
        <f>IF('Modell einstellen'!$B$2="Ja",creep_res0!O33,creep_res0!C33)</f>
        <v>-2.978228857142857E-3</v>
      </c>
      <c r="D33" s="2">
        <f>IF('Modell einstellen'!$B$2="Ja",creep_res25!O33,creep_res25!C33)</f>
        <v>-8.3903105714285726E-3</v>
      </c>
      <c r="E33" s="2">
        <f>IF('Modell einstellen'!$B$2="Ja",creep_res50!O33,creep_res50!C33)</f>
        <v>-2.3518056857142859E-2</v>
      </c>
      <c r="F33" s="2">
        <f>IF('Modell einstellen'!$B$2="Ja",creep_res80!O33,creep_res80!C33)</f>
        <v>-2.595281942857143E-2</v>
      </c>
      <c r="G33" s="2">
        <f>IF('Modell einstellen'!$B$2="Ja",creep_res125!O33,creep_res125!C33)</f>
        <v>-2.5999937428571429E-2</v>
      </c>
      <c r="H33" s="2">
        <f>IF('Modell einstellen'!$B$2="Ja",creep_res160!O33,creep_res160!C33)</f>
        <v>-2.6017475428571427E-2</v>
      </c>
      <c r="M33" s="9">
        <f>M31</f>
        <v>-10</v>
      </c>
      <c r="N33" s="2">
        <f t="shared" si="4"/>
        <v>1000000000000000</v>
      </c>
      <c r="O33" s="2">
        <f t="shared" si="5"/>
        <v>5877.2661919817056</v>
      </c>
      <c r="P33" s="2">
        <f t="shared" si="6"/>
        <v>3357.700324478566</v>
      </c>
      <c r="Q33" s="2">
        <f t="shared" si="7"/>
        <v>1191.8509946524368</v>
      </c>
      <c r="R33" s="2">
        <f t="shared" si="8"/>
        <v>425.20519704257879</v>
      </c>
      <c r="S33" s="2">
        <f t="shared" si="9"/>
        <v>385.3145908683436</v>
      </c>
      <c r="T33" s="2">
        <f t="shared" si="10"/>
        <v>384.6163102304609</v>
      </c>
      <c r="U33" s="2">
        <f t="shared" si="11"/>
        <v>384.35704599602968</v>
      </c>
      <c r="Z33" s="2">
        <v>1000000000000000</v>
      </c>
      <c r="AA33" s="3">
        <f>IF('Modell einstellen'!$B$2="Ja",'creep_res-40'!P33,'creep_res-40'!L33)</f>
        <v>0.42685795119474496</v>
      </c>
      <c r="AB33" s="2">
        <f>IF('Modell einstellen'!$B$2="Ja",creep_res0!P33,creep_res0!L33)</f>
        <v>0.46008770696984719</v>
      </c>
      <c r="AC33" s="2">
        <f>IF('Modell einstellen'!$B$2="Ja",creep_res25!P33,creep_res25!L33)</f>
        <v>0.51292009044310194</v>
      </c>
      <c r="AD33" s="2">
        <f>IF('Modell einstellen'!$B$2="Ja",creep_res50!P33,creep_res50!L33)</f>
        <v>0.54813389041045524</v>
      </c>
      <c r="AE33" s="2">
        <f>IF('Modell einstellen'!$B$2="Ja",creep_res80!P33,creep_res80!L33)</f>
        <v>0.55410204372180083</v>
      </c>
      <c r="AF33" s="2">
        <f>IF('Modell einstellen'!$B$2="Ja",creep_res125!P33,creep_res125!L33)</f>
        <v>0.54950634441636736</v>
      </c>
      <c r="AG33" s="2">
        <f>IF('Modell einstellen'!$B$2="Ja",creep_res160!P33,creep_res160!L33)</f>
        <v>0.54933074433355589</v>
      </c>
      <c r="AL33" s="2">
        <f t="shared" si="12"/>
        <v>1000000000000000</v>
      </c>
      <c r="AM33" s="2">
        <f t="shared" si="13"/>
        <v>2059.5134179476377</v>
      </c>
      <c r="AN33" s="2">
        <f t="shared" si="14"/>
        <v>1149.8282974544306</v>
      </c>
      <c r="AO33" s="2">
        <f t="shared" si="15"/>
        <v>393.89092728068977</v>
      </c>
      <c r="AP33" s="2">
        <f t="shared" si="16"/>
        <v>137.32830205333357</v>
      </c>
      <c r="AQ33" s="2">
        <f t="shared" si="17"/>
        <v>123.96695327212331</v>
      </c>
      <c r="AR33" s="2">
        <f t="shared" si="18"/>
        <v>124.10930475258213</v>
      </c>
      <c r="AS33" s="2">
        <f t="shared" si="19"/>
        <v>124.03970146521578</v>
      </c>
      <c r="AX33" s="2">
        <f>AL33</f>
        <v>1000000000000000</v>
      </c>
      <c r="AY33" s="37">
        <f t="shared" si="20"/>
        <v>13392.356125248529</v>
      </c>
      <c r="AZ33" s="37">
        <f t="shared" si="21"/>
        <v>14021.161859170812</v>
      </c>
      <c r="BA33" s="37">
        <f t="shared" si="22"/>
        <v>-15374.647206756053</v>
      </c>
      <c r="BB33" s="37">
        <f t="shared" si="23"/>
        <v>-1472.3001244261891</v>
      </c>
      <c r="BC33" s="37">
        <f t="shared" si="24"/>
        <v>-1186.9994931851288</v>
      </c>
      <c r="BD33" s="37">
        <f t="shared" si="25"/>
        <v>-1294.8384520702036</v>
      </c>
      <c r="BE33" s="37">
        <f t="shared" si="26"/>
        <v>-1298.5716824554424</v>
      </c>
    </row>
    <row r="34" spans="1:60" x14ac:dyDescent="0.25">
      <c r="A34" s="104" t="s">
        <v>4</v>
      </c>
      <c r="B34" s="104"/>
      <c r="C34" s="104"/>
      <c r="D34" s="104"/>
      <c r="E34" s="104"/>
      <c r="F34" s="104"/>
      <c r="G34" s="104"/>
      <c r="H34" s="104"/>
      <c r="I34" s="104"/>
      <c r="J34" s="104"/>
      <c r="K34" s="104"/>
      <c r="M34" s="104" t="s">
        <v>2</v>
      </c>
      <c r="N34" s="104"/>
      <c r="O34" s="104"/>
      <c r="P34" s="104"/>
      <c r="Q34" s="104"/>
      <c r="R34" s="104"/>
      <c r="S34" s="104"/>
      <c r="T34" s="104"/>
      <c r="U34" s="104"/>
      <c r="V34" s="104"/>
      <c r="W34" s="104"/>
      <c r="X34" s="104"/>
      <c r="Z34" s="105" t="s">
        <v>5</v>
      </c>
      <c r="AA34" s="105"/>
      <c r="AB34" s="105"/>
      <c r="AC34" s="105"/>
      <c r="AD34" s="105"/>
      <c r="AE34" s="105"/>
      <c r="AF34" s="105"/>
      <c r="AG34" s="105"/>
      <c r="AH34" s="105"/>
      <c r="AI34" s="105"/>
      <c r="AJ34" s="105"/>
      <c r="AL34" s="104" t="s">
        <v>3</v>
      </c>
      <c r="AM34" s="104"/>
      <c r="AN34" s="104"/>
      <c r="AO34" s="104"/>
      <c r="AP34" s="104"/>
      <c r="AQ34" s="104"/>
      <c r="AR34" s="104"/>
      <c r="AS34" s="104"/>
      <c r="AT34" s="104"/>
      <c r="AU34" s="104"/>
      <c r="AV34" s="104"/>
      <c r="AX34" s="104" t="s">
        <v>1</v>
      </c>
      <c r="AY34" s="104"/>
      <c r="AZ34" s="104"/>
      <c r="BA34" s="104"/>
      <c r="BB34" s="104"/>
      <c r="BC34" s="104"/>
      <c r="BD34" s="104"/>
      <c r="BE34" s="104"/>
      <c r="BF34" s="104"/>
      <c r="BG34" s="104"/>
      <c r="BH34" s="104"/>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abSelected="1" topLeftCell="A107" zoomScale="120" zoomScaleNormal="120" zoomScaleSheetLayoutView="110" workbookViewId="0">
      <selection activeCell="D8" sqref="D8"/>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125</v>
      </c>
      <c r="D2" s="11">
        <f>1</f>
        <v>1</v>
      </c>
      <c r="E2" s="11">
        <f>D2+1</f>
        <v>2</v>
      </c>
      <c r="F2" s="11">
        <f t="shared" ref="F2:J2" si="0">E2+1</f>
        <v>3</v>
      </c>
      <c r="G2" s="11">
        <f t="shared" si="0"/>
        <v>4</v>
      </c>
      <c r="H2" s="11">
        <f t="shared" si="0"/>
        <v>5</v>
      </c>
      <c r="I2" s="11">
        <f t="shared" si="0"/>
        <v>6</v>
      </c>
      <c r="J2" s="11">
        <f t="shared" si="0"/>
        <v>7</v>
      </c>
    </row>
    <row r="3" spans="1:36" x14ac:dyDescent="0.25">
      <c r="A3" s="11" t="s">
        <v>111</v>
      </c>
      <c r="B3" s="35">
        <v>6</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07" t="s">
        <v>26</v>
      </c>
      <c r="B15" s="107"/>
      <c r="C15" s="107"/>
      <c r="D15" s="67"/>
      <c r="E15" s="67"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7"/>
      <c r="E16" s="25" t="s">
        <v>23</v>
      </c>
      <c r="F16" s="26">
        <f>INDEX(Comparison!$AM$3:$AS$33,F14,$B$3)</f>
        <v>5339.3938402799959</v>
      </c>
      <c r="G16" s="26">
        <f>INDEX(Comparison!$AM$3:$AS$33,G14,$B$3)</f>
        <v>5092.5436233397832</v>
      </c>
      <c r="H16" s="26">
        <f>INDEX(Comparison!$AM$3:$AS$33,H14,$B$3)</f>
        <v>4862.2074038193541</v>
      </c>
      <c r="I16" s="26">
        <f>INDEX(Comparison!$AM$3:$AS$33,I14,$B$3)</f>
        <v>4600.0447702643005</v>
      </c>
      <c r="J16" s="26">
        <f>INDEX(Comparison!$AM$3:$AS$33,J14,$B$3)</f>
        <v>4335.4686548713016</v>
      </c>
      <c r="K16" s="26">
        <f>INDEX(Comparison!$AM$3:$AS$33,K14,$B$3)</f>
        <v>4064.2446060274551</v>
      </c>
      <c r="L16" s="26">
        <f>INDEX(Comparison!$AM$3:$AS$33,L14,$B$3)</f>
        <v>3775.0165221687416</v>
      </c>
      <c r="M16" s="26">
        <f>INDEX(Comparison!$AM$3:$AS$33,M14,$B$3)</f>
        <v>3440.8792936987693</v>
      </c>
      <c r="N16" s="26">
        <f>INDEX(Comparison!$AM$3:$AS$33,N14,$B$3)</f>
        <v>3007.0276986600152</v>
      </c>
      <c r="O16" s="26">
        <f>INDEX(Comparison!$AM$3:$AS$33,O14,$B$3)</f>
        <v>2483.1842311274095</v>
      </c>
      <c r="P16" s="26">
        <f>INDEX(Comparison!$AM$3:$AS$33,P14,$B$3)</f>
        <v>1877.3036191571002</v>
      </c>
      <c r="Q16" s="26">
        <f>INDEX(Comparison!$AM$3:$AS$33,Q14,$B$3)</f>
        <v>1225.8372848665197</v>
      </c>
      <c r="R16" s="26">
        <f>INDEX(Comparison!$AM$3:$AS$33,R14,$B$3)</f>
        <v>718.17933085631228</v>
      </c>
      <c r="S16" s="26">
        <f>INDEX(Comparison!$AM$3:$AS$33,S14,$B$3)</f>
        <v>402.8254128419544</v>
      </c>
      <c r="T16" s="26">
        <f>INDEX(Comparison!$AM$3:$AS$33,T14,$B$3)</f>
        <v>224.17774389747507</v>
      </c>
      <c r="U16" s="26">
        <f>INDEX(Comparison!$AM$3:$AS$33,U14,$B$3)</f>
        <v>157.32573154577258</v>
      </c>
      <c r="V16" s="26">
        <f>INDEX(Comparison!$AM$3:$AS$33,V14,$B$3)</f>
        <v>138.47466281617423</v>
      </c>
      <c r="W16" s="26">
        <f>INDEX(Comparison!$AM$3:$AS$33,W14,$B$3)</f>
        <v>126.92176045152465</v>
      </c>
      <c r="X16" s="26">
        <f>INDEX(Comparison!$AM$3:$AS$33,X14,$B$3)</f>
        <v>125.32043450442224</v>
      </c>
      <c r="Y16" s="26">
        <f>INDEX(Comparison!$AM$3:$AS$33,Y14,$B$3)</f>
        <v>125.18975547765271</v>
      </c>
      <c r="Z16" s="26">
        <f>INDEX(Comparison!$AM$3:$AS$33,Z14,$B$3)</f>
        <v>125.05583743141311</v>
      </c>
      <c r="AA16" s="26">
        <f>INDEX(Comparison!$AM$3:$AS$33,AA14,$B$3)</f>
        <v>124.89217701523481</v>
      </c>
      <c r="AB16" s="26">
        <f>INDEX(Comparison!$AM$3:$AS$33,AB14,$B$3)</f>
        <v>124.70815441395035</v>
      </c>
      <c r="AC16" s="26">
        <f>INDEX(Comparison!$AM$3:$AS$33,AC14,$B$3)</f>
        <v>124.51586541667818</v>
      </c>
      <c r="AD16" s="26">
        <f>INDEX(Comparison!$AM$3:$AS$33,AD14,$B$3)</f>
        <v>124.45612407089325</v>
      </c>
      <c r="AE16" s="26">
        <f>INDEX(Comparison!$AM$3:$AS$33,AE14,$B$3)</f>
        <v>124.36413594438419</v>
      </c>
      <c r="AF16" s="26">
        <f>INDEX(Comparison!$AM$3:$AS$33,AF14,$B$3)</f>
        <v>124.24957869452857</v>
      </c>
      <c r="AG16" s="26">
        <f>INDEX(Comparison!$AM$3:$AS$33,AG14,$B$3)</f>
        <v>124.12464463468883</v>
      </c>
      <c r="AH16" s="26">
        <f>INDEX(Comparison!$AM$3:$AS$33,AH14,$B$3)</f>
        <v>124.11696893794122</v>
      </c>
      <c r="AI16" s="26">
        <f>INDEX(Comparison!$AM$3:$AS$33,AI14,$B$3)</f>
        <v>124.11273578228328</v>
      </c>
      <c r="AJ16" s="26">
        <f>INDEX(Comparison!$AM$3:$AS$33,AJ14,$B$3)</f>
        <v>124.10930475258213</v>
      </c>
    </row>
    <row r="17" spans="1:36" x14ac:dyDescent="0.25">
      <c r="A17" s="14" t="s">
        <v>20</v>
      </c>
      <c r="B17" s="14">
        <v>9.1066889201583262E-3</v>
      </c>
      <c r="C17" s="18">
        <f t="shared" ref="C17:C48" si="3">ABS(B17/$B$49)</f>
        <v>1.9148726369026103E-2</v>
      </c>
      <c r="D17" s="67"/>
      <c r="E17" s="66" t="s">
        <v>22</v>
      </c>
      <c r="F17" s="27">
        <f>($C$17+SUM(F18:F48))*$B$51</f>
        <v>5271.1982554243277</v>
      </c>
      <c r="G17" s="27">
        <f t="shared" ref="G17:M17" si="4">($C$17+SUM(G18:G48))*$B$51</f>
        <v>5180.7362681316235</v>
      </c>
      <c r="H17" s="27">
        <f t="shared" si="4"/>
        <v>4838.854460537339</v>
      </c>
      <c r="I17" s="27">
        <f t="shared" si="4"/>
        <v>4603.866719910834</v>
      </c>
      <c r="J17" s="27">
        <f t="shared" si="4"/>
        <v>4334.9503434150702</v>
      </c>
      <c r="K17" s="27">
        <f t="shared" si="4"/>
        <v>4064.3203468219886</v>
      </c>
      <c r="L17" s="27">
        <f t="shared" si="4"/>
        <v>3775.0118942506233</v>
      </c>
      <c r="M17" s="27">
        <f t="shared" si="4"/>
        <v>3440.8952480592739</v>
      </c>
      <c r="N17" s="27">
        <f t="shared" ref="N17" si="5">($C$17+SUM(N18:N48))*$B$51</f>
        <v>3007.013952138996</v>
      </c>
      <c r="O17" s="27">
        <f t="shared" ref="O17" si="6">($C$17+SUM(O18:O48))*$B$51</f>
        <v>2483.2209536630344</v>
      </c>
      <c r="P17" s="27">
        <f t="shared" ref="P17" si="7">($C$17+SUM(P18:P48))*$B$51</f>
        <v>1877.2416987706301</v>
      </c>
      <c r="Q17" s="27">
        <f t="shared" ref="Q17" si="8">($C$17+SUM(Q18:Q48))*$B$51</f>
        <v>1225.9197566187952</v>
      </c>
      <c r="R17" s="27">
        <f t="shared" ref="R17" si="9">($C$17+SUM(R18:R48))*$B$51</f>
        <v>718.04038126868454</v>
      </c>
      <c r="S17" s="27">
        <f t="shared" ref="S17:T17" si="10">($C$17+SUM(S18:S48))*$B$51</f>
        <v>402.97186523354844</v>
      </c>
      <c r="T17" s="27">
        <f t="shared" si="10"/>
        <v>224.04799722874827</v>
      </c>
      <c r="U17" s="27">
        <f t="shared" ref="U17" si="11">($C$17+SUM(U18:U48))*$B$51</f>
        <v>157.42520519391712</v>
      </c>
      <c r="V17" s="27">
        <f t="shared" ref="V17" si="12">($C$17+SUM(V18:V48))*$B$51</f>
        <v>138.40062864797011</v>
      </c>
      <c r="W17" s="27">
        <f t="shared" ref="W17" si="13">($C$17+SUM(W18:W48))*$B$51</f>
        <v>126.95733405745339</v>
      </c>
      <c r="X17" s="27">
        <f t="shared" ref="X17" si="14">($C$17+SUM(X18:X48))*$B$51</f>
        <v>125.29643988115927</v>
      </c>
      <c r="Y17" s="27">
        <f t="shared" ref="Y17" si="15">($C$17+SUM(Y18:Y48))*$B$51</f>
        <v>125.18881202240964</v>
      </c>
      <c r="Z17" s="27">
        <f t="shared" ref="Z17:AA17" si="16">($C$17+SUM(Z18:Z48))*$B$51</f>
        <v>125.03732063946561</v>
      </c>
      <c r="AA17" s="27">
        <f t="shared" si="16"/>
        <v>124.89089780483103</v>
      </c>
      <c r="AB17" s="27">
        <f t="shared" ref="AB17" si="17">($C$17+SUM(AB18:AB48))*$B$51</f>
        <v>124.71159917447773</v>
      </c>
      <c r="AC17" s="27">
        <f t="shared" ref="AC17" si="18">($C$17+SUM(AC18:AC48))*$B$51</f>
        <v>124.52640919470009</v>
      </c>
      <c r="AD17" s="27">
        <f t="shared" ref="AD17" si="19">($C$17+SUM(AD18:AD48))*$B$51</f>
        <v>124.41983781732861</v>
      </c>
      <c r="AE17" s="27">
        <f t="shared" ref="AE17" si="20">($C$17+SUM(AE18:AE48))*$B$51</f>
        <v>124.38007109183013</v>
      </c>
      <c r="AF17" s="27">
        <f t="shared" ref="AF17" si="21">($C$17+SUM(AF18:AF48))*$B$51</f>
        <v>124.37495053103903</v>
      </c>
      <c r="AG17" s="27">
        <f t="shared" ref="AG17:AH17" si="22">($C$17+SUM(AG18:AG48))*$B$51</f>
        <v>124.37053971440977</v>
      </c>
      <c r="AH17" s="27">
        <f t="shared" si="22"/>
        <v>124.36081396411136</v>
      </c>
      <c r="AI17" s="27">
        <f t="shared" ref="AI17" si="23">($C$17+SUM(AI18:AI48))*$B$51</f>
        <v>124.26404059501893</v>
      </c>
      <c r="AJ17" s="27">
        <f t="shared" ref="AJ17" si="24">($C$17+SUM(AJ18:AJ48))*$B$51</f>
        <v>123.34273569106075</v>
      </c>
    </row>
    <row r="18" spans="1:36" x14ac:dyDescent="0.25">
      <c r="A18" s="3">
        <f>0.000000000000001/10^5</f>
        <v>1.0000000000000001E-20</v>
      </c>
      <c r="B18" s="17">
        <v>5.1955257406752366E-2</v>
      </c>
      <c r="C18" s="18">
        <f t="shared" si="3"/>
        <v>0.10924684220979419</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7">
        <v>3.415860004183293E-2</v>
      </c>
      <c r="C19" s="18">
        <f t="shared" si="3"/>
        <v>7.1825631805889176E-2</v>
      </c>
      <c r="D19" s="17"/>
      <c r="F19" s="3">
        <f t="shared" si="25"/>
        <v>7.0009150571649054E-2</v>
      </c>
      <c r="G19" s="3">
        <f t="shared" si="25"/>
        <v>5.5594648575474581E-2</v>
      </c>
      <c r="H19" s="3">
        <f t="shared" si="25"/>
        <v>5.543892482545055E-3</v>
      </c>
      <c r="I19" s="3">
        <f t="shared" si="25"/>
        <v>5.3905477359827747E-13</v>
      </c>
      <c r="J19" s="3">
        <f t="shared" si="25"/>
        <v>4.0720571893303609E-113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7">
        <v>1.7105413078359576E-2</v>
      </c>
      <c r="C20" s="18">
        <f t="shared" si="3"/>
        <v>3.596772409142239E-2</v>
      </c>
      <c r="D20" s="17"/>
      <c r="F20" s="3">
        <f t="shared" si="25"/>
        <v>3.5884708476654245E-2</v>
      </c>
      <c r="G20" s="3">
        <f t="shared" si="25"/>
        <v>3.5146137309902271E-2</v>
      </c>
      <c r="H20" s="3">
        <f t="shared" si="25"/>
        <v>2.8546928765152562E-2</v>
      </c>
      <c r="I20" s="3">
        <f t="shared" si="25"/>
        <v>3.5676093245779741E-3</v>
      </c>
      <c r="J20" s="3">
        <f t="shared" si="25"/>
        <v>3.3155553373416626E-12</v>
      </c>
      <c r="K20" s="3">
        <f t="shared" si="25"/>
        <v>1.5934784149910575E-102</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7">
        <v>2.3368755377154764E-2</v>
      </c>
      <c r="C21" s="18">
        <f t="shared" si="3"/>
        <v>4.9137716927094087E-2</v>
      </c>
      <c r="D21" s="17"/>
      <c r="F21" s="3">
        <f t="shared" si="25"/>
        <v>4.9127475397985287E-2</v>
      </c>
      <c r="G21" s="3">
        <f t="shared" si="25"/>
        <v>4.9035397639223301E-2</v>
      </c>
      <c r="H21" s="3">
        <f t="shared" si="25"/>
        <v>4.8124058662163273E-2</v>
      </c>
      <c r="I21" s="3">
        <f t="shared" si="25"/>
        <v>3.9892174330692608E-2</v>
      </c>
      <c r="J21" s="3">
        <f t="shared" si="25"/>
        <v>6.1114225972914611E-3</v>
      </c>
      <c r="K21" s="3">
        <f t="shared" si="25"/>
        <v>4.3519950218718722E-11</v>
      </c>
      <c r="L21" s="3">
        <f t="shared" si="25"/>
        <v>1.4593152879530644E-92</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7">
        <v>2.2239292210116265E-2</v>
      </c>
      <c r="C22" s="18">
        <f t="shared" si="3"/>
        <v>4.6762783367912203E-2</v>
      </c>
      <c r="D22" s="17"/>
      <c r="F22" s="3">
        <f t="shared" si="25"/>
        <v>4.6761904066130552E-2</v>
      </c>
      <c r="G22" s="3">
        <f t="shared" si="25"/>
        <v>4.6753991094084318E-2</v>
      </c>
      <c r="H22" s="3">
        <f t="shared" si="25"/>
        <v>4.6674934982349946E-2</v>
      </c>
      <c r="I22" s="3">
        <f t="shared" si="25"/>
        <v>4.5891688854800272E-2</v>
      </c>
      <c r="J22" s="3">
        <f t="shared" si="25"/>
        <v>3.8746923738895336E-2</v>
      </c>
      <c r="K22" s="3">
        <f t="shared" si="25"/>
        <v>7.1329487489970207E-3</v>
      </c>
      <c r="L22" s="3">
        <f t="shared" si="25"/>
        <v>3.1885105599969883E-10</v>
      </c>
      <c r="M22" s="3">
        <f t="shared" si="25"/>
        <v>1.0157233128514846E-83</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7">
        <v>2.3972854632590093E-2</v>
      </c>
      <c r="C23" s="18">
        <f t="shared" si="3"/>
        <v>5.0407962506303181E-2</v>
      </c>
      <c r="D23" s="17"/>
      <c r="F23" s="3">
        <f t="shared" si="25"/>
        <v>5.040787700218162E-2</v>
      </c>
      <c r="G23" s="3">
        <f t="shared" si="25"/>
        <v>5.0407107471614171E-2</v>
      </c>
      <c r="H23" s="3">
        <f t="shared" si="25"/>
        <v>5.0399412812034319E-2</v>
      </c>
      <c r="I23" s="3">
        <f t="shared" si="25"/>
        <v>5.0322530789220929E-2</v>
      </c>
      <c r="J23" s="3">
        <f t="shared" si="25"/>
        <v>4.9560131534071891E-2</v>
      </c>
      <c r="K23" s="3">
        <f t="shared" si="25"/>
        <v>4.2543401577253941E-2</v>
      </c>
      <c r="L23" s="3">
        <f t="shared" si="25"/>
        <v>9.2433589726664267E-3</v>
      </c>
      <c r="M23" s="3">
        <f t="shared" si="25"/>
        <v>2.1667355200130709E-9</v>
      </c>
      <c r="N23" s="3">
        <f t="shared" si="25"/>
        <v>1.0853423187396678E-75</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7">
        <v>2.7194578101894438E-2</v>
      </c>
      <c r="C24" s="18">
        <f t="shared" si="3"/>
        <v>5.7182312842770561E-2</v>
      </c>
      <c r="D24" s="17"/>
      <c r="F24" s="3">
        <f t="shared" si="25"/>
        <v>5.7182304093002331E-2</v>
      </c>
      <c r="G24" s="3">
        <f t="shared" si="25"/>
        <v>5.7182225345148524E-2</v>
      </c>
      <c r="H24" s="3">
        <f t="shared" si="25"/>
        <v>5.7181437872574951E-2</v>
      </c>
      <c r="I24" s="3">
        <f t="shared" si="25"/>
        <v>5.7173563743262525E-2</v>
      </c>
      <c r="J24" s="3">
        <f t="shared" si="25"/>
        <v>5.7094882062084684E-2</v>
      </c>
      <c r="K24" s="3">
        <f t="shared" si="25"/>
        <v>5.6313996181791816E-2</v>
      </c>
      <c r="L24" s="3">
        <f t="shared" si="25"/>
        <v>4.9069091326031197E-2</v>
      </c>
      <c r="M24" s="3">
        <f t="shared" si="25"/>
        <v>1.2380115656027408E-2</v>
      </c>
      <c r="N24" s="3">
        <f t="shared" si="25"/>
        <v>1.2938727438052408E-8</v>
      </c>
      <c r="O24" s="3">
        <f t="shared" si="25"/>
        <v>2.0116859745989414E-68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7">
        <v>3.8088908685159524E-2</v>
      </c>
      <c r="C25" s="18">
        <f t="shared" si="3"/>
        <v>8.0089931313285845E-2</v>
      </c>
      <c r="D25" s="17"/>
      <c r="F25" s="3">
        <f t="shared" si="25"/>
        <v>8.0089930207784238E-2</v>
      </c>
      <c r="G25" s="3">
        <f t="shared" si="25"/>
        <v>8.0089920258270567E-2</v>
      </c>
      <c r="H25" s="3">
        <f t="shared" si="25"/>
        <v>8.0089820763201661E-2</v>
      </c>
      <c r="I25" s="3">
        <f t="shared" si="25"/>
        <v>8.0088825819310747E-2</v>
      </c>
      <c r="J25" s="3">
        <f t="shared" si="25"/>
        <v>8.007887706017848E-2</v>
      </c>
      <c r="K25" s="3">
        <f t="shared" si="25"/>
        <v>7.9979457415304045E-2</v>
      </c>
      <c r="L25" s="3">
        <f t="shared" si="25"/>
        <v>7.8992024483419049E-2</v>
      </c>
      <c r="M25" s="3">
        <f t="shared" si="25"/>
        <v>6.9763964754814015E-2</v>
      </c>
      <c r="N25" s="3">
        <f t="shared" si="25"/>
        <v>2.0142355153576447E-2</v>
      </c>
      <c r="O25" s="3">
        <f t="shared" si="25"/>
        <v>8.1077659215433884E-8</v>
      </c>
      <c r="P25" s="3">
        <f t="shared" si="25"/>
        <v>9.0533795199049187E-62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7">
        <v>4.504919863260453E-2</v>
      </c>
      <c r="C26" s="18">
        <f t="shared" si="3"/>
        <v>9.4725402978259585E-2</v>
      </c>
      <c r="D26" s="17"/>
      <c r="F26" s="3">
        <f t="shared" si="25"/>
        <v>9.4725402860310517E-2</v>
      </c>
      <c r="G26" s="3">
        <f t="shared" si="25"/>
        <v>9.4725401798768927E-2</v>
      </c>
      <c r="H26" s="3">
        <f t="shared" si="25"/>
        <v>9.4725391183353658E-2</v>
      </c>
      <c r="I26" s="3">
        <f t="shared" si="25"/>
        <v>9.472528502926636E-2</v>
      </c>
      <c r="J26" s="3">
        <f t="shared" si="25"/>
        <v>9.4724223494936338E-2</v>
      </c>
      <c r="K26" s="3">
        <f t="shared" si="25"/>
        <v>9.4713608805895952E-2</v>
      </c>
      <c r="L26" s="3">
        <f t="shared" si="25"/>
        <v>9.4607527314354831E-2</v>
      </c>
      <c r="M26" s="3">
        <f t="shared" si="25"/>
        <v>9.3553225249259866E-2</v>
      </c>
      <c r="N26" s="3">
        <f t="shared" si="25"/>
        <v>8.3635275225933642E-2</v>
      </c>
      <c r="O26" s="3">
        <f t="shared" si="25"/>
        <v>2.7270729180425491E-2</v>
      </c>
      <c r="P26" s="3">
        <f t="shared" si="25"/>
        <v>3.7048391003172807E-7</v>
      </c>
      <c r="Q26" s="3">
        <f t="shared" si="25"/>
        <v>7.9340578228326801E-56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7">
        <v>5.3128046494148477E-2</v>
      </c>
      <c r="C27" s="18">
        <f t="shared" si="3"/>
        <v>0.11171287761739628</v>
      </c>
      <c r="D27" s="17"/>
      <c r="F27" s="3">
        <f t="shared" si="25"/>
        <v>0.11171287760484819</v>
      </c>
      <c r="G27" s="3">
        <f t="shared" si="25"/>
        <v>0.1117128774919153</v>
      </c>
      <c r="H27" s="3">
        <f t="shared" si="25"/>
        <v>0.11171287636258656</v>
      </c>
      <c r="I27" s="3">
        <f t="shared" si="25"/>
        <v>0.1117128650692997</v>
      </c>
      <c r="J27" s="3">
        <f t="shared" si="25"/>
        <v>0.11171275213649393</v>
      </c>
      <c r="K27" s="3">
        <f t="shared" si="25"/>
        <v>0.1117116228147154</v>
      </c>
      <c r="L27" s="3">
        <f t="shared" si="25"/>
        <v>0.11170033022481805</v>
      </c>
      <c r="M27" s="3">
        <f t="shared" si="25"/>
        <v>0.11158746709116403</v>
      </c>
      <c r="N27" s="3">
        <f t="shared" si="25"/>
        <v>0.11046508887313931</v>
      </c>
      <c r="O27" s="3">
        <f t="shared" si="25"/>
        <v>9.9843848417710185E-2</v>
      </c>
      <c r="P27" s="3">
        <f t="shared" si="25"/>
        <v>3.6331553808822858E-2</v>
      </c>
      <c r="Q27" s="3">
        <f t="shared" si="25"/>
        <v>1.4788038367000146E-6</v>
      </c>
      <c r="R27" s="3">
        <f t="shared" si="25"/>
        <v>1.8457655500146994E-50</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7">
        <v>5.9384931444722802E-2</v>
      </c>
      <c r="C28" s="18">
        <f t="shared" si="3"/>
        <v>0.12486929252202905</v>
      </c>
      <c r="D28" s="17"/>
      <c r="F28" s="3">
        <f t="shared" si="25"/>
        <v>0.1248692925207638</v>
      </c>
      <c r="G28" s="3">
        <f t="shared" si="25"/>
        <v>0.12486929250937653</v>
      </c>
      <c r="H28" s="3">
        <f t="shared" si="25"/>
        <v>0.12486929239550389</v>
      </c>
      <c r="I28" s="3">
        <f t="shared" si="25"/>
        <v>0.12486929125677751</v>
      </c>
      <c r="J28" s="3">
        <f t="shared" si="25"/>
        <v>0.12486927986951413</v>
      </c>
      <c r="K28" s="3">
        <f t="shared" si="25"/>
        <v>0.12486916599693756</v>
      </c>
      <c r="L28" s="3">
        <f t="shared" si="25"/>
        <v>0.1248680272768832</v>
      </c>
      <c r="M28" s="3">
        <f t="shared" si="25"/>
        <v>0.12485664064746248</v>
      </c>
      <c r="N28" s="3">
        <f t="shared" si="25"/>
        <v>0.12474283144627427</v>
      </c>
      <c r="O28" s="3">
        <f t="shared" si="25"/>
        <v>0.12361042951910792</v>
      </c>
      <c r="P28" s="3">
        <f t="shared" si="25"/>
        <v>0.1128366788488684</v>
      </c>
      <c r="Q28" s="3">
        <f t="shared" si="25"/>
        <v>4.5331708727431787E-2</v>
      </c>
      <c r="R28" s="3">
        <f t="shared" si="25"/>
        <v>4.9650089530945065E-6</v>
      </c>
      <c r="S28" s="3">
        <f t="shared" si="25"/>
        <v>1.2333873776590213E-45</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7">
        <v>3.4193560243282746E-2</v>
      </c>
      <c r="C29" s="18">
        <f t="shared" si="3"/>
        <v>7.1899142973036512E-2</v>
      </c>
      <c r="D29" s="17"/>
      <c r="F29" s="3">
        <f t="shared" si="25"/>
        <v>7.1899142972970786E-2</v>
      </c>
      <c r="G29" s="3">
        <f t="shared" si="25"/>
        <v>7.1899142972379315E-2</v>
      </c>
      <c r="H29" s="3">
        <f t="shared" si="25"/>
        <v>7.1899142966464602E-2</v>
      </c>
      <c r="I29" s="3">
        <f t="shared" si="25"/>
        <v>7.1899142907317429E-2</v>
      </c>
      <c r="J29" s="3">
        <f t="shared" si="25"/>
        <v>7.1899142315845627E-2</v>
      </c>
      <c r="K29" s="3">
        <f t="shared" si="25"/>
        <v>7.1899136401127925E-2</v>
      </c>
      <c r="L29" s="3">
        <f t="shared" si="25"/>
        <v>7.1899077253977706E-2</v>
      </c>
      <c r="M29" s="3">
        <f t="shared" si="25"/>
        <v>7.1898485785151581E-2</v>
      </c>
      <c r="N29" s="3">
        <f t="shared" si="25"/>
        <v>7.1892571364494257E-2</v>
      </c>
      <c r="O29" s="3">
        <f t="shared" si="25"/>
        <v>7.1833453910163547E-2</v>
      </c>
      <c r="P29" s="3">
        <f t="shared" si="25"/>
        <v>7.1244946466230447E-2</v>
      </c>
      <c r="Q29" s="3">
        <f t="shared" si="25"/>
        <v>6.5618639473045151E-2</v>
      </c>
      <c r="R29" s="3">
        <f t="shared" si="25"/>
        <v>2.8824301529656836E-2</v>
      </c>
      <c r="S29" s="3">
        <f t="shared" si="25"/>
        <v>7.7103572233907188E-6</v>
      </c>
      <c r="T29" s="3">
        <f t="shared" si="25"/>
        <v>1.4462107054439747E-41</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7">
        <v>2.2673386011150098E-2</v>
      </c>
      <c r="C30" s="18">
        <f t="shared" si="3"/>
        <v>4.7675556768581172E-2</v>
      </c>
      <c r="D30" s="17"/>
      <c r="F30" s="3">
        <f t="shared" si="25"/>
        <v>4.7675556768577237E-2</v>
      </c>
      <c r="G30" s="3">
        <f t="shared" si="25"/>
        <v>4.7675556768541863E-2</v>
      </c>
      <c r="H30" s="3">
        <f t="shared" si="25"/>
        <v>4.767555676818807E-2</v>
      </c>
      <c r="I30" s="3">
        <f t="shared" si="25"/>
        <v>4.7675556764650108E-2</v>
      </c>
      <c r="J30" s="3">
        <f t="shared" si="25"/>
        <v>4.7675556729270527E-2</v>
      </c>
      <c r="K30" s="3">
        <f t="shared" si="25"/>
        <v>4.7675556375474708E-2</v>
      </c>
      <c r="L30" s="3">
        <f t="shared" si="25"/>
        <v>4.7675552837516698E-2</v>
      </c>
      <c r="M30" s="3">
        <f t="shared" si="25"/>
        <v>4.7675517457951046E-2</v>
      </c>
      <c r="N30" s="3">
        <f t="shared" si="25"/>
        <v>4.7675163663738543E-2</v>
      </c>
      <c r="O30" s="3">
        <f t="shared" si="25"/>
        <v>4.7671625866010821E-2</v>
      </c>
      <c r="P30" s="3">
        <f t="shared" si="25"/>
        <v>4.763626232449901E-2</v>
      </c>
      <c r="Q30" s="3">
        <f t="shared" si="25"/>
        <v>4.7284066530097882E-2</v>
      </c>
      <c r="R30" s="3">
        <f t="shared" si="25"/>
        <v>4.3902195080445322E-2</v>
      </c>
      <c r="S30" s="3">
        <f t="shared" si="25"/>
        <v>2.0902603866163667E-2</v>
      </c>
      <c r="T30" s="3">
        <f t="shared" si="25"/>
        <v>1.2512438024440503E-5</v>
      </c>
      <c r="U30" s="3">
        <f t="shared" si="25"/>
        <v>7.3919229571167312E-38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7">
        <v>9.4884125970258817E-3</v>
      </c>
      <c r="C31" s="18">
        <f t="shared" si="3"/>
        <v>1.9951380582978136E-2</v>
      </c>
      <c r="D31" s="17"/>
      <c r="F31" s="3">
        <f t="shared" si="25"/>
        <v>1.9951380582977987E-2</v>
      </c>
      <c r="G31" s="3">
        <f t="shared" si="25"/>
        <v>1.9951380582976651E-2</v>
      </c>
      <c r="H31" s="3">
        <f t="shared" si="25"/>
        <v>1.9951380582963293E-2</v>
      </c>
      <c r="I31" s="3">
        <f t="shared" si="25"/>
        <v>1.9951380582829737E-2</v>
      </c>
      <c r="J31" s="3">
        <f t="shared" si="25"/>
        <v>1.9951380581494135E-2</v>
      </c>
      <c r="K31" s="3">
        <f t="shared" si="25"/>
        <v>1.9951380568138135E-2</v>
      </c>
      <c r="L31" s="3">
        <f t="shared" si="25"/>
        <v>1.9951380434578118E-2</v>
      </c>
      <c r="M31" s="3">
        <f t="shared" si="25"/>
        <v>1.9951379098978008E-2</v>
      </c>
      <c r="N31" s="3">
        <f t="shared" si="25"/>
        <v>1.9951365742981814E-2</v>
      </c>
      <c r="O31" s="3">
        <f t="shared" si="25"/>
        <v>1.9951232183511629E-2</v>
      </c>
      <c r="P31" s="3">
        <f t="shared" si="25"/>
        <v>1.994989663798322E-2</v>
      </c>
      <c r="Q31" s="3">
        <f t="shared" si="25"/>
        <v>1.993654609882678E-2</v>
      </c>
      <c r="R31" s="3">
        <f t="shared" si="25"/>
        <v>1.9803531104536042E-2</v>
      </c>
      <c r="S31" s="3">
        <f t="shared" si="25"/>
        <v>1.8521227676846181E-2</v>
      </c>
      <c r="T31" s="3">
        <f t="shared" si="25"/>
        <v>9.482899034198921E-3</v>
      </c>
      <c r="U31" s="3">
        <f t="shared" si="25"/>
        <v>1.1739637531365114E-5</v>
      </c>
      <c r="V31" s="3">
        <f t="shared" si="26"/>
        <v>9.9263664100250501E-35</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7">
        <v>1.7705592241972047E-3</v>
      </c>
      <c r="C32" s="18">
        <f t="shared" si="3"/>
        <v>3.7229726854135226E-3</v>
      </c>
      <c r="D32" s="17"/>
      <c r="F32" s="3">
        <f t="shared" si="25"/>
        <v>3.72297268541352E-3</v>
      </c>
      <c r="G32" s="3">
        <f t="shared" si="25"/>
        <v>3.7229726854134978E-3</v>
      </c>
      <c r="H32" s="3">
        <f t="shared" si="25"/>
        <v>3.7229726854132728E-3</v>
      </c>
      <c r="I32" s="3">
        <f t="shared" si="25"/>
        <v>3.7229726854110246E-3</v>
      </c>
      <c r="J32" s="3">
        <f t="shared" si="25"/>
        <v>3.7229726853885425E-3</v>
      </c>
      <c r="K32" s="3">
        <f t="shared" si="25"/>
        <v>3.7229726851637198E-3</v>
      </c>
      <c r="L32" s="3">
        <f t="shared" si="25"/>
        <v>3.7229726829154939E-3</v>
      </c>
      <c r="M32" s="3">
        <f t="shared" si="25"/>
        <v>3.7229726604332347E-3</v>
      </c>
      <c r="N32" s="3">
        <f t="shared" si="25"/>
        <v>3.7229724356106502E-3</v>
      </c>
      <c r="O32" s="3">
        <f t="shared" si="25"/>
        <v>3.7229701873855523E-3</v>
      </c>
      <c r="P32" s="3">
        <f t="shared" si="25"/>
        <v>3.7229477052092429E-3</v>
      </c>
      <c r="Q32" s="3">
        <f t="shared" si="25"/>
        <v>3.7227228909130798E-3</v>
      </c>
      <c r="R32" s="3">
        <f t="shared" si="25"/>
        <v>3.7204754944774343E-3</v>
      </c>
      <c r="S32" s="3">
        <f t="shared" si="25"/>
        <v>3.6980760161884271E-3</v>
      </c>
      <c r="T32" s="3">
        <f t="shared" si="25"/>
        <v>3.48136606600335E-3</v>
      </c>
      <c r="U32" s="3">
        <f t="shared" si="25"/>
        <v>1.9032168267700135E-3</v>
      </c>
      <c r="V32" s="3">
        <f t="shared" si="26"/>
        <v>4.5380997553880892E-6</v>
      </c>
      <c r="W32" s="3">
        <f t="shared" si="26"/>
        <v>2.6960735320637858E-32</v>
      </c>
      <c r="X32" s="3">
        <f t="shared" si="26"/>
        <v>1.4767557804057604E-294</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7">
        <v>1.5341210117679805E-3</v>
      </c>
      <c r="C33" s="18">
        <f t="shared" si="3"/>
        <v>3.2258116785225384E-3</v>
      </c>
      <c r="D33" s="17"/>
      <c r="F33" s="3">
        <f t="shared" si="25"/>
        <v>3.2258116785225379E-3</v>
      </c>
      <c r="G33" s="3">
        <f t="shared" si="25"/>
        <v>3.2258116785225366E-3</v>
      </c>
      <c r="H33" s="3">
        <f t="shared" si="25"/>
        <v>3.2258116785225189E-3</v>
      </c>
      <c r="I33" s="3">
        <f t="shared" si="25"/>
        <v>3.2258116785223432E-3</v>
      </c>
      <c r="J33" s="3">
        <f t="shared" si="25"/>
        <v>3.2258116785205859E-3</v>
      </c>
      <c r="K33" s="3">
        <f t="shared" si="25"/>
        <v>3.2258116785030132E-3</v>
      </c>
      <c r="L33" s="3">
        <f t="shared" si="25"/>
        <v>3.2258116783272874E-3</v>
      </c>
      <c r="M33" s="3">
        <f t="shared" si="25"/>
        <v>3.2258116765700286E-3</v>
      </c>
      <c r="N33" s="3">
        <f t="shared" si="25"/>
        <v>3.2258116589974416E-3</v>
      </c>
      <c r="O33" s="3">
        <f t="shared" si="25"/>
        <v>3.2258114832715771E-3</v>
      </c>
      <c r="P33" s="3">
        <f t="shared" si="25"/>
        <v>3.2258097260134595E-3</v>
      </c>
      <c r="Q33" s="3">
        <f t="shared" si="25"/>
        <v>3.2257921534849278E-3</v>
      </c>
      <c r="R33" s="3">
        <f t="shared" si="25"/>
        <v>3.2256164334644576E-3</v>
      </c>
      <c r="S33" s="3">
        <f t="shared" si="25"/>
        <v>3.2238597596378742E-3</v>
      </c>
      <c r="T33" s="3">
        <f t="shared" si="25"/>
        <v>3.2063455532430679E-3</v>
      </c>
      <c r="U33" s="3">
        <f t="shared" ref="P33:AE48" si="27">$C33*EXP(-U$15/$A33)</f>
        <v>3.0363523197437263E-3</v>
      </c>
      <c r="V33" s="3">
        <f t="shared" si="27"/>
        <v>1.7610453557759442E-3</v>
      </c>
      <c r="W33" s="3">
        <f t="shared" si="27"/>
        <v>7.5849779909884783E-6</v>
      </c>
      <c r="X33" s="3">
        <f t="shared" si="27"/>
        <v>1.6664495127030247E-29</v>
      </c>
      <c r="Y33" s="3">
        <f t="shared" si="27"/>
        <v>4.3668725591583848E-266</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7">
        <v>2.2121210352767638E-4</v>
      </c>
      <c r="C34" s="18">
        <f t="shared" si="3"/>
        <v>4.6514491459037388E-4</v>
      </c>
      <c r="D34" s="17"/>
      <c r="F34" s="3">
        <f t="shared" ref="F34:O48" si="28">$C34*EXP(-F$15/$A34)</f>
        <v>4.6514491459037388E-4</v>
      </c>
      <c r="G34" s="3">
        <f t="shared" si="28"/>
        <v>4.6514491459037388E-4</v>
      </c>
      <c r="H34" s="3">
        <f t="shared" si="28"/>
        <v>4.6514491459037361E-4</v>
      </c>
      <c r="I34" s="3">
        <f t="shared" si="28"/>
        <v>4.6514491459037134E-4</v>
      </c>
      <c r="J34" s="3">
        <f t="shared" si="28"/>
        <v>4.6514491459034846E-4</v>
      </c>
      <c r="K34" s="3">
        <f t="shared" si="28"/>
        <v>4.6514491459011991E-4</v>
      </c>
      <c r="L34" s="3">
        <f t="shared" si="28"/>
        <v>4.6514491458783414E-4</v>
      </c>
      <c r="M34" s="3">
        <f t="shared" si="28"/>
        <v>4.651449145649765E-4</v>
      </c>
      <c r="N34" s="3">
        <f t="shared" si="28"/>
        <v>4.6514491433640001E-4</v>
      </c>
      <c r="O34" s="3">
        <f t="shared" si="28"/>
        <v>4.6514491205063507E-4</v>
      </c>
      <c r="P34" s="3">
        <f t="shared" si="27"/>
        <v>4.6514488919298673E-4</v>
      </c>
      <c r="Q34" s="3">
        <f t="shared" si="27"/>
        <v>4.651446606165644E-4</v>
      </c>
      <c r="R34" s="3">
        <f t="shared" si="27"/>
        <v>4.651423748585197E-4</v>
      </c>
      <c r="S34" s="3">
        <f t="shared" si="27"/>
        <v>4.6511951789584524E-4</v>
      </c>
      <c r="T34" s="3">
        <f t="shared" si="27"/>
        <v>4.6489101003514697E-4</v>
      </c>
      <c r="U34" s="3">
        <f t="shared" si="27"/>
        <v>4.6261209681711389E-4</v>
      </c>
      <c r="V34" s="3">
        <f t="shared" si="27"/>
        <v>4.4042843935977738E-4</v>
      </c>
      <c r="W34" s="3">
        <f t="shared" si="27"/>
        <v>2.6943812652568131E-4</v>
      </c>
      <c r="X34" s="3">
        <f t="shared" si="27"/>
        <v>1.9783175599489895E-6</v>
      </c>
      <c r="Y34" s="3">
        <f t="shared" si="27"/>
        <v>9.008771348137308E-28</v>
      </c>
      <c r="Z34" s="3">
        <f t="shared" si="27"/>
        <v>3.4543087080894662E-241</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7">
        <v>5.4356257241042543E-6</v>
      </c>
      <c r="C35" s="18">
        <f t="shared" si="3"/>
        <v>1.1429544870574336E-5</v>
      </c>
      <c r="D35" s="17"/>
      <c r="F35" s="3">
        <f t="shared" si="28"/>
        <v>1.1429544870574336E-5</v>
      </c>
      <c r="G35" s="3">
        <f t="shared" si="28"/>
        <v>1.1429544870574336E-5</v>
      </c>
      <c r="H35" s="3">
        <f t="shared" si="28"/>
        <v>1.1429544870574336E-5</v>
      </c>
      <c r="I35" s="3">
        <f t="shared" si="28"/>
        <v>1.1429544870574331E-5</v>
      </c>
      <c r="J35" s="3">
        <f t="shared" si="28"/>
        <v>1.142954487057428E-5</v>
      </c>
      <c r="K35" s="3">
        <f t="shared" si="28"/>
        <v>1.1429544870573772E-5</v>
      </c>
      <c r="L35" s="3">
        <f t="shared" si="28"/>
        <v>1.1429544870568706E-5</v>
      </c>
      <c r="M35" s="3">
        <f t="shared" si="28"/>
        <v>1.142954487051804E-5</v>
      </c>
      <c r="N35" s="3">
        <f t="shared" si="28"/>
        <v>1.1429544870011377E-5</v>
      </c>
      <c r="O35" s="3">
        <f t="shared" si="28"/>
        <v>1.1429544864944751E-5</v>
      </c>
      <c r="P35" s="3">
        <f t="shared" si="27"/>
        <v>1.1429544814278495E-5</v>
      </c>
      <c r="Q35" s="3">
        <f t="shared" si="27"/>
        <v>1.1429544307615951E-5</v>
      </c>
      <c r="R35" s="3">
        <f t="shared" si="27"/>
        <v>1.1429539240991739E-5</v>
      </c>
      <c r="S35" s="3">
        <f t="shared" si="27"/>
        <v>1.1429488574873147E-5</v>
      </c>
      <c r="T35" s="3">
        <f t="shared" si="27"/>
        <v>1.1428981926039971E-5</v>
      </c>
      <c r="U35" s="3">
        <f t="shared" si="27"/>
        <v>1.1423916672780084E-5</v>
      </c>
      <c r="V35" s="3">
        <f t="shared" si="27"/>
        <v>1.137338744503461E-5</v>
      </c>
      <c r="W35" s="3">
        <f t="shared" si="27"/>
        <v>1.0880225786402286E-5</v>
      </c>
      <c r="X35" s="3">
        <f t="shared" si="27"/>
        <v>6.9842318332254638E-6</v>
      </c>
      <c r="Y35" s="3">
        <f t="shared" si="27"/>
        <v>8.2970944845630662E-8</v>
      </c>
      <c r="Z35" s="3">
        <f t="shared" si="27"/>
        <v>4.6451519468739256E-27</v>
      </c>
      <c r="AA35" s="3">
        <f t="shared" si="27"/>
        <v>1.4052021788955715E-219</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7">
        <v>1.2324801674565384E-5</v>
      </c>
      <c r="C36" s="18">
        <f t="shared" si="3"/>
        <v>2.5915484418969715E-5</v>
      </c>
      <c r="D36" s="17"/>
      <c r="F36" s="3">
        <f t="shared" si="28"/>
        <v>2.5915484418969715E-5</v>
      </c>
      <c r="G36" s="3">
        <f t="shared" si="28"/>
        <v>2.5915484418969715E-5</v>
      </c>
      <c r="H36" s="3">
        <f t="shared" si="28"/>
        <v>2.5915484418969715E-5</v>
      </c>
      <c r="I36" s="3">
        <f t="shared" si="28"/>
        <v>2.5915484418969715E-5</v>
      </c>
      <c r="J36" s="3">
        <f t="shared" si="28"/>
        <v>2.5915484418969705E-5</v>
      </c>
      <c r="K36" s="3">
        <f t="shared" si="28"/>
        <v>2.59154844189696E-5</v>
      </c>
      <c r="L36" s="3">
        <f t="shared" si="28"/>
        <v>2.5915484418968563E-5</v>
      </c>
      <c r="M36" s="3">
        <f t="shared" si="28"/>
        <v>2.5915484418958202E-5</v>
      </c>
      <c r="N36" s="3">
        <f t="shared" si="28"/>
        <v>2.5915484418854566E-5</v>
      </c>
      <c r="O36" s="3">
        <f t="shared" si="28"/>
        <v>2.5915484417818245E-5</v>
      </c>
      <c r="P36" s="3">
        <f t="shared" si="27"/>
        <v>2.5915484407454997E-5</v>
      </c>
      <c r="Q36" s="3">
        <f t="shared" si="27"/>
        <v>2.5915484303822542E-5</v>
      </c>
      <c r="R36" s="3">
        <f t="shared" si="27"/>
        <v>2.5915483267497992E-5</v>
      </c>
      <c r="S36" s="3">
        <f t="shared" si="27"/>
        <v>2.5915472904254773E-5</v>
      </c>
      <c r="T36" s="3">
        <f t="shared" si="27"/>
        <v>2.5915369272050514E-5</v>
      </c>
      <c r="U36" s="3">
        <f t="shared" si="27"/>
        <v>2.5914332972800211E-5</v>
      </c>
      <c r="V36" s="3">
        <f t="shared" si="27"/>
        <v>2.5903972259188217E-5</v>
      </c>
      <c r="W36" s="3">
        <f t="shared" si="27"/>
        <v>2.5800592675350895E-5</v>
      </c>
      <c r="X36" s="3">
        <f t="shared" si="27"/>
        <v>2.4789218954569617E-5</v>
      </c>
      <c r="Y36" s="3">
        <f t="shared" si="27"/>
        <v>1.6618600732659143E-5</v>
      </c>
      <c r="Z36" s="3">
        <f t="shared" si="27"/>
        <v>3.0472673474628956E-7</v>
      </c>
      <c r="AA36" s="3">
        <f t="shared" si="27"/>
        <v>1.3093977790939207E-24</v>
      </c>
      <c r="AB36" s="3">
        <f t="shared" si="27"/>
        <v>2.8098427705138353E-198</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7">
        <v>1.4054710894337528E-5</v>
      </c>
      <c r="C37" s="18">
        <f t="shared" si="3"/>
        <v>2.9552981931303355E-5</v>
      </c>
      <c r="D37" s="17"/>
      <c r="F37" s="3">
        <f t="shared" si="28"/>
        <v>2.9552981931303355E-5</v>
      </c>
      <c r="G37" s="3">
        <f t="shared" si="28"/>
        <v>2.9552981931303355E-5</v>
      </c>
      <c r="H37" s="3">
        <f t="shared" si="28"/>
        <v>2.9552981931303355E-5</v>
      </c>
      <c r="I37" s="3">
        <f t="shared" si="28"/>
        <v>2.9552981931303355E-5</v>
      </c>
      <c r="J37" s="3">
        <f t="shared" si="28"/>
        <v>2.9552981931303355E-5</v>
      </c>
      <c r="K37" s="3">
        <f t="shared" si="28"/>
        <v>2.9552981931303342E-5</v>
      </c>
      <c r="L37" s="3">
        <f t="shared" si="28"/>
        <v>2.9552981931303237E-5</v>
      </c>
      <c r="M37" s="3">
        <f t="shared" si="28"/>
        <v>2.9552981931302169E-5</v>
      </c>
      <c r="N37" s="3">
        <f t="shared" si="28"/>
        <v>2.955298193129151E-5</v>
      </c>
      <c r="O37" s="3">
        <f t="shared" si="28"/>
        <v>2.9552981931184903E-5</v>
      </c>
      <c r="P37" s="3">
        <f t="shared" si="27"/>
        <v>2.9552981930118837E-5</v>
      </c>
      <c r="Q37" s="3">
        <f t="shared" si="27"/>
        <v>2.9552981919458172E-5</v>
      </c>
      <c r="R37" s="3">
        <f t="shared" si="27"/>
        <v>2.9552981812851503E-5</v>
      </c>
      <c r="S37" s="3">
        <f t="shared" si="27"/>
        <v>2.9552980746784858E-5</v>
      </c>
      <c r="T37" s="3">
        <f t="shared" si="27"/>
        <v>2.9552970086120524E-5</v>
      </c>
      <c r="U37" s="3">
        <f t="shared" si="27"/>
        <v>2.9552863479688675E-5</v>
      </c>
      <c r="V37" s="3">
        <f t="shared" si="27"/>
        <v>2.9551797436520844E-5</v>
      </c>
      <c r="W37" s="3">
        <f t="shared" si="27"/>
        <v>2.9541139119625021E-5</v>
      </c>
      <c r="X37" s="3">
        <f t="shared" si="27"/>
        <v>2.9434767146927752E-5</v>
      </c>
      <c r="Y37" s="3">
        <f t="shared" si="27"/>
        <v>2.8391887860908742E-5</v>
      </c>
      <c r="Z37" s="3">
        <f t="shared" si="27"/>
        <v>1.9793880125773492E-5</v>
      </c>
      <c r="AA37" s="3">
        <f t="shared" si="27"/>
        <v>5.3690516712325092E-7</v>
      </c>
      <c r="AB37" s="3">
        <f t="shared" si="27"/>
        <v>1.1576147759914025E-22</v>
      </c>
      <c r="AC37" s="3">
        <f t="shared" si="27"/>
        <v>2.5132103593388778E-179</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7">
        <v>1.5566121190404177E-6</v>
      </c>
      <c r="C38" s="18">
        <f t="shared" si="3"/>
        <v>3.2731039559542382E-6</v>
      </c>
      <c r="D38" s="17"/>
      <c r="F38" s="3">
        <f t="shared" si="28"/>
        <v>3.2731039559542382E-6</v>
      </c>
      <c r="G38" s="3">
        <f t="shared" si="28"/>
        <v>3.2731039559542382E-6</v>
      </c>
      <c r="H38" s="3">
        <f t="shared" si="28"/>
        <v>3.2731039559542382E-6</v>
      </c>
      <c r="I38" s="3">
        <f t="shared" si="28"/>
        <v>3.2731039559542382E-6</v>
      </c>
      <c r="J38" s="3">
        <f t="shared" si="28"/>
        <v>3.2731039559542382E-6</v>
      </c>
      <c r="K38" s="3">
        <f t="shared" si="28"/>
        <v>3.2731039559542382E-6</v>
      </c>
      <c r="L38" s="3">
        <f t="shared" si="28"/>
        <v>3.2731039559542369E-6</v>
      </c>
      <c r="M38" s="3">
        <f t="shared" si="28"/>
        <v>3.2731039559542263E-6</v>
      </c>
      <c r="N38" s="3">
        <f t="shared" si="28"/>
        <v>3.2731039559541196E-6</v>
      </c>
      <c r="O38" s="3">
        <f t="shared" si="28"/>
        <v>3.2731039559530545E-6</v>
      </c>
      <c r="P38" s="3">
        <f t="shared" si="27"/>
        <v>3.2731039559424039E-6</v>
      </c>
      <c r="Q38" s="3">
        <f t="shared" si="27"/>
        <v>3.2731039558358941E-6</v>
      </c>
      <c r="R38" s="3">
        <f t="shared" si="27"/>
        <v>3.2731039547707964E-6</v>
      </c>
      <c r="S38" s="3">
        <f t="shared" si="27"/>
        <v>3.2731039441198191E-6</v>
      </c>
      <c r="T38" s="3">
        <f t="shared" si="27"/>
        <v>3.2731038376100517E-6</v>
      </c>
      <c r="U38" s="3">
        <f t="shared" si="27"/>
        <v>3.2731027725125637E-6</v>
      </c>
      <c r="V38" s="3">
        <f t="shared" si="27"/>
        <v>3.273092121556749E-6</v>
      </c>
      <c r="W38" s="3">
        <f t="shared" si="27"/>
        <v>3.2729856139048328E-6</v>
      </c>
      <c r="X38" s="3">
        <f t="shared" si="27"/>
        <v>3.2719207279860186E-6</v>
      </c>
      <c r="Y38" s="3">
        <f t="shared" si="27"/>
        <v>3.2612909059039429E-6</v>
      </c>
      <c r="Z38" s="3">
        <f t="shared" si="27"/>
        <v>3.1568736728974026E-6</v>
      </c>
      <c r="AA38" s="3">
        <f t="shared" si="27"/>
        <v>2.2799947227198081E-6</v>
      </c>
      <c r="AB38" s="3">
        <f t="shared" si="27"/>
        <v>8.8044093586284096E-8</v>
      </c>
      <c r="AC38" s="3">
        <f t="shared" si="27"/>
        <v>6.4917842285237346E-22</v>
      </c>
      <c r="AD38" s="3">
        <f t="shared" si="27"/>
        <v>3.0832062218203493E-163</v>
      </c>
      <c r="AE38" s="3">
        <f t="shared" si="27"/>
        <v>0</v>
      </c>
      <c r="AF38" s="3">
        <f t="shared" si="29"/>
        <v>0</v>
      </c>
      <c r="AG38" s="3">
        <f t="shared" si="29"/>
        <v>0</v>
      </c>
      <c r="AH38" s="3">
        <f t="shared" si="29"/>
        <v>0</v>
      </c>
      <c r="AI38" s="3">
        <f t="shared" si="29"/>
        <v>0</v>
      </c>
      <c r="AJ38" s="3">
        <f t="shared" si="29"/>
        <v>0</v>
      </c>
    </row>
    <row r="39" spans="1:36" x14ac:dyDescent="0.25">
      <c r="A39" s="3">
        <f>10000000</f>
        <v>10000000</v>
      </c>
      <c r="B39" s="17">
        <v>2.2502708470318021E-5</v>
      </c>
      <c r="C39" s="18">
        <f t="shared" si="3"/>
        <v>4.7316671387144988E-5</v>
      </c>
      <c r="D39" s="17"/>
      <c r="F39" s="3">
        <f t="shared" si="28"/>
        <v>4.7316671387144988E-5</v>
      </c>
      <c r="G39" s="3">
        <f t="shared" si="28"/>
        <v>4.7316671387144988E-5</v>
      </c>
      <c r="H39" s="3">
        <f t="shared" si="28"/>
        <v>4.7316671387144988E-5</v>
      </c>
      <c r="I39" s="3">
        <f t="shared" si="28"/>
        <v>4.7316671387144988E-5</v>
      </c>
      <c r="J39" s="3">
        <f t="shared" si="28"/>
        <v>4.7316671387144988E-5</v>
      </c>
      <c r="K39" s="3">
        <f t="shared" si="28"/>
        <v>4.7316671387144988E-5</v>
      </c>
      <c r="L39" s="3">
        <f t="shared" si="28"/>
        <v>4.7316671387144982E-5</v>
      </c>
      <c r="M39" s="3">
        <f t="shared" si="28"/>
        <v>4.7316671387144941E-5</v>
      </c>
      <c r="N39" s="3">
        <f t="shared" si="28"/>
        <v>4.7316671387144514E-5</v>
      </c>
      <c r="O39" s="3">
        <f t="shared" si="28"/>
        <v>4.7316671387140259E-5</v>
      </c>
      <c r="P39" s="3">
        <f t="shared" si="27"/>
        <v>4.731667138709767E-5</v>
      </c>
      <c r="Q39" s="3">
        <f t="shared" si="27"/>
        <v>4.7316671386671822E-5</v>
      </c>
      <c r="R39" s="3">
        <f t="shared" si="27"/>
        <v>4.731667138241332E-5</v>
      </c>
      <c r="S39" s="3">
        <f t="shared" si="27"/>
        <v>4.7316671339828319E-5</v>
      </c>
      <c r="T39" s="3">
        <f t="shared" si="27"/>
        <v>4.7316670913978276E-5</v>
      </c>
      <c r="U39" s="3">
        <f t="shared" si="27"/>
        <v>4.7316666655478087E-5</v>
      </c>
      <c r="V39" s="3">
        <f t="shared" si="27"/>
        <v>4.7316624070497257E-5</v>
      </c>
      <c r="W39" s="3">
        <f t="shared" si="27"/>
        <v>4.731619822279694E-5</v>
      </c>
      <c r="X39" s="3">
        <f t="shared" si="27"/>
        <v>4.7311939956581748E-5</v>
      </c>
      <c r="Y39" s="3">
        <f t="shared" si="27"/>
        <v>4.7269378366209401E-5</v>
      </c>
      <c r="Z39" s="3">
        <f t="shared" si="27"/>
        <v>4.6845862640406918E-5</v>
      </c>
      <c r="AA39" s="3">
        <f t="shared" si="27"/>
        <v>4.2813894768000237E-5</v>
      </c>
      <c r="AB39" s="3">
        <f t="shared" si="27"/>
        <v>1.7406830627995675E-5</v>
      </c>
      <c r="AC39" s="3">
        <f t="shared" si="27"/>
        <v>2.1481735575709591E-9</v>
      </c>
      <c r="AD39" s="3">
        <f t="shared" si="27"/>
        <v>1.7602161249259056E-48</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7">
        <v>1.0815434138177451E-5</v>
      </c>
      <c r="C40" s="18">
        <f t="shared" si="3"/>
        <v>2.2741722122049058E-5</v>
      </c>
      <c r="D40" s="17"/>
      <c r="F40" s="3">
        <f t="shared" si="28"/>
        <v>2.2741722122049058E-5</v>
      </c>
      <c r="G40" s="3">
        <f t="shared" si="28"/>
        <v>2.2741722122049058E-5</v>
      </c>
      <c r="H40" s="3">
        <f t="shared" si="28"/>
        <v>2.2741722122049058E-5</v>
      </c>
      <c r="I40" s="3">
        <f t="shared" si="28"/>
        <v>2.2741722122049058E-5</v>
      </c>
      <c r="J40" s="3">
        <f t="shared" si="28"/>
        <v>2.2741722122049058E-5</v>
      </c>
      <c r="K40" s="3">
        <f t="shared" si="28"/>
        <v>2.2741722122049058E-5</v>
      </c>
      <c r="L40" s="3">
        <f t="shared" si="28"/>
        <v>2.2741722122049058E-5</v>
      </c>
      <c r="M40" s="3">
        <f t="shared" si="28"/>
        <v>2.2741722122049055E-5</v>
      </c>
      <c r="N40" s="3">
        <f t="shared" si="28"/>
        <v>2.2741722122049035E-5</v>
      </c>
      <c r="O40" s="3">
        <f t="shared" si="28"/>
        <v>2.2741722122048831E-5</v>
      </c>
      <c r="P40" s="3">
        <f t="shared" si="27"/>
        <v>2.2741722122046785E-5</v>
      </c>
      <c r="Q40" s="3">
        <f t="shared" si="27"/>
        <v>2.2741722122026317E-5</v>
      </c>
      <c r="R40" s="3">
        <f t="shared" si="27"/>
        <v>2.274172212182164E-5</v>
      </c>
      <c r="S40" s="3">
        <f t="shared" si="27"/>
        <v>2.2741722119774887E-5</v>
      </c>
      <c r="T40" s="3">
        <f t="shared" si="27"/>
        <v>2.2741722099307338E-5</v>
      </c>
      <c r="U40" s="3">
        <f t="shared" si="27"/>
        <v>2.2741721894631839E-5</v>
      </c>
      <c r="V40" s="3">
        <f t="shared" si="27"/>
        <v>2.2741719847876959E-5</v>
      </c>
      <c r="W40" s="3">
        <f t="shared" si="27"/>
        <v>2.2741699380338309E-5</v>
      </c>
      <c r="X40" s="3">
        <f t="shared" si="27"/>
        <v>2.2741494705964918E-5</v>
      </c>
      <c r="Y40" s="3">
        <f t="shared" si="27"/>
        <v>2.2739448063541673E-5</v>
      </c>
      <c r="Z40" s="3">
        <f t="shared" si="27"/>
        <v>2.2718991766998731E-5</v>
      </c>
      <c r="AA40" s="3">
        <f t="shared" si="27"/>
        <v>2.251543820610445E-5</v>
      </c>
      <c r="AB40" s="3">
        <f t="shared" si="27"/>
        <v>2.0577561126606131E-5</v>
      </c>
      <c r="AC40" s="3">
        <f t="shared" si="27"/>
        <v>8.3662120255356352E-6</v>
      </c>
      <c r="AD40" s="3">
        <f t="shared" si="27"/>
        <v>1.0324725870189753E-9</v>
      </c>
      <c r="AE40" s="3">
        <f t="shared" si="27"/>
        <v>8.460093411957629E-49</v>
      </c>
      <c r="AF40" s="3">
        <f t="shared" si="29"/>
        <v>0</v>
      </c>
      <c r="AG40" s="3">
        <f t="shared" si="29"/>
        <v>0</v>
      </c>
      <c r="AH40" s="3">
        <f t="shared" si="29"/>
        <v>0</v>
      </c>
      <c r="AI40" s="3">
        <f t="shared" si="29"/>
        <v>0</v>
      </c>
      <c r="AJ40" s="3">
        <f t="shared" si="29"/>
        <v>0</v>
      </c>
    </row>
    <row r="41" spans="1:36" x14ac:dyDescent="0.25">
      <c r="A41" s="3">
        <f t="shared" si="30"/>
        <v>1000000000</v>
      </c>
      <c r="B41" s="17">
        <v>8.492614904012429E-6</v>
      </c>
      <c r="C41" s="18">
        <f t="shared" si="3"/>
        <v>1.7857506760164985E-5</v>
      </c>
      <c r="D41" s="17"/>
      <c r="F41" s="3">
        <f t="shared" si="28"/>
        <v>1.7857506760164985E-5</v>
      </c>
      <c r="G41" s="3">
        <f t="shared" si="28"/>
        <v>1.7857506760164985E-5</v>
      </c>
      <c r="H41" s="3">
        <f t="shared" si="28"/>
        <v>1.7857506760164985E-5</v>
      </c>
      <c r="I41" s="3">
        <f t="shared" si="28"/>
        <v>1.7857506760164985E-5</v>
      </c>
      <c r="J41" s="3">
        <f t="shared" si="28"/>
        <v>1.7857506760164985E-5</v>
      </c>
      <c r="K41" s="3">
        <f t="shared" si="28"/>
        <v>1.7857506760164985E-5</v>
      </c>
      <c r="L41" s="3">
        <f t="shared" si="28"/>
        <v>1.7857506760164985E-5</v>
      </c>
      <c r="M41" s="3">
        <f t="shared" si="28"/>
        <v>1.7857506760164985E-5</v>
      </c>
      <c r="N41" s="3">
        <f t="shared" si="28"/>
        <v>1.7857506760164981E-5</v>
      </c>
      <c r="O41" s="3">
        <f t="shared" si="28"/>
        <v>1.7857506760164968E-5</v>
      </c>
      <c r="P41" s="3">
        <f t="shared" si="27"/>
        <v>1.7857506760164805E-5</v>
      </c>
      <c r="Q41" s="3">
        <f t="shared" si="27"/>
        <v>1.7857506760163199E-5</v>
      </c>
      <c r="R41" s="3">
        <f t="shared" si="27"/>
        <v>1.7857506760147129E-5</v>
      </c>
      <c r="S41" s="3">
        <f t="shared" si="27"/>
        <v>1.785750675998641E-5</v>
      </c>
      <c r="T41" s="3">
        <f t="shared" si="27"/>
        <v>1.7857506758379233E-5</v>
      </c>
      <c r="U41" s="3">
        <f t="shared" si="27"/>
        <v>1.7857506742307477E-5</v>
      </c>
      <c r="V41" s="3">
        <f t="shared" si="27"/>
        <v>1.7857506581589918E-5</v>
      </c>
      <c r="W41" s="3">
        <f t="shared" si="27"/>
        <v>1.7857504974414397E-5</v>
      </c>
      <c r="X41" s="3">
        <f t="shared" si="27"/>
        <v>1.7857488902667152E-5</v>
      </c>
      <c r="Y41" s="3">
        <f t="shared" si="27"/>
        <v>1.7857328185990254E-5</v>
      </c>
      <c r="Z41" s="3">
        <f t="shared" si="27"/>
        <v>1.7855721098773525E-5</v>
      </c>
      <c r="AA41" s="3">
        <f t="shared" si="27"/>
        <v>1.7839658179182694E-5</v>
      </c>
      <c r="AB41" s="3">
        <f t="shared" si="27"/>
        <v>1.7679821599075989E-5</v>
      </c>
      <c r="AC41" s="3">
        <f t="shared" si="27"/>
        <v>1.6158140309427376E-5</v>
      </c>
      <c r="AD41" s="3">
        <f t="shared" si="27"/>
        <v>6.5694096076447479E-6</v>
      </c>
      <c r="AE41" s="3">
        <f t="shared" si="27"/>
        <v>8.1072955264458877E-10</v>
      </c>
      <c r="AF41" s="3">
        <f t="shared" si="29"/>
        <v>6.6431281890119438E-49</v>
      </c>
      <c r="AG41" s="3">
        <f t="shared" si="29"/>
        <v>0</v>
      </c>
      <c r="AH41" s="3">
        <f t="shared" si="29"/>
        <v>0</v>
      </c>
      <c r="AI41" s="3">
        <f t="shared" si="29"/>
        <v>0</v>
      </c>
      <c r="AJ41" s="3">
        <f t="shared" si="29"/>
        <v>0</v>
      </c>
    </row>
    <row r="42" spans="1:36" x14ac:dyDescent="0.25">
      <c r="A42" s="3">
        <f t="shared" si="30"/>
        <v>10000000000</v>
      </c>
      <c r="B42" s="17">
        <v>0</v>
      </c>
      <c r="C42" s="18">
        <f t="shared" si="3"/>
        <v>0</v>
      </c>
      <c r="D42" s="17"/>
      <c r="F42" s="3">
        <f t="shared" si="28"/>
        <v>0</v>
      </c>
      <c r="G42" s="3">
        <f t="shared" si="28"/>
        <v>0</v>
      </c>
      <c r="H42" s="3">
        <f t="shared" si="28"/>
        <v>0</v>
      </c>
      <c r="I42" s="3">
        <f t="shared" si="28"/>
        <v>0</v>
      </c>
      <c r="J42" s="3">
        <f t="shared" si="28"/>
        <v>0</v>
      </c>
      <c r="K42" s="3">
        <f t="shared" si="28"/>
        <v>0</v>
      </c>
      <c r="L42" s="3">
        <f t="shared" si="28"/>
        <v>0</v>
      </c>
      <c r="M42" s="3">
        <f t="shared" si="28"/>
        <v>0</v>
      </c>
      <c r="N42" s="3">
        <f t="shared" si="28"/>
        <v>0</v>
      </c>
      <c r="O42" s="3">
        <f t="shared" si="28"/>
        <v>0</v>
      </c>
      <c r="P42" s="3">
        <f t="shared" si="27"/>
        <v>0</v>
      </c>
      <c r="Q42" s="3">
        <f t="shared" si="27"/>
        <v>0</v>
      </c>
      <c r="R42" s="3">
        <f t="shared" si="27"/>
        <v>0</v>
      </c>
      <c r="S42" s="3">
        <f t="shared" si="27"/>
        <v>0</v>
      </c>
      <c r="T42" s="3">
        <f t="shared" si="27"/>
        <v>0</v>
      </c>
      <c r="U42" s="3">
        <f t="shared" si="27"/>
        <v>0</v>
      </c>
      <c r="V42" s="3">
        <f t="shared" si="27"/>
        <v>0</v>
      </c>
      <c r="W42" s="3">
        <f t="shared" si="27"/>
        <v>0</v>
      </c>
      <c r="X42" s="3">
        <f t="shared" si="27"/>
        <v>0</v>
      </c>
      <c r="Y42" s="3">
        <f t="shared" si="27"/>
        <v>0</v>
      </c>
      <c r="Z42" s="3">
        <f t="shared" si="27"/>
        <v>0</v>
      </c>
      <c r="AA42" s="3">
        <f t="shared" si="27"/>
        <v>0</v>
      </c>
      <c r="AB42" s="3">
        <f t="shared" si="27"/>
        <v>0</v>
      </c>
      <c r="AC42" s="3">
        <f t="shared" si="27"/>
        <v>0</v>
      </c>
      <c r="AD42" s="3">
        <f t="shared" si="27"/>
        <v>0</v>
      </c>
      <c r="AE42" s="3">
        <f t="shared" si="27"/>
        <v>0</v>
      </c>
      <c r="AF42" s="3">
        <f t="shared" si="29"/>
        <v>0</v>
      </c>
      <c r="AG42" s="3">
        <f t="shared" si="29"/>
        <v>0</v>
      </c>
      <c r="AH42" s="3">
        <f t="shared" si="29"/>
        <v>0</v>
      </c>
      <c r="AI42" s="3">
        <f t="shared" si="29"/>
        <v>0</v>
      </c>
      <c r="AJ42" s="3">
        <f t="shared" si="29"/>
        <v>0</v>
      </c>
    </row>
    <row r="43" spans="1:36" x14ac:dyDescent="0.25">
      <c r="A43" s="3">
        <f t="shared" si="30"/>
        <v>100000000000</v>
      </c>
      <c r="B43" s="17">
        <v>7.4948863587504745E-7</v>
      </c>
      <c r="C43" s="18">
        <f t="shared" si="3"/>
        <v>1.5759572914912317E-6</v>
      </c>
      <c r="D43" s="17"/>
      <c r="F43" s="3">
        <f t="shared" si="28"/>
        <v>1.5759572914912317E-6</v>
      </c>
      <c r="G43" s="3">
        <f t="shared" si="28"/>
        <v>1.5759572914912317E-6</v>
      </c>
      <c r="H43" s="3">
        <f t="shared" si="28"/>
        <v>1.5759572914912317E-6</v>
      </c>
      <c r="I43" s="3">
        <f t="shared" si="28"/>
        <v>1.5759572914912317E-6</v>
      </c>
      <c r="J43" s="3">
        <f t="shared" si="28"/>
        <v>1.5759572914912317E-6</v>
      </c>
      <c r="K43" s="3">
        <f t="shared" si="28"/>
        <v>1.5759572914912317E-6</v>
      </c>
      <c r="L43" s="3">
        <f t="shared" si="28"/>
        <v>1.5759572914912317E-6</v>
      </c>
      <c r="M43" s="3">
        <f t="shared" si="28"/>
        <v>1.5759572914912317E-6</v>
      </c>
      <c r="N43" s="3">
        <f t="shared" si="28"/>
        <v>1.5759572914912317E-6</v>
      </c>
      <c r="O43" s="3">
        <f t="shared" si="28"/>
        <v>1.5759572914912317E-6</v>
      </c>
      <c r="P43" s="3">
        <f t="shared" si="27"/>
        <v>1.5759572914912315E-6</v>
      </c>
      <c r="Q43" s="3">
        <f t="shared" si="27"/>
        <v>1.5759572914912302E-6</v>
      </c>
      <c r="R43" s="3">
        <f t="shared" si="27"/>
        <v>1.575957291491216E-6</v>
      </c>
      <c r="S43" s="3">
        <f t="shared" si="27"/>
        <v>1.5759572914910741E-6</v>
      </c>
      <c r="T43" s="3">
        <f t="shared" si="27"/>
        <v>1.5759572914896558E-6</v>
      </c>
      <c r="U43" s="3">
        <f t="shared" si="27"/>
        <v>1.5759572914754722E-6</v>
      </c>
      <c r="V43" s="3">
        <f t="shared" si="27"/>
        <v>1.5759572913336359E-6</v>
      </c>
      <c r="W43" s="3">
        <f t="shared" si="27"/>
        <v>1.5759572899152744E-6</v>
      </c>
      <c r="X43" s="3">
        <f t="shared" si="27"/>
        <v>1.575957275731659E-6</v>
      </c>
      <c r="Y43" s="3">
        <f t="shared" si="27"/>
        <v>1.5759571338955104E-6</v>
      </c>
      <c r="Z43" s="3">
        <f t="shared" si="27"/>
        <v>1.5759557155347281E-6</v>
      </c>
      <c r="AA43" s="3">
        <f t="shared" si="27"/>
        <v>1.5759415319971143E-6</v>
      </c>
      <c r="AB43" s="3">
        <f t="shared" si="27"/>
        <v>1.5757997036416064E-6</v>
      </c>
      <c r="AC43" s="3">
        <f t="shared" si="27"/>
        <v>1.5743821219157923E-6</v>
      </c>
      <c r="AD43" s="3">
        <f t="shared" si="27"/>
        <v>1.5602762544366831E-6</v>
      </c>
      <c r="AE43" s="3">
        <f t="shared" si="27"/>
        <v>1.4259851265678702E-6</v>
      </c>
      <c r="AF43" s="3">
        <f t="shared" si="29"/>
        <v>5.7976228770385413E-7</v>
      </c>
      <c r="AG43" s="3">
        <f t="shared" si="29"/>
        <v>7.154835034237779E-11</v>
      </c>
      <c r="AH43" s="3">
        <f t="shared" si="29"/>
        <v>5.8626808593113968E-50</v>
      </c>
      <c r="AI43" s="3">
        <f t="shared" si="29"/>
        <v>0</v>
      </c>
      <c r="AJ43" s="3">
        <f t="shared" si="29"/>
        <v>0</v>
      </c>
    </row>
    <row r="44" spans="1:36" x14ac:dyDescent="0.25">
      <c r="A44" s="3">
        <f t="shared" si="30"/>
        <v>1000000000000</v>
      </c>
      <c r="B44" s="17">
        <v>0</v>
      </c>
      <c r="C44" s="18">
        <f t="shared" si="3"/>
        <v>0</v>
      </c>
      <c r="D44" s="17"/>
      <c r="F44" s="3">
        <f t="shared" si="28"/>
        <v>0</v>
      </c>
      <c r="G44" s="3">
        <f t="shared" si="28"/>
        <v>0</v>
      </c>
      <c r="H44" s="3">
        <f t="shared" si="28"/>
        <v>0</v>
      </c>
      <c r="I44" s="3">
        <f t="shared" si="28"/>
        <v>0</v>
      </c>
      <c r="J44" s="3">
        <f t="shared" si="28"/>
        <v>0</v>
      </c>
      <c r="K44" s="3">
        <f t="shared" si="28"/>
        <v>0</v>
      </c>
      <c r="L44" s="3">
        <f t="shared" si="28"/>
        <v>0</v>
      </c>
      <c r="M44" s="3">
        <f t="shared" si="28"/>
        <v>0</v>
      </c>
      <c r="N44" s="3">
        <f t="shared" si="28"/>
        <v>0</v>
      </c>
      <c r="O44" s="3">
        <f t="shared" si="28"/>
        <v>0</v>
      </c>
      <c r="P44" s="3">
        <f t="shared" si="27"/>
        <v>0</v>
      </c>
      <c r="Q44" s="3">
        <f t="shared" si="27"/>
        <v>0</v>
      </c>
      <c r="R44" s="3">
        <f t="shared" si="27"/>
        <v>0</v>
      </c>
      <c r="S44" s="3">
        <f t="shared" si="27"/>
        <v>0</v>
      </c>
      <c r="T44" s="3">
        <f t="shared" si="27"/>
        <v>0</v>
      </c>
      <c r="U44" s="3">
        <f t="shared" si="27"/>
        <v>0</v>
      </c>
      <c r="V44" s="3">
        <f t="shared" si="27"/>
        <v>0</v>
      </c>
      <c r="W44" s="3">
        <f t="shared" si="27"/>
        <v>0</v>
      </c>
      <c r="X44" s="3">
        <f t="shared" si="27"/>
        <v>0</v>
      </c>
      <c r="Y44" s="3">
        <f t="shared" si="27"/>
        <v>0</v>
      </c>
      <c r="Z44" s="3">
        <f t="shared" si="27"/>
        <v>0</v>
      </c>
      <c r="AA44" s="3">
        <f t="shared" si="27"/>
        <v>0</v>
      </c>
      <c r="AB44" s="3">
        <f t="shared" si="27"/>
        <v>0</v>
      </c>
      <c r="AC44" s="3">
        <f t="shared" si="27"/>
        <v>0</v>
      </c>
      <c r="AD44" s="3">
        <f t="shared" si="27"/>
        <v>0</v>
      </c>
      <c r="AE44" s="3">
        <f t="shared" si="27"/>
        <v>0</v>
      </c>
      <c r="AF44" s="3">
        <f t="shared" si="29"/>
        <v>0</v>
      </c>
      <c r="AG44" s="3">
        <f t="shared" si="29"/>
        <v>0</v>
      </c>
      <c r="AH44" s="3">
        <f t="shared" si="29"/>
        <v>0</v>
      </c>
      <c r="AI44" s="3">
        <f t="shared" si="29"/>
        <v>0</v>
      </c>
      <c r="AJ44" s="3">
        <f t="shared" si="29"/>
        <v>0</v>
      </c>
    </row>
    <row r="45" spans="1:36" x14ac:dyDescent="0.25">
      <c r="A45" s="3">
        <f t="shared" si="30"/>
        <v>10000000000000</v>
      </c>
      <c r="B45" s="17">
        <v>0</v>
      </c>
      <c r="C45" s="18">
        <f t="shared" si="3"/>
        <v>0</v>
      </c>
      <c r="D45" s="17"/>
      <c r="F45" s="3">
        <f t="shared" si="28"/>
        <v>0</v>
      </c>
      <c r="G45" s="3">
        <f t="shared" si="28"/>
        <v>0</v>
      </c>
      <c r="H45" s="3">
        <f t="shared" si="28"/>
        <v>0</v>
      </c>
      <c r="I45" s="3">
        <f t="shared" si="28"/>
        <v>0</v>
      </c>
      <c r="J45" s="3">
        <f t="shared" si="28"/>
        <v>0</v>
      </c>
      <c r="K45" s="3">
        <f t="shared" si="28"/>
        <v>0</v>
      </c>
      <c r="L45" s="3">
        <f t="shared" si="28"/>
        <v>0</v>
      </c>
      <c r="M45" s="3">
        <f t="shared" si="28"/>
        <v>0</v>
      </c>
      <c r="N45" s="3">
        <f t="shared" si="28"/>
        <v>0</v>
      </c>
      <c r="O45" s="3">
        <f t="shared" si="28"/>
        <v>0</v>
      </c>
      <c r="P45" s="3">
        <f t="shared" si="27"/>
        <v>0</v>
      </c>
      <c r="Q45" s="3">
        <f t="shared" si="27"/>
        <v>0</v>
      </c>
      <c r="R45" s="3">
        <f t="shared" si="27"/>
        <v>0</v>
      </c>
      <c r="S45" s="3">
        <f t="shared" si="27"/>
        <v>0</v>
      </c>
      <c r="T45" s="3">
        <f t="shared" si="27"/>
        <v>0</v>
      </c>
      <c r="U45" s="3">
        <f t="shared" si="27"/>
        <v>0</v>
      </c>
      <c r="V45" s="3">
        <f t="shared" si="27"/>
        <v>0</v>
      </c>
      <c r="W45" s="3">
        <f t="shared" si="27"/>
        <v>0</v>
      </c>
      <c r="X45" s="3">
        <f t="shared" si="27"/>
        <v>0</v>
      </c>
      <c r="Y45" s="3">
        <f t="shared" si="27"/>
        <v>0</v>
      </c>
      <c r="Z45" s="3">
        <f t="shared" si="27"/>
        <v>0</v>
      </c>
      <c r="AA45" s="3">
        <f t="shared" si="27"/>
        <v>0</v>
      </c>
      <c r="AB45" s="3">
        <f t="shared" si="27"/>
        <v>0</v>
      </c>
      <c r="AC45" s="3">
        <f t="shared" si="27"/>
        <v>0</v>
      </c>
      <c r="AD45" s="3">
        <f t="shared" si="27"/>
        <v>0</v>
      </c>
      <c r="AE45" s="3">
        <f t="shared" si="27"/>
        <v>0</v>
      </c>
      <c r="AF45" s="3">
        <f t="shared" si="29"/>
        <v>0</v>
      </c>
      <c r="AG45" s="3">
        <f t="shared" si="29"/>
        <v>0</v>
      </c>
      <c r="AH45" s="3">
        <f t="shared" si="29"/>
        <v>0</v>
      </c>
      <c r="AI45" s="3">
        <f t="shared" si="29"/>
        <v>0</v>
      </c>
      <c r="AJ45" s="3">
        <f t="shared" si="29"/>
        <v>0</v>
      </c>
    </row>
    <row r="46" spans="1:36" x14ac:dyDescent="0.25">
      <c r="A46" s="3">
        <f t="shared" si="30"/>
        <v>100000000000000</v>
      </c>
      <c r="B46" s="17">
        <v>0</v>
      </c>
      <c r="C46" s="18">
        <f t="shared" si="3"/>
        <v>0</v>
      </c>
      <c r="D46" s="17"/>
      <c r="F46" s="3">
        <f t="shared" si="28"/>
        <v>0</v>
      </c>
      <c r="G46" s="3">
        <f t="shared" si="28"/>
        <v>0</v>
      </c>
      <c r="H46" s="3">
        <f t="shared" si="28"/>
        <v>0</v>
      </c>
      <c r="I46" s="3">
        <f t="shared" si="28"/>
        <v>0</v>
      </c>
      <c r="J46" s="3">
        <f t="shared" si="28"/>
        <v>0</v>
      </c>
      <c r="K46" s="3">
        <f t="shared" si="28"/>
        <v>0</v>
      </c>
      <c r="L46" s="3">
        <f t="shared" si="28"/>
        <v>0</v>
      </c>
      <c r="M46" s="3">
        <f t="shared" si="28"/>
        <v>0</v>
      </c>
      <c r="N46" s="3">
        <f t="shared" si="28"/>
        <v>0</v>
      </c>
      <c r="O46" s="3">
        <f t="shared" si="28"/>
        <v>0</v>
      </c>
      <c r="P46" s="3">
        <f t="shared" si="27"/>
        <v>0</v>
      </c>
      <c r="Q46" s="3">
        <f t="shared" si="27"/>
        <v>0</v>
      </c>
      <c r="R46" s="3">
        <f t="shared" si="27"/>
        <v>0</v>
      </c>
      <c r="S46" s="3">
        <f t="shared" si="27"/>
        <v>0</v>
      </c>
      <c r="T46" s="3">
        <f t="shared" si="27"/>
        <v>0</v>
      </c>
      <c r="U46" s="3">
        <f t="shared" si="27"/>
        <v>0</v>
      </c>
      <c r="V46" s="3">
        <f t="shared" si="27"/>
        <v>0</v>
      </c>
      <c r="W46" s="3">
        <f t="shared" si="27"/>
        <v>0</v>
      </c>
      <c r="X46" s="3">
        <f t="shared" si="27"/>
        <v>0</v>
      </c>
      <c r="Y46" s="3">
        <f t="shared" si="27"/>
        <v>0</v>
      </c>
      <c r="Z46" s="3">
        <f t="shared" si="27"/>
        <v>0</v>
      </c>
      <c r="AA46" s="3">
        <f t="shared" si="27"/>
        <v>0</v>
      </c>
      <c r="AB46" s="3">
        <f t="shared" si="27"/>
        <v>0</v>
      </c>
      <c r="AC46" s="3">
        <f t="shared" si="27"/>
        <v>0</v>
      </c>
      <c r="AD46" s="3">
        <f t="shared" si="27"/>
        <v>0</v>
      </c>
      <c r="AE46" s="3">
        <f t="shared" si="27"/>
        <v>0</v>
      </c>
      <c r="AF46" s="3">
        <f t="shared" si="29"/>
        <v>0</v>
      </c>
      <c r="AG46" s="3">
        <f t="shared" si="29"/>
        <v>0</v>
      </c>
      <c r="AH46" s="3">
        <f t="shared" si="29"/>
        <v>0</v>
      </c>
      <c r="AI46" s="3">
        <f t="shared" si="29"/>
        <v>0</v>
      </c>
      <c r="AJ46" s="3">
        <f t="shared" si="29"/>
        <v>0</v>
      </c>
    </row>
    <row r="47" spans="1:36" x14ac:dyDescent="0.25">
      <c r="A47" s="3">
        <f t="shared" si="30"/>
        <v>1000000000000000</v>
      </c>
      <c r="B47" s="17">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7">
        <v>8.6703483810323973E-4</v>
      </c>
      <c r="C48" s="18">
        <f t="shared" si="3"/>
        <v>1.823122872957775E-3</v>
      </c>
      <c r="D48" s="17"/>
      <c r="F48" s="3">
        <f t="shared" si="28"/>
        <v>1.823122872957775E-3</v>
      </c>
      <c r="G48" s="3">
        <f t="shared" si="28"/>
        <v>1.823122872957775E-3</v>
      </c>
      <c r="H48" s="3">
        <f t="shared" si="28"/>
        <v>1.823122872957775E-3</v>
      </c>
      <c r="I48" s="3">
        <f t="shared" si="28"/>
        <v>1.823122872957775E-3</v>
      </c>
      <c r="J48" s="3">
        <f t="shared" si="28"/>
        <v>1.823122872957775E-3</v>
      </c>
      <c r="K48" s="3">
        <f t="shared" si="28"/>
        <v>1.823122872957775E-3</v>
      </c>
      <c r="L48" s="3">
        <f t="shared" si="28"/>
        <v>1.823122872957775E-3</v>
      </c>
      <c r="M48" s="3">
        <f t="shared" si="28"/>
        <v>1.823122872957775E-3</v>
      </c>
      <c r="N48" s="3">
        <f t="shared" si="28"/>
        <v>1.823122872957775E-3</v>
      </c>
      <c r="O48" s="3">
        <f t="shared" si="28"/>
        <v>1.823122872957775E-3</v>
      </c>
      <c r="P48" s="3">
        <f t="shared" si="27"/>
        <v>1.823122872957775E-3</v>
      </c>
      <c r="Q48" s="3">
        <f t="shared" si="27"/>
        <v>1.823122872957775E-3</v>
      </c>
      <c r="R48" s="3">
        <f t="shared" si="27"/>
        <v>1.823122872957775E-3</v>
      </c>
      <c r="S48" s="3">
        <f t="shared" si="27"/>
        <v>1.823122872957775E-3</v>
      </c>
      <c r="T48" s="3">
        <f t="shared" si="27"/>
        <v>1.823122872957775E-3</v>
      </c>
      <c r="U48" s="3">
        <f t="shared" si="27"/>
        <v>1.8231228729577748E-3</v>
      </c>
      <c r="V48" s="3">
        <f t="shared" si="27"/>
        <v>1.8231228729577733E-3</v>
      </c>
      <c r="W48" s="3">
        <f t="shared" si="27"/>
        <v>1.8231228729577568E-3</v>
      </c>
      <c r="X48" s="3">
        <f t="shared" si="27"/>
        <v>1.8231228729575927E-3</v>
      </c>
      <c r="Y48" s="3">
        <f t="shared" si="27"/>
        <v>1.823122872955952E-3</v>
      </c>
      <c r="Z48" s="3">
        <f t="shared" si="27"/>
        <v>1.8231228729395437E-3</v>
      </c>
      <c r="AA48" s="3">
        <f t="shared" si="27"/>
        <v>1.8231228727754627E-3</v>
      </c>
      <c r="AB48" s="3">
        <f t="shared" si="27"/>
        <v>1.8231228711346522E-3</v>
      </c>
      <c r="AC48" s="3">
        <f t="shared" si="27"/>
        <v>1.8231228547265464E-3</v>
      </c>
      <c r="AD48" s="3">
        <f t="shared" si="27"/>
        <v>1.8231226906454969E-3</v>
      </c>
      <c r="AE48" s="3">
        <f t="shared" si="27"/>
        <v>1.8231210498358137E-3</v>
      </c>
      <c r="AF48" s="3">
        <f t="shared" si="29"/>
        <v>1.8231046418202012E-3</v>
      </c>
      <c r="AG48" s="3">
        <f t="shared" si="29"/>
        <v>1.8229405697857898E-3</v>
      </c>
      <c r="AH48" s="3">
        <f t="shared" si="29"/>
        <v>1.8213006613424759E-3</v>
      </c>
      <c r="AI48" s="3">
        <f t="shared" si="29"/>
        <v>1.8049824972761509E-3</v>
      </c>
      <c r="AJ48" s="3">
        <f t="shared" si="29"/>
        <v>1.6496297931294138E-3</v>
      </c>
    </row>
    <row r="49" spans="1:36" x14ac:dyDescent="0.25">
      <c r="B49" s="16">
        <f>SUM(B17:B48)</f>
        <v>0.4755767430511092</v>
      </c>
      <c r="C49" s="18">
        <f>SUM(C17:C48)</f>
        <v>1.0000000000000002</v>
      </c>
      <c r="F49" s="3">
        <f t="shared" ref="F49:AJ49" si="31">F16-F17</f>
        <v>68.19558485566813</v>
      </c>
      <c r="G49" s="3">
        <f t="shared" si="31"/>
        <v>-88.192644791840394</v>
      </c>
      <c r="H49" s="3">
        <f t="shared" si="31"/>
        <v>23.352943282015076</v>
      </c>
      <c r="I49" s="3">
        <f t="shared" si="31"/>
        <v>-3.8219496465335396</v>
      </c>
      <c r="J49" s="3">
        <f t="shared" si="31"/>
        <v>0.51831145623145858</v>
      </c>
      <c r="K49" s="3">
        <f t="shared" si="31"/>
        <v>-7.5740794533430744E-2</v>
      </c>
      <c r="L49" s="3">
        <f t="shared" si="31"/>
        <v>4.6279181183308538E-3</v>
      </c>
      <c r="M49" s="3">
        <f t="shared" si="31"/>
        <v>-1.5954360504565557E-2</v>
      </c>
      <c r="N49" s="3">
        <f t="shared" si="31"/>
        <v>1.3746521019129432E-2</v>
      </c>
      <c r="O49" s="3">
        <f t="shared" si="31"/>
        <v>-3.6722535624903685E-2</v>
      </c>
      <c r="P49" s="3">
        <f t="shared" si="31"/>
        <v>6.1920386470092126E-2</v>
      </c>
      <c r="Q49" s="3">
        <f t="shared" si="31"/>
        <v>-8.2471752275523613E-2</v>
      </c>
      <c r="R49" s="3">
        <f t="shared" si="31"/>
        <v>0.13894958762773513</v>
      </c>
      <c r="S49" s="3">
        <f t="shared" si="31"/>
        <v>-0.146452391594039</v>
      </c>
      <c r="T49" s="3">
        <f t="shared" si="31"/>
        <v>0.12974666872679563</v>
      </c>
      <c r="U49" s="3">
        <f t="shared" si="31"/>
        <v>-9.9473648144538629E-2</v>
      </c>
      <c r="V49" s="3">
        <f t="shared" si="31"/>
        <v>7.4034168204121897E-2</v>
      </c>
      <c r="W49" s="3">
        <f t="shared" si="31"/>
        <v>-3.5573605928746588E-2</v>
      </c>
      <c r="X49" s="3">
        <f t="shared" si="31"/>
        <v>2.3994623262964865E-2</v>
      </c>
      <c r="Y49" s="3">
        <f t="shared" si="31"/>
        <v>9.4345524307470896E-4</v>
      </c>
      <c r="Z49" s="3">
        <f t="shared" si="31"/>
        <v>1.8516791947504885E-2</v>
      </c>
      <c r="AA49" s="3">
        <f t="shared" si="31"/>
        <v>1.2792104037799845E-3</v>
      </c>
      <c r="AB49" s="3">
        <f t="shared" si="31"/>
        <v>-3.4447605273726367E-3</v>
      </c>
      <c r="AC49" s="3">
        <f t="shared" si="31"/>
        <v>-1.0543778021911976E-2</v>
      </c>
      <c r="AD49" s="3">
        <f t="shared" si="31"/>
        <v>3.6286253564639992E-2</v>
      </c>
      <c r="AE49" s="3">
        <f t="shared" si="31"/>
        <v>-1.5935147445944153E-2</v>
      </c>
      <c r="AF49" s="3">
        <f t="shared" si="31"/>
        <v>-0.12537183651046746</v>
      </c>
      <c r="AG49" s="3">
        <f t="shared" si="31"/>
        <v>-0.24589507972093827</v>
      </c>
      <c r="AH49" s="3">
        <f t="shared" si="31"/>
        <v>-0.24384502617013482</v>
      </c>
      <c r="AI49" s="3">
        <f t="shared" si="31"/>
        <v>-0.15130481273564556</v>
      </c>
      <c r="AJ49" s="3">
        <f t="shared" si="31"/>
        <v>0.76656906152138049</v>
      </c>
    </row>
    <row r="50" spans="1:36" x14ac:dyDescent="0.25">
      <c r="F50" s="57">
        <f t="shared" ref="F50:AJ50" si="32">F49/F17</f>
        <v>1.2937397068207679E-2</v>
      </c>
      <c r="G50" s="57">
        <f t="shared" si="32"/>
        <v>-1.7023187482895382E-2</v>
      </c>
      <c r="H50" s="57">
        <f t="shared" si="32"/>
        <v>4.8261305382228436E-3</v>
      </c>
      <c r="I50" s="57">
        <f t="shared" si="32"/>
        <v>-8.3016079288402204E-4</v>
      </c>
      <c r="J50" s="57">
        <f t="shared" si="32"/>
        <v>1.1956571936718732E-4</v>
      </c>
      <c r="K50" s="57">
        <f t="shared" si="32"/>
        <v>-1.8635537573374277E-5</v>
      </c>
      <c r="L50" s="57">
        <f t="shared" si="32"/>
        <v>1.225934711723482E-6</v>
      </c>
      <c r="M50" s="57">
        <f t="shared" si="32"/>
        <v>-4.6366888133441723E-6</v>
      </c>
      <c r="N50" s="57">
        <f t="shared" si="32"/>
        <v>4.5714856126128191E-6</v>
      </c>
      <c r="O50" s="57">
        <f t="shared" si="32"/>
        <v>-1.4788267459943004E-5</v>
      </c>
      <c r="P50" s="57">
        <f t="shared" si="32"/>
        <v>3.2984770427080654E-5</v>
      </c>
      <c r="Q50" s="57">
        <f t="shared" si="32"/>
        <v>-6.7273369101244161E-5</v>
      </c>
      <c r="R50" s="57">
        <f t="shared" si="32"/>
        <v>1.9351221916270108E-4</v>
      </c>
      <c r="S50" s="57">
        <f t="shared" si="32"/>
        <v>-3.6343081050871953E-4</v>
      </c>
      <c r="T50" s="57">
        <f t="shared" si="32"/>
        <v>5.791021135276073E-4</v>
      </c>
      <c r="U50" s="57">
        <f t="shared" si="32"/>
        <v>-6.3187878981644976E-4</v>
      </c>
      <c r="V50" s="57">
        <f t="shared" si="32"/>
        <v>5.3492653124020137E-4</v>
      </c>
      <c r="W50" s="57">
        <f t="shared" si="32"/>
        <v>-2.8020126755850177E-4</v>
      </c>
      <c r="X50" s="57">
        <f t="shared" si="32"/>
        <v>1.915028334861166E-4</v>
      </c>
      <c r="Y50" s="57">
        <f t="shared" si="32"/>
        <v>7.5362584549953565E-6</v>
      </c>
      <c r="Z50" s="57">
        <f t="shared" si="32"/>
        <v>1.4809012103591428E-4</v>
      </c>
      <c r="AA50" s="57">
        <f t="shared" si="32"/>
        <v>1.0242623171618374E-5</v>
      </c>
      <c r="AB50" s="57">
        <f t="shared" si="32"/>
        <v>-2.7621813449390907E-5</v>
      </c>
      <c r="AC50" s="57">
        <f t="shared" si="32"/>
        <v>-8.4671019505802345E-5</v>
      </c>
      <c r="AD50" s="57">
        <f t="shared" si="32"/>
        <v>2.9164363337231592E-4</v>
      </c>
      <c r="AE50" s="57">
        <f t="shared" si="32"/>
        <v>-1.2811656486495486E-4</v>
      </c>
      <c r="AF50" s="57">
        <f t="shared" si="32"/>
        <v>-1.0080151668416515E-3</v>
      </c>
      <c r="AG50" s="57">
        <f t="shared" si="32"/>
        <v>-1.977116769659306E-3</v>
      </c>
      <c r="AH50" s="57">
        <f t="shared" si="32"/>
        <v>-1.9607866690266661E-3</v>
      </c>
      <c r="AI50" s="57">
        <f t="shared" si="32"/>
        <v>-1.2176073787005968E-3</v>
      </c>
      <c r="AJ50" s="57">
        <f t="shared" si="32"/>
        <v>6.2149510242858795E-3</v>
      </c>
    </row>
    <row r="51" spans="1:36" x14ac:dyDescent="0.25">
      <c r="A51" s="13" t="s">
        <v>21</v>
      </c>
      <c r="B51" s="3">
        <f>STUTT!D8</f>
        <v>5930.4079000000002</v>
      </c>
      <c r="E51" s="11" t="s">
        <v>24</v>
      </c>
      <c r="F51" s="20">
        <f t="shared" ref="F51:AJ51" si="33">(F16-F17)^2</f>
        <v>4650.6377938066325</v>
      </c>
      <c r="G51" s="20">
        <f t="shared" si="33"/>
        <v>7777.9425953797327</v>
      </c>
      <c r="H51" s="20">
        <f t="shared" si="33"/>
        <v>545.3599599330131</v>
      </c>
      <c r="I51" s="20">
        <f t="shared" si="33"/>
        <v>14.607299100637849</v>
      </c>
      <c r="J51" s="20">
        <f t="shared" si="33"/>
        <v>0.26864676566077522</v>
      </c>
      <c r="K51" s="20">
        <f t="shared" si="33"/>
        <v>5.7366679565553722E-3</v>
      </c>
      <c r="L51" s="20">
        <f t="shared" si="33"/>
        <v>2.1417626109974991E-5</v>
      </c>
      <c r="M51" s="20">
        <f t="shared" si="33"/>
        <v>2.5454161910964132E-4</v>
      </c>
      <c r="N51" s="20">
        <f t="shared" si="33"/>
        <v>1.8896684012936727E-4</v>
      </c>
      <c r="O51" s="20">
        <f t="shared" si="33"/>
        <v>1.3485446227223202E-3</v>
      </c>
      <c r="P51" s="20">
        <f t="shared" si="33"/>
        <v>3.8341342606055678E-3</v>
      </c>
      <c r="Q51" s="20">
        <f t="shared" si="33"/>
        <v>6.8015899233953344E-3</v>
      </c>
      <c r="R51" s="20">
        <f t="shared" si="33"/>
        <v>1.9306987901917642E-2</v>
      </c>
      <c r="S51" s="20">
        <f t="shared" si="33"/>
        <v>2.1448303003613747E-2</v>
      </c>
      <c r="T51" s="20">
        <f t="shared" si="33"/>
        <v>1.6834198045700847E-2</v>
      </c>
      <c r="U51" s="20">
        <f t="shared" si="33"/>
        <v>9.895006675183473E-3</v>
      </c>
      <c r="V51" s="20">
        <f t="shared" si="33"/>
        <v>5.4810580616762141E-3</v>
      </c>
      <c r="W51" s="20">
        <f t="shared" si="33"/>
        <v>1.2654814387737545E-3</v>
      </c>
      <c r="X51" s="20">
        <f t="shared" si="33"/>
        <v>5.7574194553161465E-4</v>
      </c>
      <c r="Y51" s="20">
        <f t="shared" si="33"/>
        <v>8.9010779568515814E-7</v>
      </c>
      <c r="Z51" s="20">
        <f t="shared" si="33"/>
        <v>3.4287158402718172E-4</v>
      </c>
      <c r="AA51" s="20">
        <f t="shared" si="33"/>
        <v>1.636379257138951E-6</v>
      </c>
      <c r="AB51" s="20">
        <f t="shared" si="33"/>
        <v>1.1866375090944607E-5</v>
      </c>
      <c r="AC51" s="20">
        <f t="shared" si="33"/>
        <v>1.1117125497535402E-4</v>
      </c>
      <c r="AD51" s="20">
        <f t="shared" si="33"/>
        <v>1.3166921977573484E-3</v>
      </c>
      <c r="AE51" s="20">
        <f t="shared" si="33"/>
        <v>2.5392892412398046E-4</v>
      </c>
      <c r="AF51" s="20">
        <f t="shared" si="33"/>
        <v>1.5718097390007381E-2</v>
      </c>
      <c r="AG51" s="20">
        <f t="shared" si="33"/>
        <v>6.0464390230966586E-2</v>
      </c>
      <c r="AH51" s="20">
        <f t="shared" si="33"/>
        <v>5.9460396787913733E-2</v>
      </c>
      <c r="AI51" s="20">
        <f t="shared" si="33"/>
        <v>2.289314635696877E-2</v>
      </c>
      <c r="AJ51" s="20">
        <f t="shared" si="33"/>
        <v>0.58762812608177006</v>
      </c>
    </row>
    <row r="52" spans="1:36" x14ac:dyDescent="0.25">
      <c r="A52" s="13"/>
    </row>
    <row r="53" spans="1:36" x14ac:dyDescent="0.25">
      <c r="E53" s="108" t="s">
        <v>25</v>
      </c>
      <c r="F53" s="108"/>
      <c r="G53" s="21">
        <f>SUM(F51:AJ51)</f>
        <v>12989.65749083927</v>
      </c>
      <c r="I53" s="3">
        <f>G53+C123</f>
        <v>12989.65749083927</v>
      </c>
      <c r="K53" s="3">
        <f>SUM(Z51:AJ51)</f>
        <v>0.74820232356285854</v>
      </c>
    </row>
    <row r="55" spans="1:36" x14ac:dyDescent="0.25">
      <c r="E55" s="30" t="s">
        <v>30</v>
      </c>
      <c r="F55" s="31">
        <f t="shared" ref="F55:AJ55" si="34">ABS(F17-F16)/F16</f>
        <v>1.2772158581224265E-2</v>
      </c>
      <c r="G55" s="31">
        <f t="shared" si="34"/>
        <v>1.7317994957891405E-2</v>
      </c>
      <c r="H55" s="31">
        <f t="shared" si="34"/>
        <v>4.8029508703538448E-3</v>
      </c>
      <c r="I55" s="31">
        <f t="shared" si="34"/>
        <v>8.308505324207846E-4</v>
      </c>
      <c r="J55" s="31">
        <f t="shared" si="34"/>
        <v>1.1955142511504207E-4</v>
      </c>
      <c r="K55" s="31">
        <f t="shared" si="34"/>
        <v>1.8635884863106856E-5</v>
      </c>
      <c r="L55" s="31">
        <f t="shared" si="34"/>
        <v>1.2259332088094071E-6</v>
      </c>
      <c r="M55" s="31">
        <f t="shared" si="34"/>
        <v>4.6367103123270082E-6</v>
      </c>
      <c r="N55" s="31">
        <f t="shared" si="34"/>
        <v>4.5714647142276493E-6</v>
      </c>
      <c r="O55" s="31">
        <f t="shared" si="34"/>
        <v>1.4788486156031606E-5</v>
      </c>
      <c r="P55" s="31">
        <f t="shared" si="34"/>
        <v>3.2983682467886605E-5</v>
      </c>
      <c r="Q55" s="31">
        <f t="shared" si="34"/>
        <v>6.7277895111914372E-5</v>
      </c>
      <c r="R55" s="31">
        <f t="shared" si="34"/>
        <v>1.9347477942878181E-4</v>
      </c>
      <c r="S55" s="31">
        <f t="shared" si="34"/>
        <v>3.6356294048285013E-4</v>
      </c>
      <c r="T55" s="31">
        <f t="shared" si="34"/>
        <v>5.7876694836456947E-4</v>
      </c>
      <c r="U55" s="31">
        <f t="shared" si="34"/>
        <v>6.3227831307174074E-4</v>
      </c>
      <c r="V55" s="31">
        <f t="shared" si="34"/>
        <v>5.346405378318386E-4</v>
      </c>
      <c r="W55" s="31">
        <f t="shared" si="34"/>
        <v>2.802798023143813E-4</v>
      </c>
      <c r="X55" s="31">
        <f t="shared" si="34"/>
        <v>1.9146616717258635E-4</v>
      </c>
      <c r="Y55" s="31">
        <f t="shared" si="34"/>
        <v>7.5362016602318757E-6</v>
      </c>
      <c r="Z55" s="31">
        <f t="shared" si="34"/>
        <v>1.4806819359920262E-4</v>
      </c>
      <c r="AA55" s="31">
        <f t="shared" si="34"/>
        <v>1.0242518261363493E-5</v>
      </c>
      <c r="AB55" s="31">
        <f t="shared" si="34"/>
        <v>2.7622576435044185E-5</v>
      </c>
      <c r="AC55" s="31">
        <f t="shared" si="34"/>
        <v>8.4678189294419811E-5</v>
      </c>
      <c r="AD55" s="31">
        <f t="shared" si="34"/>
        <v>2.9155860216224035E-4</v>
      </c>
      <c r="AE55" s="31">
        <f t="shared" si="34"/>
        <v>1.2813298082230373E-4</v>
      </c>
      <c r="AF55" s="31">
        <f t="shared" si="34"/>
        <v>1.0090322866904684E-3</v>
      </c>
      <c r="AG55" s="31">
        <f t="shared" si="34"/>
        <v>1.9810335042217599E-3</v>
      </c>
      <c r="AH55" s="31">
        <f t="shared" si="34"/>
        <v>1.9646389068045797E-3</v>
      </c>
      <c r="AI55" s="31">
        <f t="shared" si="34"/>
        <v>1.2190917538153555E-3</v>
      </c>
      <c r="AJ55" s="31">
        <f t="shared" si="34"/>
        <v>6.1765639816416086E-3</v>
      </c>
    </row>
    <row r="56" spans="1:36" x14ac:dyDescent="0.25">
      <c r="E56" s="13" t="s">
        <v>31</v>
      </c>
      <c r="F56" s="32">
        <f>AVERAGE(F55:AJ55)</f>
        <v>1.6712998583198382E-3</v>
      </c>
    </row>
    <row r="57" spans="1:36" x14ac:dyDescent="0.25">
      <c r="A57" s="42"/>
      <c r="B57" s="15"/>
      <c r="C57" s="15"/>
      <c r="D57" s="15"/>
      <c r="F57" s="60">
        <f>AVERAGE(S55:X55)</f>
        <v>4.3016578487299444E-4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09"/>
      <c r="D63" s="109"/>
      <c r="E63" s="109"/>
      <c r="F63" s="109"/>
      <c r="G63" s="109"/>
      <c r="H63" s="109"/>
      <c r="I63" s="109"/>
    </row>
    <row r="64" spans="1:36" x14ac:dyDescent="0.25">
      <c r="A64" s="42">
        <f>10^A65</f>
        <v>1.0000000000000001E-15</v>
      </c>
      <c r="B64" s="42">
        <f>10^B65</f>
        <v>1000000000000000</v>
      </c>
      <c r="C64" s="15"/>
      <c r="D64" s="15"/>
      <c r="E64" s="15"/>
      <c r="F64" s="15"/>
      <c r="G64" s="15"/>
      <c r="H64" s="15"/>
      <c r="I64" s="15"/>
    </row>
    <row r="65" spans="1:13" x14ac:dyDescent="0.25">
      <c r="A65" s="15">
        <v>-15</v>
      </c>
      <c r="B65" s="43">
        <v>15</v>
      </c>
      <c r="C65" s="15"/>
      <c r="D65" s="15"/>
      <c r="E65" s="15"/>
      <c r="F65" s="15"/>
      <c r="G65" s="15"/>
      <c r="H65" s="15"/>
      <c r="I65" s="15"/>
    </row>
    <row r="66" spans="1:13" x14ac:dyDescent="0.25">
      <c r="A66" s="15"/>
      <c r="B66" s="15"/>
      <c r="C66" s="15"/>
      <c r="D66" s="15"/>
      <c r="E66" s="15"/>
      <c r="F66" s="15"/>
      <c r="G66" s="15"/>
      <c r="H66" s="15"/>
      <c r="I66" s="15"/>
    </row>
    <row r="67" spans="1:13" x14ac:dyDescent="0.25">
      <c r="A67" s="15"/>
      <c r="B67" s="42"/>
      <c r="C67" s="42"/>
      <c r="D67" s="44"/>
      <c r="E67" s="74"/>
      <c r="F67" s="44"/>
      <c r="G67" s="45"/>
      <c r="H67" s="44"/>
      <c r="I67" s="44"/>
    </row>
    <row r="68" spans="1:13" x14ac:dyDescent="0.25">
      <c r="A68" s="15"/>
      <c r="B68" s="42"/>
      <c r="C68" s="42"/>
      <c r="D68" s="46"/>
      <c r="E68" s="74"/>
      <c r="F68" s="46"/>
      <c r="G68" s="46"/>
      <c r="H68" s="46"/>
      <c r="I68" s="46"/>
      <c r="L68" s="11" t="s">
        <v>28</v>
      </c>
      <c r="M68" s="11" t="s">
        <v>29</v>
      </c>
    </row>
    <row r="69" spans="1:13" x14ac:dyDescent="0.25">
      <c r="A69" s="15"/>
      <c r="B69" s="42"/>
      <c r="C69" s="42"/>
      <c r="D69" s="47"/>
      <c r="E69" s="74"/>
      <c r="F69" s="47"/>
      <c r="G69" s="47"/>
      <c r="H69" s="47"/>
      <c r="I69" s="47"/>
    </row>
    <row r="70" spans="1:13" x14ac:dyDescent="0.25">
      <c r="A70" s="15"/>
      <c r="B70" s="42"/>
      <c r="C70" s="42"/>
      <c r="D70" s="47"/>
      <c r="E70" s="74"/>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64"/>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5"/>
      <c r="E77" s="59"/>
      <c r="F77" s="47"/>
      <c r="G77" s="47"/>
      <c r="H77" s="47"/>
      <c r="I77" s="47"/>
    </row>
    <row r="78" spans="1:13" x14ac:dyDescent="0.25">
      <c r="A78" s="58"/>
      <c r="B78" s="58"/>
      <c r="C78" s="79"/>
      <c r="D78" s="59"/>
      <c r="E78" s="82"/>
      <c r="F78" s="47"/>
      <c r="G78" s="47"/>
      <c r="H78" s="47"/>
      <c r="I78" s="47"/>
    </row>
    <row r="79" spans="1:13" x14ac:dyDescent="0.25">
      <c r="A79" s="58"/>
      <c r="B79" s="58"/>
      <c r="C79" s="79"/>
      <c r="D79" s="58"/>
      <c r="E79" s="82"/>
      <c r="F79" s="15"/>
      <c r="G79" s="15"/>
      <c r="H79" s="15"/>
      <c r="I79" s="15"/>
    </row>
    <row r="80" spans="1:13" x14ac:dyDescent="0.25">
      <c r="A80" s="58"/>
      <c r="B80" s="58"/>
      <c r="C80" s="79"/>
      <c r="D80" s="58"/>
      <c r="E80" s="82"/>
      <c r="F80" s="15"/>
      <c r="G80" s="15"/>
      <c r="H80" s="15"/>
      <c r="I80" s="15"/>
    </row>
    <row r="81" spans="1:9" x14ac:dyDescent="0.25">
      <c r="A81" s="58"/>
      <c r="B81" s="58"/>
      <c r="C81" s="79"/>
      <c r="D81" s="58"/>
      <c r="E81" s="82"/>
      <c r="F81" s="15"/>
      <c r="G81" s="15"/>
      <c r="H81" s="15"/>
      <c r="I81" s="15"/>
    </row>
    <row r="82" spans="1:9" x14ac:dyDescent="0.25">
      <c r="A82" s="58"/>
      <c r="B82" s="58"/>
      <c r="C82" s="79"/>
      <c r="D82" s="40"/>
      <c r="E82" s="82"/>
    </row>
    <row r="83" spans="1:9" x14ac:dyDescent="0.25">
      <c r="A83" s="58"/>
      <c r="B83" s="58"/>
      <c r="C83" s="79"/>
      <c r="D83" s="40"/>
      <c r="E83" s="82"/>
    </row>
    <row r="84" spans="1:9" x14ac:dyDescent="0.25">
      <c r="A84" s="58"/>
      <c r="B84" s="58"/>
      <c r="C84" s="79"/>
      <c r="D84" s="40"/>
      <c r="E84" s="82"/>
    </row>
    <row r="85" spans="1:9" x14ac:dyDescent="0.25">
      <c r="A85" s="58"/>
      <c r="B85" s="58"/>
      <c r="C85" s="79"/>
      <c r="D85" s="40"/>
      <c r="E85" s="82"/>
      <c r="H85" s="23"/>
    </row>
    <row r="86" spans="1:9" x14ac:dyDescent="0.25">
      <c r="A86" s="58"/>
      <c r="B86" s="58"/>
      <c r="C86" s="79"/>
      <c r="E86" s="82"/>
      <c r="H86" s="3"/>
    </row>
    <row r="87" spans="1:9" x14ac:dyDescent="0.25">
      <c r="A87" s="58"/>
      <c r="B87" s="58"/>
      <c r="C87" s="79"/>
      <c r="E87" s="82"/>
      <c r="H87" s="3"/>
    </row>
    <row r="88" spans="1:9" x14ac:dyDescent="0.25">
      <c r="A88" s="58"/>
    </row>
    <row r="89" spans="1:9" x14ac:dyDescent="0.25">
      <c r="A89" s="58"/>
    </row>
    <row r="90" spans="1:9" x14ac:dyDescent="0.25">
      <c r="A90" s="58"/>
      <c r="C90" s="3"/>
      <c r="D90" s="57"/>
      <c r="E90" s="3"/>
    </row>
    <row r="91" spans="1:9" x14ac:dyDescent="0.25">
      <c r="A91" s="58"/>
      <c r="D91" s="76"/>
      <c r="E91" s="3"/>
    </row>
    <row r="92" spans="1:9" x14ac:dyDescent="0.25">
      <c r="A92" s="58"/>
      <c r="D92" s="76"/>
      <c r="E92" s="3"/>
    </row>
    <row r="93" spans="1:9" x14ac:dyDescent="0.25">
      <c r="A93" s="58"/>
      <c r="D93" s="76"/>
      <c r="E93" s="3"/>
    </row>
    <row r="94" spans="1:9" x14ac:dyDescent="0.25">
      <c r="A94" s="58"/>
      <c r="D94" s="76"/>
      <c r="E94" s="3"/>
    </row>
    <row r="95" spans="1:9" x14ac:dyDescent="0.25">
      <c r="A95" s="58"/>
      <c r="D95" s="3"/>
    </row>
    <row r="96" spans="1:9" x14ac:dyDescent="0.25">
      <c r="A96" s="58"/>
      <c r="D96" s="60"/>
      <c r="E96" s="3"/>
    </row>
    <row r="97" spans="1:9" x14ac:dyDescent="0.25">
      <c r="D97" s="57"/>
      <c r="E97" s="29"/>
      <c r="F97" s="3"/>
    </row>
    <row r="100" spans="1:9" x14ac:dyDescent="0.25">
      <c r="A100" s="110"/>
    </row>
    <row r="101" spans="1:9" x14ac:dyDescent="0.25">
      <c r="A101" s="11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-46.302861916991581</v>
      </c>
    </row>
    <row r="119" spans="1:14" x14ac:dyDescent="0.25">
      <c r="L119" s="11">
        <f>L118+1</f>
        <v>2</v>
      </c>
      <c r="M119" s="11">
        <f t="shared" ref="M119:M124" si="35">INDEX($B$125:$K$126,1,L119)</f>
        <v>0</v>
      </c>
      <c r="N119" s="11">
        <f t="shared" ref="N119:N124" si="36">IF(L119=$B$3,0,INDEX($B$125:$K$126,2,L119))</f>
        <v>-43.101560067053263</v>
      </c>
    </row>
    <row r="120" spans="1:14" x14ac:dyDescent="0.25">
      <c r="L120" s="11">
        <f t="shared" ref="L120:L124" si="37">L119+1</f>
        <v>3</v>
      </c>
      <c r="M120" s="11">
        <f t="shared" si="35"/>
        <v>25</v>
      </c>
      <c r="N120" s="11">
        <f t="shared" si="36"/>
        <v>-38.710306534216876</v>
      </c>
    </row>
    <row r="121" spans="1:14" x14ac:dyDescent="0.25">
      <c r="A121" s="3">
        <f>(A165+A204+A243+A282+A321+A360+A399)*10^9</f>
        <v>6146341714515748</v>
      </c>
      <c r="L121" s="11">
        <f t="shared" si="37"/>
        <v>4</v>
      </c>
      <c r="M121" s="11">
        <f t="shared" si="35"/>
        <v>50</v>
      </c>
      <c r="N121" s="11">
        <f t="shared" si="36"/>
        <v>-32.056724600979742</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-20.038957206425195</v>
      </c>
    </row>
    <row r="123" spans="1:14" x14ac:dyDescent="0.25">
      <c r="A123" s="108"/>
      <c r="B123" s="108"/>
      <c r="C123" s="3"/>
      <c r="D123" s="3"/>
      <c r="E123" s="3"/>
      <c r="F123" s="3"/>
      <c r="G123" s="3"/>
      <c r="H123" s="3"/>
      <c r="I123" s="3"/>
      <c r="J123" s="3"/>
      <c r="K123" s="3"/>
      <c r="L123" s="11">
        <f t="shared" si="37"/>
        <v>6</v>
      </c>
      <c r="M123" s="11">
        <f t="shared" si="35"/>
        <v>125</v>
      </c>
      <c r="N123" s="11">
        <f t="shared" si="36"/>
        <v>0</v>
      </c>
    </row>
    <row r="124" spans="1:14" x14ac:dyDescent="0.25">
      <c r="B124" s="3"/>
      <c r="C124" s="3"/>
      <c r="D124" s="3"/>
      <c r="E124" s="3"/>
      <c r="F124" s="3"/>
      <c r="G124" s="3"/>
      <c r="H124" s="3"/>
      <c r="I124" s="3"/>
      <c r="J124" s="3"/>
      <c r="K124" s="3"/>
      <c r="L124" s="11">
        <f t="shared" si="37"/>
        <v>7</v>
      </c>
      <c r="M124" s="11">
        <f t="shared" si="35"/>
        <v>160</v>
      </c>
      <c r="N124" s="11">
        <f t="shared" si="36"/>
        <v>4.1446590411178166</v>
      </c>
    </row>
    <row r="125" spans="1:14" x14ac:dyDescent="0.25">
      <c r="A125" s="65"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7" t="s">
        <v>40</v>
      </c>
      <c r="B126" s="3">
        <v>-46.302861916991581</v>
      </c>
      <c r="C126" s="3">
        <v>-43.101560067053263</v>
      </c>
      <c r="D126" s="3">
        <v>-38.710306534216876</v>
      </c>
      <c r="E126" s="3">
        <v>-32.056724600979742</v>
      </c>
      <c r="F126" s="3">
        <v>-20.038957206425195</v>
      </c>
      <c r="G126" s="3">
        <v>9.2309314200616135E-3</v>
      </c>
      <c r="H126" s="3">
        <v>4.1446590411178166</v>
      </c>
      <c r="I126" s="3"/>
      <c r="J126" s="3"/>
      <c r="K126" s="3"/>
    </row>
    <row r="127" spans="1:14" x14ac:dyDescent="0.25">
      <c r="B127" s="38"/>
      <c r="C127" s="38"/>
      <c r="D127" s="38"/>
      <c r="E127" s="38"/>
      <c r="F127" s="38"/>
      <c r="G127" s="38"/>
      <c r="H127" s="38"/>
      <c r="I127" s="38"/>
      <c r="J127" s="38"/>
      <c r="K127" s="38"/>
    </row>
    <row r="128" spans="1:14" x14ac:dyDescent="0.25">
      <c r="A128" s="67" t="s">
        <v>27</v>
      </c>
      <c r="B128" s="11">
        <f>INDEX($D$1:$M$1,1,$B$122)</f>
        <v>-40</v>
      </c>
    </row>
    <row r="129" spans="1:33" x14ac:dyDescent="0.25">
      <c r="A129" s="68"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5945.4862308501361</v>
      </c>
      <c r="C130" s="26">
        <f>INDEX(Comparison!$AM$3:$AS$33,G14,$B$122)</f>
        <v>5945.5233978276192</v>
      </c>
      <c r="D130" s="26">
        <f>INDEX(Comparison!$AM$3:$AS$33,H14,$B$122)</f>
        <v>5945.5006733975988</v>
      </c>
      <c r="E130" s="26">
        <f>INDEX(Comparison!$AM$3:$AS$33,I14,$B$122)</f>
        <v>5945.4940479964844</v>
      </c>
      <c r="F130" s="26">
        <f>INDEX(Comparison!$AM$3:$AS$33,J14,$B$122)</f>
        <v>5945.491987661344</v>
      </c>
      <c r="G130" s="26">
        <f>INDEX(Comparison!$AM$3:$AS$33,K14,$B$122)</f>
        <v>5945.4911594878167</v>
      </c>
      <c r="H130" s="26">
        <f>INDEX(Comparison!$AM$3:$AS$33,L14,$B$122)</f>
        <v>5945.4908968962591</v>
      </c>
      <c r="I130" s="26">
        <f>INDEX(Comparison!$AM$3:$AS$33,M14,$B$122)</f>
        <v>5945.4908564975603</v>
      </c>
      <c r="J130" s="26">
        <f>INDEX(Comparison!$AM$3:$AS$33,N14,$B$122)</f>
        <v>5945.4908564975603</v>
      </c>
      <c r="K130" s="26">
        <f>INDEX(Comparison!$AM$3:$AS$33,O14,$B$122)</f>
        <v>5945.4908564975603</v>
      </c>
      <c r="L130" s="26">
        <f>INDEX(Comparison!$AM$3:$AS$33,P14,$B$122)</f>
        <v>5945.4908564975603</v>
      </c>
      <c r="M130" s="26">
        <f>INDEX(Comparison!$AM$3:$AS$33,Q14,$B$122)</f>
        <v>5945.4908160988625</v>
      </c>
      <c r="N130" s="26">
        <f>INDEX(Comparison!$AM$3:$AS$33,R14,$B$122)</f>
        <v>5945.4901697197583</v>
      </c>
      <c r="O130" s="26">
        <f>INDEX(Comparison!$AM$3:$AS$33,S14,$B$122)</f>
        <v>5945.4832413525728</v>
      </c>
      <c r="P130" s="26">
        <f>INDEX(Comparison!$AM$3:$AS$33,T14,$B$122)</f>
        <v>5945.4144029430536</v>
      </c>
      <c r="Q130" s="26">
        <f>INDEX(Comparison!$AM$3:$AS$33,U14,$B$122)</f>
        <v>5944.7274999078909</v>
      </c>
      <c r="R130" s="26">
        <f>INDEX(Comparison!$AM$3:$AS$33,V14,$B$122)</f>
        <v>5938.0129605513939</v>
      </c>
      <c r="S130" s="26">
        <f>INDEX(Comparison!$AM$3:$AS$33,W14,$B$122)</f>
        <v>5884.0318384088569</v>
      </c>
      <c r="T130" s="26">
        <f>INDEX(Comparison!$AM$3:$AS$33,X14,$B$122)</f>
        <v>5738.5639340162998</v>
      </c>
      <c r="U130" s="26">
        <f>INDEX(Comparison!$AM$3:$AS$33,Y14,$B$122)</f>
        <v>5588.2751906456833</v>
      </c>
      <c r="V130" s="26">
        <f>INDEX(Comparison!$AM$3:$AS$33,Z14,$B$122)</f>
        <v>5399.4936644871386</v>
      </c>
      <c r="W130" s="26">
        <f>INDEX(Comparison!$AM$3:$AS$33,AA14,$B$122)</f>
        <v>5141.8460502498219</v>
      </c>
      <c r="X130" s="26">
        <f>INDEX(Comparison!$AM$3:$AS$33,AB14,$B$122)</f>
        <v>4855.3493085479013</v>
      </c>
      <c r="Y130" s="26">
        <f>INDEX(Comparison!$AM$3:$AS$33,AC14,$B$122)</f>
        <v>4530.5898566513597</v>
      </c>
      <c r="Z130" s="26">
        <f>INDEX(Comparison!$AM$3:$AS$33,AD14,$B$122)</f>
        <v>4215.1902304511941</v>
      </c>
      <c r="AA130" s="26">
        <f>INDEX(Comparison!$AM$3:$AS$33,AE14,$B$122)</f>
        <v>3929.081471457625</v>
      </c>
      <c r="AB130" s="26">
        <f>INDEX(Comparison!$AM$3:$AS$33,AF14,$B$122)</f>
        <v>3641.242030569621</v>
      </c>
      <c r="AC130" s="26">
        <f>INDEX(Comparison!$AM$3:$AS$33,AG14,$B$122)</f>
        <v>3352.5216988135498</v>
      </c>
      <c r="AD130" s="26">
        <f>INDEX(Comparison!$AM$3:$AS$33,AH14,$B$122)</f>
        <v>2996.6335305209523</v>
      </c>
      <c r="AE130" s="26">
        <f>INDEX(Comparison!$AM$3:$AS$33,AI14,$B$122)</f>
        <v>2563.0064610610193</v>
      </c>
      <c r="AF130" s="26">
        <f>INDEX(Comparison!$AM$3:$AS$33,AJ14,$B$122)</f>
        <v>2059.5134179476377</v>
      </c>
    </row>
    <row r="131" spans="1:33" x14ac:dyDescent="0.25">
      <c r="A131" s="69" t="s">
        <v>22</v>
      </c>
      <c r="B131" s="27">
        <f>($C$17+SUM(B132:B162))*$B$51</f>
        <v>5930.4079000000011</v>
      </c>
      <c r="C131" s="27">
        <f t="shared" ref="C131:AF131" si="40">($C$17+SUM(C132:C162))*$B$51</f>
        <v>5930.4078999999965</v>
      </c>
      <c r="D131" s="27">
        <f t="shared" si="40"/>
        <v>5930.407899999951</v>
      </c>
      <c r="E131" s="27">
        <f t="shared" si="40"/>
        <v>5930.4078999994981</v>
      </c>
      <c r="F131" s="27">
        <f t="shared" si="40"/>
        <v>5930.4078999949616</v>
      </c>
      <c r="G131" s="27">
        <f t="shared" si="40"/>
        <v>5930.4078999496032</v>
      </c>
      <c r="H131" s="27">
        <f t="shared" si="40"/>
        <v>5930.4078994960191</v>
      </c>
      <c r="I131" s="27">
        <f t="shared" si="40"/>
        <v>5930.407894960169</v>
      </c>
      <c r="J131" s="27">
        <f t="shared" si="40"/>
        <v>5930.4078496016782</v>
      </c>
      <c r="K131" s="27">
        <f t="shared" si="40"/>
        <v>5930.4073960169417</v>
      </c>
      <c r="L131" s="27">
        <f t="shared" si="40"/>
        <v>5930.4028601870423</v>
      </c>
      <c r="M131" s="27">
        <f t="shared" si="40"/>
        <v>5930.3575036345665</v>
      </c>
      <c r="N131" s="27">
        <f t="shared" si="40"/>
        <v>5929.9041127166847</v>
      </c>
      <c r="O131" s="27">
        <f t="shared" si="40"/>
        <v>5925.3876190789797</v>
      </c>
      <c r="P131" s="27">
        <f t="shared" si="40"/>
        <v>5881.9199559985791</v>
      </c>
      <c r="Q131" s="27">
        <f t="shared" si="40"/>
        <v>5580.145774473136</v>
      </c>
      <c r="R131" s="27">
        <f t="shared" si="40"/>
        <v>5282.7997694341366</v>
      </c>
      <c r="S131" s="27">
        <f t="shared" si="40"/>
        <v>5282.5206411603012</v>
      </c>
      <c r="T131" s="27">
        <f t="shared" si="40"/>
        <v>5282.4403440636661</v>
      </c>
      <c r="U131" s="27">
        <f t="shared" si="40"/>
        <v>5281.6381291074886</v>
      </c>
      <c r="V131" s="27">
        <f t="shared" si="40"/>
        <v>5273.6910831821669</v>
      </c>
      <c r="W131" s="27">
        <f t="shared" si="40"/>
        <v>5201.2574433348964</v>
      </c>
      <c r="X131" s="27">
        <f t="shared" si="40"/>
        <v>4874.4185749229273</v>
      </c>
      <c r="Y131" s="27">
        <f t="shared" si="40"/>
        <v>4630.5308384245691</v>
      </c>
      <c r="Z131" s="27">
        <f t="shared" si="40"/>
        <v>4367.3300765157328</v>
      </c>
      <c r="AA131" s="27">
        <f t="shared" si="40"/>
        <v>4097.2339403685082</v>
      </c>
      <c r="AB131" s="27">
        <f t="shared" si="40"/>
        <v>3811.7635150593583</v>
      </c>
      <c r="AC131" s="27">
        <f t="shared" si="40"/>
        <v>3485.2106628301067</v>
      </c>
      <c r="AD131" s="27">
        <f t="shared" si="40"/>
        <v>3065.5913762372593</v>
      </c>
      <c r="AE131" s="27">
        <f t="shared" si="40"/>
        <v>2551.4545041281458</v>
      </c>
      <c r="AF131" s="27">
        <f t="shared" si="40"/>
        <v>1954.4681631031501</v>
      </c>
    </row>
    <row r="132" spans="1:33" x14ac:dyDescent="0.25">
      <c r="B132" s="3">
        <f t="shared" ref="B132:Z133" si="41">$C18*EXP(-B$129/$A18/EXP(-$B$126))</f>
        <v>0.10924684220979411</v>
      </c>
      <c r="C132" s="3">
        <f t="shared" ref="C132:AF132" si="42">$C18*EXP(-C$129/$A18/EXP(-$B$126))</f>
        <v>0.10924684220979335</v>
      </c>
      <c r="D132" s="3">
        <f t="shared" si="42"/>
        <v>0.10924684220978569</v>
      </c>
      <c r="E132" s="3">
        <f t="shared" si="42"/>
        <v>0.10924684220970921</v>
      </c>
      <c r="F132" s="3">
        <f t="shared" si="42"/>
        <v>0.10924684220894436</v>
      </c>
      <c r="G132" s="3">
        <f t="shared" si="42"/>
        <v>0.10924684220129591</v>
      </c>
      <c r="H132" s="3">
        <f t="shared" si="42"/>
        <v>0.10924684212481131</v>
      </c>
      <c r="I132" s="3">
        <f t="shared" si="42"/>
        <v>0.10924684135996536</v>
      </c>
      <c r="J132" s="3">
        <f t="shared" si="42"/>
        <v>0.10924683371150612</v>
      </c>
      <c r="K132" s="3">
        <f t="shared" si="42"/>
        <v>0.10924675722694319</v>
      </c>
      <c r="L132" s="3">
        <f t="shared" si="42"/>
        <v>0.109245992384259</v>
      </c>
      <c r="M132" s="3">
        <f t="shared" si="42"/>
        <v>0.10923834425191985</v>
      </c>
      <c r="N132" s="3">
        <f t="shared" si="42"/>
        <v>0.10916189237116863</v>
      </c>
      <c r="O132" s="3">
        <f t="shared" si="42"/>
        <v>0.10840031021513323</v>
      </c>
      <c r="P132" s="3">
        <f t="shared" si="42"/>
        <v>0.10107068706225529</v>
      </c>
      <c r="Q132" s="3">
        <f t="shared" si="42"/>
        <v>5.0184794167780156E-2</v>
      </c>
      <c r="R132" s="3">
        <f t="shared" si="42"/>
        <v>4.5713180650134142E-5</v>
      </c>
      <c r="S132" s="3">
        <f t="shared" si="42"/>
        <v>1.7977709816072861E-35</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7.1825631805889176E-2</v>
      </c>
      <c r="C133" s="3">
        <f t="shared" si="41"/>
        <v>7.1825631805889176E-2</v>
      </c>
      <c r="D133" s="3">
        <f t="shared" si="41"/>
        <v>7.1825631805889176E-2</v>
      </c>
      <c r="E133" s="3">
        <f t="shared" si="41"/>
        <v>7.1825631805889176E-2</v>
      </c>
      <c r="F133" s="3">
        <f t="shared" si="41"/>
        <v>7.1825631805889176E-2</v>
      </c>
      <c r="G133" s="3">
        <f t="shared" si="41"/>
        <v>7.1825631805889176E-2</v>
      </c>
      <c r="H133" s="3">
        <f t="shared" si="41"/>
        <v>7.1825631805889162E-2</v>
      </c>
      <c r="I133" s="3">
        <f t="shared" si="41"/>
        <v>7.1825631805889037E-2</v>
      </c>
      <c r="J133" s="3">
        <f t="shared" si="41"/>
        <v>7.1825631805887746E-2</v>
      </c>
      <c r="K133" s="3">
        <f t="shared" si="41"/>
        <v>7.1825631805874868E-2</v>
      </c>
      <c r="L133" s="3">
        <f t="shared" si="41"/>
        <v>7.1825631805746054E-2</v>
      </c>
      <c r="M133" s="3">
        <f t="shared" si="41"/>
        <v>7.1825631804457959E-2</v>
      </c>
      <c r="N133" s="3">
        <f t="shared" si="41"/>
        <v>7.1825631791577055E-2</v>
      </c>
      <c r="O133" s="3">
        <f t="shared" si="41"/>
        <v>7.1825631662767994E-2</v>
      </c>
      <c r="P133" s="3">
        <f t="shared" si="41"/>
        <v>7.1825630374677291E-2</v>
      </c>
      <c r="Q133" s="3">
        <f t="shared" si="41"/>
        <v>7.1825617493771601E-2</v>
      </c>
      <c r="R133" s="3">
        <f t="shared" si="41"/>
        <v>7.182548868484176E-2</v>
      </c>
      <c r="S133" s="3">
        <f t="shared" si="41"/>
        <v>7.1824200608248248E-2</v>
      </c>
      <c r="T133" s="3">
        <f t="shared" si="41"/>
        <v>7.1811321112723758E-2</v>
      </c>
      <c r="U133" s="3">
        <f t="shared" si="41"/>
        <v>7.1682653114283054E-2</v>
      </c>
      <c r="V133" s="3">
        <f t="shared" si="41"/>
        <v>7.0408584971649979E-2</v>
      </c>
      <c r="W133" s="3">
        <f t="shared" si="41"/>
        <v>5.8849268392387799E-2</v>
      </c>
      <c r="X133" s="3">
        <f t="shared" si="41"/>
        <v>9.792545249114817E-3</v>
      </c>
      <c r="Y133" s="3">
        <f t="shared" si="41"/>
        <v>1.5938255181841061E-10</v>
      </c>
      <c r="Z133" s="3">
        <f t="shared" si="41"/>
        <v>2.079182756379148E-88</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3.596772409142239E-2</v>
      </c>
      <c r="C134" s="3">
        <f t="shared" si="44"/>
        <v>3.596772409142239E-2</v>
      </c>
      <c r="D134" s="3">
        <f t="shared" si="44"/>
        <v>3.596772409142239E-2</v>
      </c>
      <c r="E134" s="3">
        <f t="shared" si="44"/>
        <v>3.596772409142239E-2</v>
      </c>
      <c r="F134" s="3">
        <f t="shared" si="44"/>
        <v>3.596772409142239E-2</v>
      </c>
      <c r="G134" s="3">
        <f t="shared" si="44"/>
        <v>3.596772409142239E-2</v>
      </c>
      <c r="H134" s="3">
        <f t="shared" si="44"/>
        <v>3.596772409142239E-2</v>
      </c>
      <c r="I134" s="3">
        <f t="shared" si="44"/>
        <v>3.5967724091422383E-2</v>
      </c>
      <c r="J134" s="3">
        <f t="shared" si="44"/>
        <v>3.5967724091422328E-2</v>
      </c>
      <c r="K134" s="3">
        <f t="shared" si="44"/>
        <v>3.5967724091421745E-2</v>
      </c>
      <c r="L134" s="3">
        <f t="shared" si="44"/>
        <v>3.5967724091415923E-2</v>
      </c>
      <c r="M134" s="3">
        <f t="shared" si="44"/>
        <v>3.5967724091357733E-2</v>
      </c>
      <c r="N134" s="3">
        <f t="shared" si="44"/>
        <v>3.5967724090775866E-2</v>
      </c>
      <c r="O134" s="3">
        <f t="shared" si="44"/>
        <v>3.5967724084957159E-2</v>
      </c>
      <c r="P134" s="3">
        <f t="shared" si="44"/>
        <v>3.5967724026770079E-2</v>
      </c>
      <c r="Q134" s="3">
        <f t="shared" si="44"/>
        <v>3.5967723444899319E-2</v>
      </c>
      <c r="R134" s="3">
        <f t="shared" si="44"/>
        <v>3.5967717626192178E-2</v>
      </c>
      <c r="S134" s="3">
        <f t="shared" si="44"/>
        <v>3.5967659439172565E-2</v>
      </c>
      <c r="T134" s="3">
        <f t="shared" si="44"/>
        <v>3.5967077574153732E-2</v>
      </c>
      <c r="U134" s="3">
        <f t="shared" si="44"/>
        <v>3.5961259441660329E-2</v>
      </c>
      <c r="V134" s="3">
        <f t="shared" si="44"/>
        <v>3.5903129855247448E-2</v>
      </c>
      <c r="W134" s="3">
        <f t="shared" si="44"/>
        <v>3.5326977007637338E-2</v>
      </c>
      <c r="X134" s="3">
        <f t="shared" si="44"/>
        <v>3.005025307793369E-2</v>
      </c>
      <c r="Y134" s="3">
        <f t="shared" si="44"/>
        <v>5.9602532914495368E-3</v>
      </c>
      <c r="Z134" s="3">
        <f t="shared" si="44"/>
        <v>5.6160444899391291E-10</v>
      </c>
      <c r="AA134" s="3">
        <f t="shared" ref="AA134" si="45">$C20*EXP(-AA$129/$A20/EXP(-$B$126))</f>
        <v>3.0980524997654998E-80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4.9137716927094087E-2</v>
      </c>
      <c r="C135" s="3">
        <f t="shared" si="47"/>
        <v>4.9137716927094087E-2</v>
      </c>
      <c r="D135" s="3">
        <f t="shared" si="47"/>
        <v>4.9137716927094087E-2</v>
      </c>
      <c r="E135" s="3">
        <f t="shared" si="47"/>
        <v>4.9137716927094087E-2</v>
      </c>
      <c r="F135" s="3">
        <f t="shared" si="47"/>
        <v>4.9137716927094087E-2</v>
      </c>
      <c r="G135" s="3">
        <f t="shared" si="47"/>
        <v>4.9137716927094087E-2</v>
      </c>
      <c r="H135" s="3">
        <f t="shared" si="47"/>
        <v>4.9137716927094087E-2</v>
      </c>
      <c r="I135" s="3">
        <f t="shared" si="47"/>
        <v>4.9137716927094087E-2</v>
      </c>
      <c r="J135" s="3">
        <f t="shared" si="47"/>
        <v>4.913771692709408E-2</v>
      </c>
      <c r="K135" s="3">
        <f t="shared" si="47"/>
        <v>4.9137716927094004E-2</v>
      </c>
      <c r="L135" s="3">
        <f t="shared" si="47"/>
        <v>4.9137716927093289E-2</v>
      </c>
      <c r="M135" s="3">
        <f t="shared" si="47"/>
        <v>4.9137716927086114E-2</v>
      </c>
      <c r="N135" s="3">
        <f t="shared" si="47"/>
        <v>4.9137716927014408E-2</v>
      </c>
      <c r="O135" s="3">
        <f t="shared" si="47"/>
        <v>4.9137716926297315E-2</v>
      </c>
      <c r="P135" s="3">
        <f t="shared" si="47"/>
        <v>4.9137716919126391E-2</v>
      </c>
      <c r="Q135" s="3">
        <f t="shared" si="47"/>
        <v>4.9137716847417148E-2</v>
      </c>
      <c r="R135" s="3">
        <f t="shared" si="47"/>
        <v>4.9137716130324707E-2</v>
      </c>
      <c r="S135" s="3">
        <f t="shared" si="47"/>
        <v>4.913770895940086E-2</v>
      </c>
      <c r="T135" s="3">
        <f t="shared" si="47"/>
        <v>4.9137637250219954E-2</v>
      </c>
      <c r="U135" s="3">
        <f t="shared" si="47"/>
        <v>4.9136920164166611E-2</v>
      </c>
      <c r="V135" s="3">
        <f t="shared" si="47"/>
        <v>4.9129749879168419E-2</v>
      </c>
      <c r="W135" s="3">
        <f t="shared" si="47"/>
        <v>4.9058104551651008E-2</v>
      </c>
      <c r="X135" s="3">
        <f t="shared" si="47"/>
        <v>4.8347372583945836E-2</v>
      </c>
      <c r="Y135" s="3">
        <f t="shared" si="47"/>
        <v>4.1782460215026129E-2</v>
      </c>
      <c r="Z135" s="3">
        <f t="shared" si="47"/>
        <v>9.7096889225707448E-3</v>
      </c>
      <c r="AA135" s="3">
        <f t="shared" ref="AA135" si="48">$C21*EXP(-AA$129/$A21/EXP(-$B$126))</f>
        <v>4.459830937208157E-9</v>
      </c>
      <c r="AB135" s="3">
        <f t="shared" si="46"/>
        <v>1.8640140925640757E-72</v>
      </c>
      <c r="AC135" s="3">
        <f t="shared" si="46"/>
        <v>0</v>
      </c>
      <c r="AD135" s="3">
        <f t="shared" si="46"/>
        <v>0</v>
      </c>
      <c r="AE135" s="3">
        <f t="shared" si="46"/>
        <v>0</v>
      </c>
      <c r="AF135" s="3">
        <f t="shared" si="46"/>
        <v>0</v>
      </c>
    </row>
    <row r="136" spans="1:33" x14ac:dyDescent="0.25">
      <c r="B136" s="3">
        <f t="shared" ref="B136:Z136" si="49">$C22*EXP(-B$129/$A22/EXP(-$B$126))</f>
        <v>4.6762783367912203E-2</v>
      </c>
      <c r="C136" s="3">
        <f t="shared" si="49"/>
        <v>4.6762783367912203E-2</v>
      </c>
      <c r="D136" s="3">
        <f t="shared" si="49"/>
        <v>4.6762783367912203E-2</v>
      </c>
      <c r="E136" s="3">
        <f t="shared" si="49"/>
        <v>4.6762783367912203E-2</v>
      </c>
      <c r="F136" s="3">
        <f t="shared" si="49"/>
        <v>4.6762783367912203E-2</v>
      </c>
      <c r="G136" s="3">
        <f t="shared" si="49"/>
        <v>4.6762783367912203E-2</v>
      </c>
      <c r="H136" s="3">
        <f t="shared" si="49"/>
        <v>4.6762783367912203E-2</v>
      </c>
      <c r="I136" s="3">
        <f t="shared" si="49"/>
        <v>4.6762783367912203E-2</v>
      </c>
      <c r="J136" s="3">
        <f t="shared" si="49"/>
        <v>4.6762783367912203E-2</v>
      </c>
      <c r="K136" s="3">
        <f t="shared" si="49"/>
        <v>4.6762783367912196E-2</v>
      </c>
      <c r="L136" s="3">
        <f t="shared" si="49"/>
        <v>4.6762783367912134E-2</v>
      </c>
      <c r="M136" s="3">
        <f t="shared" si="49"/>
        <v>4.6762783367911516E-2</v>
      </c>
      <c r="N136" s="3">
        <f t="shared" si="49"/>
        <v>4.6762783367905361E-2</v>
      </c>
      <c r="O136" s="3">
        <f t="shared" si="49"/>
        <v>4.6762783367843799E-2</v>
      </c>
      <c r="P136" s="3">
        <f t="shared" si="49"/>
        <v>4.6762783367228188E-2</v>
      </c>
      <c r="Q136" s="3">
        <f t="shared" si="49"/>
        <v>4.676278336107207E-2</v>
      </c>
      <c r="R136" s="3">
        <f t="shared" si="49"/>
        <v>4.6762783299510863E-2</v>
      </c>
      <c r="S136" s="3">
        <f t="shared" si="49"/>
        <v>4.6762782683898808E-2</v>
      </c>
      <c r="T136" s="3">
        <f t="shared" si="49"/>
        <v>4.6762776527778709E-2</v>
      </c>
      <c r="U136" s="3">
        <f t="shared" si="49"/>
        <v>4.6762714966622286E-2</v>
      </c>
      <c r="V136" s="3">
        <f t="shared" si="49"/>
        <v>4.6762099359515349E-2</v>
      </c>
      <c r="W136" s="3">
        <f t="shared" si="49"/>
        <v>4.6755943734156757E-2</v>
      </c>
      <c r="X136" s="3">
        <f t="shared" si="49"/>
        <v>4.6694432029939406E-2</v>
      </c>
      <c r="Y136" s="3">
        <f t="shared" si="49"/>
        <v>4.6083748301308326E-2</v>
      </c>
      <c r="Z136" s="3">
        <f t="shared" si="49"/>
        <v>4.0399387736120694E-2</v>
      </c>
      <c r="AA136" s="3">
        <f t="shared" ref="AA136" si="50">$C22*EXP(-AA$129/$A22/EXP(-$B$126))</f>
        <v>1.083040399482541E-2</v>
      </c>
      <c r="AB136" s="3">
        <f t="shared" si="46"/>
        <v>2.0765547844002105E-8</v>
      </c>
      <c r="AC136" s="3">
        <f t="shared" si="46"/>
        <v>1.3942182297268318E-65</v>
      </c>
      <c r="AD136" s="3">
        <f t="shared" si="46"/>
        <v>0</v>
      </c>
      <c r="AE136" s="3">
        <f t="shared" si="46"/>
        <v>0</v>
      </c>
      <c r="AF136" s="3">
        <f t="shared" si="46"/>
        <v>0</v>
      </c>
    </row>
    <row r="137" spans="1:33" x14ac:dyDescent="0.25">
      <c r="B137" s="3">
        <f t="shared" ref="B137:Z137" si="51">$C23*EXP(-B$129/$A23/EXP(-$B$126))</f>
        <v>5.0407962506303181E-2</v>
      </c>
      <c r="C137" s="3">
        <f t="shared" si="51"/>
        <v>5.0407962506303181E-2</v>
      </c>
      <c r="D137" s="3">
        <f t="shared" si="51"/>
        <v>5.0407962506303181E-2</v>
      </c>
      <c r="E137" s="3">
        <f t="shared" si="51"/>
        <v>5.0407962506303181E-2</v>
      </c>
      <c r="F137" s="3">
        <f t="shared" si="51"/>
        <v>5.0407962506303181E-2</v>
      </c>
      <c r="G137" s="3">
        <f t="shared" si="51"/>
        <v>5.0407962506303181E-2</v>
      </c>
      <c r="H137" s="3">
        <f t="shared" si="51"/>
        <v>5.0407962506303181E-2</v>
      </c>
      <c r="I137" s="3">
        <f t="shared" si="51"/>
        <v>5.0407962506303181E-2</v>
      </c>
      <c r="J137" s="3">
        <f t="shared" si="51"/>
        <v>5.0407962506303181E-2</v>
      </c>
      <c r="K137" s="3">
        <f t="shared" si="51"/>
        <v>5.0407962506303181E-2</v>
      </c>
      <c r="L137" s="3">
        <f t="shared" si="51"/>
        <v>5.0407962506303174E-2</v>
      </c>
      <c r="M137" s="3">
        <f t="shared" si="51"/>
        <v>5.0407962506303111E-2</v>
      </c>
      <c r="N137" s="3">
        <f t="shared" si="51"/>
        <v>5.0407962506302514E-2</v>
      </c>
      <c r="O137" s="3">
        <f t="shared" si="51"/>
        <v>5.0407962506296526E-2</v>
      </c>
      <c r="P137" s="3">
        <f t="shared" si="51"/>
        <v>5.0407962506236664E-2</v>
      </c>
      <c r="Q137" s="3">
        <f t="shared" si="51"/>
        <v>5.0407962505638046E-2</v>
      </c>
      <c r="R137" s="3">
        <f t="shared" si="51"/>
        <v>5.0407962499651827E-2</v>
      </c>
      <c r="S137" s="3">
        <f t="shared" si="51"/>
        <v>5.040796243978965E-2</v>
      </c>
      <c r="T137" s="3">
        <f t="shared" si="51"/>
        <v>5.0407961841167893E-2</v>
      </c>
      <c r="U137" s="3">
        <f t="shared" si="51"/>
        <v>5.0407955854950719E-2</v>
      </c>
      <c r="V137" s="3">
        <f t="shared" si="51"/>
        <v>5.0407895992818023E-2</v>
      </c>
      <c r="W137" s="3">
        <f t="shared" si="51"/>
        <v>5.0407297375401026E-2</v>
      </c>
      <c r="X137" s="3">
        <f t="shared" si="51"/>
        <v>5.0401311592204512E-2</v>
      </c>
      <c r="Y137" s="3">
        <f t="shared" si="51"/>
        <v>5.0341492840417681E-2</v>
      </c>
      <c r="Z137" s="3">
        <f t="shared" si="51"/>
        <v>4.9747196223151526E-2</v>
      </c>
      <c r="AA137" s="3">
        <f t="shared" ref="AA137" si="52">$C23*EXP(-AA$129/$A23/EXP(-$B$126))</f>
        <v>4.4176753305564496E-2</v>
      </c>
      <c r="AB137" s="3">
        <f t="shared" si="46"/>
        <v>1.3472421372010782E-2</v>
      </c>
      <c r="AC137" s="3">
        <f t="shared" si="46"/>
        <v>9.374849062248003E-8</v>
      </c>
      <c r="AD137" s="3">
        <f t="shared" si="46"/>
        <v>2.4954596369159699E-59</v>
      </c>
      <c r="AE137" s="3">
        <f t="shared" si="46"/>
        <v>0</v>
      </c>
      <c r="AF137" s="3">
        <f t="shared" si="46"/>
        <v>0</v>
      </c>
    </row>
    <row r="138" spans="1:33" x14ac:dyDescent="0.25">
      <c r="B138" s="3">
        <f t="shared" ref="B138:Z138" si="53">$C24*EXP(-B$129/$A24/EXP(-$B$126))</f>
        <v>5.7182312842770561E-2</v>
      </c>
      <c r="C138" s="3">
        <f t="shared" si="53"/>
        <v>5.7182312842770561E-2</v>
      </c>
      <c r="D138" s="3">
        <f t="shared" si="53"/>
        <v>5.7182312842770561E-2</v>
      </c>
      <c r="E138" s="3">
        <f t="shared" si="53"/>
        <v>5.7182312842770561E-2</v>
      </c>
      <c r="F138" s="3">
        <f t="shared" si="53"/>
        <v>5.7182312842770561E-2</v>
      </c>
      <c r="G138" s="3">
        <f t="shared" si="53"/>
        <v>5.7182312842770561E-2</v>
      </c>
      <c r="H138" s="3">
        <f t="shared" si="53"/>
        <v>5.7182312842770561E-2</v>
      </c>
      <c r="I138" s="3">
        <f t="shared" si="53"/>
        <v>5.7182312842770561E-2</v>
      </c>
      <c r="J138" s="3">
        <f t="shared" si="53"/>
        <v>5.7182312842770561E-2</v>
      </c>
      <c r="K138" s="3">
        <f t="shared" si="53"/>
        <v>5.7182312842770561E-2</v>
      </c>
      <c r="L138" s="3">
        <f t="shared" si="53"/>
        <v>5.7182312842770561E-2</v>
      </c>
      <c r="M138" s="3">
        <f t="shared" si="53"/>
        <v>5.7182312842770554E-2</v>
      </c>
      <c r="N138" s="3">
        <f t="shared" si="53"/>
        <v>5.7182312842770491E-2</v>
      </c>
      <c r="O138" s="3">
        <f t="shared" si="53"/>
        <v>5.7182312842769881E-2</v>
      </c>
      <c r="P138" s="3">
        <f t="shared" si="53"/>
        <v>5.7182312842763754E-2</v>
      </c>
      <c r="Q138" s="3">
        <f t="shared" si="53"/>
        <v>5.7182312842702497E-2</v>
      </c>
      <c r="R138" s="3">
        <f t="shared" si="53"/>
        <v>5.7182312842089918E-2</v>
      </c>
      <c r="S138" s="3">
        <f t="shared" si="53"/>
        <v>5.7182312835964137E-2</v>
      </c>
      <c r="T138" s="3">
        <f t="shared" si="53"/>
        <v>5.7182312774706298E-2</v>
      </c>
      <c r="U138" s="3">
        <f t="shared" si="53"/>
        <v>5.7182312162127921E-2</v>
      </c>
      <c r="V138" s="3">
        <f t="shared" si="53"/>
        <v>5.718230603634452E-2</v>
      </c>
      <c r="W138" s="3">
        <f t="shared" si="53"/>
        <v>5.7182244778546623E-2</v>
      </c>
      <c r="X138" s="3">
        <f t="shared" si="53"/>
        <v>5.7181632204176935E-2</v>
      </c>
      <c r="Y138" s="3">
        <f t="shared" si="53"/>
        <v>5.7175506821395293E-2</v>
      </c>
      <c r="Z138" s="3">
        <f t="shared" si="53"/>
        <v>5.7114289070797554E-2</v>
      </c>
      <c r="AA138" s="3">
        <f t="shared" ref="AA138" si="54">$C24*EXP(-AA$129/$A24/EXP(-$B$126))</f>
        <v>5.6505705027619001E-2</v>
      </c>
      <c r="AB138" s="3">
        <f t="shared" si="46"/>
        <v>5.0765366443341522E-2</v>
      </c>
      <c r="AC138" s="3">
        <f t="shared" si="46"/>
        <v>1.7390809564317766E-2</v>
      </c>
      <c r="AD138" s="3">
        <f t="shared" si="46"/>
        <v>3.8711726380870006E-7</v>
      </c>
      <c r="AE138" s="3">
        <f t="shared" si="46"/>
        <v>1.1562984401619601E-53</v>
      </c>
      <c r="AF138" s="3">
        <f t="shared" si="46"/>
        <v>0</v>
      </c>
    </row>
    <row r="139" spans="1:33" x14ac:dyDescent="0.25">
      <c r="B139" s="3">
        <f t="shared" ref="B139:Z139" si="55">$C25*EXP(-B$129/$A25/EXP(-$B$126))</f>
        <v>8.0089931313285845E-2</v>
      </c>
      <c r="C139" s="3">
        <f t="shared" si="55"/>
        <v>8.0089931313285845E-2</v>
      </c>
      <c r="D139" s="3">
        <f t="shared" si="55"/>
        <v>8.0089931313285845E-2</v>
      </c>
      <c r="E139" s="3">
        <f t="shared" si="55"/>
        <v>8.0089931313285845E-2</v>
      </c>
      <c r="F139" s="3">
        <f t="shared" si="55"/>
        <v>8.0089931313285845E-2</v>
      </c>
      <c r="G139" s="3">
        <f t="shared" si="55"/>
        <v>8.0089931313285845E-2</v>
      </c>
      <c r="H139" s="3">
        <f t="shared" si="55"/>
        <v>8.0089931313285845E-2</v>
      </c>
      <c r="I139" s="3">
        <f t="shared" si="55"/>
        <v>8.0089931313285845E-2</v>
      </c>
      <c r="J139" s="3">
        <f t="shared" si="55"/>
        <v>8.0089931313285845E-2</v>
      </c>
      <c r="K139" s="3">
        <f t="shared" si="55"/>
        <v>8.0089931313285845E-2</v>
      </c>
      <c r="L139" s="3">
        <f t="shared" si="55"/>
        <v>8.0089931313285845E-2</v>
      </c>
      <c r="M139" s="3">
        <f t="shared" si="55"/>
        <v>8.0089931313285845E-2</v>
      </c>
      <c r="N139" s="3">
        <f t="shared" si="55"/>
        <v>8.0089931313285831E-2</v>
      </c>
      <c r="O139" s="3">
        <f t="shared" si="55"/>
        <v>8.0089931313285762E-2</v>
      </c>
      <c r="P139" s="3">
        <f t="shared" si="55"/>
        <v>8.0089931313284984E-2</v>
      </c>
      <c r="Q139" s="3">
        <f t="shared" si="55"/>
        <v>8.0089931313277241E-2</v>
      </c>
      <c r="R139" s="3">
        <f t="shared" si="55"/>
        <v>8.0089931313199858E-2</v>
      </c>
      <c r="S139" s="3">
        <f t="shared" si="55"/>
        <v>8.008993131242588E-2</v>
      </c>
      <c r="T139" s="3">
        <f t="shared" si="55"/>
        <v>8.0089931304686168E-2</v>
      </c>
      <c r="U139" s="3">
        <f t="shared" si="55"/>
        <v>8.0089931227289107E-2</v>
      </c>
      <c r="V139" s="3">
        <f t="shared" si="55"/>
        <v>8.0089930453318525E-2</v>
      </c>
      <c r="W139" s="3">
        <f t="shared" si="55"/>
        <v>8.0089922713613051E-2</v>
      </c>
      <c r="X139" s="3">
        <f t="shared" si="55"/>
        <v>8.0089845316599476E-2</v>
      </c>
      <c r="Y139" s="3">
        <f t="shared" si="55"/>
        <v>8.0089071350577343E-2</v>
      </c>
      <c r="Z139" s="3">
        <f t="shared" si="55"/>
        <v>8.008133210171077E-2</v>
      </c>
      <c r="AA139" s="3">
        <f t="shared" ref="AA139" si="56">$C25*EXP(-AA$129/$A25/EXP(-$B$126))</f>
        <v>8.0003980733807614E-2</v>
      </c>
      <c r="AB139" s="3">
        <f t="shared" si="46"/>
        <v>7.9234564465851989E-2</v>
      </c>
      <c r="AC139" s="3">
        <f t="shared" si="46"/>
        <v>7.1935863258872704E-2</v>
      </c>
      <c r="AD139" s="3">
        <f t="shared" si="46"/>
        <v>2.736864560377553E-2</v>
      </c>
      <c r="AE139" s="3">
        <f t="shared" si="46"/>
        <v>1.7391288863300762E-6</v>
      </c>
      <c r="AF139" s="3">
        <f t="shared" si="46"/>
        <v>1.8668799672367932E-48</v>
      </c>
    </row>
    <row r="140" spans="1:33" x14ac:dyDescent="0.25">
      <c r="B140" s="3">
        <f t="shared" ref="B140:Z140" si="57">$C26*EXP(-B$129/$A26/EXP(-$B$126))</f>
        <v>9.4725402978259585E-2</v>
      </c>
      <c r="C140" s="3">
        <f t="shared" si="57"/>
        <v>9.4725402978259585E-2</v>
      </c>
      <c r="D140" s="3">
        <f t="shared" si="57"/>
        <v>9.4725402978259585E-2</v>
      </c>
      <c r="E140" s="3">
        <f t="shared" si="57"/>
        <v>9.4725402978259585E-2</v>
      </c>
      <c r="F140" s="3">
        <f t="shared" si="57"/>
        <v>9.4725402978259585E-2</v>
      </c>
      <c r="G140" s="3">
        <f t="shared" si="57"/>
        <v>9.4725402978259585E-2</v>
      </c>
      <c r="H140" s="3">
        <f t="shared" si="57"/>
        <v>9.4725402978259585E-2</v>
      </c>
      <c r="I140" s="3">
        <f t="shared" si="57"/>
        <v>9.4725402978259585E-2</v>
      </c>
      <c r="J140" s="3">
        <f t="shared" si="57"/>
        <v>9.4725402978259585E-2</v>
      </c>
      <c r="K140" s="3">
        <f t="shared" si="57"/>
        <v>9.4725402978259585E-2</v>
      </c>
      <c r="L140" s="3">
        <f t="shared" si="57"/>
        <v>9.4725402978259585E-2</v>
      </c>
      <c r="M140" s="3">
        <f t="shared" si="57"/>
        <v>9.4725402978259585E-2</v>
      </c>
      <c r="N140" s="3">
        <f t="shared" si="57"/>
        <v>9.4725402978259585E-2</v>
      </c>
      <c r="O140" s="3">
        <f t="shared" si="57"/>
        <v>9.4725402978259571E-2</v>
      </c>
      <c r="P140" s="3">
        <f t="shared" si="57"/>
        <v>9.4725402978259488E-2</v>
      </c>
      <c r="Q140" s="3">
        <f t="shared" si="57"/>
        <v>9.4725402978258669E-2</v>
      </c>
      <c r="R140" s="3">
        <f t="shared" si="57"/>
        <v>9.4725402978250411E-2</v>
      </c>
      <c r="S140" s="3">
        <f t="shared" si="57"/>
        <v>9.4725402978167839E-2</v>
      </c>
      <c r="T140" s="3">
        <f t="shared" si="57"/>
        <v>9.4725402977342055E-2</v>
      </c>
      <c r="U140" s="3">
        <f t="shared" si="57"/>
        <v>9.4725402969084355E-2</v>
      </c>
      <c r="V140" s="3">
        <f t="shared" si="57"/>
        <v>9.4725402886507257E-2</v>
      </c>
      <c r="W140" s="3">
        <f t="shared" si="57"/>
        <v>9.4725402060736333E-2</v>
      </c>
      <c r="X140" s="3">
        <f t="shared" si="57"/>
        <v>9.4725393803027455E-2</v>
      </c>
      <c r="Y140" s="3">
        <f t="shared" si="57"/>
        <v>9.4725311225978243E-2</v>
      </c>
      <c r="Z140" s="3">
        <f t="shared" si="57"/>
        <v>9.4724485459445465E-2</v>
      </c>
      <c r="AA140" s="3">
        <f t="shared" ref="AA140" si="58">$C26*EXP(-AA$129/$A26/EXP(-$B$126))</f>
        <v>9.4716228190030727E-2</v>
      </c>
      <c r="AB140" s="3">
        <f t="shared" si="46"/>
        <v>9.463369507442379E-2</v>
      </c>
      <c r="AC140" s="3">
        <f t="shared" si="46"/>
        <v>9.3812309036123531E-2</v>
      </c>
      <c r="AD140" s="3">
        <f t="shared" si="46"/>
        <v>8.5980526814593283E-2</v>
      </c>
      <c r="AE140" s="3">
        <f t="shared" si="46"/>
        <v>3.5958607399340634E-2</v>
      </c>
      <c r="AF140" s="3">
        <f t="shared" si="46"/>
        <v>5.8861386411561304E-6</v>
      </c>
    </row>
    <row r="141" spans="1:33" x14ac:dyDescent="0.25">
      <c r="B141" s="3">
        <f t="shared" ref="B141:Z141" si="59">$C27*EXP(-B$129/$A27/EXP(-$B$126))</f>
        <v>0.11171287761739628</v>
      </c>
      <c r="C141" s="3">
        <f t="shared" si="59"/>
        <v>0.11171287761739628</v>
      </c>
      <c r="D141" s="3">
        <f t="shared" si="59"/>
        <v>0.11171287761739628</v>
      </c>
      <c r="E141" s="3">
        <f t="shared" si="59"/>
        <v>0.11171287761739628</v>
      </c>
      <c r="F141" s="3">
        <f t="shared" si="59"/>
        <v>0.11171287761739628</v>
      </c>
      <c r="G141" s="3">
        <f t="shared" si="59"/>
        <v>0.11171287761739628</v>
      </c>
      <c r="H141" s="3">
        <f t="shared" si="59"/>
        <v>0.11171287761739628</v>
      </c>
      <c r="I141" s="3">
        <f t="shared" si="59"/>
        <v>0.11171287761739628</v>
      </c>
      <c r="J141" s="3">
        <f t="shared" si="59"/>
        <v>0.11171287761739628</v>
      </c>
      <c r="K141" s="3">
        <f t="shared" si="59"/>
        <v>0.11171287761739628</v>
      </c>
      <c r="L141" s="3">
        <f t="shared" si="59"/>
        <v>0.11171287761739628</v>
      </c>
      <c r="M141" s="3">
        <f t="shared" si="59"/>
        <v>0.11171287761739628</v>
      </c>
      <c r="N141" s="3">
        <f t="shared" si="59"/>
        <v>0.11171287761739628</v>
      </c>
      <c r="O141" s="3">
        <f t="shared" si="59"/>
        <v>0.11171287761739628</v>
      </c>
      <c r="P141" s="3">
        <f t="shared" si="59"/>
        <v>0.11171287761739626</v>
      </c>
      <c r="Q141" s="3">
        <f t="shared" si="59"/>
        <v>0.11171287761739618</v>
      </c>
      <c r="R141" s="3">
        <f t="shared" si="59"/>
        <v>0.11171287761739529</v>
      </c>
      <c r="S141" s="3">
        <f t="shared" si="59"/>
        <v>0.11171287761738652</v>
      </c>
      <c r="T141" s="3">
        <f t="shared" si="59"/>
        <v>0.11171287761729867</v>
      </c>
      <c r="U141" s="3">
        <f t="shared" si="59"/>
        <v>0.11171287761642017</v>
      </c>
      <c r="V141" s="3">
        <f t="shared" si="59"/>
        <v>0.11171287760763514</v>
      </c>
      <c r="W141" s="3">
        <f t="shared" si="59"/>
        <v>0.1117128775197849</v>
      </c>
      <c r="X141" s="3">
        <f t="shared" si="59"/>
        <v>0.11171287664128249</v>
      </c>
      <c r="Y141" s="3">
        <f t="shared" si="59"/>
        <v>0.11171286785625875</v>
      </c>
      <c r="Z141" s="3">
        <f t="shared" si="59"/>
        <v>0.11171278000605951</v>
      </c>
      <c r="AA141" s="3">
        <f t="shared" ref="AA141" si="60">$C27*EXP(-AA$129/$A27/EXP(-$B$126))</f>
        <v>0.11171190150786667</v>
      </c>
      <c r="AB141" s="3">
        <f t="shared" si="46"/>
        <v>0.11170311690589252</v>
      </c>
      <c r="AC141" s="3">
        <f t="shared" si="46"/>
        <v>0.11161530887052493</v>
      </c>
      <c r="AD141" s="3">
        <f t="shared" si="46"/>
        <v>0.11074101592531185</v>
      </c>
      <c r="AE141" s="3">
        <f t="shared" si="46"/>
        <v>0.10236603524778193</v>
      </c>
      <c r="AF141" s="3">
        <f t="shared" si="46"/>
        <v>4.6626163069950141E-2</v>
      </c>
    </row>
    <row r="142" spans="1:33" x14ac:dyDescent="0.25">
      <c r="B142" s="3">
        <f t="shared" ref="B142:Z142" si="61">$C28*EXP(-B$129/$A28/EXP(-$B$126))</f>
        <v>0.12486929252202905</v>
      </c>
      <c r="C142" s="3">
        <f t="shared" si="61"/>
        <v>0.12486929252202905</v>
      </c>
      <c r="D142" s="3">
        <f t="shared" si="61"/>
        <v>0.12486929252202905</v>
      </c>
      <c r="E142" s="3">
        <f t="shared" si="61"/>
        <v>0.12486929252202905</v>
      </c>
      <c r="F142" s="3">
        <f t="shared" si="61"/>
        <v>0.12486929252202905</v>
      </c>
      <c r="G142" s="3">
        <f t="shared" si="61"/>
        <v>0.12486929252202905</v>
      </c>
      <c r="H142" s="3">
        <f t="shared" si="61"/>
        <v>0.12486929252202905</v>
      </c>
      <c r="I142" s="3">
        <f t="shared" si="61"/>
        <v>0.12486929252202905</v>
      </c>
      <c r="J142" s="3">
        <f t="shared" si="61"/>
        <v>0.12486929252202905</v>
      </c>
      <c r="K142" s="3">
        <f t="shared" si="61"/>
        <v>0.12486929252202905</v>
      </c>
      <c r="L142" s="3">
        <f t="shared" si="61"/>
        <v>0.12486929252202905</v>
      </c>
      <c r="M142" s="3">
        <f t="shared" si="61"/>
        <v>0.12486929252202905</v>
      </c>
      <c r="N142" s="3">
        <f t="shared" si="61"/>
        <v>0.12486929252202905</v>
      </c>
      <c r="O142" s="3">
        <f t="shared" si="61"/>
        <v>0.12486929252202905</v>
      </c>
      <c r="P142" s="3">
        <f t="shared" si="61"/>
        <v>0.12486929252202905</v>
      </c>
      <c r="Q142" s="3">
        <f t="shared" si="61"/>
        <v>0.12486929252202904</v>
      </c>
      <c r="R142" s="3">
        <f t="shared" si="61"/>
        <v>0.12486929252202895</v>
      </c>
      <c r="S142" s="3">
        <f t="shared" si="61"/>
        <v>0.12486929252202807</v>
      </c>
      <c r="T142" s="3">
        <f t="shared" si="61"/>
        <v>0.12486929252201921</v>
      </c>
      <c r="U142" s="3">
        <f t="shared" si="61"/>
        <v>0.12486929252193062</v>
      </c>
      <c r="V142" s="3">
        <f t="shared" si="61"/>
        <v>0.12486929252104481</v>
      </c>
      <c r="W142" s="3">
        <f t="shared" si="61"/>
        <v>0.12486929251218669</v>
      </c>
      <c r="X142" s="3">
        <f t="shared" si="61"/>
        <v>0.12486929242360541</v>
      </c>
      <c r="Y142" s="3">
        <f t="shared" si="61"/>
        <v>0.1248692915377926</v>
      </c>
      <c r="Z142" s="3">
        <f t="shared" si="61"/>
        <v>0.12486928267966474</v>
      </c>
      <c r="AA142" s="3">
        <f t="shared" ref="AA142" si="62">$C28*EXP(-AA$129/$A28/EXP(-$B$126))</f>
        <v>0.12486919409842089</v>
      </c>
      <c r="AB142" s="3">
        <f t="shared" si="46"/>
        <v>0.12486830828943844</v>
      </c>
      <c r="AC142" s="3">
        <f t="shared" si="46"/>
        <v>0.12485945054521753</v>
      </c>
      <c r="AD142" s="3">
        <f t="shared" si="46"/>
        <v>0.12477090765430229</v>
      </c>
      <c r="AE142" s="3">
        <f t="shared" si="46"/>
        <v>0.1238889248228499</v>
      </c>
      <c r="AF142" s="3">
        <f t="shared" si="46"/>
        <v>0.11540482825820793</v>
      </c>
    </row>
    <row r="143" spans="1:33" x14ac:dyDescent="0.25">
      <c r="B143" s="3">
        <f t="shared" ref="B143:Z143" si="63">$C29*EXP(-B$129/$A29/EXP(-$B$126))</f>
        <v>7.1899142973036512E-2</v>
      </c>
      <c r="C143" s="3">
        <f t="shared" si="63"/>
        <v>7.1899142973036512E-2</v>
      </c>
      <c r="D143" s="3">
        <f t="shared" si="63"/>
        <v>7.1899142973036512E-2</v>
      </c>
      <c r="E143" s="3">
        <f t="shared" si="63"/>
        <v>7.1899142973036512E-2</v>
      </c>
      <c r="F143" s="3">
        <f t="shared" si="63"/>
        <v>7.1899142973036512E-2</v>
      </c>
      <c r="G143" s="3">
        <f t="shared" si="63"/>
        <v>7.1899142973036512E-2</v>
      </c>
      <c r="H143" s="3">
        <f t="shared" si="63"/>
        <v>7.1899142973036512E-2</v>
      </c>
      <c r="I143" s="3">
        <f t="shared" si="63"/>
        <v>7.1899142973036512E-2</v>
      </c>
      <c r="J143" s="3">
        <f t="shared" si="63"/>
        <v>7.1899142973036512E-2</v>
      </c>
      <c r="K143" s="3">
        <f t="shared" si="63"/>
        <v>7.1899142973036512E-2</v>
      </c>
      <c r="L143" s="3">
        <f t="shared" si="63"/>
        <v>7.1899142973036512E-2</v>
      </c>
      <c r="M143" s="3">
        <f t="shared" si="63"/>
        <v>7.1899142973036512E-2</v>
      </c>
      <c r="N143" s="3">
        <f t="shared" si="63"/>
        <v>7.1899142973036512E-2</v>
      </c>
      <c r="O143" s="3">
        <f t="shared" si="63"/>
        <v>7.1899142973036512E-2</v>
      </c>
      <c r="P143" s="3">
        <f t="shared" si="63"/>
        <v>7.1899142973036512E-2</v>
      </c>
      <c r="Q143" s="3">
        <f t="shared" si="63"/>
        <v>7.1899142973036512E-2</v>
      </c>
      <c r="R143" s="3">
        <f t="shared" si="63"/>
        <v>7.1899142973036498E-2</v>
      </c>
      <c r="S143" s="3">
        <f t="shared" si="63"/>
        <v>7.189914297303647E-2</v>
      </c>
      <c r="T143" s="3">
        <f t="shared" si="63"/>
        <v>7.1899142973035998E-2</v>
      </c>
      <c r="U143" s="3">
        <f t="shared" si="63"/>
        <v>7.1899142973031405E-2</v>
      </c>
      <c r="V143" s="3">
        <f t="shared" si="63"/>
        <v>7.1899142972985386E-2</v>
      </c>
      <c r="W143" s="3">
        <f t="shared" si="63"/>
        <v>7.1899142972525282E-2</v>
      </c>
      <c r="X143" s="3">
        <f t="shared" si="63"/>
        <v>7.189914296792424E-2</v>
      </c>
      <c r="Y143" s="3">
        <f t="shared" si="63"/>
        <v>7.1899142921913781E-2</v>
      </c>
      <c r="Z143" s="3">
        <f t="shared" si="63"/>
        <v>7.1899142461809132E-2</v>
      </c>
      <c r="AA143" s="3">
        <f t="shared" ref="AA143" si="64">$C29*EXP(-AA$129/$A29/EXP(-$B$126))</f>
        <v>7.1899137860762879E-2</v>
      </c>
      <c r="AB143" s="3">
        <f t="shared" si="46"/>
        <v>7.1899091850316538E-2</v>
      </c>
      <c r="AC143" s="3">
        <f t="shared" si="46"/>
        <v>7.1898631747472547E-2</v>
      </c>
      <c r="AD143" s="3">
        <f t="shared" si="46"/>
        <v>7.1894030880967671E-2</v>
      </c>
      <c r="AE143" s="3">
        <f t="shared" si="46"/>
        <v>7.1848038405587469E-2</v>
      </c>
      <c r="AF143" s="3">
        <f t="shared" si="46"/>
        <v>7.1389728791897783E-2</v>
      </c>
    </row>
    <row r="144" spans="1:33" x14ac:dyDescent="0.25">
      <c r="B144" s="3">
        <f t="shared" ref="B144:Z144" si="65">$C30*EXP(-B$129/$A30/EXP(-$B$126))</f>
        <v>4.7675556768581172E-2</v>
      </c>
      <c r="C144" s="3">
        <f t="shared" si="65"/>
        <v>4.7675556768581172E-2</v>
      </c>
      <c r="D144" s="3">
        <f t="shared" si="65"/>
        <v>4.7675556768581172E-2</v>
      </c>
      <c r="E144" s="3">
        <f t="shared" si="65"/>
        <v>4.7675556768581172E-2</v>
      </c>
      <c r="F144" s="3">
        <f t="shared" si="65"/>
        <v>4.7675556768581172E-2</v>
      </c>
      <c r="G144" s="3">
        <f t="shared" si="65"/>
        <v>4.7675556768581172E-2</v>
      </c>
      <c r="H144" s="3">
        <f t="shared" si="65"/>
        <v>4.7675556768581172E-2</v>
      </c>
      <c r="I144" s="3">
        <f t="shared" si="65"/>
        <v>4.7675556768581172E-2</v>
      </c>
      <c r="J144" s="3">
        <f t="shared" si="65"/>
        <v>4.7675556768581172E-2</v>
      </c>
      <c r="K144" s="3">
        <f t="shared" si="65"/>
        <v>4.7675556768581172E-2</v>
      </c>
      <c r="L144" s="3">
        <f t="shared" si="65"/>
        <v>4.7675556768581172E-2</v>
      </c>
      <c r="M144" s="3">
        <f t="shared" si="65"/>
        <v>4.7675556768581172E-2</v>
      </c>
      <c r="N144" s="3">
        <f t="shared" si="65"/>
        <v>4.7675556768581172E-2</v>
      </c>
      <c r="O144" s="3">
        <f t="shared" si="65"/>
        <v>4.7675556768581172E-2</v>
      </c>
      <c r="P144" s="3">
        <f t="shared" si="65"/>
        <v>4.7675556768581172E-2</v>
      </c>
      <c r="Q144" s="3">
        <f t="shared" si="65"/>
        <v>4.7675556768581172E-2</v>
      </c>
      <c r="R144" s="3">
        <f t="shared" si="65"/>
        <v>4.7675556768581172E-2</v>
      </c>
      <c r="S144" s="3">
        <f t="shared" si="65"/>
        <v>4.7675556768581165E-2</v>
      </c>
      <c r="T144" s="3">
        <f t="shared" si="65"/>
        <v>4.7675556768581137E-2</v>
      </c>
      <c r="U144" s="3">
        <f t="shared" si="65"/>
        <v>4.7675556768580866E-2</v>
      </c>
      <c r="V144" s="3">
        <f t="shared" si="65"/>
        <v>4.7675556768578112E-2</v>
      </c>
      <c r="W144" s="3">
        <f t="shared" si="65"/>
        <v>4.7675556768550592E-2</v>
      </c>
      <c r="X144" s="3">
        <f t="shared" si="65"/>
        <v>4.7675556768275375E-2</v>
      </c>
      <c r="Y144" s="3">
        <f t="shared" si="65"/>
        <v>4.7675556765523208E-2</v>
      </c>
      <c r="Z144" s="3">
        <f t="shared" si="65"/>
        <v>4.7675556738001508E-2</v>
      </c>
      <c r="AA144" s="3">
        <f t="shared" ref="AA144" si="66">$C30*EXP(-AA$129/$A30/EXP(-$B$126))</f>
        <v>4.7675556462784499E-2</v>
      </c>
      <c r="AB144" s="3">
        <f t="shared" ref="AB144:AF153" si="67">$C30*EXP(-AB$129/$A30/EXP(-$B$126))</f>
        <v>4.7675553710614535E-2</v>
      </c>
      <c r="AC144" s="3">
        <f t="shared" si="67"/>
        <v>4.7675526188923581E-2</v>
      </c>
      <c r="AD144" s="3">
        <f t="shared" si="67"/>
        <v>4.7675250972887884E-2</v>
      </c>
      <c r="AE144" s="3">
        <f t="shared" si="67"/>
        <v>4.7672498899909939E-2</v>
      </c>
      <c r="AF144" s="3">
        <f t="shared" si="67"/>
        <v>4.764498690616592E-2</v>
      </c>
    </row>
    <row r="145" spans="1:32" x14ac:dyDescent="0.25">
      <c r="B145" s="3">
        <f t="shared" ref="B145:Z145" si="68">$C31*EXP(-B$129/$A31/EXP(-$B$126))</f>
        <v>1.9951380582978136E-2</v>
      </c>
      <c r="C145" s="3">
        <f t="shared" si="68"/>
        <v>1.9951380582978136E-2</v>
      </c>
      <c r="D145" s="3">
        <f t="shared" si="68"/>
        <v>1.9951380582978136E-2</v>
      </c>
      <c r="E145" s="3">
        <f t="shared" si="68"/>
        <v>1.9951380582978136E-2</v>
      </c>
      <c r="F145" s="3">
        <f t="shared" si="68"/>
        <v>1.9951380582978136E-2</v>
      </c>
      <c r="G145" s="3">
        <f t="shared" si="68"/>
        <v>1.9951380582978136E-2</v>
      </c>
      <c r="H145" s="3">
        <f t="shared" si="68"/>
        <v>1.9951380582978136E-2</v>
      </c>
      <c r="I145" s="3">
        <f t="shared" si="68"/>
        <v>1.9951380582978136E-2</v>
      </c>
      <c r="J145" s="3">
        <f t="shared" si="68"/>
        <v>1.9951380582978136E-2</v>
      </c>
      <c r="K145" s="3">
        <f t="shared" si="68"/>
        <v>1.9951380582978136E-2</v>
      </c>
      <c r="L145" s="3">
        <f t="shared" si="68"/>
        <v>1.9951380582978136E-2</v>
      </c>
      <c r="M145" s="3">
        <f t="shared" si="68"/>
        <v>1.9951380582978136E-2</v>
      </c>
      <c r="N145" s="3">
        <f t="shared" si="68"/>
        <v>1.9951380582978136E-2</v>
      </c>
      <c r="O145" s="3">
        <f t="shared" si="68"/>
        <v>1.9951380582978136E-2</v>
      </c>
      <c r="P145" s="3">
        <f t="shared" si="68"/>
        <v>1.9951380582978136E-2</v>
      </c>
      <c r="Q145" s="3">
        <f t="shared" si="68"/>
        <v>1.9951380582978136E-2</v>
      </c>
      <c r="R145" s="3">
        <f t="shared" si="68"/>
        <v>1.9951380582978136E-2</v>
      </c>
      <c r="S145" s="3">
        <f t="shared" si="68"/>
        <v>1.9951380582978136E-2</v>
      </c>
      <c r="T145" s="3">
        <f t="shared" si="68"/>
        <v>1.9951380582978132E-2</v>
      </c>
      <c r="U145" s="3">
        <f t="shared" si="68"/>
        <v>1.9951380582978125E-2</v>
      </c>
      <c r="V145" s="3">
        <f t="shared" si="68"/>
        <v>1.9951380582978021E-2</v>
      </c>
      <c r="W145" s="3">
        <f t="shared" si="68"/>
        <v>1.995138058297698E-2</v>
      </c>
      <c r="X145" s="3">
        <f t="shared" si="68"/>
        <v>1.9951380582966589E-2</v>
      </c>
      <c r="Y145" s="3">
        <f t="shared" si="68"/>
        <v>1.9951380582862697E-2</v>
      </c>
      <c r="Z145" s="3">
        <f t="shared" si="68"/>
        <v>1.9951380581823736E-2</v>
      </c>
      <c r="AA145" s="3">
        <f t="shared" ref="AA145" si="69">$C31*EXP(-AA$129/$A31/EXP(-$B$126))</f>
        <v>1.995138057143413E-2</v>
      </c>
      <c r="AB145" s="3">
        <f t="shared" si="67"/>
        <v>1.9951380467538082E-2</v>
      </c>
      <c r="AC145" s="3">
        <f t="shared" si="67"/>
        <v>1.9951379428577609E-2</v>
      </c>
      <c r="AD145" s="3">
        <f t="shared" si="67"/>
        <v>1.9951369038975899E-2</v>
      </c>
      <c r="AE145" s="3">
        <f t="shared" si="67"/>
        <v>1.9951265143256323E-2</v>
      </c>
      <c r="AF145" s="3">
        <f t="shared" si="67"/>
        <v>1.9950226215816852E-2</v>
      </c>
    </row>
    <row r="146" spans="1:32" x14ac:dyDescent="0.25">
      <c r="B146" s="3">
        <f t="shared" ref="B146:Z146" si="70">$C32*EXP(-B$129/$A32/EXP(-$B$126))</f>
        <v>3.7229726854135226E-3</v>
      </c>
      <c r="C146" s="3">
        <f t="shared" si="70"/>
        <v>3.7229726854135226E-3</v>
      </c>
      <c r="D146" s="3">
        <f t="shared" si="70"/>
        <v>3.7229726854135226E-3</v>
      </c>
      <c r="E146" s="3">
        <f t="shared" si="70"/>
        <v>3.7229726854135226E-3</v>
      </c>
      <c r="F146" s="3">
        <f t="shared" si="70"/>
        <v>3.7229726854135226E-3</v>
      </c>
      <c r="G146" s="3">
        <f t="shared" si="70"/>
        <v>3.7229726854135226E-3</v>
      </c>
      <c r="H146" s="3">
        <f t="shared" si="70"/>
        <v>3.7229726854135226E-3</v>
      </c>
      <c r="I146" s="3">
        <f t="shared" si="70"/>
        <v>3.7229726854135226E-3</v>
      </c>
      <c r="J146" s="3">
        <f t="shared" si="70"/>
        <v>3.7229726854135226E-3</v>
      </c>
      <c r="K146" s="3">
        <f t="shared" si="70"/>
        <v>3.7229726854135226E-3</v>
      </c>
      <c r="L146" s="3">
        <f t="shared" si="70"/>
        <v>3.7229726854135226E-3</v>
      </c>
      <c r="M146" s="3">
        <f t="shared" si="70"/>
        <v>3.7229726854135226E-3</v>
      </c>
      <c r="N146" s="3">
        <f t="shared" si="70"/>
        <v>3.7229726854135226E-3</v>
      </c>
      <c r="O146" s="3">
        <f t="shared" si="70"/>
        <v>3.7229726854135226E-3</v>
      </c>
      <c r="P146" s="3">
        <f t="shared" si="70"/>
        <v>3.7229726854135226E-3</v>
      </c>
      <c r="Q146" s="3">
        <f t="shared" si="70"/>
        <v>3.7229726854135226E-3</v>
      </c>
      <c r="R146" s="3">
        <f t="shared" si="70"/>
        <v>3.7229726854135226E-3</v>
      </c>
      <c r="S146" s="3">
        <f t="shared" si="70"/>
        <v>3.7229726854135226E-3</v>
      </c>
      <c r="T146" s="3">
        <f t="shared" si="70"/>
        <v>3.7229726854135226E-3</v>
      </c>
      <c r="U146" s="3">
        <f t="shared" si="70"/>
        <v>3.7229726854135226E-3</v>
      </c>
      <c r="V146" s="3">
        <f t="shared" si="70"/>
        <v>3.7229726854135204E-3</v>
      </c>
      <c r="W146" s="3">
        <f t="shared" si="70"/>
        <v>3.722972685413503E-3</v>
      </c>
      <c r="X146" s="3">
        <f t="shared" si="70"/>
        <v>3.7229726854133283E-3</v>
      </c>
      <c r="Y146" s="3">
        <f t="shared" si="70"/>
        <v>3.7229726854115797E-3</v>
      </c>
      <c r="Z146" s="3">
        <f t="shared" si="70"/>
        <v>3.7229726853940906E-3</v>
      </c>
      <c r="AA146" s="3">
        <f t="shared" ref="AA146" si="71">$C32*EXP(-AA$129/$A32/EXP(-$B$126))</f>
        <v>3.7229726852192014E-3</v>
      </c>
      <c r="AB146" s="3">
        <f t="shared" si="67"/>
        <v>3.7229726834703113E-3</v>
      </c>
      <c r="AC146" s="3">
        <f t="shared" si="67"/>
        <v>3.7229726659814104E-3</v>
      </c>
      <c r="AD146" s="3">
        <f t="shared" si="67"/>
        <v>3.7229724910924026E-3</v>
      </c>
      <c r="AE146" s="3">
        <f t="shared" si="67"/>
        <v>3.7229707422027814E-3</v>
      </c>
      <c r="AF146" s="3">
        <f t="shared" si="67"/>
        <v>3.7229532533517538E-3</v>
      </c>
    </row>
    <row r="147" spans="1:32" x14ac:dyDescent="0.25">
      <c r="B147" s="3">
        <f t="shared" ref="B147:Z147" si="72">$C33*EXP(-B$129/$A33/EXP(-$B$126))</f>
        <v>3.2258116785225384E-3</v>
      </c>
      <c r="C147" s="3">
        <f t="shared" si="72"/>
        <v>3.2258116785225384E-3</v>
      </c>
      <c r="D147" s="3">
        <f t="shared" si="72"/>
        <v>3.2258116785225384E-3</v>
      </c>
      <c r="E147" s="3">
        <f t="shared" si="72"/>
        <v>3.2258116785225384E-3</v>
      </c>
      <c r="F147" s="3">
        <f t="shared" si="72"/>
        <v>3.2258116785225384E-3</v>
      </c>
      <c r="G147" s="3">
        <f t="shared" si="72"/>
        <v>3.2258116785225384E-3</v>
      </c>
      <c r="H147" s="3">
        <f t="shared" si="72"/>
        <v>3.2258116785225384E-3</v>
      </c>
      <c r="I147" s="3">
        <f t="shared" si="72"/>
        <v>3.2258116785225384E-3</v>
      </c>
      <c r="J147" s="3">
        <f t="shared" si="72"/>
        <v>3.2258116785225384E-3</v>
      </c>
      <c r="K147" s="3">
        <f t="shared" si="72"/>
        <v>3.2258116785225384E-3</v>
      </c>
      <c r="L147" s="3">
        <f t="shared" si="72"/>
        <v>3.2258116785225384E-3</v>
      </c>
      <c r="M147" s="3">
        <f t="shared" si="72"/>
        <v>3.2258116785225384E-3</v>
      </c>
      <c r="N147" s="3">
        <f t="shared" si="72"/>
        <v>3.2258116785225384E-3</v>
      </c>
      <c r="O147" s="3">
        <f t="shared" si="72"/>
        <v>3.2258116785225384E-3</v>
      </c>
      <c r="P147" s="3">
        <f t="shared" si="72"/>
        <v>3.2258116785225384E-3</v>
      </c>
      <c r="Q147" s="3">
        <f t="shared" si="72"/>
        <v>3.2258116785225384E-3</v>
      </c>
      <c r="R147" s="3">
        <f t="shared" si="72"/>
        <v>3.2258116785225384E-3</v>
      </c>
      <c r="S147" s="3">
        <f t="shared" si="72"/>
        <v>3.2258116785225384E-3</v>
      </c>
      <c r="T147" s="3">
        <f t="shared" si="72"/>
        <v>3.2258116785225384E-3</v>
      </c>
      <c r="U147" s="3">
        <f t="shared" si="72"/>
        <v>3.2258116785225384E-3</v>
      </c>
      <c r="V147" s="3">
        <f t="shared" si="72"/>
        <v>3.2258116785225384E-3</v>
      </c>
      <c r="W147" s="3">
        <f t="shared" si="72"/>
        <v>3.2258116785225371E-3</v>
      </c>
      <c r="X147" s="3">
        <f t="shared" si="72"/>
        <v>3.2258116785225232E-3</v>
      </c>
      <c r="Y147" s="3">
        <f t="shared" si="72"/>
        <v>3.2258116785223866E-3</v>
      </c>
      <c r="Z147" s="3">
        <f t="shared" si="72"/>
        <v>3.2258116785210196E-3</v>
      </c>
      <c r="AA147" s="3">
        <f t="shared" ref="AA147" si="73">$C33*EXP(-AA$129/$A33/EXP(-$B$126))</f>
        <v>3.2258116785073496E-3</v>
      </c>
      <c r="AB147" s="3">
        <f t="shared" si="67"/>
        <v>3.2258116783706534E-3</v>
      </c>
      <c r="AC147" s="3">
        <f t="shared" si="67"/>
        <v>3.2258116770036852E-3</v>
      </c>
      <c r="AD147" s="3">
        <f t="shared" si="67"/>
        <v>3.2258116633340078E-3</v>
      </c>
      <c r="AE147" s="3">
        <f t="shared" si="67"/>
        <v>3.2258115266372341E-3</v>
      </c>
      <c r="AF147" s="3">
        <f t="shared" si="67"/>
        <v>3.2258101596698147E-3</v>
      </c>
    </row>
    <row r="148" spans="1:32" x14ac:dyDescent="0.25">
      <c r="B148" s="3">
        <f t="shared" ref="B148:Z148" si="74">$C34*EXP(-B$129/$A34/EXP(-$B$126))</f>
        <v>4.6514491459037388E-4</v>
      </c>
      <c r="C148" s="3">
        <f t="shared" si="74"/>
        <v>4.6514491459037388E-4</v>
      </c>
      <c r="D148" s="3">
        <f t="shared" si="74"/>
        <v>4.6514491459037388E-4</v>
      </c>
      <c r="E148" s="3">
        <f t="shared" si="74"/>
        <v>4.6514491459037388E-4</v>
      </c>
      <c r="F148" s="3">
        <f t="shared" si="74"/>
        <v>4.6514491459037388E-4</v>
      </c>
      <c r="G148" s="3">
        <f t="shared" si="74"/>
        <v>4.6514491459037388E-4</v>
      </c>
      <c r="H148" s="3">
        <f t="shared" si="74"/>
        <v>4.6514491459037388E-4</v>
      </c>
      <c r="I148" s="3">
        <f t="shared" si="74"/>
        <v>4.6514491459037388E-4</v>
      </c>
      <c r="J148" s="3">
        <f t="shared" si="74"/>
        <v>4.6514491459037388E-4</v>
      </c>
      <c r="K148" s="3">
        <f t="shared" si="74"/>
        <v>4.6514491459037388E-4</v>
      </c>
      <c r="L148" s="3">
        <f t="shared" si="74"/>
        <v>4.6514491459037388E-4</v>
      </c>
      <c r="M148" s="3">
        <f t="shared" si="74"/>
        <v>4.6514491459037388E-4</v>
      </c>
      <c r="N148" s="3">
        <f t="shared" si="74"/>
        <v>4.6514491459037388E-4</v>
      </c>
      <c r="O148" s="3">
        <f t="shared" si="74"/>
        <v>4.6514491459037388E-4</v>
      </c>
      <c r="P148" s="3">
        <f t="shared" si="74"/>
        <v>4.6514491459037388E-4</v>
      </c>
      <c r="Q148" s="3">
        <f t="shared" si="74"/>
        <v>4.6514491459037388E-4</v>
      </c>
      <c r="R148" s="3">
        <f t="shared" si="74"/>
        <v>4.6514491459037388E-4</v>
      </c>
      <c r="S148" s="3">
        <f t="shared" si="74"/>
        <v>4.6514491459037388E-4</v>
      </c>
      <c r="T148" s="3">
        <f t="shared" si="74"/>
        <v>4.6514491459037388E-4</v>
      </c>
      <c r="U148" s="3">
        <f t="shared" si="74"/>
        <v>4.6514491459037388E-4</v>
      </c>
      <c r="V148" s="3">
        <f t="shared" si="74"/>
        <v>4.6514491459037388E-4</v>
      </c>
      <c r="W148" s="3">
        <f t="shared" si="74"/>
        <v>4.6514491459037388E-4</v>
      </c>
      <c r="X148" s="3">
        <f t="shared" si="74"/>
        <v>4.6514491459037367E-4</v>
      </c>
      <c r="Y148" s="3">
        <f t="shared" si="74"/>
        <v>4.6514491459037193E-4</v>
      </c>
      <c r="Z148" s="3">
        <f t="shared" si="74"/>
        <v>4.651449145903541E-4</v>
      </c>
      <c r="AA148" s="3">
        <f>$C34*EXP(-AA$129/$A34/EXP(-$B$126))</f>
        <v>4.6514491459017629E-4</v>
      </c>
      <c r="AB148" s="3">
        <f t="shared" si="67"/>
        <v>4.6514491458839825E-4</v>
      </c>
      <c r="AC148" s="3">
        <f t="shared" si="67"/>
        <v>4.6514491457061728E-4</v>
      </c>
      <c r="AD148" s="3">
        <f t="shared" si="67"/>
        <v>4.6514491439280818E-4</v>
      </c>
      <c r="AE148" s="3">
        <f t="shared" si="67"/>
        <v>4.6514491261471656E-4</v>
      </c>
      <c r="AF148" s="3">
        <f t="shared" si="67"/>
        <v>4.6514489483380077E-4</v>
      </c>
    </row>
    <row r="149" spans="1:32" x14ac:dyDescent="0.25">
      <c r="B149" s="3">
        <f t="shared" ref="B149:Z149" si="75">$C35*EXP(-B$129/$A35/EXP(-$B$126))</f>
        <v>1.1429544870574336E-5</v>
      </c>
      <c r="C149" s="3">
        <f t="shared" si="75"/>
        <v>1.1429544870574336E-5</v>
      </c>
      <c r="D149" s="3">
        <f t="shared" si="75"/>
        <v>1.1429544870574336E-5</v>
      </c>
      <c r="E149" s="3">
        <f t="shared" si="75"/>
        <v>1.1429544870574336E-5</v>
      </c>
      <c r="F149" s="3">
        <f t="shared" si="75"/>
        <v>1.1429544870574336E-5</v>
      </c>
      <c r="G149" s="3">
        <f t="shared" si="75"/>
        <v>1.1429544870574336E-5</v>
      </c>
      <c r="H149" s="3">
        <f t="shared" si="75"/>
        <v>1.1429544870574336E-5</v>
      </c>
      <c r="I149" s="3">
        <f t="shared" si="75"/>
        <v>1.1429544870574336E-5</v>
      </c>
      <c r="J149" s="3">
        <f t="shared" si="75"/>
        <v>1.1429544870574336E-5</v>
      </c>
      <c r="K149" s="3">
        <f t="shared" si="75"/>
        <v>1.1429544870574336E-5</v>
      </c>
      <c r="L149" s="3">
        <f t="shared" si="75"/>
        <v>1.1429544870574336E-5</v>
      </c>
      <c r="M149" s="3">
        <f t="shared" si="75"/>
        <v>1.1429544870574336E-5</v>
      </c>
      <c r="N149" s="3">
        <f t="shared" si="75"/>
        <v>1.1429544870574336E-5</v>
      </c>
      <c r="O149" s="3">
        <f t="shared" si="75"/>
        <v>1.1429544870574336E-5</v>
      </c>
      <c r="P149" s="3">
        <f t="shared" si="75"/>
        <v>1.1429544870574336E-5</v>
      </c>
      <c r="Q149" s="3">
        <f t="shared" si="75"/>
        <v>1.1429544870574336E-5</v>
      </c>
      <c r="R149" s="3">
        <f t="shared" si="75"/>
        <v>1.1429544870574336E-5</v>
      </c>
      <c r="S149" s="3">
        <f t="shared" si="75"/>
        <v>1.1429544870574336E-5</v>
      </c>
      <c r="T149" s="3">
        <f t="shared" si="75"/>
        <v>1.1429544870574336E-5</v>
      </c>
      <c r="U149" s="3">
        <f t="shared" si="75"/>
        <v>1.1429544870574336E-5</v>
      </c>
      <c r="V149" s="3">
        <f t="shared" si="75"/>
        <v>1.1429544870574336E-5</v>
      </c>
      <c r="W149" s="3">
        <f t="shared" si="75"/>
        <v>1.1429544870574336E-5</v>
      </c>
      <c r="X149" s="3">
        <f t="shared" si="75"/>
        <v>1.1429544870574336E-5</v>
      </c>
      <c r="Y149" s="3">
        <f t="shared" si="75"/>
        <v>1.1429544870574332E-5</v>
      </c>
      <c r="Z149" s="3">
        <f t="shared" si="75"/>
        <v>1.1429544870574292E-5</v>
      </c>
      <c r="AA149" s="3">
        <f t="shared" ref="AA149" si="76">$C35*EXP(-AA$129/$A35/EXP(-$B$126))</f>
        <v>1.1429544870573899E-5</v>
      </c>
      <c r="AB149" s="3">
        <f t="shared" si="67"/>
        <v>1.1429544870569957E-5</v>
      </c>
      <c r="AC149" s="3">
        <f t="shared" si="67"/>
        <v>1.1429544870530544E-5</v>
      </c>
      <c r="AD149" s="3">
        <f t="shared" si="67"/>
        <v>1.1429544870136411E-5</v>
      </c>
      <c r="AE149" s="3">
        <f t="shared" si="67"/>
        <v>1.1429544866195094E-5</v>
      </c>
      <c r="AF149" s="3">
        <f t="shared" si="67"/>
        <v>1.1429544826781923E-5</v>
      </c>
    </row>
    <row r="150" spans="1:32" x14ac:dyDescent="0.25">
      <c r="B150" s="3">
        <f t="shared" ref="B150:Z150" si="77">$C36*EXP(-B$129/$A36/EXP(-$B$126))</f>
        <v>2.5915484418969715E-5</v>
      </c>
      <c r="C150" s="3">
        <f t="shared" si="77"/>
        <v>2.5915484418969715E-5</v>
      </c>
      <c r="D150" s="3">
        <f t="shared" si="77"/>
        <v>2.5915484418969715E-5</v>
      </c>
      <c r="E150" s="3">
        <f t="shared" si="77"/>
        <v>2.5915484418969715E-5</v>
      </c>
      <c r="F150" s="3">
        <f t="shared" si="77"/>
        <v>2.5915484418969715E-5</v>
      </c>
      <c r="G150" s="3">
        <f t="shared" si="77"/>
        <v>2.5915484418969715E-5</v>
      </c>
      <c r="H150" s="3">
        <f t="shared" si="77"/>
        <v>2.5915484418969715E-5</v>
      </c>
      <c r="I150" s="3">
        <f t="shared" si="77"/>
        <v>2.5915484418969715E-5</v>
      </c>
      <c r="J150" s="3">
        <f t="shared" si="77"/>
        <v>2.5915484418969715E-5</v>
      </c>
      <c r="K150" s="3">
        <f t="shared" si="77"/>
        <v>2.5915484418969715E-5</v>
      </c>
      <c r="L150" s="3">
        <f t="shared" si="77"/>
        <v>2.5915484418969715E-5</v>
      </c>
      <c r="M150" s="3">
        <f t="shared" si="77"/>
        <v>2.5915484418969715E-5</v>
      </c>
      <c r="N150" s="3">
        <f t="shared" si="77"/>
        <v>2.5915484418969715E-5</v>
      </c>
      <c r="O150" s="3">
        <f t="shared" si="77"/>
        <v>2.5915484418969715E-5</v>
      </c>
      <c r="P150" s="3">
        <f t="shared" si="77"/>
        <v>2.5915484418969715E-5</v>
      </c>
      <c r="Q150" s="3">
        <f t="shared" si="77"/>
        <v>2.5915484418969715E-5</v>
      </c>
      <c r="R150" s="3">
        <f t="shared" si="77"/>
        <v>2.5915484418969715E-5</v>
      </c>
      <c r="S150" s="3">
        <f t="shared" si="77"/>
        <v>2.5915484418969715E-5</v>
      </c>
      <c r="T150" s="3">
        <f t="shared" si="77"/>
        <v>2.5915484418969715E-5</v>
      </c>
      <c r="U150" s="3">
        <f t="shared" si="77"/>
        <v>2.5915484418969715E-5</v>
      </c>
      <c r="V150" s="3">
        <f t="shared" si="77"/>
        <v>2.5915484418969715E-5</v>
      </c>
      <c r="W150" s="3">
        <f t="shared" si="77"/>
        <v>2.5915484418969715E-5</v>
      </c>
      <c r="X150" s="3">
        <f t="shared" si="77"/>
        <v>2.5915484418969715E-5</v>
      </c>
      <c r="Y150" s="3">
        <f t="shared" si="77"/>
        <v>2.5915484418969715E-5</v>
      </c>
      <c r="Z150" s="3">
        <f t="shared" si="77"/>
        <v>2.5915484418969705E-5</v>
      </c>
      <c r="AA150" s="3">
        <f t="shared" ref="AA150" si="78">$C36*EXP(-AA$129/$A36/EXP(-$B$126))</f>
        <v>2.5915484418969627E-5</v>
      </c>
      <c r="AB150" s="3">
        <f t="shared" si="67"/>
        <v>2.5915484418968821E-5</v>
      </c>
      <c r="AC150" s="3">
        <f t="shared" si="67"/>
        <v>2.5915484418960757E-5</v>
      </c>
      <c r="AD150" s="3">
        <f t="shared" si="67"/>
        <v>2.5915484418880143E-5</v>
      </c>
      <c r="AE150" s="3">
        <f t="shared" si="67"/>
        <v>2.5915484418073988E-5</v>
      </c>
      <c r="AF150" s="3">
        <f t="shared" si="67"/>
        <v>2.591548441001244E-5</v>
      </c>
    </row>
    <row r="151" spans="1:32" x14ac:dyDescent="0.25">
      <c r="B151" s="3">
        <f t="shared" ref="B151:Z151" si="79">$C37*EXP(-B$129/$A37/EXP(-$B$126))</f>
        <v>2.9552981931303355E-5</v>
      </c>
      <c r="C151" s="3">
        <f t="shared" si="79"/>
        <v>2.9552981931303355E-5</v>
      </c>
      <c r="D151" s="3">
        <f t="shared" si="79"/>
        <v>2.9552981931303355E-5</v>
      </c>
      <c r="E151" s="3">
        <f t="shared" si="79"/>
        <v>2.9552981931303355E-5</v>
      </c>
      <c r="F151" s="3">
        <f t="shared" si="79"/>
        <v>2.9552981931303355E-5</v>
      </c>
      <c r="G151" s="3">
        <f t="shared" si="79"/>
        <v>2.9552981931303355E-5</v>
      </c>
      <c r="H151" s="3">
        <f t="shared" si="79"/>
        <v>2.9552981931303355E-5</v>
      </c>
      <c r="I151" s="3">
        <f t="shared" si="79"/>
        <v>2.9552981931303355E-5</v>
      </c>
      <c r="J151" s="3">
        <f t="shared" si="79"/>
        <v>2.9552981931303355E-5</v>
      </c>
      <c r="K151" s="3">
        <f t="shared" si="79"/>
        <v>2.9552981931303355E-5</v>
      </c>
      <c r="L151" s="3">
        <f t="shared" si="79"/>
        <v>2.9552981931303355E-5</v>
      </c>
      <c r="M151" s="3">
        <f t="shared" si="79"/>
        <v>2.9552981931303355E-5</v>
      </c>
      <c r="N151" s="3">
        <f t="shared" si="79"/>
        <v>2.9552981931303355E-5</v>
      </c>
      <c r="O151" s="3">
        <f t="shared" si="79"/>
        <v>2.9552981931303355E-5</v>
      </c>
      <c r="P151" s="3">
        <f t="shared" si="79"/>
        <v>2.9552981931303355E-5</v>
      </c>
      <c r="Q151" s="3">
        <f t="shared" si="79"/>
        <v>2.9552981931303355E-5</v>
      </c>
      <c r="R151" s="3">
        <f t="shared" si="79"/>
        <v>2.9552981931303355E-5</v>
      </c>
      <c r="S151" s="3">
        <f t="shared" si="79"/>
        <v>2.9552981931303355E-5</v>
      </c>
      <c r="T151" s="3">
        <f t="shared" si="79"/>
        <v>2.9552981931303355E-5</v>
      </c>
      <c r="U151" s="3">
        <f t="shared" si="79"/>
        <v>2.9552981931303355E-5</v>
      </c>
      <c r="V151" s="3">
        <f t="shared" si="79"/>
        <v>2.9552981931303355E-5</v>
      </c>
      <c r="W151" s="3">
        <f t="shared" si="79"/>
        <v>2.9552981931303355E-5</v>
      </c>
      <c r="X151" s="3">
        <f t="shared" si="79"/>
        <v>2.9552981931303355E-5</v>
      </c>
      <c r="Y151" s="3">
        <f t="shared" si="79"/>
        <v>2.9552981931303355E-5</v>
      </c>
      <c r="Z151" s="3">
        <f t="shared" si="79"/>
        <v>2.9552981931303355E-5</v>
      </c>
      <c r="AA151" s="3">
        <f t="shared" ref="AA151" si="80">$C37*EXP(-AA$129/$A37/EXP(-$B$126))</f>
        <v>2.9552981931303345E-5</v>
      </c>
      <c r="AB151" s="3">
        <f t="shared" si="67"/>
        <v>2.9552981931303264E-5</v>
      </c>
      <c r="AC151" s="3">
        <f t="shared" si="67"/>
        <v>2.9552981931302434E-5</v>
      </c>
      <c r="AD151" s="3">
        <f t="shared" si="67"/>
        <v>2.9552981931294143E-5</v>
      </c>
      <c r="AE151" s="3">
        <f t="shared" si="67"/>
        <v>2.9552981931211211E-5</v>
      </c>
      <c r="AF151" s="3">
        <f t="shared" si="67"/>
        <v>2.9552981930381922E-5</v>
      </c>
    </row>
    <row r="152" spans="1:32" x14ac:dyDescent="0.25">
      <c r="B152" s="3">
        <f t="shared" ref="B152:Z152" si="81">$C38*EXP(-B$129/$A38/EXP(-$B$126))</f>
        <v>3.2731039559542382E-6</v>
      </c>
      <c r="C152" s="3">
        <f t="shared" si="81"/>
        <v>3.2731039559542382E-6</v>
      </c>
      <c r="D152" s="3">
        <f t="shared" si="81"/>
        <v>3.2731039559542382E-6</v>
      </c>
      <c r="E152" s="3">
        <f t="shared" si="81"/>
        <v>3.2731039559542382E-6</v>
      </c>
      <c r="F152" s="3">
        <f t="shared" si="81"/>
        <v>3.2731039559542382E-6</v>
      </c>
      <c r="G152" s="3">
        <f t="shared" si="81"/>
        <v>3.2731039559542382E-6</v>
      </c>
      <c r="H152" s="3">
        <f t="shared" si="81"/>
        <v>3.2731039559542382E-6</v>
      </c>
      <c r="I152" s="3">
        <f t="shared" si="81"/>
        <v>3.2731039559542382E-6</v>
      </c>
      <c r="J152" s="3">
        <f t="shared" si="81"/>
        <v>3.2731039559542382E-6</v>
      </c>
      <c r="K152" s="3">
        <f t="shared" si="81"/>
        <v>3.2731039559542382E-6</v>
      </c>
      <c r="L152" s="3">
        <f t="shared" si="81"/>
        <v>3.2731039559542382E-6</v>
      </c>
      <c r="M152" s="3">
        <f t="shared" si="81"/>
        <v>3.2731039559542382E-6</v>
      </c>
      <c r="N152" s="3">
        <f t="shared" si="81"/>
        <v>3.2731039559542382E-6</v>
      </c>
      <c r="O152" s="3">
        <f t="shared" si="81"/>
        <v>3.2731039559542382E-6</v>
      </c>
      <c r="P152" s="3">
        <f t="shared" si="81"/>
        <v>3.2731039559542382E-6</v>
      </c>
      <c r="Q152" s="3">
        <f t="shared" si="81"/>
        <v>3.2731039559542382E-6</v>
      </c>
      <c r="R152" s="3">
        <f t="shared" si="81"/>
        <v>3.2731039559542382E-6</v>
      </c>
      <c r="S152" s="3">
        <f t="shared" si="81"/>
        <v>3.2731039559542382E-6</v>
      </c>
      <c r="T152" s="3">
        <f t="shared" si="81"/>
        <v>3.2731039559542382E-6</v>
      </c>
      <c r="U152" s="3">
        <f t="shared" si="81"/>
        <v>3.2731039559542382E-6</v>
      </c>
      <c r="V152" s="3">
        <f t="shared" si="81"/>
        <v>3.2731039559542382E-6</v>
      </c>
      <c r="W152" s="3">
        <f t="shared" si="81"/>
        <v>3.2731039559542382E-6</v>
      </c>
      <c r="X152" s="3">
        <f t="shared" si="81"/>
        <v>3.2731039559542382E-6</v>
      </c>
      <c r="Y152" s="3">
        <f t="shared" si="81"/>
        <v>3.2731039559542382E-6</v>
      </c>
      <c r="Z152" s="3">
        <f t="shared" si="81"/>
        <v>3.2731039559542382E-6</v>
      </c>
      <c r="AA152" s="3">
        <f t="shared" ref="AA152" si="82">$C38*EXP(-AA$129/$A38/EXP(-$B$126))</f>
        <v>3.2731039559542382E-6</v>
      </c>
      <c r="AB152" s="3">
        <f t="shared" si="67"/>
        <v>3.2731039559542369E-6</v>
      </c>
      <c r="AC152" s="3">
        <f t="shared" si="67"/>
        <v>3.2731039559542293E-6</v>
      </c>
      <c r="AD152" s="3">
        <f t="shared" si="67"/>
        <v>3.2731039559541463E-6</v>
      </c>
      <c r="AE152" s="3">
        <f t="shared" si="67"/>
        <v>3.2731039559533179E-6</v>
      </c>
      <c r="AF152" s="3">
        <f t="shared" si="67"/>
        <v>3.2731039559450322E-6</v>
      </c>
    </row>
    <row r="153" spans="1:32" x14ac:dyDescent="0.25">
      <c r="B153" s="3">
        <f t="shared" ref="B153:Z153" si="83">$C39*EXP(-B$129/$A39/EXP(-$B$126))</f>
        <v>4.7316671387144988E-5</v>
      </c>
      <c r="C153" s="3">
        <f t="shared" si="83"/>
        <v>4.7316671387144988E-5</v>
      </c>
      <c r="D153" s="3">
        <f t="shared" si="83"/>
        <v>4.7316671387144988E-5</v>
      </c>
      <c r="E153" s="3">
        <f t="shared" si="83"/>
        <v>4.7316671387144988E-5</v>
      </c>
      <c r="F153" s="3">
        <f t="shared" si="83"/>
        <v>4.7316671387144988E-5</v>
      </c>
      <c r="G153" s="3">
        <f t="shared" si="83"/>
        <v>4.7316671387144988E-5</v>
      </c>
      <c r="H153" s="3">
        <f t="shared" si="83"/>
        <v>4.7316671387144988E-5</v>
      </c>
      <c r="I153" s="3">
        <f t="shared" si="83"/>
        <v>4.7316671387144988E-5</v>
      </c>
      <c r="J153" s="3">
        <f t="shared" si="83"/>
        <v>4.7316671387144988E-5</v>
      </c>
      <c r="K153" s="3">
        <f t="shared" si="83"/>
        <v>4.7316671387144988E-5</v>
      </c>
      <c r="L153" s="3">
        <f t="shared" si="83"/>
        <v>4.7316671387144988E-5</v>
      </c>
      <c r="M153" s="3">
        <f t="shared" si="83"/>
        <v>4.7316671387144988E-5</v>
      </c>
      <c r="N153" s="3">
        <f t="shared" si="83"/>
        <v>4.7316671387144988E-5</v>
      </c>
      <c r="O153" s="3">
        <f t="shared" si="83"/>
        <v>4.7316671387144988E-5</v>
      </c>
      <c r="P153" s="3">
        <f t="shared" si="83"/>
        <v>4.7316671387144988E-5</v>
      </c>
      <c r="Q153" s="3">
        <f t="shared" si="83"/>
        <v>4.7316671387144988E-5</v>
      </c>
      <c r="R153" s="3">
        <f t="shared" si="83"/>
        <v>4.7316671387144988E-5</v>
      </c>
      <c r="S153" s="3">
        <f t="shared" si="83"/>
        <v>4.7316671387144988E-5</v>
      </c>
      <c r="T153" s="3">
        <f t="shared" si="83"/>
        <v>4.7316671387144988E-5</v>
      </c>
      <c r="U153" s="3">
        <f t="shared" si="83"/>
        <v>4.7316671387144988E-5</v>
      </c>
      <c r="V153" s="3">
        <f t="shared" si="83"/>
        <v>4.7316671387144988E-5</v>
      </c>
      <c r="W153" s="3">
        <f t="shared" si="83"/>
        <v>4.7316671387144988E-5</v>
      </c>
      <c r="X153" s="3">
        <f t="shared" si="83"/>
        <v>4.7316671387144988E-5</v>
      </c>
      <c r="Y153" s="3">
        <f t="shared" si="83"/>
        <v>4.7316671387144988E-5</v>
      </c>
      <c r="Z153" s="3">
        <f t="shared" si="83"/>
        <v>4.7316671387144988E-5</v>
      </c>
      <c r="AA153" s="3">
        <f t="shared" ref="AA153" si="84">$C39*EXP(-AA$129/$A39/EXP(-$B$126))</f>
        <v>4.7316671387144988E-5</v>
      </c>
      <c r="AB153" s="3">
        <f t="shared" si="67"/>
        <v>4.7316671387144982E-5</v>
      </c>
      <c r="AC153" s="3">
        <f t="shared" si="67"/>
        <v>4.7316671387144955E-5</v>
      </c>
      <c r="AD153" s="3">
        <f t="shared" si="67"/>
        <v>4.7316671387144623E-5</v>
      </c>
      <c r="AE153" s="3">
        <f t="shared" si="67"/>
        <v>4.7316671387141309E-5</v>
      </c>
      <c r="AF153" s="3">
        <f t="shared" si="67"/>
        <v>4.731667138710818E-5</v>
      </c>
    </row>
    <row r="154" spans="1:32" x14ac:dyDescent="0.25">
      <c r="B154" s="3">
        <f t="shared" ref="B154:Z154" si="85">$C40*EXP(-B$129/$A40/EXP(-$B$126))</f>
        <v>2.2741722122049058E-5</v>
      </c>
      <c r="C154" s="3">
        <f t="shared" si="85"/>
        <v>2.2741722122049058E-5</v>
      </c>
      <c r="D154" s="3">
        <f t="shared" si="85"/>
        <v>2.2741722122049058E-5</v>
      </c>
      <c r="E154" s="3">
        <f t="shared" si="85"/>
        <v>2.2741722122049058E-5</v>
      </c>
      <c r="F154" s="3">
        <f t="shared" si="85"/>
        <v>2.2741722122049058E-5</v>
      </c>
      <c r="G154" s="3">
        <f t="shared" si="85"/>
        <v>2.2741722122049058E-5</v>
      </c>
      <c r="H154" s="3">
        <f t="shared" si="85"/>
        <v>2.2741722122049058E-5</v>
      </c>
      <c r="I154" s="3">
        <f t="shared" si="85"/>
        <v>2.2741722122049058E-5</v>
      </c>
      <c r="J154" s="3">
        <f t="shared" si="85"/>
        <v>2.2741722122049058E-5</v>
      </c>
      <c r="K154" s="3">
        <f t="shared" si="85"/>
        <v>2.2741722122049058E-5</v>
      </c>
      <c r="L154" s="3">
        <f t="shared" si="85"/>
        <v>2.2741722122049058E-5</v>
      </c>
      <c r="M154" s="3">
        <f t="shared" si="85"/>
        <v>2.2741722122049058E-5</v>
      </c>
      <c r="N154" s="3">
        <f t="shared" si="85"/>
        <v>2.2741722122049058E-5</v>
      </c>
      <c r="O154" s="3">
        <f t="shared" si="85"/>
        <v>2.2741722122049058E-5</v>
      </c>
      <c r="P154" s="3">
        <f t="shared" si="85"/>
        <v>2.2741722122049058E-5</v>
      </c>
      <c r="Q154" s="3">
        <f t="shared" si="85"/>
        <v>2.2741722122049058E-5</v>
      </c>
      <c r="R154" s="3">
        <f t="shared" si="85"/>
        <v>2.2741722122049058E-5</v>
      </c>
      <c r="S154" s="3">
        <f t="shared" si="85"/>
        <v>2.2741722122049058E-5</v>
      </c>
      <c r="T154" s="3">
        <f t="shared" si="85"/>
        <v>2.2741722122049058E-5</v>
      </c>
      <c r="U154" s="3">
        <f t="shared" si="85"/>
        <v>2.2741722122049058E-5</v>
      </c>
      <c r="V154" s="3">
        <f t="shared" si="85"/>
        <v>2.2741722122049058E-5</v>
      </c>
      <c r="W154" s="3">
        <f t="shared" si="85"/>
        <v>2.2741722122049058E-5</v>
      </c>
      <c r="X154" s="3">
        <f t="shared" si="85"/>
        <v>2.2741722122049058E-5</v>
      </c>
      <c r="Y154" s="3">
        <f t="shared" si="85"/>
        <v>2.2741722122049058E-5</v>
      </c>
      <c r="Z154" s="3">
        <f t="shared" si="85"/>
        <v>2.2741722122049058E-5</v>
      </c>
      <c r="AA154" s="3">
        <f t="shared" ref="AA154:AF154" si="86">$C40*EXP(-AA$129/$A40/EXP(-$B$126))</f>
        <v>2.2741722122049058E-5</v>
      </c>
      <c r="AB154" s="3">
        <f t="shared" si="86"/>
        <v>2.2741722122049058E-5</v>
      </c>
      <c r="AC154" s="3">
        <f t="shared" si="86"/>
        <v>2.2741722122049055E-5</v>
      </c>
      <c r="AD154" s="3">
        <f t="shared" si="86"/>
        <v>2.2741722122049041E-5</v>
      </c>
      <c r="AE154" s="3">
        <f t="shared" si="86"/>
        <v>2.2741722122048882E-5</v>
      </c>
      <c r="AF154" s="3">
        <f t="shared" si="86"/>
        <v>2.274172212204729E-5</v>
      </c>
    </row>
    <row r="155" spans="1:32" x14ac:dyDescent="0.25">
      <c r="B155" s="3">
        <f t="shared" ref="B155:Z155" si="87">$C41*EXP(-B$129/$A41/EXP(-$B$126))</f>
        <v>1.7857506760164985E-5</v>
      </c>
      <c r="C155" s="3">
        <f t="shared" si="87"/>
        <v>1.7857506760164985E-5</v>
      </c>
      <c r="D155" s="3">
        <f t="shared" si="87"/>
        <v>1.7857506760164985E-5</v>
      </c>
      <c r="E155" s="3">
        <f t="shared" si="87"/>
        <v>1.7857506760164985E-5</v>
      </c>
      <c r="F155" s="3">
        <f t="shared" si="87"/>
        <v>1.7857506760164985E-5</v>
      </c>
      <c r="G155" s="3">
        <f t="shared" si="87"/>
        <v>1.7857506760164985E-5</v>
      </c>
      <c r="H155" s="3">
        <f t="shared" si="87"/>
        <v>1.7857506760164985E-5</v>
      </c>
      <c r="I155" s="3">
        <f t="shared" si="87"/>
        <v>1.7857506760164985E-5</v>
      </c>
      <c r="J155" s="3">
        <f t="shared" si="87"/>
        <v>1.7857506760164985E-5</v>
      </c>
      <c r="K155" s="3">
        <f t="shared" si="87"/>
        <v>1.7857506760164985E-5</v>
      </c>
      <c r="L155" s="3">
        <f t="shared" si="87"/>
        <v>1.7857506760164985E-5</v>
      </c>
      <c r="M155" s="3">
        <f t="shared" si="87"/>
        <v>1.7857506760164985E-5</v>
      </c>
      <c r="N155" s="3">
        <f t="shared" si="87"/>
        <v>1.7857506760164985E-5</v>
      </c>
      <c r="O155" s="3">
        <f t="shared" si="87"/>
        <v>1.7857506760164985E-5</v>
      </c>
      <c r="P155" s="3">
        <f t="shared" si="87"/>
        <v>1.7857506760164985E-5</v>
      </c>
      <c r="Q155" s="3">
        <f t="shared" si="87"/>
        <v>1.7857506760164985E-5</v>
      </c>
      <c r="R155" s="3">
        <f t="shared" si="87"/>
        <v>1.7857506760164985E-5</v>
      </c>
      <c r="S155" s="3">
        <f t="shared" si="87"/>
        <v>1.7857506760164985E-5</v>
      </c>
      <c r="T155" s="3">
        <f t="shared" si="87"/>
        <v>1.7857506760164985E-5</v>
      </c>
      <c r="U155" s="3">
        <f t="shared" si="87"/>
        <v>1.7857506760164985E-5</v>
      </c>
      <c r="V155" s="3">
        <f t="shared" si="87"/>
        <v>1.7857506760164985E-5</v>
      </c>
      <c r="W155" s="3">
        <f t="shared" si="87"/>
        <v>1.7857506760164985E-5</v>
      </c>
      <c r="X155" s="3">
        <f t="shared" si="87"/>
        <v>1.7857506760164985E-5</v>
      </c>
      <c r="Y155" s="3">
        <f t="shared" si="87"/>
        <v>1.7857506760164985E-5</v>
      </c>
      <c r="Z155" s="3">
        <f t="shared" si="87"/>
        <v>1.7857506760164985E-5</v>
      </c>
      <c r="AA155" s="3">
        <f t="shared" ref="AA155:AF155" si="88">$C41*EXP(-AA$129/$A41/EXP(-$B$126))</f>
        <v>1.7857506760164985E-5</v>
      </c>
      <c r="AB155" s="3">
        <f t="shared" si="88"/>
        <v>1.7857506760164985E-5</v>
      </c>
      <c r="AC155" s="3">
        <f t="shared" si="88"/>
        <v>1.7857506760164985E-5</v>
      </c>
      <c r="AD155" s="3">
        <f t="shared" si="88"/>
        <v>1.7857506760164981E-5</v>
      </c>
      <c r="AE155" s="3">
        <f t="shared" si="88"/>
        <v>1.7857506760164971E-5</v>
      </c>
      <c r="AF155" s="3">
        <f t="shared" si="88"/>
        <v>1.7857506760164846E-5</v>
      </c>
    </row>
    <row r="156" spans="1:32" x14ac:dyDescent="0.25">
      <c r="B156" s="3">
        <f t="shared" ref="B156:Z156" si="89">$C42*EXP(-B$129/$A42/EXP(-$B$126))</f>
        <v>0</v>
      </c>
      <c r="C156" s="3">
        <f t="shared" si="89"/>
        <v>0</v>
      </c>
      <c r="D156" s="3">
        <f t="shared" si="89"/>
        <v>0</v>
      </c>
      <c r="E156" s="3">
        <f t="shared" si="89"/>
        <v>0</v>
      </c>
      <c r="F156" s="3">
        <f t="shared" si="89"/>
        <v>0</v>
      </c>
      <c r="G156" s="3">
        <f t="shared" si="89"/>
        <v>0</v>
      </c>
      <c r="H156" s="3">
        <f t="shared" si="89"/>
        <v>0</v>
      </c>
      <c r="I156" s="3">
        <f t="shared" si="89"/>
        <v>0</v>
      </c>
      <c r="J156" s="3">
        <f t="shared" si="89"/>
        <v>0</v>
      </c>
      <c r="K156" s="3">
        <f t="shared" si="89"/>
        <v>0</v>
      </c>
      <c r="L156" s="3">
        <f t="shared" si="89"/>
        <v>0</v>
      </c>
      <c r="M156" s="3">
        <f t="shared" si="89"/>
        <v>0</v>
      </c>
      <c r="N156" s="3">
        <f t="shared" si="89"/>
        <v>0</v>
      </c>
      <c r="O156" s="3">
        <f t="shared" si="89"/>
        <v>0</v>
      </c>
      <c r="P156" s="3">
        <f t="shared" si="89"/>
        <v>0</v>
      </c>
      <c r="Q156" s="3">
        <f t="shared" si="89"/>
        <v>0</v>
      </c>
      <c r="R156" s="3">
        <f t="shared" si="89"/>
        <v>0</v>
      </c>
      <c r="S156" s="3">
        <f t="shared" si="89"/>
        <v>0</v>
      </c>
      <c r="T156" s="3">
        <f t="shared" si="89"/>
        <v>0</v>
      </c>
      <c r="U156" s="3">
        <f t="shared" si="89"/>
        <v>0</v>
      </c>
      <c r="V156" s="3">
        <f t="shared" si="89"/>
        <v>0</v>
      </c>
      <c r="W156" s="3">
        <f t="shared" si="89"/>
        <v>0</v>
      </c>
      <c r="X156" s="3">
        <f t="shared" si="89"/>
        <v>0</v>
      </c>
      <c r="Y156" s="3">
        <f t="shared" si="89"/>
        <v>0</v>
      </c>
      <c r="Z156" s="3">
        <f t="shared" si="89"/>
        <v>0</v>
      </c>
      <c r="AA156" s="3">
        <f t="shared" ref="AA156:AF156" si="90">$C42*EXP(-AA$129/$A42/EXP(-$B$126))</f>
        <v>0</v>
      </c>
      <c r="AB156" s="3">
        <f t="shared" si="90"/>
        <v>0</v>
      </c>
      <c r="AC156" s="3">
        <f t="shared" si="90"/>
        <v>0</v>
      </c>
      <c r="AD156" s="3">
        <f t="shared" si="90"/>
        <v>0</v>
      </c>
      <c r="AE156" s="3">
        <f t="shared" si="90"/>
        <v>0</v>
      </c>
      <c r="AF156" s="3">
        <f t="shared" si="90"/>
        <v>0</v>
      </c>
    </row>
    <row r="157" spans="1:32" x14ac:dyDescent="0.25">
      <c r="B157" s="3">
        <f t="shared" ref="B157:Z157" si="91">$C43*EXP(-B$129/$A43/EXP(-$B$126))</f>
        <v>1.5759572914912317E-6</v>
      </c>
      <c r="C157" s="3">
        <f t="shared" si="91"/>
        <v>1.5759572914912317E-6</v>
      </c>
      <c r="D157" s="3">
        <f t="shared" si="91"/>
        <v>1.5759572914912317E-6</v>
      </c>
      <c r="E157" s="3">
        <f t="shared" si="91"/>
        <v>1.5759572914912317E-6</v>
      </c>
      <c r="F157" s="3">
        <f t="shared" si="91"/>
        <v>1.5759572914912317E-6</v>
      </c>
      <c r="G157" s="3">
        <f t="shared" si="91"/>
        <v>1.5759572914912317E-6</v>
      </c>
      <c r="H157" s="3">
        <f t="shared" si="91"/>
        <v>1.5759572914912317E-6</v>
      </c>
      <c r="I157" s="3">
        <f t="shared" si="91"/>
        <v>1.5759572914912317E-6</v>
      </c>
      <c r="J157" s="3">
        <f t="shared" si="91"/>
        <v>1.5759572914912317E-6</v>
      </c>
      <c r="K157" s="3">
        <f t="shared" si="91"/>
        <v>1.5759572914912317E-6</v>
      </c>
      <c r="L157" s="3">
        <f t="shared" si="91"/>
        <v>1.5759572914912317E-6</v>
      </c>
      <c r="M157" s="3">
        <f t="shared" si="91"/>
        <v>1.5759572914912317E-6</v>
      </c>
      <c r="N157" s="3">
        <f t="shared" si="91"/>
        <v>1.5759572914912317E-6</v>
      </c>
      <c r="O157" s="3">
        <f t="shared" si="91"/>
        <v>1.5759572914912317E-6</v>
      </c>
      <c r="P157" s="3">
        <f t="shared" si="91"/>
        <v>1.5759572914912317E-6</v>
      </c>
      <c r="Q157" s="3">
        <f t="shared" si="91"/>
        <v>1.5759572914912317E-6</v>
      </c>
      <c r="R157" s="3">
        <f t="shared" si="91"/>
        <v>1.5759572914912317E-6</v>
      </c>
      <c r="S157" s="3">
        <f t="shared" si="91"/>
        <v>1.5759572914912317E-6</v>
      </c>
      <c r="T157" s="3">
        <f t="shared" si="91"/>
        <v>1.5759572914912317E-6</v>
      </c>
      <c r="U157" s="3">
        <f t="shared" si="91"/>
        <v>1.5759572914912317E-6</v>
      </c>
      <c r="V157" s="3">
        <f t="shared" si="91"/>
        <v>1.5759572914912317E-6</v>
      </c>
      <c r="W157" s="3">
        <f t="shared" si="91"/>
        <v>1.5759572914912317E-6</v>
      </c>
      <c r="X157" s="3">
        <f t="shared" si="91"/>
        <v>1.5759572914912317E-6</v>
      </c>
      <c r="Y157" s="3">
        <f t="shared" si="91"/>
        <v>1.5759572914912317E-6</v>
      </c>
      <c r="Z157" s="3">
        <f t="shared" si="91"/>
        <v>1.5759572914912317E-6</v>
      </c>
      <c r="AA157" s="3">
        <f t="shared" ref="AA157:AF157" si="92">$C43*EXP(-AA$129/$A43/EXP(-$B$126))</f>
        <v>1.5759572914912317E-6</v>
      </c>
      <c r="AB157" s="3">
        <f t="shared" si="92"/>
        <v>1.5759572914912317E-6</v>
      </c>
      <c r="AC157" s="3">
        <f t="shared" si="92"/>
        <v>1.5759572914912317E-6</v>
      </c>
      <c r="AD157" s="3">
        <f t="shared" si="92"/>
        <v>1.5759572914912317E-6</v>
      </c>
      <c r="AE157" s="3">
        <f t="shared" si="92"/>
        <v>1.5759572914912317E-6</v>
      </c>
      <c r="AF157" s="3">
        <f t="shared" si="92"/>
        <v>1.5759572914912315E-6</v>
      </c>
    </row>
    <row r="158" spans="1:32" x14ac:dyDescent="0.25">
      <c r="B158" s="3">
        <f t="shared" ref="B158:Z158" si="93">$C44*EXP(-B$129/$A44/EXP(-$B$126))</f>
        <v>0</v>
      </c>
      <c r="C158" s="3">
        <f t="shared" si="93"/>
        <v>0</v>
      </c>
      <c r="D158" s="3">
        <f t="shared" si="93"/>
        <v>0</v>
      </c>
      <c r="E158" s="3">
        <f t="shared" si="93"/>
        <v>0</v>
      </c>
      <c r="F158" s="3">
        <f t="shared" si="93"/>
        <v>0</v>
      </c>
      <c r="G158" s="3">
        <f t="shared" si="93"/>
        <v>0</v>
      </c>
      <c r="H158" s="3">
        <f t="shared" si="93"/>
        <v>0</v>
      </c>
      <c r="I158" s="3">
        <f t="shared" si="93"/>
        <v>0</v>
      </c>
      <c r="J158" s="3">
        <f t="shared" si="93"/>
        <v>0</v>
      </c>
      <c r="K158" s="3">
        <f t="shared" si="93"/>
        <v>0</v>
      </c>
      <c r="L158" s="3">
        <f t="shared" si="93"/>
        <v>0</v>
      </c>
      <c r="M158" s="3">
        <f t="shared" si="93"/>
        <v>0</v>
      </c>
      <c r="N158" s="3">
        <f t="shared" si="93"/>
        <v>0</v>
      </c>
      <c r="O158" s="3">
        <f t="shared" si="93"/>
        <v>0</v>
      </c>
      <c r="P158" s="3">
        <f t="shared" si="93"/>
        <v>0</v>
      </c>
      <c r="Q158" s="3">
        <f t="shared" si="93"/>
        <v>0</v>
      </c>
      <c r="R158" s="3">
        <f t="shared" si="93"/>
        <v>0</v>
      </c>
      <c r="S158" s="3">
        <f t="shared" si="93"/>
        <v>0</v>
      </c>
      <c r="T158" s="3">
        <f t="shared" si="93"/>
        <v>0</v>
      </c>
      <c r="U158" s="3">
        <f t="shared" si="93"/>
        <v>0</v>
      </c>
      <c r="V158" s="3">
        <f t="shared" si="93"/>
        <v>0</v>
      </c>
      <c r="W158" s="3">
        <f t="shared" si="93"/>
        <v>0</v>
      </c>
      <c r="X158" s="3">
        <f t="shared" si="93"/>
        <v>0</v>
      </c>
      <c r="Y158" s="3">
        <f t="shared" si="93"/>
        <v>0</v>
      </c>
      <c r="Z158" s="3">
        <f t="shared" si="93"/>
        <v>0</v>
      </c>
      <c r="AA158" s="3">
        <f t="shared" ref="AA158:AF158" si="94">$C44*EXP(-AA$129/$A44/EXP(-$B$126))</f>
        <v>0</v>
      </c>
      <c r="AB158" s="3">
        <f t="shared" si="94"/>
        <v>0</v>
      </c>
      <c r="AC158" s="3">
        <f t="shared" si="94"/>
        <v>0</v>
      </c>
      <c r="AD158" s="3">
        <f t="shared" si="94"/>
        <v>0</v>
      </c>
      <c r="AE158" s="3">
        <f t="shared" si="94"/>
        <v>0</v>
      </c>
      <c r="AF158" s="3">
        <f t="shared" si="94"/>
        <v>0</v>
      </c>
    </row>
    <row r="159" spans="1:32" x14ac:dyDescent="0.25">
      <c r="A159" s="11" t="s">
        <v>75</v>
      </c>
      <c r="B159" s="3">
        <f t="shared" ref="B159:Z159" si="95">$C45*EXP(-B$129/$A45/EXP(-$B$126))</f>
        <v>0</v>
      </c>
      <c r="C159" s="3">
        <f t="shared" si="95"/>
        <v>0</v>
      </c>
      <c r="D159" s="3">
        <f t="shared" si="95"/>
        <v>0</v>
      </c>
      <c r="E159" s="3">
        <f t="shared" si="95"/>
        <v>0</v>
      </c>
      <c r="F159" s="3">
        <f t="shared" si="95"/>
        <v>0</v>
      </c>
      <c r="G159" s="3">
        <f t="shared" si="95"/>
        <v>0</v>
      </c>
      <c r="H159" s="3">
        <f t="shared" si="95"/>
        <v>0</v>
      </c>
      <c r="I159" s="3">
        <f t="shared" si="95"/>
        <v>0</v>
      </c>
      <c r="J159" s="3">
        <f t="shared" si="95"/>
        <v>0</v>
      </c>
      <c r="K159" s="3">
        <f t="shared" si="95"/>
        <v>0</v>
      </c>
      <c r="L159" s="3">
        <f t="shared" si="95"/>
        <v>0</v>
      </c>
      <c r="M159" s="3">
        <f t="shared" si="95"/>
        <v>0</v>
      </c>
      <c r="N159" s="3">
        <f t="shared" si="95"/>
        <v>0</v>
      </c>
      <c r="O159" s="3">
        <f t="shared" si="95"/>
        <v>0</v>
      </c>
      <c r="P159" s="3">
        <f t="shared" si="95"/>
        <v>0</v>
      </c>
      <c r="Q159" s="3">
        <f t="shared" si="95"/>
        <v>0</v>
      </c>
      <c r="R159" s="3">
        <f t="shared" si="95"/>
        <v>0</v>
      </c>
      <c r="S159" s="3">
        <f t="shared" si="95"/>
        <v>0</v>
      </c>
      <c r="T159" s="3">
        <f t="shared" si="95"/>
        <v>0</v>
      </c>
      <c r="U159" s="3">
        <f t="shared" si="95"/>
        <v>0</v>
      </c>
      <c r="V159" s="3">
        <f t="shared" si="95"/>
        <v>0</v>
      </c>
      <c r="W159" s="3">
        <f t="shared" si="95"/>
        <v>0</v>
      </c>
      <c r="X159" s="3">
        <f t="shared" si="95"/>
        <v>0</v>
      </c>
      <c r="Y159" s="3">
        <f t="shared" si="95"/>
        <v>0</v>
      </c>
      <c r="Z159" s="3">
        <f t="shared" si="95"/>
        <v>0</v>
      </c>
      <c r="AA159" s="3">
        <f t="shared" ref="AA159:AF159" si="96">$C45*EXP(-AA$129/$A45/EXP(-$B$126))</f>
        <v>0</v>
      </c>
      <c r="AB159" s="3">
        <f t="shared" si="96"/>
        <v>0</v>
      </c>
      <c r="AC159" s="3">
        <f t="shared" si="96"/>
        <v>0</v>
      </c>
      <c r="AD159" s="3">
        <f t="shared" si="96"/>
        <v>0</v>
      </c>
      <c r="AE159" s="3">
        <f t="shared" si="96"/>
        <v>0</v>
      </c>
      <c r="AF159" s="3">
        <f t="shared" si="96"/>
        <v>0</v>
      </c>
    </row>
    <row r="160" spans="1:32" x14ac:dyDescent="0.25">
      <c r="B160" s="3">
        <f t="shared" ref="B160:Z160" si="97">$C46*EXP(-B$129/$A46/EXP(-$B$126))</f>
        <v>0</v>
      </c>
      <c r="C160" s="3">
        <f t="shared" si="97"/>
        <v>0</v>
      </c>
      <c r="D160" s="3">
        <f t="shared" si="97"/>
        <v>0</v>
      </c>
      <c r="E160" s="3">
        <f t="shared" si="97"/>
        <v>0</v>
      </c>
      <c r="F160" s="3">
        <f t="shared" si="97"/>
        <v>0</v>
      </c>
      <c r="G160" s="3">
        <f t="shared" si="97"/>
        <v>0</v>
      </c>
      <c r="H160" s="3">
        <f t="shared" si="97"/>
        <v>0</v>
      </c>
      <c r="I160" s="3">
        <f t="shared" si="97"/>
        <v>0</v>
      </c>
      <c r="J160" s="3">
        <f t="shared" si="97"/>
        <v>0</v>
      </c>
      <c r="K160" s="3">
        <f t="shared" si="97"/>
        <v>0</v>
      </c>
      <c r="L160" s="3">
        <f t="shared" si="97"/>
        <v>0</v>
      </c>
      <c r="M160" s="3">
        <f t="shared" si="97"/>
        <v>0</v>
      </c>
      <c r="N160" s="3">
        <f t="shared" si="97"/>
        <v>0</v>
      </c>
      <c r="O160" s="3">
        <f t="shared" si="97"/>
        <v>0</v>
      </c>
      <c r="P160" s="3">
        <f t="shared" si="97"/>
        <v>0</v>
      </c>
      <c r="Q160" s="3">
        <f t="shared" si="97"/>
        <v>0</v>
      </c>
      <c r="R160" s="3">
        <f t="shared" si="97"/>
        <v>0</v>
      </c>
      <c r="S160" s="3">
        <f t="shared" si="97"/>
        <v>0</v>
      </c>
      <c r="T160" s="3">
        <f t="shared" si="97"/>
        <v>0</v>
      </c>
      <c r="U160" s="3">
        <f t="shared" si="97"/>
        <v>0</v>
      </c>
      <c r="V160" s="3">
        <f t="shared" si="97"/>
        <v>0</v>
      </c>
      <c r="W160" s="3">
        <f t="shared" si="97"/>
        <v>0</v>
      </c>
      <c r="X160" s="3">
        <f t="shared" si="97"/>
        <v>0</v>
      </c>
      <c r="Y160" s="3">
        <f t="shared" si="97"/>
        <v>0</v>
      </c>
      <c r="Z160" s="3">
        <f t="shared" si="97"/>
        <v>0</v>
      </c>
      <c r="AA160" s="3">
        <f t="shared" ref="AA160:AF160" si="98">$C46*EXP(-AA$129/$A46/EXP(-$B$126))</f>
        <v>0</v>
      </c>
      <c r="AB160" s="3">
        <f t="shared" si="98"/>
        <v>0</v>
      </c>
      <c r="AC160" s="3">
        <f t="shared" si="98"/>
        <v>0</v>
      </c>
      <c r="AD160" s="3">
        <f t="shared" si="98"/>
        <v>0</v>
      </c>
      <c r="AE160" s="3">
        <f t="shared" si="98"/>
        <v>0</v>
      </c>
      <c r="AF160" s="3">
        <f t="shared" si="98"/>
        <v>0</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1.823122872957775E-3</v>
      </c>
      <c r="C162" s="3">
        <f t="shared" si="101"/>
        <v>1.823122872957775E-3</v>
      </c>
      <c r="D162" s="3">
        <f t="shared" si="101"/>
        <v>1.823122872957775E-3</v>
      </c>
      <c r="E162" s="3">
        <f t="shared" si="101"/>
        <v>1.823122872957775E-3</v>
      </c>
      <c r="F162" s="3">
        <f t="shared" si="101"/>
        <v>1.823122872957775E-3</v>
      </c>
      <c r="G162" s="3">
        <f t="shared" si="101"/>
        <v>1.823122872957775E-3</v>
      </c>
      <c r="H162" s="3">
        <f t="shared" si="101"/>
        <v>1.823122872957775E-3</v>
      </c>
      <c r="I162" s="3">
        <f t="shared" si="101"/>
        <v>1.823122872957775E-3</v>
      </c>
      <c r="J162" s="3">
        <f t="shared" si="101"/>
        <v>1.823122872957775E-3</v>
      </c>
      <c r="K162" s="3">
        <f t="shared" si="101"/>
        <v>1.823122872957775E-3</v>
      </c>
      <c r="L162" s="3">
        <f t="shared" si="101"/>
        <v>1.823122872957775E-3</v>
      </c>
      <c r="M162" s="3">
        <f t="shared" si="101"/>
        <v>1.823122872957775E-3</v>
      </c>
      <c r="N162" s="3">
        <f t="shared" si="101"/>
        <v>1.823122872957775E-3</v>
      </c>
      <c r="O162" s="3">
        <f t="shared" si="101"/>
        <v>1.823122872957775E-3</v>
      </c>
      <c r="P162" s="3">
        <f t="shared" si="101"/>
        <v>1.823122872957775E-3</v>
      </c>
      <c r="Q162" s="3">
        <f t="shared" si="101"/>
        <v>1.823122872957775E-3</v>
      </c>
      <c r="R162" s="3">
        <f t="shared" si="101"/>
        <v>1.823122872957775E-3</v>
      </c>
      <c r="S162" s="3">
        <f t="shared" si="101"/>
        <v>1.823122872957775E-3</v>
      </c>
      <c r="T162" s="3">
        <f t="shared" si="101"/>
        <v>1.823122872957775E-3</v>
      </c>
      <c r="U162" s="3">
        <f t="shared" si="101"/>
        <v>1.823122872957775E-3</v>
      </c>
      <c r="V162" s="3">
        <f t="shared" si="101"/>
        <v>1.823122872957775E-3</v>
      </c>
      <c r="W162" s="3">
        <f t="shared" si="101"/>
        <v>1.823122872957775E-3</v>
      </c>
      <c r="X162" s="3">
        <f t="shared" si="101"/>
        <v>1.823122872957775E-3</v>
      </c>
      <c r="Y162" s="3">
        <f t="shared" si="101"/>
        <v>1.823122872957775E-3</v>
      </c>
      <c r="Z162" s="3">
        <f t="shared" si="101"/>
        <v>1.823122872957775E-3</v>
      </c>
      <c r="AA162" s="3">
        <f t="shared" ref="AA162:AF162" si="102">$C48*EXP(-AA$129/$A48/EXP(-$B$126))</f>
        <v>1.823122872957775E-3</v>
      </c>
      <c r="AB162" s="3">
        <f t="shared" si="102"/>
        <v>1.823122872957775E-3</v>
      </c>
      <c r="AC162" s="3">
        <f t="shared" si="102"/>
        <v>1.823122872957775E-3</v>
      </c>
      <c r="AD162" s="3">
        <f t="shared" si="102"/>
        <v>1.823122872957775E-3</v>
      </c>
      <c r="AE162" s="3">
        <f t="shared" si="102"/>
        <v>1.823122872957775E-3</v>
      </c>
      <c r="AF162" s="3">
        <f t="shared" si="102"/>
        <v>1.823122872957775E-3</v>
      </c>
    </row>
    <row r="163" spans="1:34" x14ac:dyDescent="0.25">
      <c r="A163" s="80">
        <f>AVERAGE(B163:AF163)</f>
        <v>2.4517981707758627E-2</v>
      </c>
      <c r="B163" s="81">
        <f>IF($A$64&lt;=B129,IF($B$64&gt;=B129,ABS((B131-B130)/B130),0),0)</f>
        <v>2.536097177703658E-3</v>
      </c>
      <c r="C163" s="81">
        <f t="shared" ref="C163:AF163" si="103">IF($A$64&lt;=C129,IF($B$64&gt;=C129,ABS((C131-C130)/C130),0),0)</f>
        <v>2.5423325780108089E-3</v>
      </c>
      <c r="D163" s="81">
        <f t="shared" si="103"/>
        <v>2.538520172939933E-3</v>
      </c>
      <c r="E163" s="81">
        <f t="shared" si="103"/>
        <v>2.5374086451352171E-3</v>
      </c>
      <c r="F163" s="81">
        <f t="shared" si="103"/>
        <v>2.5370629878379031E-3</v>
      </c>
      <c r="G163" s="81">
        <f t="shared" si="103"/>
        <v>2.5369240544817944E-3</v>
      </c>
      <c r="H163" s="81">
        <f t="shared" si="103"/>
        <v>2.5368800763135918E-3</v>
      </c>
      <c r="I163" s="81">
        <f t="shared" si="103"/>
        <v>2.5368740616105549E-3</v>
      </c>
      <c r="J163" s="81">
        <f t="shared" si="103"/>
        <v>2.5368816906679108E-3</v>
      </c>
      <c r="K163" s="81">
        <f t="shared" si="103"/>
        <v>2.5369579812127086E-3</v>
      </c>
      <c r="L163" s="81">
        <f t="shared" si="103"/>
        <v>2.53772088372301E-3</v>
      </c>
      <c r="M163" s="81">
        <f t="shared" si="103"/>
        <v>2.5453428375196451E-3</v>
      </c>
      <c r="N163" s="81">
        <f t="shared" si="103"/>
        <v>2.6214923510349143E-3</v>
      </c>
      <c r="O163" s="81">
        <f t="shared" si="103"/>
        <v>3.3799813165433187E-3</v>
      </c>
      <c r="P163" s="81">
        <f t="shared" si="103"/>
        <v>1.0679566240671793E-2</v>
      </c>
      <c r="Q163" s="81">
        <f t="shared" si="103"/>
        <v>6.1328584941934473E-2</v>
      </c>
      <c r="R163" s="81">
        <f t="shared" si="103"/>
        <v>0.11034216251633364</v>
      </c>
      <c r="S163" s="81">
        <f t="shared" si="103"/>
        <v>0.10222772645826039</v>
      </c>
      <c r="T163" s="81">
        <f t="shared" si="103"/>
        <v>7.9483925803960229E-2</v>
      </c>
      <c r="U163" s="81">
        <f t="shared" si="103"/>
        <v>5.487150347418112E-2</v>
      </c>
      <c r="V163" s="81">
        <f t="shared" si="103"/>
        <v>2.3298958962093868E-2</v>
      </c>
      <c r="W163" s="81">
        <f t="shared" si="103"/>
        <v>1.1554486949718747E-2</v>
      </c>
      <c r="X163" s="81">
        <f t="shared" si="103"/>
        <v>3.9274756898446716E-3</v>
      </c>
      <c r="Y163" s="81">
        <f t="shared" si="103"/>
        <v>2.2059154532932619E-2</v>
      </c>
      <c r="Z163" s="81">
        <f t="shared" si="103"/>
        <v>3.6093233696893823E-2</v>
      </c>
      <c r="AA163" s="81">
        <f t="shared" si="103"/>
        <v>4.2796890350176794E-2</v>
      </c>
      <c r="AB163" s="81">
        <f t="shared" si="103"/>
        <v>4.6830582273340839E-2</v>
      </c>
      <c r="AC163" s="81">
        <f t="shared" si="103"/>
        <v>3.9578853155078808E-2</v>
      </c>
      <c r="AD163" s="81">
        <f t="shared" si="103"/>
        <v>2.3011771380773073E-2</v>
      </c>
      <c r="AE163" s="81">
        <f t="shared" si="103"/>
        <v>4.5071899382147064E-3</v>
      </c>
      <c r="AF163" s="81">
        <f t="shared" si="103"/>
        <v>5.1004889761372886E-2</v>
      </c>
    </row>
    <row r="164" spans="1:34" x14ac:dyDescent="0.25">
      <c r="B164" s="21">
        <f>(B131-B130)^2</f>
        <v>227.35606122613254</v>
      </c>
      <c r="C164" s="21">
        <f t="shared" ref="C164:AF164" si="104">(C131-C130)^2</f>
        <v>228.47827457686583</v>
      </c>
      <c r="D164" s="21">
        <f t="shared" si="104"/>
        <v>227.79180883274395</v>
      </c>
      <c r="E164" s="21">
        <f t="shared" si="104"/>
        <v>227.59186138697243</v>
      </c>
      <c r="F164" s="21">
        <f t="shared" si="104"/>
        <v>227.52970072710968</v>
      </c>
      <c r="G164" s="21">
        <f t="shared" si="104"/>
        <v>227.50471829710844</v>
      </c>
      <c r="H164" s="21">
        <f t="shared" si="104"/>
        <v>227.49681057564499</v>
      </c>
      <c r="I164" s="21">
        <f t="shared" si="104"/>
        <v>227.49572873842786</v>
      </c>
      <c r="J164" s="21">
        <f t="shared" si="104"/>
        <v>227.49709702122806</v>
      </c>
      <c r="K164" s="21">
        <f t="shared" si="104"/>
        <v>227.51078007038518</v>
      </c>
      <c r="L164" s="21">
        <f t="shared" si="104"/>
        <v>227.64763266620673</v>
      </c>
      <c r="M164" s="21">
        <f t="shared" si="104"/>
        <v>229.01714614201873</v>
      </c>
      <c r="N164" s="21">
        <f t="shared" si="104"/>
        <v>242.92517290306023</v>
      </c>
      <c r="O164" s="21">
        <f t="shared" si="104"/>
        <v>403.83403456293144</v>
      </c>
      <c r="P164" s="21">
        <f t="shared" si="104"/>
        <v>4031.544792784684</v>
      </c>
      <c r="Q164" s="21">
        <f t="shared" si="104"/>
        <v>132919.83452098296</v>
      </c>
      <c r="R164" s="21">
        <f t="shared" si="104"/>
        <v>429304.32581405959</v>
      </c>
      <c r="S164" s="21">
        <f t="shared" si="104"/>
        <v>361815.7204153908</v>
      </c>
      <c r="T164" s="21">
        <f t="shared" si="104"/>
        <v>208048.72931127829</v>
      </c>
      <c r="U164" s="21">
        <f t="shared" si="104"/>
        <v>94026.287508778638</v>
      </c>
      <c r="V164" s="21">
        <f t="shared" si="104"/>
        <v>15826.289462994011</v>
      </c>
      <c r="W164" s="21">
        <f t="shared" si="104"/>
        <v>3529.7136283092323</v>
      </c>
      <c r="X164" s="21">
        <f t="shared" si="104"/>
        <v>363.63692008169795</v>
      </c>
      <c r="Y164" s="21">
        <f t="shared" si="104"/>
        <v>9988.1998377929704</v>
      </c>
      <c r="Z164" s="21">
        <f t="shared" si="104"/>
        <v>23146.53276054153</v>
      </c>
      <c r="AA164" s="21">
        <f t="shared" si="104"/>
        <v>28275.252800825565</v>
      </c>
      <c r="AB164" s="21">
        <f t="shared" si="104"/>
        <v>29077.57667258372</v>
      </c>
      <c r="AC164" s="21">
        <f t="shared" si="104"/>
        <v>17606.361171787114</v>
      </c>
      <c r="AD164" s="21">
        <f t="shared" si="104"/>
        <v>4755.1844858340028</v>
      </c>
      <c r="AE164" s="21">
        <f t="shared" si="104"/>
        <v>133.44770897896433</v>
      </c>
      <c r="AF164" s="21">
        <f t="shared" si="104"/>
        <v>11034.505565343334</v>
      </c>
    </row>
    <row r="165" spans="1:34" x14ac:dyDescent="0.25">
      <c r="A165" s="72">
        <f>SUM(B165:AF165)</f>
        <v>1377262.8202060743</v>
      </c>
      <c r="B165" s="60">
        <f>IF($A$64&lt;=B129,IF($B$64&gt;=B129,ABS(B164),0),0)</f>
        <v>227.35606122613254</v>
      </c>
      <c r="C165" s="60">
        <f t="shared" ref="C165:AF165" si="105">IF($A$64&lt;=C129,IF($B$64&gt;=C129,ABS(C164),0),0)</f>
        <v>228.47827457686583</v>
      </c>
      <c r="D165" s="60">
        <f t="shared" si="105"/>
        <v>227.79180883274395</v>
      </c>
      <c r="E165" s="60">
        <f t="shared" si="105"/>
        <v>227.59186138697243</v>
      </c>
      <c r="F165" s="60">
        <f t="shared" si="105"/>
        <v>227.52970072710968</v>
      </c>
      <c r="G165" s="60">
        <f t="shared" si="105"/>
        <v>227.50471829710844</v>
      </c>
      <c r="H165" s="60">
        <f t="shared" si="105"/>
        <v>227.49681057564499</v>
      </c>
      <c r="I165" s="60">
        <f t="shared" si="105"/>
        <v>227.49572873842786</v>
      </c>
      <c r="J165" s="60">
        <f t="shared" si="105"/>
        <v>227.49709702122806</v>
      </c>
      <c r="K165" s="60">
        <f t="shared" si="105"/>
        <v>227.51078007038518</v>
      </c>
      <c r="L165" s="60">
        <f t="shared" si="105"/>
        <v>227.64763266620673</v>
      </c>
      <c r="M165" s="60">
        <f t="shared" si="105"/>
        <v>229.01714614201873</v>
      </c>
      <c r="N165" s="60">
        <f t="shared" si="105"/>
        <v>242.92517290306023</v>
      </c>
      <c r="O165" s="60">
        <f t="shared" si="105"/>
        <v>403.83403456293144</v>
      </c>
      <c r="P165" s="60">
        <f t="shared" si="105"/>
        <v>4031.544792784684</v>
      </c>
      <c r="Q165" s="60">
        <f t="shared" si="105"/>
        <v>132919.83452098296</v>
      </c>
      <c r="R165" s="60">
        <f t="shared" si="105"/>
        <v>429304.32581405959</v>
      </c>
      <c r="S165" s="60">
        <f t="shared" si="105"/>
        <v>361815.7204153908</v>
      </c>
      <c r="T165" s="60">
        <f t="shared" si="105"/>
        <v>208048.72931127829</v>
      </c>
      <c r="U165" s="60">
        <f t="shared" si="105"/>
        <v>94026.287508778638</v>
      </c>
      <c r="V165" s="60">
        <f t="shared" si="105"/>
        <v>15826.289462994011</v>
      </c>
      <c r="W165" s="60">
        <f t="shared" si="105"/>
        <v>3529.7136283092323</v>
      </c>
      <c r="X165" s="60">
        <f t="shared" si="105"/>
        <v>363.63692008169795</v>
      </c>
      <c r="Y165" s="60">
        <f t="shared" si="105"/>
        <v>9988.1998377929704</v>
      </c>
      <c r="Z165" s="60">
        <f t="shared" si="105"/>
        <v>23146.53276054153</v>
      </c>
      <c r="AA165" s="60">
        <f t="shared" si="105"/>
        <v>28275.252800825565</v>
      </c>
      <c r="AB165" s="60">
        <f t="shared" si="105"/>
        <v>29077.57667258372</v>
      </c>
      <c r="AC165" s="60">
        <f t="shared" si="105"/>
        <v>17606.361171787114</v>
      </c>
      <c r="AD165" s="60">
        <f t="shared" si="105"/>
        <v>4755.1844858340028</v>
      </c>
      <c r="AE165" s="60">
        <f t="shared" si="105"/>
        <v>133.44770897896433</v>
      </c>
      <c r="AF165" s="60">
        <f t="shared" si="105"/>
        <v>11034.505565343334</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70" t="s">
        <v>27</v>
      </c>
      <c r="B167" s="11">
        <f>INDEX($D$1:$M$1,1,$C$122)</f>
        <v>0</v>
      </c>
    </row>
    <row r="168" spans="1:34" x14ac:dyDescent="0.25">
      <c r="A168" s="70"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5936.3433151657146</v>
      </c>
      <c r="C169" s="26">
        <f>INDEX(Comparison!$AM$3:$AS$33,G$14,$C$122)</f>
        <v>5936.3803075081632</v>
      </c>
      <c r="D169" s="26">
        <f>INDEX(Comparison!$AM$3:$AS$33,H$14,$C$122)</f>
        <v>5936.3578341520697</v>
      </c>
      <c r="E169" s="26">
        <f>INDEX(Comparison!$AM$3:$AS$33,I$14,$C$122)</f>
        <v>5936.3510277390824</v>
      </c>
      <c r="F169" s="26">
        <f>INDEX(Comparison!$AM$3:$AS$33,J$14,$C$122)</f>
        <v>5936.3489535985827</v>
      </c>
      <c r="G169" s="26">
        <f>INDEX(Comparison!$AM$3:$AS$33,K$14,$C$122)</f>
        <v>5936.3483494802622</v>
      </c>
      <c r="H169" s="26">
        <f>INDEX(Comparison!$AM$3:$AS$33,L$14,$C$122)</f>
        <v>5936.3480675584215</v>
      </c>
      <c r="I169" s="26">
        <f>INDEX(Comparison!$AM$3:$AS$33,M$14,$C$122)</f>
        <v>5936.3480474211492</v>
      </c>
      <c r="J169" s="26">
        <f>INDEX(Comparison!$AM$3:$AS$33,N$14,$C$122)</f>
        <v>5936.3478259111525</v>
      </c>
      <c r="K169" s="26">
        <f>INDEX(Comparison!$AM$3:$AS$33,O$14,$C$122)</f>
        <v>5936.3478259111525</v>
      </c>
      <c r="L169" s="26">
        <f>INDEX(Comparison!$AM$3:$AS$33,P$14,$C$122)</f>
        <v>5936.3475238520905</v>
      </c>
      <c r="M169" s="26">
        <f>INDEX(Comparison!$AM$3:$AS$33,Q$14,$C$122)</f>
        <v>5936.3452282042372</v>
      </c>
      <c r="N169" s="26">
        <f>INDEX(Comparison!$AM$3:$AS$33,R$14,$C$122)</f>
        <v>5936.3201171545998</v>
      </c>
      <c r="O169" s="26">
        <f>INDEX(Comparison!$AM$3:$AS$33,S$14,$C$122)</f>
        <v>5936.0699445696901</v>
      </c>
      <c r="P169" s="26">
        <f>INDEX(Comparison!$AM$3:$AS$33,T$14,$C$122)</f>
        <v>5933.5894562136173</v>
      </c>
      <c r="Q169" s="26">
        <f>INDEX(Comparison!$AM$3:$AS$33,U$14,$C$122)</f>
        <v>5910.7352387881974</v>
      </c>
      <c r="R169" s="26">
        <f>INDEX(Comparison!$AM$3:$AS$33,V$14,$C$122)</f>
        <v>5788.6039225333288</v>
      </c>
      <c r="S169" s="26">
        <f>INDEX(Comparison!$AM$3:$AS$33,W$14,$C$122)</f>
        <v>5645.2982525424422</v>
      </c>
      <c r="T169" s="26">
        <f>INDEX(Comparison!$AM$3:$AS$33,X$14,$C$122)</f>
        <v>5477.0166152184411</v>
      </c>
      <c r="U169" s="26">
        <f>INDEX(Comparison!$AM$3:$AS$33,Y$14,$C$122)</f>
        <v>5242.9581566849647</v>
      </c>
      <c r="V169" s="26">
        <f>INDEX(Comparison!$AM$3:$AS$33,Z$14,$C$122)</f>
        <v>4967.1522364522052</v>
      </c>
      <c r="W169" s="26">
        <f>INDEX(Comparison!$AM$3:$AS$33,AA$14,$C$122)</f>
        <v>4663.1486629646943</v>
      </c>
      <c r="X169" s="26">
        <f>INDEX(Comparison!$AM$3:$AS$33,AB$14,$C$122)</f>
        <v>4346.263159926043</v>
      </c>
      <c r="Y169" s="26">
        <f>INDEX(Comparison!$AM$3:$AS$33,AC$14,$C$122)</f>
        <v>4052.7215067045913</v>
      </c>
      <c r="Z169" s="26">
        <f>INDEX(Comparison!$AM$3:$AS$33,AD$14,$C$122)</f>
        <v>3771.4995408899726</v>
      </c>
      <c r="AA169" s="26">
        <f>INDEX(Comparison!$AM$3:$AS$33,AE$14,$C$122)</f>
        <v>3487.2930712528305</v>
      </c>
      <c r="AB169" s="26">
        <f>INDEX(Comparison!$AM$3:$AS$33,AF$14,$C$122)</f>
        <v>3171.2944430186703</v>
      </c>
      <c r="AC169" s="26">
        <f>INDEX(Comparison!$AM$3:$AS$33,AG$14,$C$122)</f>
        <v>2771.7245513357993</v>
      </c>
      <c r="AD169" s="26">
        <f>INDEX(Comparison!$AM$3:$AS$33,AH$14,$C$122)</f>
        <v>2294.6891766146468</v>
      </c>
      <c r="AE169" s="26">
        <f>INDEX(Comparison!$AM$3:$AS$33,AI$14,$C$122)</f>
        <v>1744.1842965326991</v>
      </c>
      <c r="AF169" s="26">
        <f>INDEX(Comparison!$AM$3:$AS$33,AJ$14,$C$122)</f>
        <v>1149.8282974544306</v>
      </c>
      <c r="AG169" s="26"/>
      <c r="AH169" s="26"/>
    </row>
    <row r="170" spans="1:34" x14ac:dyDescent="0.25">
      <c r="A170" s="71" t="s">
        <v>22</v>
      </c>
      <c r="B170" s="27">
        <f>($C$17+SUM(B171:B201))*$B$51</f>
        <v>5930.4078999999892</v>
      </c>
      <c r="C170" s="27">
        <f t="shared" ref="C170:AF170" si="106">($C$17+SUM(C171:C201))*$B$51</f>
        <v>5930.4078999998783</v>
      </c>
      <c r="D170" s="27">
        <f t="shared" si="106"/>
        <v>5930.4078999987642</v>
      </c>
      <c r="E170" s="27">
        <f t="shared" si="106"/>
        <v>5930.407899987621</v>
      </c>
      <c r="F170" s="27">
        <f t="shared" si="106"/>
        <v>5930.4078998762006</v>
      </c>
      <c r="G170" s="27">
        <f t="shared" si="106"/>
        <v>5930.4078987619932</v>
      </c>
      <c r="H170" s="27">
        <f t="shared" si="106"/>
        <v>5930.407887619911</v>
      </c>
      <c r="I170" s="27">
        <f t="shared" si="106"/>
        <v>5930.4077761991048</v>
      </c>
      <c r="J170" s="27">
        <f t="shared" si="106"/>
        <v>5930.4066619920859</v>
      </c>
      <c r="K170" s="27">
        <f t="shared" si="106"/>
        <v>5930.3955200272985</v>
      </c>
      <c r="L170" s="27">
        <f t="shared" si="106"/>
        <v>5930.2841109177352</v>
      </c>
      <c r="M170" s="27">
        <f t="shared" si="106"/>
        <v>5929.1710729830647</v>
      </c>
      <c r="N170" s="27">
        <f t="shared" si="106"/>
        <v>5918.1453426587732</v>
      </c>
      <c r="O170" s="27">
        <f t="shared" si="106"/>
        <v>5817.7165832905985</v>
      </c>
      <c r="P170" s="27">
        <f t="shared" si="106"/>
        <v>5378.3843439626798</v>
      </c>
      <c r="Q170" s="27">
        <f t="shared" si="106"/>
        <v>5282.527375321828</v>
      </c>
      <c r="R170" s="27">
        <f t="shared" si="106"/>
        <v>5282.5076459368738</v>
      </c>
      <c r="S170" s="27">
        <f t="shared" si="106"/>
        <v>5282.3104302929933</v>
      </c>
      <c r="T170" s="27">
        <f t="shared" si="106"/>
        <v>5280.3428308509083</v>
      </c>
      <c r="U170" s="27">
        <f t="shared" si="106"/>
        <v>5261.1152225520682</v>
      </c>
      <c r="V170" s="27">
        <f t="shared" si="106"/>
        <v>5107.1799328929092</v>
      </c>
      <c r="W170" s="27">
        <f t="shared" si="106"/>
        <v>4771.1401350968808</v>
      </c>
      <c r="X170" s="27">
        <f t="shared" si="106"/>
        <v>4539.2400553649677</v>
      </c>
      <c r="Y170" s="27">
        <f t="shared" si="106"/>
        <v>4262.9198806948889</v>
      </c>
      <c r="Z170" s="27">
        <f t="shared" si="106"/>
        <v>3988.2397972439003</v>
      </c>
      <c r="AA170" s="27">
        <f t="shared" si="106"/>
        <v>3687.4646255480388</v>
      </c>
      <c r="AB170" s="27">
        <f t="shared" si="106"/>
        <v>3329.8079116080121</v>
      </c>
      <c r="AC170" s="27">
        <f t="shared" si="106"/>
        <v>2860.9664530463674</v>
      </c>
      <c r="AD170" s="27">
        <f t="shared" si="106"/>
        <v>2308.8229956990676</v>
      </c>
      <c r="AE170" s="27">
        <f t="shared" si="106"/>
        <v>1676.5106923776386</v>
      </c>
      <c r="AF170" s="27">
        <f t="shared" si="106"/>
        <v>1030.6296594416301</v>
      </c>
      <c r="AG170" s="27"/>
      <c r="AH170" s="27"/>
    </row>
    <row r="171" spans="1:34" x14ac:dyDescent="0.25">
      <c r="B171" s="3">
        <f t="shared" ref="B171:AF171" si="107">$C18*EXP(-B$168/$A18/EXP(-$C$126))</f>
        <v>0.10924684220979211</v>
      </c>
      <c r="C171" s="3">
        <f t="shared" si="107"/>
        <v>0.10924684220977332</v>
      </c>
      <c r="D171" s="3">
        <f t="shared" si="107"/>
        <v>0.10924684220958543</v>
      </c>
      <c r="E171" s="3">
        <f t="shared" si="107"/>
        <v>0.10924684220770663</v>
      </c>
      <c r="F171" s="3">
        <f t="shared" si="107"/>
        <v>0.10924684218891859</v>
      </c>
      <c r="G171" s="3">
        <f t="shared" si="107"/>
        <v>0.10924684200103808</v>
      </c>
      <c r="H171" s="3">
        <f t="shared" si="107"/>
        <v>0.10924684012223311</v>
      </c>
      <c r="I171" s="3">
        <f t="shared" si="107"/>
        <v>0.10924682133418526</v>
      </c>
      <c r="J171" s="3">
        <f t="shared" si="107"/>
        <v>0.1092466334538844</v>
      </c>
      <c r="K171" s="3">
        <f t="shared" si="107"/>
        <v>0.10924475466864689</v>
      </c>
      <c r="L171" s="3">
        <f t="shared" si="107"/>
        <v>0.10922596859326801</v>
      </c>
      <c r="M171" s="3">
        <f t="shared" si="107"/>
        <v>0.10903828542607746</v>
      </c>
      <c r="N171" s="3">
        <f t="shared" si="107"/>
        <v>0.10717909993031621</v>
      </c>
      <c r="O171" s="3">
        <f t="shared" si="107"/>
        <v>9.0244558270620487E-2</v>
      </c>
      <c r="P171" s="3">
        <f t="shared" si="107"/>
        <v>1.6163306277547428E-2</v>
      </c>
      <c r="Q171" s="3">
        <f t="shared" si="107"/>
        <v>5.4906276374520607E-10</v>
      </c>
      <c r="R171" s="3">
        <f t="shared" si="107"/>
        <v>1.1234141387605152E-84</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7.1825631805889176E-2</v>
      </c>
      <c r="C172" s="3">
        <f t="shared" si="108"/>
        <v>7.1825631805889176E-2</v>
      </c>
      <c r="D172" s="3">
        <f t="shared" si="108"/>
        <v>7.1825631805889176E-2</v>
      </c>
      <c r="E172" s="3">
        <f t="shared" si="108"/>
        <v>7.1825631805889176E-2</v>
      </c>
      <c r="F172" s="3">
        <f t="shared" si="108"/>
        <v>7.1825631805889176E-2</v>
      </c>
      <c r="G172" s="3">
        <f t="shared" si="108"/>
        <v>7.1825631805889148E-2</v>
      </c>
      <c r="H172" s="3">
        <f t="shared" si="108"/>
        <v>7.1825631805888829E-2</v>
      </c>
      <c r="I172" s="3">
        <f t="shared" si="108"/>
        <v>7.1825631805885665E-2</v>
      </c>
      <c r="J172" s="3">
        <f t="shared" si="108"/>
        <v>7.1825631805854023E-2</v>
      </c>
      <c r="K172" s="3">
        <f t="shared" si="108"/>
        <v>7.182563180553761E-2</v>
      </c>
      <c r="L172" s="3">
        <f t="shared" si="108"/>
        <v>7.1825631802373474E-2</v>
      </c>
      <c r="M172" s="3">
        <f t="shared" si="108"/>
        <v>7.1825631770732187E-2</v>
      </c>
      <c r="N172" s="3">
        <f t="shared" si="108"/>
        <v>7.1825631454319291E-2</v>
      </c>
      <c r="O172" s="3">
        <f t="shared" si="108"/>
        <v>7.1825628290190416E-2</v>
      </c>
      <c r="P172" s="3">
        <f t="shared" si="108"/>
        <v>7.1825596648909279E-2</v>
      </c>
      <c r="Q172" s="3">
        <f t="shared" si="108"/>
        <v>7.1825280236864575E-2</v>
      </c>
      <c r="R172" s="3">
        <f t="shared" si="108"/>
        <v>7.1822116193080168E-2</v>
      </c>
      <c r="S172" s="3">
        <f t="shared" si="108"/>
        <v>7.1790483420249865E-2</v>
      </c>
      <c r="T172" s="3">
        <f t="shared" si="108"/>
        <v>7.1474920945424278E-2</v>
      </c>
      <c r="U172" s="3">
        <f t="shared" si="108"/>
        <v>6.8394588775354023E-2</v>
      </c>
      <c r="V172" s="3">
        <f t="shared" si="108"/>
        <v>4.402530088086299E-2</v>
      </c>
      <c r="W172" s="3">
        <f t="shared" si="108"/>
        <v>5.3766062585345437E-4</v>
      </c>
      <c r="X172" s="3">
        <f t="shared" si="108"/>
        <v>3.9679595686405954E-23</v>
      </c>
      <c r="Y172" s="3">
        <f t="shared" si="108"/>
        <v>1.9017669191857396E-214</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3.596772409142239E-2</v>
      </c>
      <c r="C173" s="3">
        <f t="shared" si="109"/>
        <v>3.596772409142239E-2</v>
      </c>
      <c r="D173" s="3">
        <f t="shared" si="109"/>
        <v>3.596772409142239E-2</v>
      </c>
      <c r="E173" s="3">
        <f t="shared" si="109"/>
        <v>3.596772409142239E-2</v>
      </c>
      <c r="F173" s="3">
        <f t="shared" si="109"/>
        <v>3.596772409142239E-2</v>
      </c>
      <c r="G173" s="3">
        <f t="shared" si="109"/>
        <v>3.596772409142239E-2</v>
      </c>
      <c r="H173" s="3">
        <f t="shared" si="109"/>
        <v>3.5967724091422376E-2</v>
      </c>
      <c r="I173" s="3">
        <f t="shared" si="109"/>
        <v>3.596772409142223E-2</v>
      </c>
      <c r="J173" s="3">
        <f t="shared" si="109"/>
        <v>3.5967724091420801E-2</v>
      </c>
      <c r="K173" s="3">
        <f t="shared" si="109"/>
        <v>3.5967724091406507E-2</v>
      </c>
      <c r="L173" s="3">
        <f t="shared" si="109"/>
        <v>3.5967724091263573E-2</v>
      </c>
      <c r="M173" s="3">
        <f t="shared" si="109"/>
        <v>3.5967724089834237E-2</v>
      </c>
      <c r="N173" s="3">
        <f t="shared" si="109"/>
        <v>3.5967724075540879E-2</v>
      </c>
      <c r="O173" s="3">
        <f t="shared" si="109"/>
        <v>3.5967723932607304E-2</v>
      </c>
      <c r="P173" s="3">
        <f t="shared" si="109"/>
        <v>3.5967722503271536E-2</v>
      </c>
      <c r="Q173" s="3">
        <f t="shared" si="109"/>
        <v>3.5967708209917043E-2</v>
      </c>
      <c r="R173" s="3">
        <f t="shared" si="109"/>
        <v>3.5967565276684467E-2</v>
      </c>
      <c r="S173" s="3">
        <f t="shared" si="109"/>
        <v>3.596613597559873E-2</v>
      </c>
      <c r="T173" s="3">
        <f t="shared" si="109"/>
        <v>3.5951846088283175E-2</v>
      </c>
      <c r="U173" s="3">
        <f t="shared" si="109"/>
        <v>3.5809259110523239E-2</v>
      </c>
      <c r="V173" s="3">
        <f t="shared" si="109"/>
        <v>3.4414125108602658E-2</v>
      </c>
      <c r="W173" s="3">
        <f t="shared" si="109"/>
        <v>2.3128672637933178E-2</v>
      </c>
      <c r="X173" s="3">
        <f t="shared" si="109"/>
        <v>4.3480093469495728E-4</v>
      </c>
      <c r="Y173" s="3">
        <f t="shared" si="109"/>
        <v>2.3971105726282746E-21</v>
      </c>
      <c r="Z173" s="3">
        <f t="shared" si="109"/>
        <v>6.2181909043673822E-194</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4.9137716927094087E-2</v>
      </c>
      <c r="C174" s="3">
        <f t="shared" si="110"/>
        <v>4.9137716927094087E-2</v>
      </c>
      <c r="D174" s="3">
        <f t="shared" si="110"/>
        <v>4.9137716927094087E-2</v>
      </c>
      <c r="E174" s="3">
        <f t="shared" si="110"/>
        <v>4.9137716927094087E-2</v>
      </c>
      <c r="F174" s="3">
        <f t="shared" si="110"/>
        <v>4.9137716927094087E-2</v>
      </c>
      <c r="G174" s="3">
        <f t="shared" si="110"/>
        <v>4.9137716927094087E-2</v>
      </c>
      <c r="H174" s="3">
        <f t="shared" si="110"/>
        <v>4.9137716927094087E-2</v>
      </c>
      <c r="I174" s="3">
        <f t="shared" si="110"/>
        <v>4.9137716927094066E-2</v>
      </c>
      <c r="J174" s="3">
        <f t="shared" si="110"/>
        <v>4.9137716927093893E-2</v>
      </c>
      <c r="K174" s="3">
        <f t="shared" si="110"/>
        <v>4.913771692709213E-2</v>
      </c>
      <c r="L174" s="3">
        <f t="shared" si="110"/>
        <v>4.9137716927074512E-2</v>
      </c>
      <c r="M174" s="3">
        <f t="shared" si="110"/>
        <v>4.9137716926898362E-2</v>
      </c>
      <c r="N174" s="3">
        <f t="shared" si="110"/>
        <v>4.9137716925136868E-2</v>
      </c>
      <c r="O174" s="3">
        <f t="shared" si="110"/>
        <v>4.9137716907521854E-2</v>
      </c>
      <c r="P174" s="3">
        <f t="shared" si="110"/>
        <v>4.913771673137176E-2</v>
      </c>
      <c r="Q174" s="3">
        <f t="shared" si="110"/>
        <v>4.9137714969870863E-2</v>
      </c>
      <c r="R174" s="3">
        <f t="shared" si="110"/>
        <v>4.9137697354865402E-2</v>
      </c>
      <c r="S174" s="3">
        <f t="shared" si="110"/>
        <v>4.9137521205158033E-2</v>
      </c>
      <c r="T174" s="3">
        <f t="shared" si="110"/>
        <v>4.9135759742814582E-2</v>
      </c>
      <c r="U174" s="3">
        <f t="shared" si="110"/>
        <v>4.9118148591937728E-2</v>
      </c>
      <c r="V174" s="3">
        <f t="shared" si="110"/>
        <v>4.8942383878782997E-2</v>
      </c>
      <c r="W174" s="3">
        <f t="shared" si="110"/>
        <v>4.7218960701515864E-2</v>
      </c>
      <c r="X174" s="3">
        <f t="shared" si="110"/>
        <v>3.2993582344793035E-2</v>
      </c>
      <c r="Y174" s="3">
        <f t="shared" si="110"/>
        <v>9.1529261468059923E-4</v>
      </c>
      <c r="Z174" s="3">
        <f t="shared" si="110"/>
        <v>2.4709548758448746E-19</v>
      </c>
      <c r="AA174" s="3">
        <f t="shared" si="110"/>
        <v>5.0805809763243911E-175</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4.6762783367912203E-2</v>
      </c>
      <c r="C175" s="3">
        <f t="shared" si="111"/>
        <v>4.6762783367912203E-2</v>
      </c>
      <c r="D175" s="3">
        <f t="shared" si="111"/>
        <v>4.6762783367912203E-2</v>
      </c>
      <c r="E175" s="3">
        <f t="shared" si="111"/>
        <v>4.6762783367912203E-2</v>
      </c>
      <c r="F175" s="3">
        <f t="shared" si="111"/>
        <v>4.6762783367912203E-2</v>
      </c>
      <c r="G175" s="3">
        <f t="shared" si="111"/>
        <v>4.6762783367912203E-2</v>
      </c>
      <c r="H175" s="3">
        <f t="shared" si="111"/>
        <v>4.6762783367912203E-2</v>
      </c>
      <c r="I175" s="3">
        <f t="shared" si="111"/>
        <v>4.6762783367912203E-2</v>
      </c>
      <c r="J175" s="3">
        <f t="shared" si="111"/>
        <v>4.6762783367912189E-2</v>
      </c>
      <c r="K175" s="3">
        <f t="shared" si="111"/>
        <v>4.6762783367912036E-2</v>
      </c>
      <c r="L175" s="3">
        <f t="shared" si="111"/>
        <v>4.6762783367910524E-2</v>
      </c>
      <c r="M175" s="3">
        <f t="shared" si="111"/>
        <v>4.6762783367895404E-2</v>
      </c>
      <c r="N175" s="3">
        <f t="shared" si="111"/>
        <v>4.6762783367744178E-2</v>
      </c>
      <c r="O175" s="3">
        <f t="shared" si="111"/>
        <v>4.6762783366231957E-2</v>
      </c>
      <c r="P175" s="3">
        <f t="shared" si="111"/>
        <v>4.6762783351109762E-2</v>
      </c>
      <c r="Q175" s="3">
        <f t="shared" si="111"/>
        <v>4.676278319988781E-2</v>
      </c>
      <c r="R175" s="3">
        <f t="shared" si="111"/>
        <v>4.6762781687668294E-2</v>
      </c>
      <c r="S175" s="3">
        <f t="shared" si="111"/>
        <v>4.6762766565475823E-2</v>
      </c>
      <c r="T175" s="3">
        <f t="shared" si="111"/>
        <v>4.676261534382007E-2</v>
      </c>
      <c r="U175" s="3">
        <f t="shared" si="111"/>
        <v>4.6761103154158462E-2</v>
      </c>
      <c r="V175" s="3">
        <f t="shared" si="111"/>
        <v>4.6745983946811689E-2</v>
      </c>
      <c r="W175" s="3">
        <f t="shared" si="111"/>
        <v>4.6595060478778844E-2</v>
      </c>
      <c r="X175" s="3">
        <f t="shared" si="111"/>
        <v>4.5112367714008485E-2</v>
      </c>
      <c r="Y175" s="3">
        <f t="shared" si="111"/>
        <v>3.2647733708723939E-2</v>
      </c>
      <c r="Z175" s="3">
        <f t="shared" si="111"/>
        <v>1.2865516272318905E-3</v>
      </c>
      <c r="AA175" s="3">
        <f t="shared" si="111"/>
        <v>1.161900686125926E-17</v>
      </c>
      <c r="AB175" s="3">
        <f t="shared" si="111"/>
        <v>4.1935990529289186E-158</v>
      </c>
      <c r="AC175" s="3">
        <f t="shared" si="111"/>
        <v>0</v>
      </c>
      <c r="AD175" s="3">
        <f t="shared" si="111"/>
        <v>0</v>
      </c>
      <c r="AE175" s="3">
        <f t="shared" si="111"/>
        <v>0</v>
      </c>
      <c r="AF175" s="3">
        <f t="shared" si="111"/>
        <v>0</v>
      </c>
      <c r="AG175" s="3"/>
      <c r="AH175" s="3"/>
    </row>
    <row r="176" spans="1:34" x14ac:dyDescent="0.25">
      <c r="B176" s="3">
        <f t="shared" ref="B176:AF176" si="112">$C23*EXP(-B$168/$A23/EXP(-$C$126))</f>
        <v>5.0407962506303181E-2</v>
      </c>
      <c r="C176" s="3">
        <f t="shared" si="112"/>
        <v>5.0407962506303181E-2</v>
      </c>
      <c r="D176" s="3">
        <f t="shared" si="112"/>
        <v>5.0407962506303181E-2</v>
      </c>
      <c r="E176" s="3">
        <f t="shared" si="112"/>
        <v>5.0407962506303181E-2</v>
      </c>
      <c r="F176" s="3">
        <f t="shared" si="112"/>
        <v>5.0407962506303181E-2</v>
      </c>
      <c r="G176" s="3">
        <f t="shared" si="112"/>
        <v>5.0407962506303181E-2</v>
      </c>
      <c r="H176" s="3">
        <f t="shared" si="112"/>
        <v>5.0407962506303181E-2</v>
      </c>
      <c r="I176" s="3">
        <f t="shared" si="112"/>
        <v>5.0407962506303181E-2</v>
      </c>
      <c r="J176" s="3">
        <f t="shared" si="112"/>
        <v>5.0407962506303181E-2</v>
      </c>
      <c r="K176" s="3">
        <f t="shared" si="112"/>
        <v>5.0407962506303167E-2</v>
      </c>
      <c r="L176" s="3">
        <f t="shared" si="112"/>
        <v>5.0407962506303021E-2</v>
      </c>
      <c r="M176" s="3">
        <f t="shared" si="112"/>
        <v>5.0407962506301543E-2</v>
      </c>
      <c r="N176" s="3">
        <f t="shared" si="112"/>
        <v>5.0407962506286846E-2</v>
      </c>
      <c r="O176" s="3">
        <f t="shared" si="112"/>
        <v>5.040796250613979E-2</v>
      </c>
      <c r="P176" s="3">
        <f t="shared" si="112"/>
        <v>5.0407962504669307E-2</v>
      </c>
      <c r="Q176" s="3">
        <f t="shared" si="112"/>
        <v>5.0407962489964472E-2</v>
      </c>
      <c r="R176" s="3">
        <f t="shared" si="112"/>
        <v>5.0407962342916099E-2</v>
      </c>
      <c r="S176" s="3">
        <f t="shared" si="112"/>
        <v>5.0407960872432378E-2</v>
      </c>
      <c r="T176" s="3">
        <f t="shared" si="112"/>
        <v>5.0407946167597521E-2</v>
      </c>
      <c r="U176" s="3">
        <f t="shared" si="112"/>
        <v>5.0407799119484939E-2</v>
      </c>
      <c r="V176" s="3">
        <f t="shared" si="112"/>
        <v>5.0406328661951841E-2</v>
      </c>
      <c r="W176" s="3">
        <f t="shared" si="112"/>
        <v>5.0391626445642504E-2</v>
      </c>
      <c r="X176" s="3">
        <f t="shared" si="112"/>
        <v>5.0244839930288054E-2</v>
      </c>
      <c r="Y176" s="3">
        <f t="shared" si="112"/>
        <v>4.8800287176426364E-2</v>
      </c>
      <c r="Z176" s="3">
        <f t="shared" si="112"/>
        <v>3.645284970228551E-2</v>
      </c>
      <c r="AA176" s="3">
        <f t="shared" si="112"/>
        <v>1.9716170148817969E-3</v>
      </c>
      <c r="AB176" s="3">
        <f t="shared" si="112"/>
        <v>4.2240911590825955E-16</v>
      </c>
      <c r="AC176" s="3">
        <f t="shared" si="112"/>
        <v>8.6067765539155558E-143</v>
      </c>
      <c r="AD176" s="3">
        <f t="shared" si="112"/>
        <v>0</v>
      </c>
      <c r="AE176" s="3">
        <f t="shared" si="112"/>
        <v>0</v>
      </c>
      <c r="AF176" s="3">
        <f t="shared" si="112"/>
        <v>0</v>
      </c>
      <c r="AG176" s="3"/>
      <c r="AH176" s="3"/>
    </row>
    <row r="177" spans="2:34" x14ac:dyDescent="0.25">
      <c r="B177" s="3">
        <f t="shared" ref="B177:AF177" si="113">$C24*EXP(-B$168/$A24/EXP(-$C$126))</f>
        <v>5.7182312842770561E-2</v>
      </c>
      <c r="C177" s="3">
        <f t="shared" si="113"/>
        <v>5.7182312842770561E-2</v>
      </c>
      <c r="D177" s="3">
        <f t="shared" si="113"/>
        <v>5.7182312842770561E-2</v>
      </c>
      <c r="E177" s="3">
        <f t="shared" si="113"/>
        <v>5.7182312842770561E-2</v>
      </c>
      <c r="F177" s="3">
        <f t="shared" si="113"/>
        <v>5.7182312842770561E-2</v>
      </c>
      <c r="G177" s="3">
        <f t="shared" si="113"/>
        <v>5.7182312842770561E-2</v>
      </c>
      <c r="H177" s="3">
        <f t="shared" si="113"/>
        <v>5.7182312842770561E-2</v>
      </c>
      <c r="I177" s="3">
        <f t="shared" si="113"/>
        <v>5.7182312842770561E-2</v>
      </c>
      <c r="J177" s="3">
        <f t="shared" si="113"/>
        <v>5.7182312842770561E-2</v>
      </c>
      <c r="K177" s="3">
        <f t="shared" si="113"/>
        <v>5.7182312842770561E-2</v>
      </c>
      <c r="L177" s="3">
        <f t="shared" si="113"/>
        <v>5.718231284277054E-2</v>
      </c>
      <c r="M177" s="3">
        <f t="shared" si="113"/>
        <v>5.7182312842770394E-2</v>
      </c>
      <c r="N177" s="3">
        <f t="shared" si="113"/>
        <v>5.7182312842768888E-2</v>
      </c>
      <c r="O177" s="3">
        <f t="shared" si="113"/>
        <v>5.7182312842753838E-2</v>
      </c>
      <c r="P177" s="3">
        <f t="shared" si="113"/>
        <v>5.7182312842603368E-2</v>
      </c>
      <c r="Q177" s="3">
        <f t="shared" si="113"/>
        <v>5.71823128410986E-2</v>
      </c>
      <c r="R177" s="3">
        <f t="shared" si="113"/>
        <v>5.7182312826050921E-2</v>
      </c>
      <c r="S177" s="3">
        <f t="shared" si="113"/>
        <v>5.7182312675574172E-2</v>
      </c>
      <c r="T177" s="3">
        <f t="shared" si="113"/>
        <v>5.7182311170806729E-2</v>
      </c>
      <c r="U177" s="3">
        <f t="shared" si="113"/>
        <v>5.7182296123134475E-2</v>
      </c>
      <c r="V177" s="3">
        <f t="shared" si="113"/>
        <v>5.7182145646629726E-2</v>
      </c>
      <c r="W177" s="3">
        <f t="shared" si="113"/>
        <v>5.7180640903361057E-2</v>
      </c>
      <c r="X177" s="3">
        <f t="shared" si="113"/>
        <v>5.7165595648347965E-2</v>
      </c>
      <c r="Y177" s="3">
        <f t="shared" si="113"/>
        <v>5.7015360653688542E-2</v>
      </c>
      <c r="Z177" s="3">
        <f t="shared" si="113"/>
        <v>5.5534555910954325E-2</v>
      </c>
      <c r="AA177" s="3">
        <f t="shared" si="113"/>
        <v>4.2685225334500927E-2</v>
      </c>
      <c r="AB177" s="3">
        <f t="shared" si="113"/>
        <v>3.0719937592079689E-3</v>
      </c>
      <c r="AC177" s="3">
        <f t="shared" si="113"/>
        <v>1.1451116576978051E-14</v>
      </c>
      <c r="AD177" s="3">
        <f t="shared" si="113"/>
        <v>5.9309314568172839E-129</v>
      </c>
      <c r="AE177" s="3">
        <f t="shared" si="113"/>
        <v>0</v>
      </c>
      <c r="AF177" s="3">
        <f t="shared" si="113"/>
        <v>0</v>
      </c>
      <c r="AG177" s="3"/>
      <c r="AH177" s="3"/>
    </row>
    <row r="178" spans="2:34" x14ac:dyDescent="0.25">
      <c r="B178" s="3">
        <f t="shared" ref="B178:AF178" si="114">$C25*EXP(-B$168/$A25/EXP(-$C$126))</f>
        <v>8.0089931313285845E-2</v>
      </c>
      <c r="C178" s="3">
        <f t="shared" si="114"/>
        <v>8.0089931313285845E-2</v>
      </c>
      <c r="D178" s="3">
        <f t="shared" si="114"/>
        <v>8.0089931313285845E-2</v>
      </c>
      <c r="E178" s="3">
        <f t="shared" si="114"/>
        <v>8.0089931313285845E-2</v>
      </c>
      <c r="F178" s="3">
        <f t="shared" si="114"/>
        <v>8.0089931313285845E-2</v>
      </c>
      <c r="G178" s="3">
        <f t="shared" si="114"/>
        <v>8.0089931313285845E-2</v>
      </c>
      <c r="H178" s="3">
        <f t="shared" si="114"/>
        <v>8.0089931313285845E-2</v>
      </c>
      <c r="I178" s="3">
        <f t="shared" si="114"/>
        <v>8.0089931313285845E-2</v>
      </c>
      <c r="J178" s="3">
        <f t="shared" si="114"/>
        <v>8.0089931313285845E-2</v>
      </c>
      <c r="K178" s="3">
        <f t="shared" si="114"/>
        <v>8.0089931313285845E-2</v>
      </c>
      <c r="L178" s="3">
        <f t="shared" si="114"/>
        <v>8.0089931313285845E-2</v>
      </c>
      <c r="M178" s="3">
        <f t="shared" si="114"/>
        <v>8.0089931313285831E-2</v>
      </c>
      <c r="N178" s="3">
        <f t="shared" si="114"/>
        <v>8.0089931313285637E-2</v>
      </c>
      <c r="O178" s="3">
        <f t="shared" si="114"/>
        <v>8.0089931313283735E-2</v>
      </c>
      <c r="P178" s="3">
        <f t="shared" si="114"/>
        <v>8.0089931313264723E-2</v>
      </c>
      <c r="Q178" s="3">
        <f t="shared" si="114"/>
        <v>8.0089931313074597E-2</v>
      </c>
      <c r="R178" s="3">
        <f t="shared" si="114"/>
        <v>8.0089931311173382E-2</v>
      </c>
      <c r="S178" s="3">
        <f t="shared" si="114"/>
        <v>8.0089931292161187E-2</v>
      </c>
      <c r="T178" s="3">
        <f t="shared" si="114"/>
        <v>8.0089931102039269E-2</v>
      </c>
      <c r="U178" s="3">
        <f t="shared" si="114"/>
        <v>8.0089929200820115E-2</v>
      </c>
      <c r="V178" s="3">
        <f t="shared" si="114"/>
        <v>8.0089910188631E-2</v>
      </c>
      <c r="W178" s="3">
        <f t="shared" si="114"/>
        <v>8.0089720066988238E-2</v>
      </c>
      <c r="X178" s="3">
        <f t="shared" si="114"/>
        <v>8.008781887538291E-2</v>
      </c>
      <c r="Y178" s="3">
        <f t="shared" si="114"/>
        <v>8.0068809441358135E-2</v>
      </c>
      <c r="Z178" s="3">
        <f t="shared" si="114"/>
        <v>7.9878963086094573E-2</v>
      </c>
      <c r="AA178" s="3">
        <f t="shared" si="114"/>
        <v>7.8005081596216608E-2</v>
      </c>
      <c r="AB178" s="3">
        <f t="shared" si="114"/>
        <v>6.1521605983771897E-2</v>
      </c>
      <c r="AC178" s="3">
        <f t="shared" si="114"/>
        <v>5.7289541760503727E-3</v>
      </c>
      <c r="AD178" s="3">
        <f t="shared" si="114"/>
        <v>2.8090029420632583E-13</v>
      </c>
      <c r="AE178" s="3">
        <f t="shared" si="114"/>
        <v>2.2559041846627078E-116</v>
      </c>
      <c r="AF178" s="3">
        <f t="shared" si="114"/>
        <v>0</v>
      </c>
      <c r="AG178" s="3"/>
      <c r="AH178" s="3"/>
    </row>
    <row r="179" spans="2:34" x14ac:dyDescent="0.25">
      <c r="B179" s="3">
        <f t="shared" ref="B179:AF179" si="115">$C26*EXP(-B$168/$A26/EXP(-$C$126))</f>
        <v>9.4725402978259585E-2</v>
      </c>
      <c r="C179" s="3">
        <f t="shared" si="115"/>
        <v>9.4725402978259585E-2</v>
      </c>
      <c r="D179" s="3">
        <f t="shared" si="115"/>
        <v>9.4725402978259585E-2</v>
      </c>
      <c r="E179" s="3">
        <f t="shared" si="115"/>
        <v>9.4725402978259585E-2</v>
      </c>
      <c r="F179" s="3">
        <f t="shared" si="115"/>
        <v>9.4725402978259585E-2</v>
      </c>
      <c r="G179" s="3">
        <f t="shared" si="115"/>
        <v>9.4725402978259585E-2</v>
      </c>
      <c r="H179" s="3">
        <f t="shared" si="115"/>
        <v>9.4725402978259585E-2</v>
      </c>
      <c r="I179" s="3">
        <f t="shared" si="115"/>
        <v>9.4725402978259585E-2</v>
      </c>
      <c r="J179" s="3">
        <f t="shared" si="115"/>
        <v>9.4725402978259585E-2</v>
      </c>
      <c r="K179" s="3">
        <f t="shared" si="115"/>
        <v>9.4725402978259585E-2</v>
      </c>
      <c r="L179" s="3">
        <f t="shared" si="115"/>
        <v>9.4725402978259585E-2</v>
      </c>
      <c r="M179" s="3">
        <f t="shared" si="115"/>
        <v>9.4725402978259585E-2</v>
      </c>
      <c r="N179" s="3">
        <f t="shared" si="115"/>
        <v>9.4725402978259557E-2</v>
      </c>
      <c r="O179" s="3">
        <f t="shared" si="115"/>
        <v>9.4725402978259363E-2</v>
      </c>
      <c r="P179" s="3">
        <f t="shared" si="115"/>
        <v>9.4725402978257336E-2</v>
      </c>
      <c r="Q179" s="3">
        <f t="shared" si="115"/>
        <v>9.4725402978237047E-2</v>
      </c>
      <c r="R179" s="3">
        <f t="shared" si="115"/>
        <v>9.4725402978034209E-2</v>
      </c>
      <c r="S179" s="3">
        <f t="shared" si="115"/>
        <v>9.4725402976005735E-2</v>
      </c>
      <c r="T179" s="3">
        <f t="shared" si="115"/>
        <v>9.47254029557211E-2</v>
      </c>
      <c r="U179" s="3">
        <f t="shared" si="115"/>
        <v>9.4725402752874693E-2</v>
      </c>
      <c r="V179" s="3">
        <f t="shared" si="115"/>
        <v>9.4725400724410644E-2</v>
      </c>
      <c r="W179" s="3">
        <f t="shared" si="115"/>
        <v>9.4725380439772605E-2</v>
      </c>
      <c r="X179" s="3">
        <f t="shared" si="115"/>
        <v>9.4725177593631055E-2</v>
      </c>
      <c r="Y179" s="3">
        <f t="shared" si="115"/>
        <v>9.4723149156106121E-2</v>
      </c>
      <c r="Z179" s="3">
        <f t="shared" si="115"/>
        <v>9.4702867169727534E-2</v>
      </c>
      <c r="AA179" s="3">
        <f t="shared" si="115"/>
        <v>9.4500286003838849E-2</v>
      </c>
      <c r="AB179" s="3">
        <f t="shared" si="115"/>
        <v>9.249815608712976E-2</v>
      </c>
      <c r="AC179" s="3">
        <f t="shared" si="115"/>
        <v>7.4667670066243572E-2</v>
      </c>
      <c r="AD179" s="3">
        <f t="shared" si="115"/>
        <v>8.7725902395035683E-3</v>
      </c>
      <c r="AE179" s="3">
        <f t="shared" si="115"/>
        <v>4.396228823007909E-12</v>
      </c>
      <c r="AF179" s="3">
        <f t="shared" si="115"/>
        <v>4.3914176124339583E-105</v>
      </c>
      <c r="AG179" s="3"/>
      <c r="AH179" s="3"/>
    </row>
    <row r="180" spans="2:34" x14ac:dyDescent="0.25">
      <c r="B180" s="3">
        <f t="shared" ref="B180:AF180" si="116">$C27*EXP(-B$168/$A27/EXP(-$C$126))</f>
        <v>0.11171287761739628</v>
      </c>
      <c r="C180" s="3">
        <f t="shared" si="116"/>
        <v>0.11171287761739628</v>
      </c>
      <c r="D180" s="3">
        <f t="shared" si="116"/>
        <v>0.11171287761739628</v>
      </c>
      <c r="E180" s="3">
        <f t="shared" si="116"/>
        <v>0.11171287761739628</v>
      </c>
      <c r="F180" s="3">
        <f t="shared" si="116"/>
        <v>0.11171287761739628</v>
      </c>
      <c r="G180" s="3">
        <f t="shared" si="116"/>
        <v>0.11171287761739628</v>
      </c>
      <c r="H180" s="3">
        <f t="shared" si="116"/>
        <v>0.11171287761739628</v>
      </c>
      <c r="I180" s="3">
        <f t="shared" si="116"/>
        <v>0.11171287761739628</v>
      </c>
      <c r="J180" s="3">
        <f t="shared" si="116"/>
        <v>0.11171287761739628</v>
      </c>
      <c r="K180" s="3">
        <f t="shared" si="116"/>
        <v>0.11171287761739628</v>
      </c>
      <c r="L180" s="3">
        <f t="shared" si="116"/>
        <v>0.11171287761739628</v>
      </c>
      <c r="M180" s="3">
        <f t="shared" si="116"/>
        <v>0.11171287761739628</v>
      </c>
      <c r="N180" s="3">
        <f t="shared" si="116"/>
        <v>0.11171287761739628</v>
      </c>
      <c r="O180" s="3">
        <f t="shared" si="116"/>
        <v>0.11171287761739625</v>
      </c>
      <c r="P180" s="3">
        <f t="shared" si="116"/>
        <v>0.11171287761739604</v>
      </c>
      <c r="Q180" s="3">
        <f t="shared" si="116"/>
        <v>0.11171287761739389</v>
      </c>
      <c r="R180" s="3">
        <f t="shared" si="116"/>
        <v>0.11171287761737229</v>
      </c>
      <c r="S180" s="3">
        <f t="shared" si="116"/>
        <v>0.11171287761715649</v>
      </c>
      <c r="T180" s="3">
        <f t="shared" si="116"/>
        <v>0.1117128776149985</v>
      </c>
      <c r="U180" s="3">
        <f t="shared" si="116"/>
        <v>0.11171287759341854</v>
      </c>
      <c r="V180" s="3">
        <f t="shared" si="116"/>
        <v>0.11171287737761891</v>
      </c>
      <c r="W180" s="3">
        <f t="shared" si="116"/>
        <v>0.11171287521962268</v>
      </c>
      <c r="X180" s="3">
        <f t="shared" si="116"/>
        <v>0.11171285363966262</v>
      </c>
      <c r="Y180" s="3">
        <f t="shared" si="116"/>
        <v>0.11171263784029127</v>
      </c>
      <c r="Z180" s="3">
        <f t="shared" si="116"/>
        <v>0.11171047986950529</v>
      </c>
      <c r="AA180" s="3">
        <f t="shared" si="116"/>
        <v>0.11168890245423527</v>
      </c>
      <c r="AB180" s="3">
        <f t="shared" si="116"/>
        <v>0.11147335739672874</v>
      </c>
      <c r="AC180" s="3">
        <f t="shared" si="116"/>
        <v>0.10934065343977646</v>
      </c>
      <c r="AD180" s="3">
        <f t="shared" si="116"/>
        <v>9.0133762235093146E-2</v>
      </c>
      <c r="AE180" s="3">
        <f t="shared" si="116"/>
        <v>1.3060080105526511E-2</v>
      </c>
      <c r="AF180" s="3">
        <f t="shared" si="116"/>
        <v>5.3275711286529097E-11</v>
      </c>
      <c r="AG180" s="3"/>
      <c r="AH180" s="3"/>
    </row>
    <row r="181" spans="2:34" x14ac:dyDescent="0.25">
      <c r="B181" s="3">
        <f t="shared" ref="B181:AF181" si="117">$C28*EXP(-B$168/$A28/EXP(-$C$126))</f>
        <v>0.12486929252202905</v>
      </c>
      <c r="C181" s="3">
        <f t="shared" si="117"/>
        <v>0.12486929252202905</v>
      </c>
      <c r="D181" s="3">
        <f t="shared" si="117"/>
        <v>0.12486929252202905</v>
      </c>
      <c r="E181" s="3">
        <f t="shared" si="117"/>
        <v>0.12486929252202905</v>
      </c>
      <c r="F181" s="3">
        <f t="shared" si="117"/>
        <v>0.12486929252202905</v>
      </c>
      <c r="G181" s="3">
        <f t="shared" si="117"/>
        <v>0.12486929252202905</v>
      </c>
      <c r="H181" s="3">
        <f t="shared" si="117"/>
        <v>0.12486929252202905</v>
      </c>
      <c r="I181" s="3">
        <f t="shared" si="117"/>
        <v>0.12486929252202905</v>
      </c>
      <c r="J181" s="3">
        <f t="shared" si="117"/>
        <v>0.12486929252202905</v>
      </c>
      <c r="K181" s="3">
        <f t="shared" si="117"/>
        <v>0.12486929252202905</v>
      </c>
      <c r="L181" s="3">
        <f t="shared" si="117"/>
        <v>0.12486929252202905</v>
      </c>
      <c r="M181" s="3">
        <f t="shared" si="117"/>
        <v>0.12486929252202905</v>
      </c>
      <c r="N181" s="3">
        <f t="shared" si="117"/>
        <v>0.12486929252202905</v>
      </c>
      <c r="O181" s="3">
        <f t="shared" si="117"/>
        <v>0.12486929252202905</v>
      </c>
      <c r="P181" s="3">
        <f t="shared" si="117"/>
        <v>0.12486929252202902</v>
      </c>
      <c r="Q181" s="3">
        <f t="shared" si="117"/>
        <v>0.12486929252202882</v>
      </c>
      <c r="R181" s="3">
        <f t="shared" si="117"/>
        <v>0.12486929252202664</v>
      </c>
      <c r="S181" s="3">
        <f t="shared" si="117"/>
        <v>0.12486929252200488</v>
      </c>
      <c r="T181" s="3">
        <f t="shared" si="117"/>
        <v>0.12486929252178727</v>
      </c>
      <c r="U181" s="3">
        <f t="shared" si="117"/>
        <v>0.12486929251961132</v>
      </c>
      <c r="V181" s="3">
        <f t="shared" si="117"/>
        <v>0.12486929249785179</v>
      </c>
      <c r="W181" s="3">
        <f t="shared" si="117"/>
        <v>0.12486929228025639</v>
      </c>
      <c r="X181" s="3">
        <f t="shared" si="117"/>
        <v>0.12486929010430252</v>
      </c>
      <c r="Y181" s="3">
        <f t="shared" si="117"/>
        <v>0.12486926834476579</v>
      </c>
      <c r="Z181" s="3">
        <f t="shared" si="117"/>
        <v>0.12486905074960708</v>
      </c>
      <c r="AA181" s="3">
        <f t="shared" si="117"/>
        <v>0.12486687481887469</v>
      </c>
      <c r="AB181" s="3">
        <f t="shared" si="117"/>
        <v>0.1248451175968832</v>
      </c>
      <c r="AC181" s="3">
        <f t="shared" si="117"/>
        <v>0.12462775377582594</v>
      </c>
      <c r="AD181" s="3">
        <f t="shared" si="117"/>
        <v>0.12247482170850597</v>
      </c>
      <c r="AE181" s="3">
        <f t="shared" si="117"/>
        <v>0.10288860975101637</v>
      </c>
      <c r="AF181" s="3">
        <f t="shared" si="117"/>
        <v>1.8012422693259734E-2</v>
      </c>
      <c r="AG181" s="3"/>
      <c r="AH181" s="3"/>
    </row>
    <row r="182" spans="2:34" x14ac:dyDescent="0.25">
      <c r="B182" s="3">
        <f t="shared" ref="B182:AF182" si="118">$C29*EXP(-B$168/$A29/EXP(-$C$126))</f>
        <v>7.1899142973036512E-2</v>
      </c>
      <c r="C182" s="3">
        <f t="shared" si="118"/>
        <v>7.1899142973036512E-2</v>
      </c>
      <c r="D182" s="3">
        <f t="shared" si="118"/>
        <v>7.1899142973036512E-2</v>
      </c>
      <c r="E182" s="3">
        <f t="shared" si="118"/>
        <v>7.1899142973036512E-2</v>
      </c>
      <c r="F182" s="3">
        <f t="shared" si="118"/>
        <v>7.1899142973036512E-2</v>
      </c>
      <c r="G182" s="3">
        <f t="shared" si="118"/>
        <v>7.1899142973036512E-2</v>
      </c>
      <c r="H182" s="3">
        <f t="shared" si="118"/>
        <v>7.1899142973036512E-2</v>
      </c>
      <c r="I182" s="3">
        <f t="shared" si="118"/>
        <v>7.1899142973036512E-2</v>
      </c>
      <c r="J182" s="3">
        <f t="shared" si="118"/>
        <v>7.1899142973036512E-2</v>
      </c>
      <c r="K182" s="3">
        <f t="shared" si="118"/>
        <v>7.1899142973036512E-2</v>
      </c>
      <c r="L182" s="3">
        <f t="shared" si="118"/>
        <v>7.1899142973036512E-2</v>
      </c>
      <c r="M182" s="3">
        <f t="shared" si="118"/>
        <v>7.1899142973036512E-2</v>
      </c>
      <c r="N182" s="3">
        <f t="shared" si="118"/>
        <v>7.1899142973036512E-2</v>
      </c>
      <c r="O182" s="3">
        <f t="shared" si="118"/>
        <v>7.1899142973036512E-2</v>
      </c>
      <c r="P182" s="3">
        <f t="shared" si="118"/>
        <v>7.1899142973036512E-2</v>
      </c>
      <c r="Q182" s="3">
        <f t="shared" si="118"/>
        <v>7.1899142973036498E-2</v>
      </c>
      <c r="R182" s="3">
        <f t="shared" si="118"/>
        <v>7.1899142973036387E-2</v>
      </c>
      <c r="S182" s="3">
        <f t="shared" si="118"/>
        <v>7.1899142973035263E-2</v>
      </c>
      <c r="T182" s="3">
        <f t="shared" si="118"/>
        <v>7.1899142973023952E-2</v>
      </c>
      <c r="U182" s="3">
        <f t="shared" si="118"/>
        <v>7.1899142972910932E-2</v>
      </c>
      <c r="V182" s="3">
        <f t="shared" si="118"/>
        <v>7.1899142971780711E-2</v>
      </c>
      <c r="W182" s="3">
        <f t="shared" si="118"/>
        <v>7.1899142960478474E-2</v>
      </c>
      <c r="X182" s="3">
        <f t="shared" si="118"/>
        <v>7.1899142847456118E-2</v>
      </c>
      <c r="Y182" s="3">
        <f t="shared" si="118"/>
        <v>7.1899141717232606E-2</v>
      </c>
      <c r="Z182" s="3">
        <f t="shared" si="118"/>
        <v>7.1899130414998388E-2</v>
      </c>
      <c r="AA182" s="3">
        <f t="shared" si="118"/>
        <v>7.1899017392753992E-2</v>
      </c>
      <c r="AB182" s="3">
        <f t="shared" si="118"/>
        <v>7.1897887180081638E-2</v>
      </c>
      <c r="AC182" s="3">
        <f t="shared" si="118"/>
        <v>7.1886586030459401E-2</v>
      </c>
      <c r="AD182" s="3">
        <f t="shared" si="118"/>
        <v>7.1773672187562088E-2</v>
      </c>
      <c r="AE182" s="3">
        <f t="shared" si="118"/>
        <v>7.0654242531606404E-2</v>
      </c>
      <c r="AF182" s="3">
        <f t="shared" si="118"/>
        <v>6.0376651679731802E-2</v>
      </c>
      <c r="AG182" s="3"/>
      <c r="AH182" s="3"/>
    </row>
    <row r="183" spans="2:34" x14ac:dyDescent="0.25">
      <c r="B183" s="3">
        <f t="shared" ref="B183:AF183" si="119">$C30*EXP(-B$168/$A30/EXP(-$C$126))</f>
        <v>4.7675556768581172E-2</v>
      </c>
      <c r="C183" s="3">
        <f t="shared" si="119"/>
        <v>4.7675556768581172E-2</v>
      </c>
      <c r="D183" s="3">
        <f t="shared" si="119"/>
        <v>4.7675556768581172E-2</v>
      </c>
      <c r="E183" s="3">
        <f t="shared" si="119"/>
        <v>4.7675556768581172E-2</v>
      </c>
      <c r="F183" s="3">
        <f t="shared" si="119"/>
        <v>4.7675556768581172E-2</v>
      </c>
      <c r="G183" s="3">
        <f t="shared" si="119"/>
        <v>4.7675556768581172E-2</v>
      </c>
      <c r="H183" s="3">
        <f t="shared" si="119"/>
        <v>4.7675556768581172E-2</v>
      </c>
      <c r="I183" s="3">
        <f t="shared" si="119"/>
        <v>4.7675556768581172E-2</v>
      </c>
      <c r="J183" s="3">
        <f t="shared" si="119"/>
        <v>4.7675556768581172E-2</v>
      </c>
      <c r="K183" s="3">
        <f t="shared" si="119"/>
        <v>4.7675556768581172E-2</v>
      </c>
      <c r="L183" s="3">
        <f t="shared" si="119"/>
        <v>4.7675556768581172E-2</v>
      </c>
      <c r="M183" s="3">
        <f t="shared" si="119"/>
        <v>4.7675556768581172E-2</v>
      </c>
      <c r="N183" s="3">
        <f t="shared" si="119"/>
        <v>4.7675556768581172E-2</v>
      </c>
      <c r="O183" s="3">
        <f t="shared" si="119"/>
        <v>4.7675556768581172E-2</v>
      </c>
      <c r="P183" s="3">
        <f t="shared" si="119"/>
        <v>4.7675556768581172E-2</v>
      </c>
      <c r="Q183" s="3">
        <f t="shared" si="119"/>
        <v>4.7675556768581172E-2</v>
      </c>
      <c r="R183" s="3">
        <f t="shared" si="119"/>
        <v>4.7675556768581165E-2</v>
      </c>
      <c r="S183" s="3">
        <f t="shared" si="119"/>
        <v>4.7675556768581095E-2</v>
      </c>
      <c r="T183" s="3">
        <f t="shared" si="119"/>
        <v>4.7675556768580422E-2</v>
      </c>
      <c r="U183" s="3">
        <f t="shared" si="119"/>
        <v>4.7675556768573664E-2</v>
      </c>
      <c r="V183" s="3">
        <f t="shared" si="119"/>
        <v>4.7675556768506051E-2</v>
      </c>
      <c r="W183" s="3">
        <f t="shared" si="119"/>
        <v>4.7675556767829995E-2</v>
      </c>
      <c r="X183" s="3">
        <f t="shared" si="119"/>
        <v>4.7675556761069431E-2</v>
      </c>
      <c r="Y183" s="3">
        <f t="shared" si="119"/>
        <v>4.767555669346378E-2</v>
      </c>
      <c r="Z183" s="3">
        <f t="shared" si="119"/>
        <v>4.7675556017407285E-2</v>
      </c>
      <c r="AA183" s="3">
        <f t="shared" si="119"/>
        <v>4.7675549256842829E-2</v>
      </c>
      <c r="AB183" s="3">
        <f t="shared" si="119"/>
        <v>4.7675481651251017E-2</v>
      </c>
      <c r="AC183" s="3">
        <f t="shared" si="119"/>
        <v>4.7674805600605566E-2</v>
      </c>
      <c r="AD183" s="3">
        <f t="shared" si="119"/>
        <v>4.7668045621390098E-2</v>
      </c>
      <c r="AE183" s="3">
        <f t="shared" si="119"/>
        <v>4.760049852549051E-2</v>
      </c>
      <c r="AF183" s="3">
        <f t="shared" si="119"/>
        <v>4.6930269648244892E-2</v>
      </c>
      <c r="AG183" s="3"/>
      <c r="AH183" s="3"/>
    </row>
    <row r="184" spans="2:34" x14ac:dyDescent="0.25">
      <c r="B184" s="3">
        <f t="shared" ref="B184:AF184" si="120">$C31*EXP(-B$168/$A31/EXP(-$C$126))</f>
        <v>1.9951380582978136E-2</v>
      </c>
      <c r="C184" s="3">
        <f t="shared" si="120"/>
        <v>1.9951380582978136E-2</v>
      </c>
      <c r="D184" s="3">
        <f t="shared" si="120"/>
        <v>1.9951380582978136E-2</v>
      </c>
      <c r="E184" s="3">
        <f t="shared" si="120"/>
        <v>1.9951380582978136E-2</v>
      </c>
      <c r="F184" s="3">
        <f t="shared" si="120"/>
        <v>1.9951380582978136E-2</v>
      </c>
      <c r="G184" s="3">
        <f t="shared" si="120"/>
        <v>1.9951380582978136E-2</v>
      </c>
      <c r="H184" s="3">
        <f t="shared" si="120"/>
        <v>1.9951380582978136E-2</v>
      </c>
      <c r="I184" s="3">
        <f t="shared" si="120"/>
        <v>1.9951380582978136E-2</v>
      </c>
      <c r="J184" s="3">
        <f t="shared" si="120"/>
        <v>1.9951380582978136E-2</v>
      </c>
      <c r="K184" s="3">
        <f t="shared" si="120"/>
        <v>1.9951380582978136E-2</v>
      </c>
      <c r="L184" s="3">
        <f t="shared" si="120"/>
        <v>1.9951380582978136E-2</v>
      </c>
      <c r="M184" s="3">
        <f t="shared" si="120"/>
        <v>1.9951380582978136E-2</v>
      </c>
      <c r="N184" s="3">
        <f t="shared" si="120"/>
        <v>1.9951380582978136E-2</v>
      </c>
      <c r="O184" s="3">
        <f t="shared" si="120"/>
        <v>1.9951380582978136E-2</v>
      </c>
      <c r="P184" s="3">
        <f t="shared" si="120"/>
        <v>1.9951380582978136E-2</v>
      </c>
      <c r="Q184" s="3">
        <f t="shared" si="120"/>
        <v>1.9951380582978136E-2</v>
      </c>
      <c r="R184" s="3">
        <f t="shared" si="120"/>
        <v>1.9951380582978136E-2</v>
      </c>
      <c r="S184" s="3">
        <f t="shared" si="120"/>
        <v>1.9951380582978132E-2</v>
      </c>
      <c r="T184" s="3">
        <f t="shared" si="120"/>
        <v>1.9951380582978108E-2</v>
      </c>
      <c r="U184" s="3">
        <f t="shared" si="120"/>
        <v>1.9951380582977851E-2</v>
      </c>
      <c r="V184" s="3">
        <f t="shared" si="120"/>
        <v>1.9951380582975301E-2</v>
      </c>
      <c r="W184" s="3">
        <f t="shared" si="120"/>
        <v>1.995138058294978E-2</v>
      </c>
      <c r="X184" s="3">
        <f t="shared" si="120"/>
        <v>1.9951380582694564E-2</v>
      </c>
      <c r="Y184" s="3">
        <f t="shared" si="120"/>
        <v>1.9951380580142408E-2</v>
      </c>
      <c r="Z184" s="3">
        <f t="shared" si="120"/>
        <v>1.9951380554620875E-2</v>
      </c>
      <c r="AA184" s="3">
        <f t="shared" si="120"/>
        <v>1.9951380299405543E-2</v>
      </c>
      <c r="AB184" s="3">
        <f t="shared" si="120"/>
        <v>1.9951377747252395E-2</v>
      </c>
      <c r="AC184" s="3">
        <f t="shared" si="120"/>
        <v>1.9951352225738867E-2</v>
      </c>
      <c r="AD184" s="3">
        <f t="shared" si="120"/>
        <v>1.9951097012399145E-2</v>
      </c>
      <c r="AE184" s="3">
        <f t="shared" si="120"/>
        <v>1.9948545058549871E-2</v>
      </c>
      <c r="AF184" s="3">
        <f t="shared" si="120"/>
        <v>1.9923043466356139E-2</v>
      </c>
      <c r="AG184" s="3"/>
      <c r="AH184" s="3"/>
    </row>
    <row r="185" spans="2:34" x14ac:dyDescent="0.25">
      <c r="B185" s="3">
        <f t="shared" ref="B185:AF185" si="121">$C32*EXP(-B$168/$A32/EXP(-$C$126))</f>
        <v>3.7229726854135226E-3</v>
      </c>
      <c r="C185" s="3">
        <f t="shared" si="121"/>
        <v>3.7229726854135226E-3</v>
      </c>
      <c r="D185" s="3">
        <f t="shared" si="121"/>
        <v>3.7229726854135226E-3</v>
      </c>
      <c r="E185" s="3">
        <f t="shared" si="121"/>
        <v>3.7229726854135226E-3</v>
      </c>
      <c r="F185" s="3">
        <f t="shared" si="121"/>
        <v>3.7229726854135226E-3</v>
      </c>
      <c r="G185" s="3">
        <f t="shared" si="121"/>
        <v>3.7229726854135226E-3</v>
      </c>
      <c r="H185" s="3">
        <f t="shared" si="121"/>
        <v>3.7229726854135226E-3</v>
      </c>
      <c r="I185" s="3">
        <f t="shared" si="121"/>
        <v>3.7229726854135226E-3</v>
      </c>
      <c r="J185" s="3">
        <f t="shared" si="121"/>
        <v>3.7229726854135226E-3</v>
      </c>
      <c r="K185" s="3">
        <f t="shared" si="121"/>
        <v>3.7229726854135226E-3</v>
      </c>
      <c r="L185" s="3">
        <f t="shared" si="121"/>
        <v>3.7229726854135226E-3</v>
      </c>
      <c r="M185" s="3">
        <f t="shared" si="121"/>
        <v>3.7229726854135226E-3</v>
      </c>
      <c r="N185" s="3">
        <f t="shared" si="121"/>
        <v>3.7229726854135226E-3</v>
      </c>
      <c r="O185" s="3">
        <f t="shared" si="121"/>
        <v>3.7229726854135226E-3</v>
      </c>
      <c r="P185" s="3">
        <f t="shared" si="121"/>
        <v>3.7229726854135226E-3</v>
      </c>
      <c r="Q185" s="3">
        <f t="shared" si="121"/>
        <v>3.7229726854135226E-3</v>
      </c>
      <c r="R185" s="3">
        <f t="shared" si="121"/>
        <v>3.7229726854135226E-3</v>
      </c>
      <c r="S185" s="3">
        <f t="shared" si="121"/>
        <v>3.7229726854135226E-3</v>
      </c>
      <c r="T185" s="3">
        <f t="shared" si="121"/>
        <v>3.7229726854135221E-3</v>
      </c>
      <c r="U185" s="3">
        <f t="shared" si="121"/>
        <v>3.7229726854135178E-3</v>
      </c>
      <c r="V185" s="3">
        <f t="shared" si="121"/>
        <v>3.7229726854134748E-3</v>
      </c>
      <c r="W185" s="3">
        <f t="shared" si="121"/>
        <v>3.7229726854130451E-3</v>
      </c>
      <c r="X185" s="3">
        <f t="shared" si="121"/>
        <v>3.722972685408749E-3</v>
      </c>
      <c r="Y185" s="3">
        <f t="shared" si="121"/>
        <v>3.7229726853657882E-3</v>
      </c>
      <c r="Z185" s="3">
        <f t="shared" si="121"/>
        <v>3.7229726849361826E-3</v>
      </c>
      <c r="AA185" s="3">
        <f t="shared" si="121"/>
        <v>3.7229726806401239E-3</v>
      </c>
      <c r="AB185" s="3">
        <f t="shared" si="121"/>
        <v>3.7229726376795322E-3</v>
      </c>
      <c r="AC185" s="3">
        <f t="shared" si="121"/>
        <v>3.7229722080736462E-3</v>
      </c>
      <c r="AD185" s="3">
        <f t="shared" si="121"/>
        <v>3.7229679120175142E-3</v>
      </c>
      <c r="AE185" s="3">
        <f t="shared" si="121"/>
        <v>3.7229249517288458E-3</v>
      </c>
      <c r="AF185" s="3">
        <f t="shared" si="121"/>
        <v>3.7224953761063623E-3</v>
      </c>
      <c r="AG185" s="3"/>
      <c r="AH185" s="3"/>
    </row>
    <row r="186" spans="2:34" x14ac:dyDescent="0.25">
      <c r="B186" s="3">
        <f t="shared" ref="B186:AF186" si="122">$C33*EXP(-B$168/$A33/EXP(-$C$126))</f>
        <v>3.2258116785225384E-3</v>
      </c>
      <c r="C186" s="3">
        <f t="shared" si="122"/>
        <v>3.2258116785225384E-3</v>
      </c>
      <c r="D186" s="3">
        <f t="shared" si="122"/>
        <v>3.2258116785225384E-3</v>
      </c>
      <c r="E186" s="3">
        <f t="shared" si="122"/>
        <v>3.2258116785225384E-3</v>
      </c>
      <c r="F186" s="3">
        <f t="shared" si="122"/>
        <v>3.2258116785225384E-3</v>
      </c>
      <c r="G186" s="3">
        <f t="shared" si="122"/>
        <v>3.2258116785225384E-3</v>
      </c>
      <c r="H186" s="3">
        <f t="shared" si="122"/>
        <v>3.2258116785225384E-3</v>
      </c>
      <c r="I186" s="3">
        <f t="shared" si="122"/>
        <v>3.2258116785225384E-3</v>
      </c>
      <c r="J186" s="3">
        <f t="shared" si="122"/>
        <v>3.2258116785225384E-3</v>
      </c>
      <c r="K186" s="3">
        <f t="shared" si="122"/>
        <v>3.2258116785225384E-3</v>
      </c>
      <c r="L186" s="3">
        <f t="shared" si="122"/>
        <v>3.2258116785225384E-3</v>
      </c>
      <c r="M186" s="3">
        <f t="shared" si="122"/>
        <v>3.2258116785225384E-3</v>
      </c>
      <c r="N186" s="3">
        <f t="shared" si="122"/>
        <v>3.2258116785225384E-3</v>
      </c>
      <c r="O186" s="3">
        <f t="shared" si="122"/>
        <v>3.2258116785225384E-3</v>
      </c>
      <c r="P186" s="3">
        <f t="shared" si="122"/>
        <v>3.2258116785225384E-3</v>
      </c>
      <c r="Q186" s="3">
        <f t="shared" si="122"/>
        <v>3.2258116785225384E-3</v>
      </c>
      <c r="R186" s="3">
        <f t="shared" si="122"/>
        <v>3.2258116785225384E-3</v>
      </c>
      <c r="S186" s="3">
        <f t="shared" si="122"/>
        <v>3.2258116785225384E-3</v>
      </c>
      <c r="T186" s="3">
        <f t="shared" si="122"/>
        <v>3.2258116785225384E-3</v>
      </c>
      <c r="U186" s="3">
        <f t="shared" si="122"/>
        <v>3.2258116785225379E-3</v>
      </c>
      <c r="V186" s="3">
        <f t="shared" si="122"/>
        <v>3.2258116785225349E-3</v>
      </c>
      <c r="W186" s="3">
        <f t="shared" si="122"/>
        <v>3.2258116785225011E-3</v>
      </c>
      <c r="X186" s="3">
        <f t="shared" si="122"/>
        <v>3.2258116785221654E-3</v>
      </c>
      <c r="Y186" s="3">
        <f t="shared" si="122"/>
        <v>3.2258116785188074E-3</v>
      </c>
      <c r="Z186" s="3">
        <f t="shared" si="122"/>
        <v>3.2258116784852284E-3</v>
      </c>
      <c r="AA186" s="3">
        <f t="shared" si="122"/>
        <v>3.2258116781494397E-3</v>
      </c>
      <c r="AB186" s="3">
        <f t="shared" si="122"/>
        <v>3.2258116747915532E-3</v>
      </c>
      <c r="AC186" s="3">
        <f t="shared" si="122"/>
        <v>3.2258116412126892E-3</v>
      </c>
      <c r="AD186" s="3">
        <f t="shared" si="122"/>
        <v>3.225811305424067E-3</v>
      </c>
      <c r="AE186" s="3">
        <f t="shared" si="122"/>
        <v>3.2258079475397656E-3</v>
      </c>
      <c r="AF186" s="3">
        <f t="shared" si="122"/>
        <v>3.2257743688889969E-3</v>
      </c>
      <c r="AG186" s="3"/>
      <c r="AH186" s="3"/>
    </row>
    <row r="187" spans="2:34" x14ac:dyDescent="0.25">
      <c r="B187" s="3">
        <f t="shared" ref="B187:AF187" si="123">$C34*EXP(-B$168/$A34/EXP(-$C$126))</f>
        <v>4.6514491459037388E-4</v>
      </c>
      <c r="C187" s="3">
        <f t="shared" si="123"/>
        <v>4.6514491459037388E-4</v>
      </c>
      <c r="D187" s="3">
        <f t="shared" si="123"/>
        <v>4.6514491459037388E-4</v>
      </c>
      <c r="E187" s="3">
        <f t="shared" si="123"/>
        <v>4.6514491459037388E-4</v>
      </c>
      <c r="F187" s="3">
        <f t="shared" si="123"/>
        <v>4.6514491459037388E-4</v>
      </c>
      <c r="G187" s="3">
        <f t="shared" si="123"/>
        <v>4.6514491459037388E-4</v>
      </c>
      <c r="H187" s="3">
        <f t="shared" si="123"/>
        <v>4.6514491459037388E-4</v>
      </c>
      <c r="I187" s="3">
        <f t="shared" si="123"/>
        <v>4.6514491459037388E-4</v>
      </c>
      <c r="J187" s="3">
        <f t="shared" si="123"/>
        <v>4.6514491459037388E-4</v>
      </c>
      <c r="K187" s="3">
        <f t="shared" si="123"/>
        <v>4.6514491459037388E-4</v>
      </c>
      <c r="L187" s="3">
        <f t="shared" si="123"/>
        <v>4.6514491459037388E-4</v>
      </c>
      <c r="M187" s="3">
        <f t="shared" si="123"/>
        <v>4.6514491459037388E-4</v>
      </c>
      <c r="N187" s="3">
        <f t="shared" si="123"/>
        <v>4.6514491459037388E-4</v>
      </c>
      <c r="O187" s="3">
        <f t="shared" si="123"/>
        <v>4.6514491459037388E-4</v>
      </c>
      <c r="P187" s="3">
        <f t="shared" si="123"/>
        <v>4.6514491459037388E-4</v>
      </c>
      <c r="Q187" s="3">
        <f t="shared" si="123"/>
        <v>4.6514491459037388E-4</v>
      </c>
      <c r="R187" s="3">
        <f t="shared" si="123"/>
        <v>4.6514491459037388E-4</v>
      </c>
      <c r="S187" s="3">
        <f t="shared" si="123"/>
        <v>4.6514491459037388E-4</v>
      </c>
      <c r="T187" s="3">
        <f t="shared" si="123"/>
        <v>4.6514491459037388E-4</v>
      </c>
      <c r="U187" s="3">
        <f t="shared" si="123"/>
        <v>4.6514491459037388E-4</v>
      </c>
      <c r="V187" s="3">
        <f t="shared" si="123"/>
        <v>4.6514491459037383E-4</v>
      </c>
      <c r="W187" s="3">
        <f t="shared" si="123"/>
        <v>4.651449145903734E-4</v>
      </c>
      <c r="X187" s="3">
        <f t="shared" si="123"/>
        <v>4.6514491459036901E-4</v>
      </c>
      <c r="Y187" s="3">
        <f t="shared" si="123"/>
        <v>4.6514491459032537E-4</v>
      </c>
      <c r="Z187" s="3">
        <f t="shared" si="123"/>
        <v>4.6514491458988854E-4</v>
      </c>
      <c r="AA187" s="3">
        <f t="shared" si="123"/>
        <v>4.6514491458552078E-4</v>
      </c>
      <c r="AB187" s="3">
        <f t="shared" si="123"/>
        <v>4.6514491454184288E-4</v>
      </c>
      <c r="AC187" s="3">
        <f t="shared" si="123"/>
        <v>4.6514491410506374E-4</v>
      </c>
      <c r="AD187" s="3">
        <f t="shared" si="123"/>
        <v>4.6514490973727267E-4</v>
      </c>
      <c r="AE187" s="3">
        <f t="shared" si="123"/>
        <v>4.6514486605936384E-4</v>
      </c>
      <c r="AF187" s="3">
        <f t="shared" si="123"/>
        <v>4.6514442928050081E-4</v>
      </c>
      <c r="AG187" s="3"/>
      <c r="AH187" s="3"/>
    </row>
    <row r="188" spans="2:34" x14ac:dyDescent="0.25">
      <c r="B188" s="3">
        <f t="shared" ref="B188:AF188" si="124">$C35*EXP(-B$168/$A35/EXP(-$C$126))</f>
        <v>1.1429544870574336E-5</v>
      </c>
      <c r="C188" s="3">
        <f t="shared" si="124"/>
        <v>1.1429544870574336E-5</v>
      </c>
      <c r="D188" s="3">
        <f t="shared" si="124"/>
        <v>1.1429544870574336E-5</v>
      </c>
      <c r="E188" s="3">
        <f t="shared" si="124"/>
        <v>1.1429544870574336E-5</v>
      </c>
      <c r="F188" s="3">
        <f t="shared" si="124"/>
        <v>1.1429544870574336E-5</v>
      </c>
      <c r="G188" s="3">
        <f t="shared" si="124"/>
        <v>1.1429544870574336E-5</v>
      </c>
      <c r="H188" s="3">
        <f t="shared" si="124"/>
        <v>1.1429544870574336E-5</v>
      </c>
      <c r="I188" s="3">
        <f t="shared" si="124"/>
        <v>1.1429544870574336E-5</v>
      </c>
      <c r="J188" s="3">
        <f t="shared" si="124"/>
        <v>1.1429544870574336E-5</v>
      </c>
      <c r="K188" s="3">
        <f t="shared" si="124"/>
        <v>1.1429544870574336E-5</v>
      </c>
      <c r="L188" s="3">
        <f t="shared" si="124"/>
        <v>1.1429544870574336E-5</v>
      </c>
      <c r="M188" s="3">
        <f t="shared" si="124"/>
        <v>1.1429544870574336E-5</v>
      </c>
      <c r="N188" s="3">
        <f t="shared" si="124"/>
        <v>1.1429544870574336E-5</v>
      </c>
      <c r="O188" s="3">
        <f t="shared" si="124"/>
        <v>1.1429544870574336E-5</v>
      </c>
      <c r="P188" s="3">
        <f t="shared" si="124"/>
        <v>1.1429544870574336E-5</v>
      </c>
      <c r="Q188" s="3">
        <f t="shared" si="124"/>
        <v>1.1429544870574336E-5</v>
      </c>
      <c r="R188" s="3">
        <f t="shared" si="124"/>
        <v>1.1429544870574336E-5</v>
      </c>
      <c r="S188" s="3">
        <f t="shared" si="124"/>
        <v>1.1429544870574336E-5</v>
      </c>
      <c r="T188" s="3">
        <f t="shared" si="124"/>
        <v>1.1429544870574336E-5</v>
      </c>
      <c r="U188" s="3">
        <f t="shared" si="124"/>
        <v>1.1429544870574336E-5</v>
      </c>
      <c r="V188" s="3">
        <f t="shared" si="124"/>
        <v>1.1429544870574336E-5</v>
      </c>
      <c r="W188" s="3">
        <f t="shared" si="124"/>
        <v>1.1429544870574334E-5</v>
      </c>
      <c r="X188" s="3">
        <f t="shared" si="124"/>
        <v>1.1429544870574326E-5</v>
      </c>
      <c r="Y188" s="3">
        <f t="shared" si="124"/>
        <v>1.1429544870574227E-5</v>
      </c>
      <c r="Z188" s="3">
        <f t="shared" si="124"/>
        <v>1.142954487057326E-5</v>
      </c>
      <c r="AA188" s="3">
        <f t="shared" si="124"/>
        <v>1.1429544870563578E-5</v>
      </c>
      <c r="AB188" s="3">
        <f t="shared" si="124"/>
        <v>1.1429544870466763E-5</v>
      </c>
      <c r="AC188" s="3">
        <f t="shared" si="124"/>
        <v>1.1429544869498597E-5</v>
      </c>
      <c r="AD188" s="3">
        <f t="shared" si="124"/>
        <v>1.1429544859816953E-5</v>
      </c>
      <c r="AE188" s="3">
        <f t="shared" si="124"/>
        <v>1.1429544763000513E-5</v>
      </c>
      <c r="AF188" s="3">
        <f t="shared" si="124"/>
        <v>1.1429543794836153E-5</v>
      </c>
      <c r="AG188" s="3"/>
      <c r="AH188" s="3"/>
    </row>
    <row r="189" spans="2:34" x14ac:dyDescent="0.25">
      <c r="B189" s="3">
        <f t="shared" ref="B189:AF189" si="125">$C36*EXP(-B$168/$A36/EXP(-$C$126))</f>
        <v>2.5915484418969715E-5</v>
      </c>
      <c r="C189" s="3">
        <f t="shared" si="125"/>
        <v>2.5915484418969715E-5</v>
      </c>
      <c r="D189" s="3">
        <f t="shared" si="125"/>
        <v>2.5915484418969715E-5</v>
      </c>
      <c r="E189" s="3">
        <f t="shared" si="125"/>
        <v>2.5915484418969715E-5</v>
      </c>
      <c r="F189" s="3">
        <f t="shared" si="125"/>
        <v>2.5915484418969715E-5</v>
      </c>
      <c r="G189" s="3">
        <f t="shared" si="125"/>
        <v>2.5915484418969715E-5</v>
      </c>
      <c r="H189" s="3">
        <f t="shared" si="125"/>
        <v>2.5915484418969715E-5</v>
      </c>
      <c r="I189" s="3">
        <f t="shared" si="125"/>
        <v>2.5915484418969715E-5</v>
      </c>
      <c r="J189" s="3">
        <f t="shared" si="125"/>
        <v>2.5915484418969715E-5</v>
      </c>
      <c r="K189" s="3">
        <f t="shared" si="125"/>
        <v>2.5915484418969715E-5</v>
      </c>
      <c r="L189" s="3">
        <f t="shared" si="125"/>
        <v>2.5915484418969715E-5</v>
      </c>
      <c r="M189" s="3">
        <f t="shared" si="125"/>
        <v>2.5915484418969715E-5</v>
      </c>
      <c r="N189" s="3">
        <f t="shared" si="125"/>
        <v>2.5915484418969715E-5</v>
      </c>
      <c r="O189" s="3">
        <f t="shared" si="125"/>
        <v>2.5915484418969715E-5</v>
      </c>
      <c r="P189" s="3">
        <f t="shared" si="125"/>
        <v>2.5915484418969715E-5</v>
      </c>
      <c r="Q189" s="3">
        <f t="shared" si="125"/>
        <v>2.5915484418969715E-5</v>
      </c>
      <c r="R189" s="3">
        <f t="shared" si="125"/>
        <v>2.5915484418969715E-5</v>
      </c>
      <c r="S189" s="3">
        <f t="shared" si="125"/>
        <v>2.5915484418969715E-5</v>
      </c>
      <c r="T189" s="3">
        <f t="shared" si="125"/>
        <v>2.5915484418969715E-5</v>
      </c>
      <c r="U189" s="3">
        <f t="shared" si="125"/>
        <v>2.5915484418969715E-5</v>
      </c>
      <c r="V189" s="3">
        <f t="shared" si="125"/>
        <v>2.5915484418969715E-5</v>
      </c>
      <c r="W189" s="3">
        <f t="shared" si="125"/>
        <v>2.5915484418969715E-5</v>
      </c>
      <c r="X189" s="3">
        <f t="shared" si="125"/>
        <v>2.5915484418969712E-5</v>
      </c>
      <c r="Y189" s="3">
        <f t="shared" si="125"/>
        <v>2.5915484418969691E-5</v>
      </c>
      <c r="Z189" s="3">
        <f t="shared" si="125"/>
        <v>2.5915484418969495E-5</v>
      </c>
      <c r="AA189" s="3">
        <f t="shared" si="125"/>
        <v>2.5915484418967513E-5</v>
      </c>
      <c r="AB189" s="3">
        <f t="shared" si="125"/>
        <v>2.5915484418947712E-5</v>
      </c>
      <c r="AC189" s="3">
        <f t="shared" si="125"/>
        <v>2.5915484418749683E-5</v>
      </c>
      <c r="AD189" s="3">
        <f t="shared" si="125"/>
        <v>2.5915484416769408E-5</v>
      </c>
      <c r="AE189" s="3">
        <f t="shared" si="125"/>
        <v>2.5915484396966628E-5</v>
      </c>
      <c r="AF189" s="3">
        <f t="shared" si="125"/>
        <v>2.591548419893886E-5</v>
      </c>
      <c r="AG189" s="3"/>
      <c r="AH189" s="3"/>
    </row>
    <row r="190" spans="2:34" x14ac:dyDescent="0.25">
      <c r="B190" s="3">
        <f t="shared" ref="B190:AF190" si="126">$C37*EXP(-B$168/$A37/EXP(-$C$126))</f>
        <v>2.9552981931303355E-5</v>
      </c>
      <c r="C190" s="3">
        <f t="shared" si="126"/>
        <v>2.9552981931303355E-5</v>
      </c>
      <c r="D190" s="3">
        <f t="shared" si="126"/>
        <v>2.9552981931303355E-5</v>
      </c>
      <c r="E190" s="3">
        <f t="shared" si="126"/>
        <v>2.9552981931303355E-5</v>
      </c>
      <c r="F190" s="3">
        <f t="shared" si="126"/>
        <v>2.9552981931303355E-5</v>
      </c>
      <c r="G190" s="3">
        <f t="shared" si="126"/>
        <v>2.9552981931303355E-5</v>
      </c>
      <c r="H190" s="3">
        <f t="shared" si="126"/>
        <v>2.9552981931303355E-5</v>
      </c>
      <c r="I190" s="3">
        <f t="shared" si="126"/>
        <v>2.9552981931303355E-5</v>
      </c>
      <c r="J190" s="3">
        <f t="shared" si="126"/>
        <v>2.9552981931303355E-5</v>
      </c>
      <c r="K190" s="3">
        <f t="shared" si="126"/>
        <v>2.9552981931303355E-5</v>
      </c>
      <c r="L190" s="3">
        <f t="shared" si="126"/>
        <v>2.9552981931303355E-5</v>
      </c>
      <c r="M190" s="3">
        <f t="shared" si="126"/>
        <v>2.9552981931303355E-5</v>
      </c>
      <c r="N190" s="3">
        <f t="shared" si="126"/>
        <v>2.9552981931303355E-5</v>
      </c>
      <c r="O190" s="3">
        <f t="shared" si="126"/>
        <v>2.9552981931303355E-5</v>
      </c>
      <c r="P190" s="3">
        <f t="shared" si="126"/>
        <v>2.9552981931303355E-5</v>
      </c>
      <c r="Q190" s="3">
        <f t="shared" si="126"/>
        <v>2.9552981931303355E-5</v>
      </c>
      <c r="R190" s="3">
        <f t="shared" si="126"/>
        <v>2.9552981931303355E-5</v>
      </c>
      <c r="S190" s="3">
        <f t="shared" si="126"/>
        <v>2.9552981931303355E-5</v>
      </c>
      <c r="T190" s="3">
        <f t="shared" si="126"/>
        <v>2.9552981931303355E-5</v>
      </c>
      <c r="U190" s="3">
        <f t="shared" si="126"/>
        <v>2.9552981931303355E-5</v>
      </c>
      <c r="V190" s="3">
        <f t="shared" si="126"/>
        <v>2.9552981931303355E-5</v>
      </c>
      <c r="W190" s="3">
        <f t="shared" si="126"/>
        <v>2.9552981931303355E-5</v>
      </c>
      <c r="X190" s="3">
        <f t="shared" si="126"/>
        <v>2.9552981931303355E-5</v>
      </c>
      <c r="Y190" s="3">
        <f t="shared" si="126"/>
        <v>2.9552981931303352E-5</v>
      </c>
      <c r="Z190" s="3">
        <f t="shared" si="126"/>
        <v>2.9552981931303331E-5</v>
      </c>
      <c r="AA190" s="3">
        <f t="shared" si="126"/>
        <v>2.9552981931303128E-5</v>
      </c>
      <c r="AB190" s="3">
        <f t="shared" si="126"/>
        <v>2.9552981931301092E-5</v>
      </c>
      <c r="AC190" s="3">
        <f t="shared" si="126"/>
        <v>2.9552981931280719E-5</v>
      </c>
      <c r="AD190" s="3">
        <f t="shared" si="126"/>
        <v>2.9552981931077011E-5</v>
      </c>
      <c r="AE190" s="3">
        <f t="shared" si="126"/>
        <v>2.95529819290399E-5</v>
      </c>
      <c r="AF190" s="3">
        <f t="shared" si="126"/>
        <v>2.9552981908668788E-5</v>
      </c>
      <c r="AG190" s="3"/>
      <c r="AH190" s="3"/>
    </row>
    <row r="191" spans="2:34" x14ac:dyDescent="0.25">
      <c r="B191" s="3">
        <f t="shared" ref="B191:AF191" si="127">$C38*EXP(-B$168/$A38/EXP(-$C$126))</f>
        <v>3.2731039559542382E-6</v>
      </c>
      <c r="C191" s="3">
        <f t="shared" si="127"/>
        <v>3.2731039559542382E-6</v>
      </c>
      <c r="D191" s="3">
        <f t="shared" si="127"/>
        <v>3.2731039559542382E-6</v>
      </c>
      <c r="E191" s="3">
        <f t="shared" si="127"/>
        <v>3.2731039559542382E-6</v>
      </c>
      <c r="F191" s="3">
        <f t="shared" si="127"/>
        <v>3.2731039559542382E-6</v>
      </c>
      <c r="G191" s="3">
        <f t="shared" si="127"/>
        <v>3.2731039559542382E-6</v>
      </c>
      <c r="H191" s="3">
        <f t="shared" si="127"/>
        <v>3.2731039559542382E-6</v>
      </c>
      <c r="I191" s="3">
        <f t="shared" si="127"/>
        <v>3.2731039559542382E-6</v>
      </c>
      <c r="J191" s="3">
        <f t="shared" si="127"/>
        <v>3.2731039559542382E-6</v>
      </c>
      <c r="K191" s="3">
        <f t="shared" si="127"/>
        <v>3.2731039559542382E-6</v>
      </c>
      <c r="L191" s="3">
        <f t="shared" si="127"/>
        <v>3.2731039559542382E-6</v>
      </c>
      <c r="M191" s="3">
        <f t="shared" si="127"/>
        <v>3.2731039559542382E-6</v>
      </c>
      <c r="N191" s="3">
        <f t="shared" si="127"/>
        <v>3.2731039559542382E-6</v>
      </c>
      <c r="O191" s="3">
        <f t="shared" si="127"/>
        <v>3.2731039559542382E-6</v>
      </c>
      <c r="P191" s="3">
        <f t="shared" si="127"/>
        <v>3.2731039559542382E-6</v>
      </c>
      <c r="Q191" s="3">
        <f t="shared" si="127"/>
        <v>3.2731039559542382E-6</v>
      </c>
      <c r="R191" s="3">
        <f t="shared" si="127"/>
        <v>3.2731039559542382E-6</v>
      </c>
      <c r="S191" s="3">
        <f t="shared" si="127"/>
        <v>3.2731039559542382E-6</v>
      </c>
      <c r="T191" s="3">
        <f t="shared" si="127"/>
        <v>3.2731039559542382E-6</v>
      </c>
      <c r="U191" s="3">
        <f t="shared" si="127"/>
        <v>3.2731039559542382E-6</v>
      </c>
      <c r="V191" s="3">
        <f t="shared" si="127"/>
        <v>3.2731039559542382E-6</v>
      </c>
      <c r="W191" s="3">
        <f t="shared" si="127"/>
        <v>3.2731039559542382E-6</v>
      </c>
      <c r="X191" s="3">
        <f t="shared" si="127"/>
        <v>3.2731039559542382E-6</v>
      </c>
      <c r="Y191" s="3">
        <f t="shared" si="127"/>
        <v>3.2731039559542382E-6</v>
      </c>
      <c r="Z191" s="3">
        <f t="shared" si="127"/>
        <v>3.2731039559542378E-6</v>
      </c>
      <c r="AA191" s="3">
        <f t="shared" si="127"/>
        <v>3.2731039559542361E-6</v>
      </c>
      <c r="AB191" s="3">
        <f t="shared" si="127"/>
        <v>3.2731039559542158E-6</v>
      </c>
      <c r="AC191" s="3">
        <f t="shared" si="127"/>
        <v>3.273103955954012E-6</v>
      </c>
      <c r="AD191" s="3">
        <f t="shared" si="127"/>
        <v>3.273103955951977E-6</v>
      </c>
      <c r="AE191" s="3">
        <f t="shared" si="127"/>
        <v>3.2731039559316241E-6</v>
      </c>
      <c r="AF191" s="3">
        <f t="shared" si="127"/>
        <v>3.2731039557280982E-6</v>
      </c>
      <c r="AG191" s="3"/>
      <c r="AH191" s="3"/>
    </row>
    <row r="192" spans="2:34" x14ac:dyDescent="0.25">
      <c r="B192" s="3">
        <f t="shared" ref="B192:AF192" si="128">$C39*EXP(-B$168/$A39/EXP(-$C$126))</f>
        <v>4.7316671387144988E-5</v>
      </c>
      <c r="C192" s="3">
        <f t="shared" si="128"/>
        <v>4.7316671387144988E-5</v>
      </c>
      <c r="D192" s="3">
        <f t="shared" si="128"/>
        <v>4.7316671387144988E-5</v>
      </c>
      <c r="E192" s="3">
        <f t="shared" si="128"/>
        <v>4.7316671387144988E-5</v>
      </c>
      <c r="F192" s="3">
        <f t="shared" si="128"/>
        <v>4.7316671387144988E-5</v>
      </c>
      <c r="G192" s="3">
        <f t="shared" si="128"/>
        <v>4.7316671387144988E-5</v>
      </c>
      <c r="H192" s="3">
        <f t="shared" si="128"/>
        <v>4.7316671387144988E-5</v>
      </c>
      <c r="I192" s="3">
        <f t="shared" si="128"/>
        <v>4.7316671387144988E-5</v>
      </c>
      <c r="J192" s="3">
        <f t="shared" si="128"/>
        <v>4.7316671387144988E-5</v>
      </c>
      <c r="K192" s="3">
        <f t="shared" si="128"/>
        <v>4.7316671387144988E-5</v>
      </c>
      <c r="L192" s="3">
        <f t="shared" si="128"/>
        <v>4.7316671387144988E-5</v>
      </c>
      <c r="M192" s="3">
        <f t="shared" si="128"/>
        <v>4.7316671387144988E-5</v>
      </c>
      <c r="N192" s="3">
        <f t="shared" si="128"/>
        <v>4.7316671387144988E-5</v>
      </c>
      <c r="O192" s="3">
        <f t="shared" si="128"/>
        <v>4.7316671387144988E-5</v>
      </c>
      <c r="P192" s="3">
        <f t="shared" si="128"/>
        <v>4.7316671387144988E-5</v>
      </c>
      <c r="Q192" s="3">
        <f t="shared" si="128"/>
        <v>4.7316671387144988E-5</v>
      </c>
      <c r="R192" s="3">
        <f t="shared" si="128"/>
        <v>4.7316671387144988E-5</v>
      </c>
      <c r="S192" s="3">
        <f t="shared" si="128"/>
        <v>4.7316671387144988E-5</v>
      </c>
      <c r="T192" s="3">
        <f t="shared" si="128"/>
        <v>4.7316671387144988E-5</v>
      </c>
      <c r="U192" s="3">
        <f t="shared" si="128"/>
        <v>4.7316671387144988E-5</v>
      </c>
      <c r="V192" s="3">
        <f t="shared" si="128"/>
        <v>4.7316671387144988E-5</v>
      </c>
      <c r="W192" s="3">
        <f t="shared" si="128"/>
        <v>4.7316671387144988E-5</v>
      </c>
      <c r="X192" s="3">
        <f t="shared" si="128"/>
        <v>4.7316671387144988E-5</v>
      </c>
      <c r="Y192" s="3">
        <f t="shared" si="128"/>
        <v>4.7316671387144988E-5</v>
      </c>
      <c r="Z192" s="3">
        <f t="shared" si="128"/>
        <v>4.7316671387144988E-5</v>
      </c>
      <c r="AA192" s="3">
        <f t="shared" si="128"/>
        <v>4.7316671387144975E-5</v>
      </c>
      <c r="AB192" s="3">
        <f t="shared" si="128"/>
        <v>4.73166713871449E-5</v>
      </c>
      <c r="AC192" s="3">
        <f t="shared" si="128"/>
        <v>4.7316671387144087E-5</v>
      </c>
      <c r="AD192" s="3">
        <f t="shared" si="128"/>
        <v>4.7316671387135949E-5</v>
      </c>
      <c r="AE192" s="3">
        <f t="shared" si="128"/>
        <v>4.7316671387054573E-5</v>
      </c>
      <c r="AF192" s="3">
        <f t="shared" si="128"/>
        <v>4.7316671386240825E-5</v>
      </c>
      <c r="AG192" s="3"/>
      <c r="AH192" s="3"/>
    </row>
    <row r="193" spans="1:34" x14ac:dyDescent="0.25">
      <c r="B193" s="3">
        <f t="shared" ref="B193:AF193" si="129">$C40*EXP(-B$168/$A40/EXP(-$C$126))</f>
        <v>2.2741722122049058E-5</v>
      </c>
      <c r="C193" s="3">
        <f t="shared" si="129"/>
        <v>2.2741722122049058E-5</v>
      </c>
      <c r="D193" s="3">
        <f t="shared" si="129"/>
        <v>2.2741722122049058E-5</v>
      </c>
      <c r="E193" s="3">
        <f t="shared" si="129"/>
        <v>2.2741722122049058E-5</v>
      </c>
      <c r="F193" s="3">
        <f t="shared" si="129"/>
        <v>2.2741722122049058E-5</v>
      </c>
      <c r="G193" s="3">
        <f t="shared" si="129"/>
        <v>2.2741722122049058E-5</v>
      </c>
      <c r="H193" s="3">
        <f t="shared" si="129"/>
        <v>2.2741722122049058E-5</v>
      </c>
      <c r="I193" s="3">
        <f t="shared" si="129"/>
        <v>2.2741722122049058E-5</v>
      </c>
      <c r="J193" s="3">
        <f t="shared" si="129"/>
        <v>2.2741722122049058E-5</v>
      </c>
      <c r="K193" s="3">
        <f t="shared" si="129"/>
        <v>2.2741722122049058E-5</v>
      </c>
      <c r="L193" s="3">
        <f t="shared" si="129"/>
        <v>2.2741722122049058E-5</v>
      </c>
      <c r="M193" s="3">
        <f t="shared" si="129"/>
        <v>2.2741722122049058E-5</v>
      </c>
      <c r="N193" s="3">
        <f t="shared" si="129"/>
        <v>2.2741722122049058E-5</v>
      </c>
      <c r="O193" s="3">
        <f t="shared" si="129"/>
        <v>2.2741722122049058E-5</v>
      </c>
      <c r="P193" s="3">
        <f t="shared" si="129"/>
        <v>2.2741722122049058E-5</v>
      </c>
      <c r="Q193" s="3">
        <f t="shared" si="129"/>
        <v>2.2741722122049058E-5</v>
      </c>
      <c r="R193" s="3">
        <f t="shared" si="129"/>
        <v>2.2741722122049058E-5</v>
      </c>
      <c r="S193" s="3">
        <f t="shared" si="129"/>
        <v>2.2741722122049058E-5</v>
      </c>
      <c r="T193" s="3">
        <f t="shared" si="129"/>
        <v>2.2741722122049058E-5</v>
      </c>
      <c r="U193" s="3">
        <f t="shared" si="129"/>
        <v>2.2741722122049058E-5</v>
      </c>
      <c r="V193" s="3">
        <f t="shared" si="129"/>
        <v>2.2741722122049058E-5</v>
      </c>
      <c r="W193" s="3">
        <f t="shared" si="129"/>
        <v>2.2741722122049058E-5</v>
      </c>
      <c r="X193" s="3">
        <f t="shared" si="129"/>
        <v>2.2741722122049058E-5</v>
      </c>
      <c r="Y193" s="3">
        <f t="shared" si="129"/>
        <v>2.2741722122049058E-5</v>
      </c>
      <c r="Z193" s="3">
        <f t="shared" si="129"/>
        <v>2.2741722122049058E-5</v>
      </c>
      <c r="AA193" s="3">
        <f t="shared" si="129"/>
        <v>2.2741722122049058E-5</v>
      </c>
      <c r="AB193" s="3">
        <f t="shared" si="129"/>
        <v>2.2741722122049055E-5</v>
      </c>
      <c r="AC193" s="3">
        <f t="shared" si="129"/>
        <v>2.2741722122049014E-5</v>
      </c>
      <c r="AD193" s="3">
        <f t="shared" si="129"/>
        <v>2.2741722122048625E-5</v>
      </c>
      <c r="AE193" s="3">
        <f t="shared" si="129"/>
        <v>2.2741722122044715E-5</v>
      </c>
      <c r="AF193" s="3">
        <f t="shared" si="129"/>
        <v>2.2741722122005602E-5</v>
      </c>
      <c r="AG193" s="3"/>
      <c r="AH193" s="3"/>
    </row>
    <row r="194" spans="1:34" x14ac:dyDescent="0.25">
      <c r="B194" s="3">
        <f t="shared" ref="B194:AF194" si="130">$C41*EXP(-B$168/$A41/EXP(-$C$126))</f>
        <v>1.7857506760164985E-5</v>
      </c>
      <c r="C194" s="3">
        <f t="shared" si="130"/>
        <v>1.7857506760164985E-5</v>
      </c>
      <c r="D194" s="3">
        <f t="shared" si="130"/>
        <v>1.7857506760164985E-5</v>
      </c>
      <c r="E194" s="3">
        <f t="shared" si="130"/>
        <v>1.7857506760164985E-5</v>
      </c>
      <c r="F194" s="3">
        <f t="shared" si="130"/>
        <v>1.7857506760164985E-5</v>
      </c>
      <c r="G194" s="3">
        <f t="shared" si="130"/>
        <v>1.7857506760164985E-5</v>
      </c>
      <c r="H194" s="3">
        <f t="shared" si="130"/>
        <v>1.7857506760164985E-5</v>
      </c>
      <c r="I194" s="3">
        <f t="shared" si="130"/>
        <v>1.7857506760164985E-5</v>
      </c>
      <c r="J194" s="3">
        <f t="shared" si="130"/>
        <v>1.7857506760164985E-5</v>
      </c>
      <c r="K194" s="3">
        <f t="shared" si="130"/>
        <v>1.7857506760164985E-5</v>
      </c>
      <c r="L194" s="3">
        <f t="shared" si="130"/>
        <v>1.7857506760164985E-5</v>
      </c>
      <c r="M194" s="3">
        <f t="shared" si="130"/>
        <v>1.7857506760164985E-5</v>
      </c>
      <c r="N194" s="3">
        <f t="shared" si="130"/>
        <v>1.7857506760164985E-5</v>
      </c>
      <c r="O194" s="3">
        <f t="shared" si="130"/>
        <v>1.7857506760164985E-5</v>
      </c>
      <c r="P194" s="3">
        <f t="shared" si="130"/>
        <v>1.7857506760164985E-5</v>
      </c>
      <c r="Q194" s="3">
        <f t="shared" si="130"/>
        <v>1.7857506760164985E-5</v>
      </c>
      <c r="R194" s="3">
        <f t="shared" si="130"/>
        <v>1.7857506760164985E-5</v>
      </c>
      <c r="S194" s="3">
        <f t="shared" si="130"/>
        <v>1.7857506760164985E-5</v>
      </c>
      <c r="T194" s="3">
        <f t="shared" si="130"/>
        <v>1.7857506760164985E-5</v>
      </c>
      <c r="U194" s="3">
        <f t="shared" si="130"/>
        <v>1.7857506760164985E-5</v>
      </c>
      <c r="V194" s="3">
        <f t="shared" si="130"/>
        <v>1.7857506760164985E-5</v>
      </c>
      <c r="W194" s="3">
        <f t="shared" si="130"/>
        <v>1.7857506760164985E-5</v>
      </c>
      <c r="X194" s="3">
        <f t="shared" si="130"/>
        <v>1.7857506760164985E-5</v>
      </c>
      <c r="Y194" s="3">
        <f t="shared" si="130"/>
        <v>1.7857506760164985E-5</v>
      </c>
      <c r="Z194" s="3">
        <f t="shared" si="130"/>
        <v>1.7857506760164985E-5</v>
      </c>
      <c r="AA194" s="3">
        <f t="shared" si="130"/>
        <v>1.7857506760164985E-5</v>
      </c>
      <c r="AB194" s="3">
        <f t="shared" si="130"/>
        <v>1.7857506760164985E-5</v>
      </c>
      <c r="AC194" s="3">
        <f t="shared" si="130"/>
        <v>1.7857506760164981E-5</v>
      </c>
      <c r="AD194" s="3">
        <f t="shared" si="130"/>
        <v>1.7857506760164951E-5</v>
      </c>
      <c r="AE194" s="3">
        <f t="shared" si="130"/>
        <v>1.7857506760164643E-5</v>
      </c>
      <c r="AF194" s="3">
        <f t="shared" si="130"/>
        <v>1.7857506760161573E-5</v>
      </c>
      <c r="AG194" s="3"/>
      <c r="AH194" s="3"/>
    </row>
    <row r="195" spans="1:34" x14ac:dyDescent="0.25">
      <c r="B195" s="3">
        <f t="shared" ref="B195:AF195" si="131">$C42*EXP(-B$168/$A42/EXP(-$C$126))</f>
        <v>0</v>
      </c>
      <c r="C195" s="3">
        <f t="shared" si="131"/>
        <v>0</v>
      </c>
      <c r="D195" s="3">
        <f t="shared" si="131"/>
        <v>0</v>
      </c>
      <c r="E195" s="3">
        <f t="shared" si="131"/>
        <v>0</v>
      </c>
      <c r="F195" s="3">
        <f t="shared" si="131"/>
        <v>0</v>
      </c>
      <c r="G195" s="3">
        <f t="shared" si="131"/>
        <v>0</v>
      </c>
      <c r="H195" s="3">
        <f t="shared" si="131"/>
        <v>0</v>
      </c>
      <c r="I195" s="3">
        <f t="shared" si="131"/>
        <v>0</v>
      </c>
      <c r="J195" s="3">
        <f t="shared" si="131"/>
        <v>0</v>
      </c>
      <c r="K195" s="3">
        <f t="shared" si="131"/>
        <v>0</v>
      </c>
      <c r="L195" s="3">
        <f t="shared" si="131"/>
        <v>0</v>
      </c>
      <c r="M195" s="3">
        <f t="shared" si="131"/>
        <v>0</v>
      </c>
      <c r="N195" s="3">
        <f t="shared" si="131"/>
        <v>0</v>
      </c>
      <c r="O195" s="3">
        <f t="shared" si="131"/>
        <v>0</v>
      </c>
      <c r="P195" s="3">
        <f t="shared" si="131"/>
        <v>0</v>
      </c>
      <c r="Q195" s="3">
        <f t="shared" si="131"/>
        <v>0</v>
      </c>
      <c r="R195" s="3">
        <f t="shared" si="131"/>
        <v>0</v>
      </c>
      <c r="S195" s="3">
        <f t="shared" si="131"/>
        <v>0</v>
      </c>
      <c r="T195" s="3">
        <f t="shared" si="131"/>
        <v>0</v>
      </c>
      <c r="U195" s="3">
        <f t="shared" si="131"/>
        <v>0</v>
      </c>
      <c r="V195" s="3">
        <f t="shared" si="131"/>
        <v>0</v>
      </c>
      <c r="W195" s="3">
        <f t="shared" si="131"/>
        <v>0</v>
      </c>
      <c r="X195" s="3">
        <f t="shared" si="131"/>
        <v>0</v>
      </c>
      <c r="Y195" s="3">
        <f t="shared" si="131"/>
        <v>0</v>
      </c>
      <c r="Z195" s="3">
        <f t="shared" si="131"/>
        <v>0</v>
      </c>
      <c r="AA195" s="3">
        <f t="shared" si="131"/>
        <v>0</v>
      </c>
      <c r="AB195" s="3">
        <f t="shared" si="131"/>
        <v>0</v>
      </c>
      <c r="AC195" s="3">
        <f t="shared" si="131"/>
        <v>0</v>
      </c>
      <c r="AD195" s="3">
        <f t="shared" si="131"/>
        <v>0</v>
      </c>
      <c r="AE195" s="3">
        <f t="shared" si="131"/>
        <v>0</v>
      </c>
      <c r="AF195" s="3">
        <f t="shared" si="131"/>
        <v>0</v>
      </c>
      <c r="AG195" s="3"/>
      <c r="AH195" s="3"/>
    </row>
    <row r="196" spans="1:34" x14ac:dyDescent="0.25">
      <c r="B196" s="3">
        <f t="shared" ref="B196:AF196" si="132">$C43*EXP(-B$168/$A43/EXP(-$C$126))</f>
        <v>1.5759572914912317E-6</v>
      </c>
      <c r="C196" s="3">
        <f t="shared" si="132"/>
        <v>1.5759572914912317E-6</v>
      </c>
      <c r="D196" s="3">
        <f t="shared" si="132"/>
        <v>1.5759572914912317E-6</v>
      </c>
      <c r="E196" s="3">
        <f t="shared" si="132"/>
        <v>1.5759572914912317E-6</v>
      </c>
      <c r="F196" s="3">
        <f t="shared" si="132"/>
        <v>1.5759572914912317E-6</v>
      </c>
      <c r="G196" s="3">
        <f t="shared" si="132"/>
        <v>1.5759572914912317E-6</v>
      </c>
      <c r="H196" s="3">
        <f t="shared" si="132"/>
        <v>1.5759572914912317E-6</v>
      </c>
      <c r="I196" s="3">
        <f t="shared" si="132"/>
        <v>1.5759572914912317E-6</v>
      </c>
      <c r="J196" s="3">
        <f t="shared" si="132"/>
        <v>1.5759572914912317E-6</v>
      </c>
      <c r="K196" s="3">
        <f t="shared" si="132"/>
        <v>1.5759572914912317E-6</v>
      </c>
      <c r="L196" s="3">
        <f t="shared" si="132"/>
        <v>1.5759572914912317E-6</v>
      </c>
      <c r="M196" s="3">
        <f t="shared" si="132"/>
        <v>1.5759572914912317E-6</v>
      </c>
      <c r="N196" s="3">
        <f t="shared" si="132"/>
        <v>1.5759572914912317E-6</v>
      </c>
      <c r="O196" s="3">
        <f t="shared" si="132"/>
        <v>1.5759572914912317E-6</v>
      </c>
      <c r="P196" s="3">
        <f t="shared" si="132"/>
        <v>1.5759572914912317E-6</v>
      </c>
      <c r="Q196" s="3">
        <f t="shared" si="132"/>
        <v>1.5759572914912317E-6</v>
      </c>
      <c r="R196" s="3">
        <f t="shared" si="132"/>
        <v>1.5759572914912317E-6</v>
      </c>
      <c r="S196" s="3">
        <f t="shared" si="132"/>
        <v>1.5759572914912317E-6</v>
      </c>
      <c r="T196" s="3">
        <f t="shared" si="132"/>
        <v>1.5759572914912317E-6</v>
      </c>
      <c r="U196" s="3">
        <f t="shared" si="132"/>
        <v>1.5759572914912317E-6</v>
      </c>
      <c r="V196" s="3">
        <f t="shared" si="132"/>
        <v>1.5759572914912317E-6</v>
      </c>
      <c r="W196" s="3">
        <f t="shared" si="132"/>
        <v>1.5759572914912317E-6</v>
      </c>
      <c r="X196" s="3">
        <f t="shared" si="132"/>
        <v>1.5759572914912317E-6</v>
      </c>
      <c r="Y196" s="3">
        <f t="shared" si="132"/>
        <v>1.5759572914912317E-6</v>
      </c>
      <c r="Z196" s="3">
        <f t="shared" si="132"/>
        <v>1.5759572914912317E-6</v>
      </c>
      <c r="AA196" s="3">
        <f t="shared" si="132"/>
        <v>1.5759572914912317E-6</v>
      </c>
      <c r="AB196" s="3">
        <f t="shared" si="132"/>
        <v>1.5759572914912317E-6</v>
      </c>
      <c r="AC196" s="3">
        <f t="shared" si="132"/>
        <v>1.5759572914912317E-6</v>
      </c>
      <c r="AD196" s="3">
        <f t="shared" si="132"/>
        <v>1.5759572914912317E-6</v>
      </c>
      <c r="AE196" s="3">
        <f t="shared" si="132"/>
        <v>1.5759572914912313E-6</v>
      </c>
      <c r="AF196" s="3">
        <f t="shared" si="132"/>
        <v>1.5759572914912287E-6</v>
      </c>
      <c r="AG196" s="3"/>
      <c r="AH196" s="3"/>
    </row>
    <row r="197" spans="1:34" x14ac:dyDescent="0.25">
      <c r="B197" s="3">
        <f t="shared" ref="B197:AF197" si="133">$C44*EXP(-B$168/$A44/EXP(-$C$126))</f>
        <v>0</v>
      </c>
      <c r="C197" s="3">
        <f t="shared" si="133"/>
        <v>0</v>
      </c>
      <c r="D197" s="3">
        <f t="shared" si="133"/>
        <v>0</v>
      </c>
      <c r="E197" s="3">
        <f t="shared" si="133"/>
        <v>0</v>
      </c>
      <c r="F197" s="3">
        <f t="shared" si="133"/>
        <v>0</v>
      </c>
      <c r="G197" s="3">
        <f t="shared" si="133"/>
        <v>0</v>
      </c>
      <c r="H197" s="3">
        <f t="shared" si="133"/>
        <v>0</v>
      </c>
      <c r="I197" s="3">
        <f t="shared" si="133"/>
        <v>0</v>
      </c>
      <c r="J197" s="3">
        <f t="shared" si="133"/>
        <v>0</v>
      </c>
      <c r="K197" s="3">
        <f t="shared" si="133"/>
        <v>0</v>
      </c>
      <c r="L197" s="3">
        <f t="shared" si="133"/>
        <v>0</v>
      </c>
      <c r="M197" s="3">
        <f t="shared" si="133"/>
        <v>0</v>
      </c>
      <c r="N197" s="3">
        <f t="shared" si="133"/>
        <v>0</v>
      </c>
      <c r="O197" s="3">
        <f t="shared" si="133"/>
        <v>0</v>
      </c>
      <c r="P197" s="3">
        <f t="shared" si="133"/>
        <v>0</v>
      </c>
      <c r="Q197" s="3">
        <f t="shared" si="133"/>
        <v>0</v>
      </c>
      <c r="R197" s="3">
        <f t="shared" si="133"/>
        <v>0</v>
      </c>
      <c r="S197" s="3">
        <f t="shared" si="133"/>
        <v>0</v>
      </c>
      <c r="T197" s="3">
        <f t="shared" si="133"/>
        <v>0</v>
      </c>
      <c r="U197" s="3">
        <f t="shared" si="133"/>
        <v>0</v>
      </c>
      <c r="V197" s="3">
        <f t="shared" si="133"/>
        <v>0</v>
      </c>
      <c r="W197" s="3">
        <f t="shared" si="133"/>
        <v>0</v>
      </c>
      <c r="X197" s="3">
        <f t="shared" si="133"/>
        <v>0</v>
      </c>
      <c r="Y197" s="3">
        <f t="shared" si="133"/>
        <v>0</v>
      </c>
      <c r="Z197" s="3">
        <f t="shared" si="133"/>
        <v>0</v>
      </c>
      <c r="AA197" s="3">
        <f t="shared" si="133"/>
        <v>0</v>
      </c>
      <c r="AB197" s="3">
        <f t="shared" si="133"/>
        <v>0</v>
      </c>
      <c r="AC197" s="3">
        <f t="shared" si="133"/>
        <v>0</v>
      </c>
      <c r="AD197" s="3">
        <f t="shared" si="133"/>
        <v>0</v>
      </c>
      <c r="AE197" s="3">
        <f t="shared" si="133"/>
        <v>0</v>
      </c>
      <c r="AF197" s="3">
        <f t="shared" si="133"/>
        <v>0</v>
      </c>
      <c r="AG197" s="3"/>
      <c r="AH197" s="3"/>
    </row>
    <row r="198" spans="1:34" x14ac:dyDescent="0.25">
      <c r="B198" s="3">
        <f t="shared" ref="B198:AF198" si="134">$C45*EXP(-B$168/$A45/EXP(-$C$126))</f>
        <v>0</v>
      </c>
      <c r="C198" s="3">
        <f t="shared" si="134"/>
        <v>0</v>
      </c>
      <c r="D198" s="3">
        <f t="shared" si="134"/>
        <v>0</v>
      </c>
      <c r="E198" s="3">
        <f t="shared" si="134"/>
        <v>0</v>
      </c>
      <c r="F198" s="3">
        <f t="shared" si="134"/>
        <v>0</v>
      </c>
      <c r="G198" s="3">
        <f t="shared" si="134"/>
        <v>0</v>
      </c>
      <c r="H198" s="3">
        <f t="shared" si="134"/>
        <v>0</v>
      </c>
      <c r="I198" s="3">
        <f t="shared" si="134"/>
        <v>0</v>
      </c>
      <c r="J198" s="3">
        <f t="shared" si="134"/>
        <v>0</v>
      </c>
      <c r="K198" s="3">
        <f t="shared" si="134"/>
        <v>0</v>
      </c>
      <c r="L198" s="3">
        <f t="shared" si="134"/>
        <v>0</v>
      </c>
      <c r="M198" s="3">
        <f t="shared" si="134"/>
        <v>0</v>
      </c>
      <c r="N198" s="3">
        <f t="shared" si="134"/>
        <v>0</v>
      </c>
      <c r="O198" s="3">
        <f t="shared" si="134"/>
        <v>0</v>
      </c>
      <c r="P198" s="3">
        <f t="shared" si="134"/>
        <v>0</v>
      </c>
      <c r="Q198" s="3">
        <f t="shared" si="134"/>
        <v>0</v>
      </c>
      <c r="R198" s="3">
        <f t="shared" si="134"/>
        <v>0</v>
      </c>
      <c r="S198" s="3">
        <f t="shared" si="134"/>
        <v>0</v>
      </c>
      <c r="T198" s="3">
        <f t="shared" si="134"/>
        <v>0</v>
      </c>
      <c r="U198" s="3">
        <f t="shared" si="134"/>
        <v>0</v>
      </c>
      <c r="V198" s="3">
        <f t="shared" si="134"/>
        <v>0</v>
      </c>
      <c r="W198" s="3">
        <f t="shared" si="134"/>
        <v>0</v>
      </c>
      <c r="X198" s="3">
        <f t="shared" si="134"/>
        <v>0</v>
      </c>
      <c r="Y198" s="3">
        <f t="shared" si="134"/>
        <v>0</v>
      </c>
      <c r="Z198" s="3">
        <f t="shared" si="134"/>
        <v>0</v>
      </c>
      <c r="AA198" s="3">
        <f t="shared" si="134"/>
        <v>0</v>
      </c>
      <c r="AB198" s="3">
        <f t="shared" si="134"/>
        <v>0</v>
      </c>
      <c r="AC198" s="3">
        <f t="shared" si="134"/>
        <v>0</v>
      </c>
      <c r="AD198" s="3">
        <f t="shared" si="134"/>
        <v>0</v>
      </c>
      <c r="AE198" s="3">
        <f t="shared" si="134"/>
        <v>0</v>
      </c>
      <c r="AF198" s="3">
        <f t="shared" si="134"/>
        <v>0</v>
      </c>
      <c r="AG198" s="3"/>
      <c r="AH198" s="3"/>
    </row>
    <row r="199" spans="1:34" x14ac:dyDescent="0.25">
      <c r="B199" s="3">
        <f t="shared" ref="B199:AF199" si="135">$C46*EXP(-B$168/$A46/EXP(-$C$126))</f>
        <v>0</v>
      </c>
      <c r="C199" s="3">
        <f t="shared" si="135"/>
        <v>0</v>
      </c>
      <c r="D199" s="3">
        <f t="shared" si="135"/>
        <v>0</v>
      </c>
      <c r="E199" s="3">
        <f t="shared" si="135"/>
        <v>0</v>
      </c>
      <c r="F199" s="3">
        <f t="shared" si="135"/>
        <v>0</v>
      </c>
      <c r="G199" s="3">
        <f t="shared" si="135"/>
        <v>0</v>
      </c>
      <c r="H199" s="3">
        <f t="shared" si="135"/>
        <v>0</v>
      </c>
      <c r="I199" s="3">
        <f t="shared" si="135"/>
        <v>0</v>
      </c>
      <c r="J199" s="3">
        <f t="shared" si="135"/>
        <v>0</v>
      </c>
      <c r="K199" s="3">
        <f t="shared" si="135"/>
        <v>0</v>
      </c>
      <c r="L199" s="3">
        <f t="shared" si="135"/>
        <v>0</v>
      </c>
      <c r="M199" s="3">
        <f t="shared" si="135"/>
        <v>0</v>
      </c>
      <c r="N199" s="3">
        <f t="shared" si="135"/>
        <v>0</v>
      </c>
      <c r="O199" s="3">
        <f t="shared" si="135"/>
        <v>0</v>
      </c>
      <c r="P199" s="3">
        <f t="shared" si="135"/>
        <v>0</v>
      </c>
      <c r="Q199" s="3">
        <f t="shared" si="135"/>
        <v>0</v>
      </c>
      <c r="R199" s="3">
        <f t="shared" si="135"/>
        <v>0</v>
      </c>
      <c r="S199" s="3">
        <f t="shared" si="135"/>
        <v>0</v>
      </c>
      <c r="T199" s="3">
        <f t="shared" si="135"/>
        <v>0</v>
      </c>
      <c r="U199" s="3">
        <f t="shared" si="135"/>
        <v>0</v>
      </c>
      <c r="V199" s="3">
        <f t="shared" si="135"/>
        <v>0</v>
      </c>
      <c r="W199" s="3">
        <f t="shared" si="135"/>
        <v>0</v>
      </c>
      <c r="X199" s="3">
        <f t="shared" si="135"/>
        <v>0</v>
      </c>
      <c r="Y199" s="3">
        <f t="shared" si="135"/>
        <v>0</v>
      </c>
      <c r="Z199" s="3">
        <f t="shared" si="135"/>
        <v>0</v>
      </c>
      <c r="AA199" s="3">
        <f t="shared" si="135"/>
        <v>0</v>
      </c>
      <c r="AB199" s="3">
        <f t="shared" si="135"/>
        <v>0</v>
      </c>
      <c r="AC199" s="3">
        <f t="shared" si="135"/>
        <v>0</v>
      </c>
      <c r="AD199" s="3">
        <f t="shared" si="135"/>
        <v>0</v>
      </c>
      <c r="AE199" s="3">
        <f t="shared" si="135"/>
        <v>0</v>
      </c>
      <c r="AF199" s="3">
        <f t="shared" si="135"/>
        <v>0</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1.823122872957775E-3</v>
      </c>
      <c r="C201" s="3">
        <f t="shared" si="137"/>
        <v>1.823122872957775E-3</v>
      </c>
      <c r="D201" s="3">
        <f t="shared" si="137"/>
        <v>1.823122872957775E-3</v>
      </c>
      <c r="E201" s="3">
        <f t="shared" si="137"/>
        <v>1.823122872957775E-3</v>
      </c>
      <c r="F201" s="3">
        <f t="shared" si="137"/>
        <v>1.823122872957775E-3</v>
      </c>
      <c r="G201" s="3">
        <f t="shared" si="137"/>
        <v>1.823122872957775E-3</v>
      </c>
      <c r="H201" s="3">
        <f t="shared" si="137"/>
        <v>1.823122872957775E-3</v>
      </c>
      <c r="I201" s="3">
        <f t="shared" si="137"/>
        <v>1.823122872957775E-3</v>
      </c>
      <c r="J201" s="3">
        <f t="shared" si="137"/>
        <v>1.823122872957775E-3</v>
      </c>
      <c r="K201" s="3">
        <f t="shared" si="137"/>
        <v>1.823122872957775E-3</v>
      </c>
      <c r="L201" s="3">
        <f t="shared" si="137"/>
        <v>1.823122872957775E-3</v>
      </c>
      <c r="M201" s="3">
        <f t="shared" si="137"/>
        <v>1.823122872957775E-3</v>
      </c>
      <c r="N201" s="3">
        <f t="shared" si="137"/>
        <v>1.823122872957775E-3</v>
      </c>
      <c r="O201" s="3">
        <f t="shared" si="137"/>
        <v>1.823122872957775E-3</v>
      </c>
      <c r="P201" s="3">
        <f t="shared" si="137"/>
        <v>1.823122872957775E-3</v>
      </c>
      <c r="Q201" s="3">
        <f t="shared" si="137"/>
        <v>1.823122872957775E-3</v>
      </c>
      <c r="R201" s="3">
        <f t="shared" si="137"/>
        <v>1.823122872957775E-3</v>
      </c>
      <c r="S201" s="3">
        <f t="shared" si="137"/>
        <v>1.823122872957775E-3</v>
      </c>
      <c r="T201" s="3">
        <f t="shared" si="137"/>
        <v>1.823122872957775E-3</v>
      </c>
      <c r="U201" s="3">
        <f t="shared" si="137"/>
        <v>1.823122872957775E-3</v>
      </c>
      <c r="V201" s="3">
        <f t="shared" si="137"/>
        <v>1.823122872957775E-3</v>
      </c>
      <c r="W201" s="3">
        <f t="shared" si="137"/>
        <v>1.823122872957775E-3</v>
      </c>
      <c r="X201" s="3">
        <f t="shared" si="137"/>
        <v>1.823122872957775E-3</v>
      </c>
      <c r="Y201" s="3">
        <f t="shared" si="137"/>
        <v>1.823122872957775E-3</v>
      </c>
      <c r="Z201" s="3">
        <f t="shared" si="137"/>
        <v>1.823122872957775E-3</v>
      </c>
      <c r="AA201" s="3">
        <f t="shared" si="137"/>
        <v>1.823122872957775E-3</v>
      </c>
      <c r="AB201" s="3">
        <f t="shared" si="137"/>
        <v>1.823122872957775E-3</v>
      </c>
      <c r="AC201" s="3">
        <f t="shared" si="137"/>
        <v>1.823122872957775E-3</v>
      </c>
      <c r="AD201" s="3">
        <f t="shared" si="137"/>
        <v>1.823122872957775E-3</v>
      </c>
      <c r="AE201" s="3">
        <f t="shared" si="137"/>
        <v>1.823122872957775E-3</v>
      </c>
      <c r="AF201" s="3">
        <f t="shared" si="137"/>
        <v>1.823122872957775E-3</v>
      </c>
      <c r="AG201" s="3"/>
      <c r="AH201" s="3"/>
    </row>
    <row r="202" spans="1:34" x14ac:dyDescent="0.25">
      <c r="A202" s="80">
        <f>AVERAGE(B202:AF202)</f>
        <v>2.9660937142730975E-2</v>
      </c>
      <c r="B202" s="81">
        <f>IF($A$64&lt;=B168,IF($B$64&gt;=B168,ABS((B170-B169)/B169),0),0)</f>
        <v>9.9984364963562225E-4</v>
      </c>
      <c r="C202" s="81">
        <f t="shared" ref="C202:AF202" si="138">IF($A$64&lt;=C168,IF($B$64&gt;=C168,ABS((C170-C169)/C169),0),0)</f>
        <v>1.0060688835469705E-3</v>
      </c>
      <c r="D202" s="81">
        <f t="shared" si="138"/>
        <v>1.0022869778966784E-3</v>
      </c>
      <c r="E202" s="81">
        <f t="shared" si="138"/>
        <v>1.0011415638479957E-3</v>
      </c>
      <c r="F202" s="81">
        <f t="shared" si="138"/>
        <v>1.000792535752242E-3</v>
      </c>
      <c r="G202" s="81">
        <f t="shared" si="138"/>
        <v>1.0006910593090524E-3</v>
      </c>
      <c r="H202" s="81">
        <f t="shared" si="138"/>
        <v>1.0006454929711757E-3</v>
      </c>
      <c r="I202" s="81">
        <f t="shared" si="138"/>
        <v>1.0006608734177884E-3</v>
      </c>
      <c r="J202" s="81">
        <f t="shared" si="138"/>
        <v>1.0008112889097341E-3</v>
      </c>
      <c r="K202" s="81">
        <f t="shared" si="138"/>
        <v>1.0026881945618511E-3</v>
      </c>
      <c r="L202" s="81">
        <f t="shared" si="138"/>
        <v>1.0214046448582433E-3</v>
      </c>
      <c r="M202" s="81">
        <f t="shared" si="138"/>
        <v>1.2085138153837872E-3</v>
      </c>
      <c r="N202" s="81">
        <f t="shared" si="138"/>
        <v>3.0616230488153175E-3</v>
      </c>
      <c r="O202" s="81">
        <f t="shared" si="138"/>
        <v>1.9937999785086952E-2</v>
      </c>
      <c r="P202" s="81">
        <f t="shared" si="138"/>
        <v>9.3569856214020697E-2</v>
      </c>
      <c r="Q202" s="81">
        <f t="shared" si="138"/>
        <v>0.10628252460774454</v>
      </c>
      <c r="R202" s="81">
        <f t="shared" si="138"/>
        <v>8.7429764304026991E-2</v>
      </c>
      <c r="S202" s="81">
        <f t="shared" si="138"/>
        <v>6.4299139923381751E-2</v>
      </c>
      <c r="T202" s="81">
        <f t="shared" si="138"/>
        <v>3.5908926005638712E-2</v>
      </c>
      <c r="U202" s="81">
        <f t="shared" si="138"/>
        <v>3.4631338501056996E-3</v>
      </c>
      <c r="V202" s="81">
        <f t="shared" si="138"/>
        <v>2.8190739839437439E-2</v>
      </c>
      <c r="W202" s="81">
        <f t="shared" si="138"/>
        <v>2.3158487952543366E-2</v>
      </c>
      <c r="X202" s="81">
        <f t="shared" si="138"/>
        <v>4.4400646794293147E-2</v>
      </c>
      <c r="Y202" s="81">
        <f t="shared" si="138"/>
        <v>5.1865980340015314E-2</v>
      </c>
      <c r="Z202" s="81">
        <f t="shared" si="138"/>
        <v>5.7467925954667556E-2</v>
      </c>
      <c r="AA202" s="81">
        <f t="shared" si="138"/>
        <v>5.7400267257519469E-2</v>
      </c>
      <c r="AB202" s="81">
        <f t="shared" si="138"/>
        <v>4.9983838283542359E-2</v>
      </c>
      <c r="AC202" s="81">
        <f t="shared" si="138"/>
        <v>3.2197247618836806E-2</v>
      </c>
      <c r="AD202" s="81">
        <f t="shared" si="138"/>
        <v>6.1593610273930023E-3</v>
      </c>
      <c r="AE202" s="81">
        <f t="shared" si="138"/>
        <v>3.8799571977336508E-2</v>
      </c>
      <c r="AF202" s="81">
        <f t="shared" si="138"/>
        <v>0.10366646766016345</v>
      </c>
    </row>
    <row r="203" spans="1:34" x14ac:dyDescent="0.25">
      <c r="B203" s="21">
        <f>(B170-B169)^2</f>
        <v>35.229153189522094</v>
      </c>
      <c r="C203" s="21">
        <f t="shared" ref="C203:AF203" si="139">(C170-C169)^2</f>
        <v>35.669651445018559</v>
      </c>
      <c r="D203" s="21">
        <f t="shared" si="139"/>
        <v>35.401716428671811</v>
      </c>
      <c r="E203" s="21">
        <f t="shared" si="139"/>
        <v>35.320767470190177</v>
      </c>
      <c r="F203" s="21">
        <f t="shared" si="139"/>
        <v>35.296119332230134</v>
      </c>
      <c r="G203" s="21">
        <f t="shared" si="139"/>
        <v>35.288954736182063</v>
      </c>
      <c r="H203" s="21">
        <f t="shared" si="139"/>
        <v>35.285737701882397</v>
      </c>
      <c r="I203" s="21">
        <f t="shared" si="139"/>
        <v>35.286822191449225</v>
      </c>
      <c r="J203" s="21">
        <f t="shared" si="139"/>
        <v>35.297428713219269</v>
      </c>
      <c r="K203" s="21">
        <f t="shared" si="139"/>
        <v>35.429945334963229</v>
      </c>
      <c r="L203" s="21">
        <f t="shared" si="139"/>
        <v>36.764976412506613</v>
      </c>
      <c r="M203" s="21">
        <f t="shared" si="139"/>
        <v>51.4685031374758</v>
      </c>
      <c r="N203" s="21">
        <f t="shared" si="139"/>
        <v>330.3224279741479</v>
      </c>
      <c r="O203" s="21">
        <f t="shared" si="139"/>
        <v>14007.518126059176</v>
      </c>
      <c r="P203" s="21">
        <f t="shared" si="139"/>
        <v>308252.71666957601</v>
      </c>
      <c r="Q203" s="21">
        <f t="shared" si="139"/>
        <v>394645.11972098064</v>
      </c>
      <c r="R203" s="21">
        <f t="shared" si="139"/>
        <v>256133.44118479552</v>
      </c>
      <c r="S203" s="21">
        <f t="shared" si="139"/>
        <v>131760.15910139756</v>
      </c>
      <c r="T203" s="21">
        <f t="shared" si="139"/>
        <v>38680.577457446787</v>
      </c>
      <c r="U203" s="21">
        <f t="shared" si="139"/>
        <v>329.67904090233435</v>
      </c>
      <c r="V203" s="21">
        <f t="shared" si="139"/>
        <v>19607.755770489934</v>
      </c>
      <c r="W203" s="21">
        <f t="shared" si="139"/>
        <v>11662.158053276829</v>
      </c>
      <c r="X203" s="21">
        <f t="shared" si="139"/>
        <v>37240.082173245661</v>
      </c>
      <c r="Y203" s="21">
        <f t="shared" si="139"/>
        <v>44183.356428165003</v>
      </c>
      <c r="Z203" s="21">
        <f t="shared" si="139"/>
        <v>46976.338724366266</v>
      </c>
      <c r="AA203" s="21">
        <f t="shared" si="139"/>
        <v>40068.651148959543</v>
      </c>
      <c r="AB203" s="21">
        <f t="shared" si="139"/>
        <v>25126.519724224236</v>
      </c>
      <c r="AC203" s="21">
        <f t="shared" si="139"/>
        <v>7964.117020918693</v>
      </c>
      <c r="AD203" s="21">
        <f t="shared" si="139"/>
        <v>199.76484191113741</v>
      </c>
      <c r="AE203" s="21">
        <f t="shared" si="139"/>
        <v>4579.7166993358223</v>
      </c>
      <c r="AF203" s="21">
        <f t="shared" si="139"/>
        <v>14208.315304106656</v>
      </c>
      <c r="AG203" s="3"/>
      <c r="AH203" s="3"/>
    </row>
    <row r="204" spans="1:34" x14ac:dyDescent="0.25">
      <c r="A204" s="72">
        <f>SUM(B204:AF204)</f>
        <v>1396398.049394225</v>
      </c>
      <c r="B204" s="60">
        <f>IF($A$64&lt;=B168,IF($B$64&gt;=B168,ABS(B203),0),0)</f>
        <v>35.229153189522094</v>
      </c>
      <c r="C204" s="60">
        <f t="shared" ref="C204" si="140">IF($A$64&lt;=C168,IF($B$64&gt;=C168,ABS(C203),0),0)</f>
        <v>35.669651445018559</v>
      </c>
      <c r="D204" s="60">
        <f t="shared" ref="D204" si="141">IF($A$64&lt;=D168,IF($B$64&gt;=D168,ABS(D203),0),0)</f>
        <v>35.401716428671811</v>
      </c>
      <c r="E204" s="60">
        <f t="shared" ref="E204" si="142">IF($A$64&lt;=E168,IF($B$64&gt;=E168,ABS(E203),0),0)</f>
        <v>35.320767470190177</v>
      </c>
      <c r="F204" s="60">
        <f t="shared" ref="F204" si="143">IF($A$64&lt;=F168,IF($B$64&gt;=F168,ABS(F203),0),0)</f>
        <v>35.296119332230134</v>
      </c>
      <c r="G204" s="60">
        <f t="shared" ref="G204" si="144">IF($A$64&lt;=G168,IF($B$64&gt;=G168,ABS(G203),0),0)</f>
        <v>35.288954736182063</v>
      </c>
      <c r="H204" s="60">
        <f t="shared" ref="H204" si="145">IF($A$64&lt;=H168,IF($B$64&gt;=H168,ABS(H203),0),0)</f>
        <v>35.285737701882397</v>
      </c>
      <c r="I204" s="60">
        <f t="shared" ref="I204" si="146">IF($A$64&lt;=I168,IF($B$64&gt;=I168,ABS(I203),0),0)</f>
        <v>35.286822191449225</v>
      </c>
      <c r="J204" s="60">
        <f t="shared" ref="J204" si="147">IF($A$64&lt;=J168,IF($B$64&gt;=J168,ABS(J203),0),0)</f>
        <v>35.297428713219269</v>
      </c>
      <c r="K204" s="60">
        <f t="shared" ref="K204" si="148">IF($A$64&lt;=K168,IF($B$64&gt;=K168,ABS(K203),0),0)</f>
        <v>35.429945334963229</v>
      </c>
      <c r="L204" s="60">
        <f t="shared" ref="L204" si="149">IF($A$64&lt;=L168,IF($B$64&gt;=L168,ABS(L203),0),0)</f>
        <v>36.764976412506613</v>
      </c>
      <c r="M204" s="60">
        <f t="shared" ref="M204" si="150">IF($A$64&lt;=M168,IF($B$64&gt;=M168,ABS(M203),0),0)</f>
        <v>51.4685031374758</v>
      </c>
      <c r="N204" s="60">
        <f t="shared" ref="N204" si="151">IF($A$64&lt;=N168,IF($B$64&gt;=N168,ABS(N203),0),0)</f>
        <v>330.3224279741479</v>
      </c>
      <c r="O204" s="60">
        <f t="shared" ref="O204" si="152">IF($A$64&lt;=O168,IF($B$64&gt;=O168,ABS(O203),0),0)</f>
        <v>14007.518126059176</v>
      </c>
      <c r="P204" s="60">
        <f t="shared" ref="P204" si="153">IF($A$64&lt;=P168,IF($B$64&gt;=P168,ABS(P203),0),0)</f>
        <v>308252.71666957601</v>
      </c>
      <c r="Q204" s="60">
        <f t="shared" ref="Q204" si="154">IF($A$64&lt;=Q168,IF($B$64&gt;=Q168,ABS(Q203),0),0)</f>
        <v>394645.11972098064</v>
      </c>
      <c r="R204" s="60">
        <f t="shared" ref="R204" si="155">IF($A$64&lt;=R168,IF($B$64&gt;=R168,ABS(R203),0),0)</f>
        <v>256133.44118479552</v>
      </c>
      <c r="S204" s="60">
        <f t="shared" ref="S204" si="156">IF($A$64&lt;=S168,IF($B$64&gt;=S168,ABS(S203),0),0)</f>
        <v>131760.15910139756</v>
      </c>
      <c r="T204" s="60">
        <f t="shared" ref="T204" si="157">IF($A$64&lt;=T168,IF($B$64&gt;=T168,ABS(T203),0),0)</f>
        <v>38680.577457446787</v>
      </c>
      <c r="U204" s="60">
        <f t="shared" ref="U204" si="158">IF($A$64&lt;=U168,IF($B$64&gt;=U168,ABS(U203),0),0)</f>
        <v>329.67904090233435</v>
      </c>
      <c r="V204" s="60">
        <f t="shared" ref="V204" si="159">IF($A$64&lt;=V168,IF($B$64&gt;=V168,ABS(V203),0),0)</f>
        <v>19607.755770489934</v>
      </c>
      <c r="W204" s="60">
        <f t="shared" ref="W204" si="160">IF($A$64&lt;=W168,IF($B$64&gt;=W168,ABS(W203),0),0)</f>
        <v>11662.158053276829</v>
      </c>
      <c r="X204" s="60">
        <f t="shared" ref="X204" si="161">IF($A$64&lt;=X168,IF($B$64&gt;=X168,ABS(X203),0),0)</f>
        <v>37240.082173245661</v>
      </c>
      <c r="Y204" s="60">
        <f t="shared" ref="Y204" si="162">IF($A$64&lt;=Y168,IF($B$64&gt;=Y168,ABS(Y203),0),0)</f>
        <v>44183.356428165003</v>
      </c>
      <c r="Z204" s="60">
        <f t="shared" ref="Z204" si="163">IF($A$64&lt;=Z168,IF($B$64&gt;=Z168,ABS(Z203),0),0)</f>
        <v>46976.338724366266</v>
      </c>
      <c r="AA204" s="60">
        <f t="shared" ref="AA204" si="164">IF($A$64&lt;=AA168,IF($B$64&gt;=AA168,ABS(AA203),0),0)</f>
        <v>40068.651148959543</v>
      </c>
      <c r="AB204" s="60">
        <f t="shared" ref="AB204" si="165">IF($A$64&lt;=AB168,IF($B$64&gt;=AB168,ABS(AB203),0),0)</f>
        <v>25126.519724224236</v>
      </c>
      <c r="AC204" s="60">
        <f t="shared" ref="AC204" si="166">IF($A$64&lt;=AC168,IF($B$64&gt;=AC168,ABS(AC203),0),0)</f>
        <v>7964.117020918693</v>
      </c>
      <c r="AD204" s="60">
        <f t="shared" ref="AD204" si="167">IF($A$64&lt;=AD168,IF($B$64&gt;=AD168,ABS(AD203),0),0)</f>
        <v>199.76484191113741</v>
      </c>
      <c r="AE204" s="60">
        <f t="shared" ref="AE204" si="168">IF($A$64&lt;=AE168,IF($B$64&gt;=AE168,ABS(AE203),0),0)</f>
        <v>4579.7166993358223</v>
      </c>
      <c r="AF204" s="60">
        <f t="shared" ref="AF204" si="169">IF($A$64&lt;=AF168,IF($B$64&gt;=AF168,ABS(AF203),0),0)</f>
        <v>14208.315304106656</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70" t="s">
        <v>27</v>
      </c>
      <c r="B206" s="11">
        <f>INDEX($D$1:$M$1,1,$D$122)</f>
        <v>25</v>
      </c>
    </row>
    <row r="207" spans="1:34" x14ac:dyDescent="0.25">
      <c r="A207" s="70"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5930.406376183163</v>
      </c>
      <c r="C208" s="26">
        <f>INDEX(Comparison!$AM$3:$AS$33,G$14,$D$122)</f>
        <v>5930.4431337924134</v>
      </c>
      <c r="D208" s="26">
        <f>INDEX(Comparison!$AM$3:$AS$33,H$14,$D$122)</f>
        <v>5930.4206852693951</v>
      </c>
      <c r="E208" s="26">
        <f>INDEX(Comparison!$AM$3:$AS$33,I$14,$D$122)</f>
        <v>5930.413892464232</v>
      </c>
      <c r="F208" s="26">
        <f>INDEX(Comparison!$AM$3:$AS$33,J$14,$D$122)</f>
        <v>5930.4118224704844</v>
      </c>
      <c r="G208" s="26">
        <f>INDEX(Comparison!$AM$3:$AS$33,K$14,$D$122)</f>
        <v>5930.4110185898089</v>
      </c>
      <c r="H208" s="26">
        <f>INDEX(Comparison!$AM$3:$AS$33,L$14,$D$122)</f>
        <v>5930.4109382017532</v>
      </c>
      <c r="I208" s="26">
        <f>INDEX(Comparison!$AM$3:$AS$33,M$14,$D$122)</f>
        <v>5930.4106970375988</v>
      </c>
      <c r="J208" s="26">
        <f>INDEX(Comparison!$AM$3:$AS$33,N$14,$D$122)</f>
        <v>5930.4104156794438</v>
      </c>
      <c r="K208" s="26">
        <f>INDEX(Comparison!$AM$3:$AS$33,O$14,$D$122)</f>
        <v>5930.408164815165</v>
      </c>
      <c r="L208" s="26">
        <f>INDEX(Comparison!$AM$3:$AS$33,P$14,$D$122)</f>
        <v>5930.384691618081</v>
      </c>
      <c r="M208" s="26">
        <f>INDEX(Comparison!$AM$3:$AS$33,Q$14,$D$122)</f>
        <v>5930.150894248286</v>
      </c>
      <c r="N208" s="26">
        <f>INDEX(Comparison!$AM$3:$AS$33,R$14,$D$122)</f>
        <v>5927.8308007940832</v>
      </c>
      <c r="O208" s="26">
        <f>INDEX(Comparison!$AM$3:$AS$33,S$14,$D$122)</f>
        <v>5906.3450308766669</v>
      </c>
      <c r="P208" s="26">
        <f>INDEX(Comparison!$AM$3:$AS$33,T$14,$D$122)</f>
        <v>5787.3961464989843</v>
      </c>
      <c r="Q208" s="26">
        <f>INDEX(Comparison!$AM$3:$AS$33,U$14,$D$122)</f>
        <v>5645.7736928586964</v>
      </c>
      <c r="R208" s="26">
        <f>INDEX(Comparison!$AM$3:$AS$33,V$14,$D$122)</f>
        <v>5488.7797063617654</v>
      </c>
      <c r="S208" s="26">
        <f>INDEX(Comparison!$AM$3:$AS$33,W$14,$D$122)</f>
        <v>5295.6687137139643</v>
      </c>
      <c r="T208" s="26">
        <f>INDEX(Comparison!$AM$3:$AS$33,X$14,$D$122)</f>
        <v>5062.6547205141496</v>
      </c>
      <c r="U208" s="26">
        <f>INDEX(Comparison!$AM$3:$AS$33,Y$14,$D$122)</f>
        <v>4762.2359802766141</v>
      </c>
      <c r="V208" s="26">
        <f>INDEX(Comparison!$AM$3:$AS$33,Z$14,$D$122)</f>
        <v>4428.9407335348296</v>
      </c>
      <c r="W208" s="26">
        <f>INDEX(Comparison!$AM$3:$AS$33,AA$14,$D$122)</f>
        <v>4111.7161259908762</v>
      </c>
      <c r="X208" s="26">
        <f>INDEX(Comparison!$AM$3:$AS$33,AB$14,$D$122)</f>
        <v>3814.2268394370481</v>
      </c>
      <c r="Y208" s="26">
        <f>INDEX(Comparison!$AM$3:$AS$33,AC$14,$D$122)</f>
        <v>3517.7803393025779</v>
      </c>
      <c r="Z208" s="26">
        <f>INDEX(Comparison!$AM$3:$AS$33,AD$14,$D$122)</f>
        <v>3195.2414492417452</v>
      </c>
      <c r="AA208" s="26">
        <f>INDEX(Comparison!$AM$3:$AS$33,AE$14,$D$122)</f>
        <v>2791.4157044377589</v>
      </c>
      <c r="AB208" s="26">
        <f>INDEX(Comparison!$AM$3:$AS$33,AF$14,$D$122)</f>
        <v>2312.1801528163464</v>
      </c>
      <c r="AC208" s="26">
        <f>INDEX(Comparison!$AM$3:$AS$33,AG$14,$D$122)</f>
        <v>1761.4184833894965</v>
      </c>
      <c r="AD208" s="26">
        <f>INDEX(Comparison!$AM$3:$AS$33,AH$14,$D$122)</f>
        <v>1165.0893454090649</v>
      </c>
      <c r="AE208" s="26">
        <f>INDEX(Comparison!$AM$3:$AS$33,AI$14,$D$122)</f>
        <v>692.87414966525068</v>
      </c>
      <c r="AF208" s="26">
        <f>INDEX(Comparison!$AM$3:$AS$33,AJ$14,$D$122)</f>
        <v>393.89092728068977</v>
      </c>
      <c r="AG208" s="26"/>
      <c r="AH208" s="26"/>
    </row>
    <row r="209" spans="1:34" x14ac:dyDescent="0.25">
      <c r="A209" s="71" t="s">
        <v>22</v>
      </c>
      <c r="B209" s="27">
        <f>($C$17+SUM(B210:B240))*$B$51</f>
        <v>5930.4078999990024</v>
      </c>
      <c r="C209" s="27">
        <f t="shared" ref="C209:AF209" si="170">($C$17+SUM(C210:C240))*$B$51</f>
        <v>5930.4078999900066</v>
      </c>
      <c r="D209" s="27">
        <f t="shared" si="170"/>
        <v>5930.407899900043</v>
      </c>
      <c r="E209" s="27">
        <f t="shared" si="170"/>
        <v>5930.4078990004145</v>
      </c>
      <c r="F209" s="27">
        <f t="shared" si="170"/>
        <v>5930.4078900041222</v>
      </c>
      <c r="G209" s="27">
        <f t="shared" si="170"/>
        <v>5930.4078000412146</v>
      </c>
      <c r="H209" s="27">
        <f t="shared" si="170"/>
        <v>5930.4069004128178</v>
      </c>
      <c r="I209" s="27">
        <f t="shared" si="170"/>
        <v>5930.397904197559</v>
      </c>
      <c r="J209" s="27">
        <f t="shared" si="170"/>
        <v>5930.3079489151987</v>
      </c>
      <c r="K209" s="27">
        <f t="shared" si="170"/>
        <v>5929.4090827618465</v>
      </c>
      <c r="L209" s="27">
        <f t="shared" si="170"/>
        <v>5920.4887367665806</v>
      </c>
      <c r="M209" s="27">
        <f t="shared" si="170"/>
        <v>5837.7785034914796</v>
      </c>
      <c r="N209" s="27">
        <f t="shared" si="170"/>
        <v>5421.0251199275253</v>
      </c>
      <c r="O209" s="27">
        <f t="shared" si="170"/>
        <v>5282.5279232785042</v>
      </c>
      <c r="P209" s="27">
        <f t="shared" si="170"/>
        <v>5282.5118669150088</v>
      </c>
      <c r="Q209" s="27">
        <f t="shared" si="170"/>
        <v>5282.3526240271067</v>
      </c>
      <c r="R209" s="27">
        <f t="shared" si="170"/>
        <v>5280.7631669775928</v>
      </c>
      <c r="S209" s="27">
        <f t="shared" si="170"/>
        <v>5265.1619197626442</v>
      </c>
      <c r="T209" s="27">
        <f t="shared" si="170"/>
        <v>5134.9757682282698</v>
      </c>
      <c r="U209" s="27">
        <f t="shared" si="170"/>
        <v>4790.6782910602706</v>
      </c>
      <c r="V209" s="27">
        <f t="shared" si="170"/>
        <v>4560.3620654997712</v>
      </c>
      <c r="W209" s="27">
        <f t="shared" si="170"/>
        <v>4285.0828642244542</v>
      </c>
      <c r="X209" s="27">
        <f t="shared" si="170"/>
        <v>4011.9055169134544</v>
      </c>
      <c r="Y209" s="27">
        <f t="shared" si="170"/>
        <v>3714.9059421262327</v>
      </c>
      <c r="Z209" s="27">
        <f t="shared" si="170"/>
        <v>3365.4164089000424</v>
      </c>
      <c r="AA209" s="27">
        <f t="shared" si="170"/>
        <v>2907.1941716910824</v>
      </c>
      <c r="AB209" s="27">
        <f t="shared" si="170"/>
        <v>2364.4870856443649</v>
      </c>
      <c r="AC209" s="27">
        <f t="shared" si="170"/>
        <v>1740.839578226243</v>
      </c>
      <c r="AD209" s="27">
        <f t="shared" si="170"/>
        <v>1092.0312525736642</v>
      </c>
      <c r="AE209" s="27">
        <f t="shared" si="170"/>
        <v>639.26702374903721</v>
      </c>
      <c r="AF209" s="27">
        <f t="shared" si="170"/>
        <v>353.76232625061988</v>
      </c>
      <c r="AG209" s="27"/>
      <c r="AH209" s="27"/>
    </row>
    <row r="210" spans="1:34" x14ac:dyDescent="0.25">
      <c r="B210" s="3">
        <f t="shared" ref="B210:AF210" si="171">$C18*EXP(-B$207/$A18/EXP(-$D$126))</f>
        <v>0.10924684220962563</v>
      </c>
      <c r="C210" s="3">
        <f t="shared" si="171"/>
        <v>0.10924684220810867</v>
      </c>
      <c r="D210" s="3">
        <f t="shared" si="171"/>
        <v>0.1092468421929389</v>
      </c>
      <c r="E210" s="3">
        <f t="shared" si="171"/>
        <v>0.10924684204124124</v>
      </c>
      <c r="F210" s="3">
        <f t="shared" si="171"/>
        <v>0.10924684052426466</v>
      </c>
      <c r="G210" s="3">
        <f t="shared" si="171"/>
        <v>0.10924682535449995</v>
      </c>
      <c r="H210" s="3">
        <f t="shared" si="171"/>
        <v>0.10924667365696879</v>
      </c>
      <c r="I210" s="3">
        <f t="shared" si="171"/>
        <v>0.10924515669324251</v>
      </c>
      <c r="J210" s="3">
        <f t="shared" si="171"/>
        <v>0.10922998821445502</v>
      </c>
      <c r="K210" s="3">
        <f t="shared" si="171"/>
        <v>0.10907841921460992</v>
      </c>
      <c r="L210" s="3">
        <f t="shared" si="171"/>
        <v>0.10757424875063457</v>
      </c>
      <c r="M210" s="3">
        <f t="shared" si="171"/>
        <v>9.3627448000637881E-2</v>
      </c>
      <c r="N210" s="3">
        <f t="shared" si="171"/>
        <v>2.3353491922838056E-2</v>
      </c>
      <c r="O210" s="3">
        <f t="shared" si="171"/>
        <v>2.17689881217973E-8</v>
      </c>
      <c r="P210" s="3">
        <f t="shared" si="171"/>
        <v>1.0782076066708589E-68</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7.1825631805889176E-2</v>
      </c>
      <c r="C211" s="3">
        <f t="shared" si="172"/>
        <v>7.1825631805889176E-2</v>
      </c>
      <c r="D211" s="3">
        <f t="shared" si="172"/>
        <v>7.1825631805889176E-2</v>
      </c>
      <c r="E211" s="3">
        <f t="shared" si="172"/>
        <v>7.1825631805889148E-2</v>
      </c>
      <c r="F211" s="3">
        <f t="shared" si="172"/>
        <v>7.1825631805888884E-2</v>
      </c>
      <c r="G211" s="3">
        <f t="shared" si="172"/>
        <v>7.1825631805886331E-2</v>
      </c>
      <c r="H211" s="3">
        <f t="shared" si="172"/>
        <v>7.1825631805860782E-2</v>
      </c>
      <c r="I211" s="3">
        <f t="shared" si="172"/>
        <v>7.1825631805605319E-2</v>
      </c>
      <c r="J211" s="3">
        <f t="shared" si="172"/>
        <v>7.1825631803050544E-2</v>
      </c>
      <c r="K211" s="3">
        <f t="shared" si="172"/>
        <v>7.1825631777502869E-2</v>
      </c>
      <c r="L211" s="3">
        <f t="shared" si="172"/>
        <v>7.1825631522026145E-2</v>
      </c>
      <c r="M211" s="3">
        <f t="shared" si="172"/>
        <v>7.1825628967258859E-2</v>
      </c>
      <c r="N211" s="3">
        <f t="shared" si="172"/>
        <v>7.1825603419591086E-2</v>
      </c>
      <c r="O211" s="3">
        <f t="shared" si="172"/>
        <v>7.1825347943413095E-2</v>
      </c>
      <c r="P211" s="3">
        <f t="shared" si="172"/>
        <v>7.1822793231611351E-2</v>
      </c>
      <c r="Q211" s="3">
        <f t="shared" si="172"/>
        <v>7.1797251110744476E-2</v>
      </c>
      <c r="R211" s="3">
        <f t="shared" si="172"/>
        <v>7.1542328960110008E-2</v>
      </c>
      <c r="S211" s="3">
        <f t="shared" si="172"/>
        <v>6.9042362671981897E-2</v>
      </c>
      <c r="T211" s="3">
        <f t="shared" si="172"/>
        <v>4.8377269652940369E-2</v>
      </c>
      <c r="U211" s="3">
        <f t="shared" si="172"/>
        <v>1.3800615088372533E-3</v>
      </c>
      <c r="V211" s="3">
        <f t="shared" si="172"/>
        <v>4.9257156527779014E-19</v>
      </c>
      <c r="W211" s="3">
        <f t="shared" si="172"/>
        <v>1.6526400856532088E-173</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3.596772409142239E-2</v>
      </c>
      <c r="C212" s="3">
        <f t="shared" si="173"/>
        <v>3.596772409142239E-2</v>
      </c>
      <c r="D212" s="3">
        <f t="shared" si="173"/>
        <v>3.596772409142239E-2</v>
      </c>
      <c r="E212" s="3">
        <f t="shared" si="173"/>
        <v>3.596772409142239E-2</v>
      </c>
      <c r="F212" s="3">
        <f t="shared" si="173"/>
        <v>3.5967724091422376E-2</v>
      </c>
      <c r="G212" s="3">
        <f t="shared" si="173"/>
        <v>3.5967724091422265E-2</v>
      </c>
      <c r="H212" s="3">
        <f t="shared" si="173"/>
        <v>3.5967724091421106E-2</v>
      </c>
      <c r="I212" s="3">
        <f t="shared" si="173"/>
        <v>3.5967724091409567E-2</v>
      </c>
      <c r="J212" s="3">
        <f t="shared" si="173"/>
        <v>3.5967724091294159E-2</v>
      </c>
      <c r="K212" s="3">
        <f t="shared" si="173"/>
        <v>3.5967724090140089E-2</v>
      </c>
      <c r="L212" s="3">
        <f t="shared" si="173"/>
        <v>3.5967724078599411E-2</v>
      </c>
      <c r="M212" s="3">
        <f t="shared" si="173"/>
        <v>3.5967723963192602E-2</v>
      </c>
      <c r="N212" s="3">
        <f t="shared" si="173"/>
        <v>3.596772280912449E-2</v>
      </c>
      <c r="O212" s="3">
        <f t="shared" si="173"/>
        <v>3.5967711268445439E-2</v>
      </c>
      <c r="P212" s="3">
        <f t="shared" si="173"/>
        <v>3.596759586185861E-2</v>
      </c>
      <c r="Q212" s="3">
        <f t="shared" si="173"/>
        <v>3.5966441816356366E-2</v>
      </c>
      <c r="R212" s="3">
        <f t="shared" si="173"/>
        <v>3.5954903397697566E-2</v>
      </c>
      <c r="S212" s="3">
        <f t="shared" si="173"/>
        <v>3.583972260592961E-2</v>
      </c>
      <c r="T212" s="3">
        <f t="shared" si="173"/>
        <v>3.4708014760383939E-2</v>
      </c>
      <c r="U212" s="3">
        <f t="shared" si="173"/>
        <v>2.5181471908785159E-2</v>
      </c>
      <c r="V212" s="3">
        <f t="shared" si="173"/>
        <v>1.0176407664114343E-3</v>
      </c>
      <c r="W212" s="3">
        <f t="shared" si="173"/>
        <v>1.1823017730945413E-17</v>
      </c>
      <c r="X212" s="3">
        <f t="shared" si="173"/>
        <v>5.2974490221038487E-157</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4.9137716927094087E-2</v>
      </c>
      <c r="C213" s="3">
        <f t="shared" si="174"/>
        <v>4.9137716927094087E-2</v>
      </c>
      <c r="D213" s="3">
        <f t="shared" si="174"/>
        <v>4.9137716927094087E-2</v>
      </c>
      <c r="E213" s="3">
        <f t="shared" si="174"/>
        <v>4.9137716927094087E-2</v>
      </c>
      <c r="F213" s="3">
        <f t="shared" si="174"/>
        <v>4.9137716927094087E-2</v>
      </c>
      <c r="G213" s="3">
        <f t="shared" si="174"/>
        <v>4.9137716927094073E-2</v>
      </c>
      <c r="H213" s="3">
        <f t="shared" si="174"/>
        <v>4.9137716927093927E-2</v>
      </c>
      <c r="I213" s="3">
        <f t="shared" si="174"/>
        <v>4.9137716927092505E-2</v>
      </c>
      <c r="J213" s="3">
        <f t="shared" si="174"/>
        <v>4.913771692707828E-2</v>
      </c>
      <c r="K213" s="3">
        <f t="shared" si="174"/>
        <v>4.9137716926936054E-2</v>
      </c>
      <c r="L213" s="3">
        <f t="shared" si="174"/>
        <v>4.9137716925513795E-2</v>
      </c>
      <c r="M213" s="3">
        <f t="shared" si="174"/>
        <v>4.9137716911291159E-2</v>
      </c>
      <c r="N213" s="3">
        <f t="shared" si="174"/>
        <v>4.9137716769064817E-2</v>
      </c>
      <c r="O213" s="3">
        <f t="shared" si="174"/>
        <v>4.9137715346801371E-2</v>
      </c>
      <c r="P213" s="3">
        <f t="shared" si="174"/>
        <v>4.9137701124169195E-2</v>
      </c>
      <c r="Q213" s="3">
        <f t="shared" si="174"/>
        <v>4.9137558898073828E-2</v>
      </c>
      <c r="R213" s="3">
        <f t="shared" si="174"/>
        <v>4.9136136659761541E-2</v>
      </c>
      <c r="S213" s="3">
        <f t="shared" si="174"/>
        <v>4.9121916540533023E-2</v>
      </c>
      <c r="T213" s="3">
        <f t="shared" si="174"/>
        <v>4.8979941495416589E-2</v>
      </c>
      <c r="U213" s="3">
        <f t="shared" si="174"/>
        <v>4.7582565433811744E-2</v>
      </c>
      <c r="V213" s="3">
        <f t="shared" si="174"/>
        <v>3.5624089078690212E-2</v>
      </c>
      <c r="W213" s="3">
        <f t="shared" si="174"/>
        <v>1.9710739303171235E-3</v>
      </c>
      <c r="X213" s="3">
        <f t="shared" si="174"/>
        <v>5.3002258088178627E-16</v>
      </c>
      <c r="Y213" s="3">
        <f t="shared" si="174"/>
        <v>1.0476324889648351E-141</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4.6762783367912203E-2</v>
      </c>
      <c r="C214" s="3">
        <f t="shared" si="175"/>
        <v>4.6762783367912203E-2</v>
      </c>
      <c r="D214" s="3">
        <f t="shared" si="175"/>
        <v>4.6762783367912203E-2</v>
      </c>
      <c r="E214" s="3">
        <f t="shared" si="175"/>
        <v>4.6762783367912203E-2</v>
      </c>
      <c r="F214" s="3">
        <f t="shared" si="175"/>
        <v>4.6762783367912203E-2</v>
      </c>
      <c r="G214" s="3">
        <f t="shared" si="175"/>
        <v>4.6762783367912203E-2</v>
      </c>
      <c r="H214" s="3">
        <f t="shared" si="175"/>
        <v>4.6762783367912189E-2</v>
      </c>
      <c r="I214" s="3">
        <f t="shared" si="175"/>
        <v>4.6762783367912071E-2</v>
      </c>
      <c r="J214" s="3">
        <f t="shared" si="175"/>
        <v>4.676278336791085E-2</v>
      </c>
      <c r="K214" s="3">
        <f t="shared" si="175"/>
        <v>4.6762783367898637E-2</v>
      </c>
      <c r="L214" s="3">
        <f t="shared" si="175"/>
        <v>4.6762783367776541E-2</v>
      </c>
      <c r="M214" s="3">
        <f t="shared" si="175"/>
        <v>4.6762783366555545E-2</v>
      </c>
      <c r="N214" s="3">
        <f t="shared" si="175"/>
        <v>4.6762783354345652E-2</v>
      </c>
      <c r="O214" s="3">
        <f t="shared" si="175"/>
        <v>4.6762783232246669E-2</v>
      </c>
      <c r="P214" s="3">
        <f t="shared" si="175"/>
        <v>4.6762782011256922E-2</v>
      </c>
      <c r="Q214" s="3">
        <f t="shared" si="175"/>
        <v>4.6762769801361175E-2</v>
      </c>
      <c r="R214" s="3">
        <f t="shared" si="175"/>
        <v>4.6762647702579034E-2</v>
      </c>
      <c r="S214" s="3">
        <f t="shared" si="175"/>
        <v>4.6761426732291639E-2</v>
      </c>
      <c r="T214" s="3">
        <f t="shared" si="175"/>
        <v>4.6749218782651286E-2</v>
      </c>
      <c r="U214" s="3">
        <f t="shared" si="175"/>
        <v>4.6627314440343189E-2</v>
      </c>
      <c r="V214" s="3">
        <f t="shared" si="175"/>
        <v>4.5425618389129632E-2</v>
      </c>
      <c r="W214" s="3">
        <f t="shared" si="175"/>
        <v>3.4986887259393709E-2</v>
      </c>
      <c r="X214" s="3">
        <f t="shared" si="175"/>
        <v>2.5700991582982562E-3</v>
      </c>
      <c r="Y214" s="3">
        <f t="shared" si="175"/>
        <v>1.175968307942351E-14</v>
      </c>
      <c r="Z214" s="3">
        <f t="shared" si="175"/>
        <v>4.7299113550557204E-128</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5.0407962506303181E-2</v>
      </c>
      <c r="C215" s="3">
        <f t="shared" si="176"/>
        <v>5.0407962506303181E-2</v>
      </c>
      <c r="D215" s="3">
        <f t="shared" si="176"/>
        <v>5.0407962506303181E-2</v>
      </c>
      <c r="E215" s="3">
        <f t="shared" si="176"/>
        <v>5.0407962506303181E-2</v>
      </c>
      <c r="F215" s="3">
        <f t="shared" si="176"/>
        <v>5.0407962506303181E-2</v>
      </c>
      <c r="G215" s="3">
        <f t="shared" si="176"/>
        <v>5.0407962506303181E-2</v>
      </c>
      <c r="H215" s="3">
        <f t="shared" si="176"/>
        <v>5.0407962506303181E-2</v>
      </c>
      <c r="I215" s="3">
        <f t="shared" si="176"/>
        <v>5.0407962506303167E-2</v>
      </c>
      <c r="J215" s="3">
        <f t="shared" si="176"/>
        <v>5.0407962506303049E-2</v>
      </c>
      <c r="K215" s="3">
        <f t="shared" si="176"/>
        <v>5.0407962506301862E-2</v>
      </c>
      <c r="L215" s="3">
        <f t="shared" si="176"/>
        <v>5.040796250628999E-2</v>
      </c>
      <c r="M215" s="3">
        <f t="shared" si="176"/>
        <v>5.0407962506171265E-2</v>
      </c>
      <c r="N215" s="3">
        <f t="shared" si="176"/>
        <v>5.0407962504983965E-2</v>
      </c>
      <c r="O215" s="3">
        <f t="shared" si="176"/>
        <v>5.0407962493111053E-2</v>
      </c>
      <c r="P215" s="3">
        <f t="shared" si="176"/>
        <v>5.0407962374381894E-2</v>
      </c>
      <c r="Q215" s="3">
        <f t="shared" si="176"/>
        <v>5.0407961187090268E-2</v>
      </c>
      <c r="R215" s="3">
        <f t="shared" si="176"/>
        <v>5.0407949314175672E-2</v>
      </c>
      <c r="S215" s="3">
        <f t="shared" si="176"/>
        <v>5.0407830585183416E-2</v>
      </c>
      <c r="T215" s="3">
        <f t="shared" si="176"/>
        <v>5.0406643310641541E-2</v>
      </c>
      <c r="U215" s="3">
        <f t="shared" si="176"/>
        <v>5.0394772103151859E-2</v>
      </c>
      <c r="V215" s="3">
        <f t="shared" si="176"/>
        <v>5.0276213687218414E-2</v>
      </c>
      <c r="W215" s="3">
        <f t="shared" si="176"/>
        <v>4.9105862352215375E-2</v>
      </c>
      <c r="X215" s="3">
        <f t="shared" si="176"/>
        <v>3.8800840120032591E-2</v>
      </c>
      <c r="Y215" s="3">
        <f t="shared" si="176"/>
        <v>3.6806031941950244E-3</v>
      </c>
      <c r="Z215" s="3">
        <f t="shared" si="176"/>
        <v>2.1711893230975688E-13</v>
      </c>
      <c r="AA215" s="3">
        <f t="shared" si="176"/>
        <v>1.1078594190434376E-115</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5.7182312842770561E-2</v>
      </c>
      <c r="C216" s="3">
        <f t="shared" si="177"/>
        <v>5.7182312842770561E-2</v>
      </c>
      <c r="D216" s="3">
        <f t="shared" si="177"/>
        <v>5.7182312842770561E-2</v>
      </c>
      <c r="E216" s="3">
        <f t="shared" si="177"/>
        <v>5.7182312842770561E-2</v>
      </c>
      <c r="F216" s="3">
        <f t="shared" si="177"/>
        <v>5.7182312842770561E-2</v>
      </c>
      <c r="G216" s="3">
        <f t="shared" si="177"/>
        <v>5.7182312842770561E-2</v>
      </c>
      <c r="H216" s="3">
        <f t="shared" si="177"/>
        <v>5.7182312842770561E-2</v>
      </c>
      <c r="I216" s="3">
        <f t="shared" si="177"/>
        <v>5.7182312842770561E-2</v>
      </c>
      <c r="J216" s="3">
        <f t="shared" si="177"/>
        <v>5.7182312842770547E-2</v>
      </c>
      <c r="K216" s="3">
        <f t="shared" si="177"/>
        <v>5.7182312842770429E-2</v>
      </c>
      <c r="L216" s="3">
        <f t="shared" si="177"/>
        <v>5.7182312842769208E-2</v>
      </c>
      <c r="M216" s="3">
        <f t="shared" si="177"/>
        <v>5.7182312842757065E-2</v>
      </c>
      <c r="N216" s="3">
        <f t="shared" si="177"/>
        <v>5.7182312842635565E-2</v>
      </c>
      <c r="O216" s="3">
        <f t="shared" si="177"/>
        <v>5.7182312841420585E-2</v>
      </c>
      <c r="P216" s="3">
        <f t="shared" si="177"/>
        <v>5.7182312829270859E-2</v>
      </c>
      <c r="Q216" s="3">
        <f t="shared" si="177"/>
        <v>5.7182312707773582E-2</v>
      </c>
      <c r="R216" s="3">
        <f t="shared" si="177"/>
        <v>5.7182311492800751E-2</v>
      </c>
      <c r="S216" s="3">
        <f t="shared" si="177"/>
        <v>5.7182299343073881E-2</v>
      </c>
      <c r="T216" s="3">
        <f t="shared" si="177"/>
        <v>5.7182177845947181E-2</v>
      </c>
      <c r="U216" s="3">
        <f t="shared" si="177"/>
        <v>5.7180962888878271E-2</v>
      </c>
      <c r="V216" s="3">
        <f t="shared" si="177"/>
        <v>5.7168814737887867E-2</v>
      </c>
      <c r="W216" s="3">
        <f t="shared" si="177"/>
        <v>5.7047475086305706E-2</v>
      </c>
      <c r="X216" s="3">
        <f t="shared" si="177"/>
        <v>5.5848153511445661E-2</v>
      </c>
      <c r="Y216" s="3">
        <f t="shared" si="177"/>
        <v>4.5157795520097743E-2</v>
      </c>
      <c r="Z216" s="3">
        <f t="shared" si="177"/>
        <v>5.3947568129557796E-3</v>
      </c>
      <c r="AA216" s="3">
        <f t="shared" si="177"/>
        <v>3.1942085416131895E-12</v>
      </c>
      <c r="AB216" s="3">
        <f t="shared" si="177"/>
        <v>1.6915202918156566E-104</v>
      </c>
      <c r="AC216" s="3">
        <f t="shared" si="177"/>
        <v>0</v>
      </c>
      <c r="AD216" s="3">
        <f t="shared" si="177"/>
        <v>0</v>
      </c>
      <c r="AE216" s="3">
        <f t="shared" si="177"/>
        <v>0</v>
      </c>
      <c r="AF216" s="3">
        <f t="shared" si="177"/>
        <v>0</v>
      </c>
      <c r="AG216" s="3"/>
      <c r="AH216" s="3"/>
    </row>
    <row r="217" spans="1:34" x14ac:dyDescent="0.25">
      <c r="B217" s="3">
        <f t="shared" ref="B217:AF217" si="178">$C25*EXP(-B$207/$A25/EXP(-$D$126))</f>
        <v>8.0089931313285845E-2</v>
      </c>
      <c r="C217" s="3">
        <f t="shared" si="178"/>
        <v>8.0089931313285845E-2</v>
      </c>
      <c r="D217" s="3">
        <f t="shared" si="178"/>
        <v>8.0089931313285845E-2</v>
      </c>
      <c r="E217" s="3">
        <f t="shared" si="178"/>
        <v>8.0089931313285845E-2</v>
      </c>
      <c r="F217" s="3">
        <f t="shared" si="178"/>
        <v>8.0089931313285845E-2</v>
      </c>
      <c r="G217" s="3">
        <f t="shared" si="178"/>
        <v>8.0089931313285845E-2</v>
      </c>
      <c r="H217" s="3">
        <f t="shared" si="178"/>
        <v>8.0089931313285845E-2</v>
      </c>
      <c r="I217" s="3">
        <f t="shared" si="178"/>
        <v>8.0089931313285845E-2</v>
      </c>
      <c r="J217" s="3">
        <f t="shared" si="178"/>
        <v>8.0089931313285845E-2</v>
      </c>
      <c r="K217" s="3">
        <f t="shared" si="178"/>
        <v>8.0089931313285831E-2</v>
      </c>
      <c r="L217" s="3">
        <f t="shared" si="178"/>
        <v>8.0089931313285678E-2</v>
      </c>
      <c r="M217" s="3">
        <f t="shared" si="178"/>
        <v>8.0089931313284138E-2</v>
      </c>
      <c r="N217" s="3">
        <f t="shared" si="178"/>
        <v>8.0089931313268789E-2</v>
      </c>
      <c r="O217" s="3">
        <f t="shared" si="178"/>
        <v>8.0089931313115287E-2</v>
      </c>
      <c r="P217" s="3">
        <f t="shared" si="178"/>
        <v>8.0089931311580209E-2</v>
      </c>
      <c r="Q217" s="3">
        <f t="shared" si="178"/>
        <v>8.0089931296229461E-2</v>
      </c>
      <c r="R217" s="3">
        <f t="shared" si="178"/>
        <v>8.0089931142722046E-2</v>
      </c>
      <c r="S217" s="3">
        <f t="shared" si="178"/>
        <v>8.0089929607647894E-2</v>
      </c>
      <c r="T217" s="3">
        <f t="shared" si="178"/>
        <v>8.008991425690791E-2</v>
      </c>
      <c r="U217" s="3">
        <f t="shared" si="178"/>
        <v>8.0089760749669961E-2</v>
      </c>
      <c r="V217" s="3">
        <f t="shared" si="178"/>
        <v>8.008822569347275E-2</v>
      </c>
      <c r="W217" s="3">
        <f t="shared" si="178"/>
        <v>8.0072876749615302E-2</v>
      </c>
      <c r="X217" s="3">
        <f t="shared" si="178"/>
        <v>7.9919549007808274E-2</v>
      </c>
      <c r="Y217" s="3">
        <f t="shared" si="178"/>
        <v>7.8402327180791542E-2</v>
      </c>
      <c r="Z217" s="3">
        <f t="shared" si="178"/>
        <v>6.4727412692652697E-2</v>
      </c>
      <c r="AA217" s="3">
        <f t="shared" si="178"/>
        <v>9.5209697444898368E-3</v>
      </c>
      <c r="AB217" s="3">
        <f t="shared" si="178"/>
        <v>4.5145093814426804E-11</v>
      </c>
      <c r="AC217" s="3">
        <f t="shared" si="178"/>
        <v>2.5936078244177973E-94</v>
      </c>
      <c r="AD217" s="3">
        <f t="shared" si="178"/>
        <v>0</v>
      </c>
      <c r="AE217" s="3">
        <f t="shared" si="178"/>
        <v>0</v>
      </c>
      <c r="AF217" s="3">
        <f t="shared" si="178"/>
        <v>0</v>
      </c>
      <c r="AG217" s="3"/>
      <c r="AH217" s="3"/>
    </row>
    <row r="218" spans="1:34" x14ac:dyDescent="0.25">
      <c r="B218" s="3">
        <f t="shared" ref="B218:AF218" si="179">$C26*EXP(-B$207/$A26/EXP(-$D$126))</f>
        <v>9.4725402978259585E-2</v>
      </c>
      <c r="C218" s="3">
        <f t="shared" si="179"/>
        <v>9.4725402978259585E-2</v>
      </c>
      <c r="D218" s="3">
        <f t="shared" si="179"/>
        <v>9.4725402978259585E-2</v>
      </c>
      <c r="E218" s="3">
        <f t="shared" si="179"/>
        <v>9.4725402978259585E-2</v>
      </c>
      <c r="F218" s="3">
        <f t="shared" si="179"/>
        <v>9.4725402978259585E-2</v>
      </c>
      <c r="G218" s="3">
        <f t="shared" si="179"/>
        <v>9.4725402978259585E-2</v>
      </c>
      <c r="H218" s="3">
        <f t="shared" si="179"/>
        <v>9.4725402978259585E-2</v>
      </c>
      <c r="I218" s="3">
        <f t="shared" si="179"/>
        <v>9.4725402978259585E-2</v>
      </c>
      <c r="J218" s="3">
        <f t="shared" si="179"/>
        <v>9.4725402978259585E-2</v>
      </c>
      <c r="K218" s="3">
        <f t="shared" si="179"/>
        <v>9.4725402978259585E-2</v>
      </c>
      <c r="L218" s="3">
        <f t="shared" si="179"/>
        <v>9.4725402978259557E-2</v>
      </c>
      <c r="M218" s="3">
        <f t="shared" si="179"/>
        <v>9.4725402978259404E-2</v>
      </c>
      <c r="N218" s="3">
        <f t="shared" si="179"/>
        <v>9.4725402978257767E-2</v>
      </c>
      <c r="O218" s="3">
        <f t="shared" si="179"/>
        <v>9.4725402978241391E-2</v>
      </c>
      <c r="P218" s="3">
        <f t="shared" si="179"/>
        <v>9.4725402978077605E-2</v>
      </c>
      <c r="Q218" s="3">
        <f t="shared" si="179"/>
        <v>9.472540297643979E-2</v>
      </c>
      <c r="R218" s="3">
        <f t="shared" si="179"/>
        <v>9.4725402960061655E-2</v>
      </c>
      <c r="S218" s="3">
        <f t="shared" si="179"/>
        <v>9.4725402796280278E-2</v>
      </c>
      <c r="T218" s="3">
        <f t="shared" si="179"/>
        <v>9.4725401158466616E-2</v>
      </c>
      <c r="U218" s="3">
        <f t="shared" si="179"/>
        <v>9.472538478033142E-2</v>
      </c>
      <c r="V218" s="3">
        <f t="shared" si="179"/>
        <v>9.4725220999135273E-2</v>
      </c>
      <c r="W218" s="3">
        <f t="shared" si="179"/>
        <v>9.4723583202748665E-2</v>
      </c>
      <c r="X218" s="3">
        <f t="shared" si="179"/>
        <v>9.4707206796261531E-2</v>
      </c>
      <c r="Y218" s="3">
        <f t="shared" si="179"/>
        <v>9.45435983697194E-2</v>
      </c>
      <c r="Z218" s="3">
        <f t="shared" si="179"/>
        <v>9.2922978828806846E-2</v>
      </c>
      <c r="AA218" s="3">
        <f t="shared" si="179"/>
        <v>7.8168734579483742E-2</v>
      </c>
      <c r="AB218" s="3">
        <f t="shared" si="179"/>
        <v>1.3871794981815478E-2</v>
      </c>
      <c r="AC218" s="3">
        <f t="shared" si="179"/>
        <v>4.2966349976644956E-10</v>
      </c>
      <c r="AD218" s="3">
        <f t="shared" si="179"/>
        <v>3.4920983177696529E-85</v>
      </c>
      <c r="AE218" s="3">
        <f t="shared" si="179"/>
        <v>0</v>
      </c>
      <c r="AF218" s="3">
        <f t="shared" si="179"/>
        <v>0</v>
      </c>
      <c r="AG218" s="3"/>
      <c r="AH218" s="3"/>
    </row>
    <row r="219" spans="1:34" x14ac:dyDescent="0.25">
      <c r="B219" s="3">
        <f t="shared" ref="B219:AF219" si="180">$C27*EXP(-B$207/$A27/EXP(-$D$126))</f>
        <v>0.11171287761739628</v>
      </c>
      <c r="C219" s="3">
        <f t="shared" si="180"/>
        <v>0.11171287761739628</v>
      </c>
      <c r="D219" s="3">
        <f t="shared" si="180"/>
        <v>0.11171287761739628</v>
      </c>
      <c r="E219" s="3">
        <f t="shared" si="180"/>
        <v>0.11171287761739628</v>
      </c>
      <c r="F219" s="3">
        <f t="shared" si="180"/>
        <v>0.11171287761739628</v>
      </c>
      <c r="G219" s="3">
        <f t="shared" si="180"/>
        <v>0.11171287761739628</v>
      </c>
      <c r="H219" s="3">
        <f t="shared" si="180"/>
        <v>0.11171287761739628</v>
      </c>
      <c r="I219" s="3">
        <f t="shared" si="180"/>
        <v>0.11171287761739628</v>
      </c>
      <c r="J219" s="3">
        <f t="shared" si="180"/>
        <v>0.11171287761739628</v>
      </c>
      <c r="K219" s="3">
        <f t="shared" si="180"/>
        <v>0.11171287761739628</v>
      </c>
      <c r="L219" s="3">
        <f t="shared" si="180"/>
        <v>0.11171287761739628</v>
      </c>
      <c r="M219" s="3">
        <f t="shared" si="180"/>
        <v>0.11171287761739625</v>
      </c>
      <c r="N219" s="3">
        <f t="shared" si="180"/>
        <v>0.11171287761739608</v>
      </c>
      <c r="O219" s="3">
        <f t="shared" si="180"/>
        <v>0.11171287761739435</v>
      </c>
      <c r="P219" s="3">
        <f t="shared" si="180"/>
        <v>0.11171287761737692</v>
      </c>
      <c r="Q219" s="3">
        <f t="shared" si="180"/>
        <v>0.11171287761720267</v>
      </c>
      <c r="R219" s="3">
        <f t="shared" si="180"/>
        <v>0.11171287761546028</v>
      </c>
      <c r="S219" s="3">
        <f t="shared" si="180"/>
        <v>0.11171287759803628</v>
      </c>
      <c r="T219" s="3">
        <f t="shared" si="180"/>
        <v>0.11171287742379628</v>
      </c>
      <c r="U219" s="3">
        <f t="shared" si="180"/>
        <v>0.11171287568139628</v>
      </c>
      <c r="V219" s="3">
        <f t="shared" si="180"/>
        <v>0.1117128582573978</v>
      </c>
      <c r="W219" s="3">
        <f t="shared" si="180"/>
        <v>0.11171268401756251</v>
      </c>
      <c r="X219" s="3">
        <f t="shared" si="180"/>
        <v>0.1117109416341565</v>
      </c>
      <c r="Y219" s="3">
        <f t="shared" si="180"/>
        <v>0.11169351929470461</v>
      </c>
      <c r="Z219" s="3">
        <f t="shared" si="180"/>
        <v>0.11151944527477986</v>
      </c>
      <c r="AA219" s="3">
        <f t="shared" si="180"/>
        <v>0.10979355669027847</v>
      </c>
      <c r="AB219" s="3">
        <f t="shared" si="180"/>
        <v>9.3937584635761046E-2</v>
      </c>
      <c r="AC219" s="3">
        <f t="shared" si="180"/>
        <v>1.9745345689005878E-2</v>
      </c>
      <c r="AD219" s="3">
        <f t="shared" si="180"/>
        <v>3.3244382015250059E-9</v>
      </c>
      <c r="AE219" s="3">
        <f t="shared" si="180"/>
        <v>6.0849006428657415E-77</v>
      </c>
      <c r="AF219" s="3">
        <f t="shared" si="180"/>
        <v>0</v>
      </c>
      <c r="AG219" s="3"/>
      <c r="AH219" s="3"/>
    </row>
    <row r="220" spans="1:34" x14ac:dyDescent="0.25">
      <c r="B220" s="3">
        <f t="shared" ref="B220:AF220" si="181">$C28*EXP(-B$207/$A28/EXP(-$D$126))</f>
        <v>0.12486929252202905</v>
      </c>
      <c r="C220" s="3">
        <f t="shared" si="181"/>
        <v>0.12486929252202905</v>
      </c>
      <c r="D220" s="3">
        <f t="shared" si="181"/>
        <v>0.12486929252202905</v>
      </c>
      <c r="E220" s="3">
        <f t="shared" si="181"/>
        <v>0.12486929252202905</v>
      </c>
      <c r="F220" s="3">
        <f t="shared" si="181"/>
        <v>0.12486929252202905</v>
      </c>
      <c r="G220" s="3">
        <f t="shared" si="181"/>
        <v>0.12486929252202905</v>
      </c>
      <c r="H220" s="3">
        <f t="shared" si="181"/>
        <v>0.12486929252202905</v>
      </c>
      <c r="I220" s="3">
        <f t="shared" si="181"/>
        <v>0.12486929252202905</v>
      </c>
      <c r="J220" s="3">
        <f t="shared" si="181"/>
        <v>0.12486929252202905</v>
      </c>
      <c r="K220" s="3">
        <f t="shared" si="181"/>
        <v>0.12486929252202905</v>
      </c>
      <c r="L220" s="3">
        <f t="shared" si="181"/>
        <v>0.12486929252202905</v>
      </c>
      <c r="M220" s="3">
        <f t="shared" si="181"/>
        <v>0.12486929252202905</v>
      </c>
      <c r="N220" s="3">
        <f t="shared" si="181"/>
        <v>0.12486929252202904</v>
      </c>
      <c r="O220" s="3">
        <f t="shared" si="181"/>
        <v>0.12486929252202886</v>
      </c>
      <c r="P220" s="3">
        <f t="shared" si="181"/>
        <v>0.12486929252202709</v>
      </c>
      <c r="Q220" s="3">
        <f t="shared" si="181"/>
        <v>0.12486929252200953</v>
      </c>
      <c r="R220" s="3">
        <f t="shared" si="181"/>
        <v>0.12486929252183385</v>
      </c>
      <c r="S220" s="3">
        <f t="shared" si="181"/>
        <v>0.12486929252007693</v>
      </c>
      <c r="T220" s="3">
        <f t="shared" si="181"/>
        <v>0.12486929250250794</v>
      </c>
      <c r="U220" s="3">
        <f t="shared" si="181"/>
        <v>0.12486929232681802</v>
      </c>
      <c r="V220" s="3">
        <f t="shared" si="181"/>
        <v>0.12486929056991873</v>
      </c>
      <c r="W220" s="3">
        <f t="shared" si="181"/>
        <v>0.12486927300092727</v>
      </c>
      <c r="X220" s="3">
        <f t="shared" si="181"/>
        <v>0.1248690973111487</v>
      </c>
      <c r="Y220" s="3">
        <f t="shared" si="181"/>
        <v>0.12486734042695852</v>
      </c>
      <c r="Z220" s="3">
        <f t="shared" si="181"/>
        <v>0.12484977294454554</v>
      </c>
      <c r="AA220" s="3">
        <f t="shared" si="181"/>
        <v>0.12467423399855594</v>
      </c>
      <c r="AB220" s="3">
        <f t="shared" si="181"/>
        <v>0.12293236188178144</v>
      </c>
      <c r="AC220" s="3">
        <f t="shared" si="181"/>
        <v>0.10679757642783862</v>
      </c>
      <c r="AD220" s="3">
        <f t="shared" si="181"/>
        <v>2.6152494106900692E-2</v>
      </c>
      <c r="AE220" s="3">
        <f t="shared" si="181"/>
        <v>2.0278240475745165E-8</v>
      </c>
      <c r="AF220" s="3">
        <f t="shared" si="181"/>
        <v>1.5929488457074079E-69</v>
      </c>
      <c r="AG220" s="3"/>
      <c r="AH220" s="3"/>
    </row>
    <row r="221" spans="1:34" x14ac:dyDescent="0.25">
      <c r="B221" s="3">
        <f t="shared" ref="B221:AF221" si="182">$C29*EXP(-B$207/$A29/EXP(-$D$126))</f>
        <v>7.1899142973036512E-2</v>
      </c>
      <c r="C221" s="3">
        <f t="shared" si="182"/>
        <v>7.1899142973036512E-2</v>
      </c>
      <c r="D221" s="3">
        <f t="shared" si="182"/>
        <v>7.1899142973036512E-2</v>
      </c>
      <c r="E221" s="3">
        <f t="shared" si="182"/>
        <v>7.1899142973036512E-2</v>
      </c>
      <c r="F221" s="3">
        <f t="shared" si="182"/>
        <v>7.1899142973036512E-2</v>
      </c>
      <c r="G221" s="3">
        <f t="shared" si="182"/>
        <v>7.1899142973036512E-2</v>
      </c>
      <c r="H221" s="3">
        <f t="shared" si="182"/>
        <v>7.1899142973036512E-2</v>
      </c>
      <c r="I221" s="3">
        <f t="shared" si="182"/>
        <v>7.1899142973036512E-2</v>
      </c>
      <c r="J221" s="3">
        <f t="shared" si="182"/>
        <v>7.1899142973036512E-2</v>
      </c>
      <c r="K221" s="3">
        <f t="shared" si="182"/>
        <v>7.1899142973036512E-2</v>
      </c>
      <c r="L221" s="3">
        <f t="shared" si="182"/>
        <v>7.1899142973036512E-2</v>
      </c>
      <c r="M221" s="3">
        <f t="shared" si="182"/>
        <v>7.1899142973036512E-2</v>
      </c>
      <c r="N221" s="3">
        <f t="shared" si="182"/>
        <v>7.1899142973036512E-2</v>
      </c>
      <c r="O221" s="3">
        <f t="shared" si="182"/>
        <v>7.1899142973036498E-2</v>
      </c>
      <c r="P221" s="3">
        <f t="shared" si="182"/>
        <v>7.1899142973036415E-2</v>
      </c>
      <c r="Q221" s="3">
        <f t="shared" si="182"/>
        <v>7.1899142973035499E-2</v>
      </c>
      <c r="R221" s="3">
        <f t="shared" si="182"/>
        <v>7.1899142973026381E-2</v>
      </c>
      <c r="S221" s="3">
        <f t="shared" si="182"/>
        <v>7.1899142972935121E-2</v>
      </c>
      <c r="T221" s="3">
        <f t="shared" si="182"/>
        <v>7.1899142972022559E-2</v>
      </c>
      <c r="U221" s="3">
        <f t="shared" si="182"/>
        <v>7.1899142962896956E-2</v>
      </c>
      <c r="V221" s="3">
        <f t="shared" si="182"/>
        <v>7.1899142871640939E-2</v>
      </c>
      <c r="W221" s="3">
        <f t="shared" si="182"/>
        <v>7.1899141959080745E-2</v>
      </c>
      <c r="X221" s="3">
        <f t="shared" si="182"/>
        <v>7.1899132833479484E-2</v>
      </c>
      <c r="Y221" s="3">
        <f t="shared" si="182"/>
        <v>7.1899041577530534E-2</v>
      </c>
      <c r="Z221" s="3">
        <f t="shared" si="182"/>
        <v>7.1898129024411409E-2</v>
      </c>
      <c r="AA221" s="3">
        <f t="shared" si="182"/>
        <v>7.188900413021998E-2</v>
      </c>
      <c r="AB221" s="3">
        <f t="shared" si="182"/>
        <v>7.1797818858390927E-2</v>
      </c>
      <c r="AC221" s="3">
        <f t="shared" si="182"/>
        <v>7.0892303349602392E-2</v>
      </c>
      <c r="AD221" s="3">
        <f t="shared" si="182"/>
        <v>6.244209252677705E-2</v>
      </c>
      <c r="AE221" s="3">
        <f t="shared" si="182"/>
        <v>1.754935105535551E-2</v>
      </c>
      <c r="AF221" s="3">
        <f t="shared" si="182"/>
        <v>5.3963137613859983E-8</v>
      </c>
      <c r="AG221" s="3"/>
      <c r="AH221" s="3"/>
    </row>
    <row r="222" spans="1:34" x14ac:dyDescent="0.25">
      <c r="B222" s="3">
        <f t="shared" ref="B222:AF222" si="183">$C30*EXP(-B$207/$A30/EXP(-$D$126))</f>
        <v>4.7675556768581172E-2</v>
      </c>
      <c r="C222" s="3">
        <f t="shared" si="183"/>
        <v>4.7675556768581172E-2</v>
      </c>
      <c r="D222" s="3">
        <f t="shared" si="183"/>
        <v>4.7675556768581172E-2</v>
      </c>
      <c r="E222" s="3">
        <f t="shared" si="183"/>
        <v>4.7675556768581172E-2</v>
      </c>
      <c r="F222" s="3">
        <f t="shared" si="183"/>
        <v>4.7675556768581172E-2</v>
      </c>
      <c r="G222" s="3">
        <f t="shared" si="183"/>
        <v>4.7675556768581172E-2</v>
      </c>
      <c r="H222" s="3">
        <f t="shared" si="183"/>
        <v>4.7675556768581172E-2</v>
      </c>
      <c r="I222" s="3">
        <f t="shared" si="183"/>
        <v>4.7675556768581172E-2</v>
      </c>
      <c r="J222" s="3">
        <f t="shared" si="183"/>
        <v>4.7675556768581172E-2</v>
      </c>
      <c r="K222" s="3">
        <f t="shared" si="183"/>
        <v>4.7675556768581172E-2</v>
      </c>
      <c r="L222" s="3">
        <f t="shared" si="183"/>
        <v>4.7675556768581172E-2</v>
      </c>
      <c r="M222" s="3">
        <f t="shared" si="183"/>
        <v>4.7675556768581172E-2</v>
      </c>
      <c r="N222" s="3">
        <f t="shared" si="183"/>
        <v>4.7675556768581172E-2</v>
      </c>
      <c r="O222" s="3">
        <f t="shared" si="183"/>
        <v>4.7675556768581172E-2</v>
      </c>
      <c r="P222" s="3">
        <f t="shared" si="183"/>
        <v>4.7675556768581165E-2</v>
      </c>
      <c r="Q222" s="3">
        <f t="shared" si="183"/>
        <v>4.7675556768581116E-2</v>
      </c>
      <c r="R222" s="3">
        <f t="shared" si="183"/>
        <v>4.7675556768580561E-2</v>
      </c>
      <c r="S222" s="3">
        <f t="shared" si="183"/>
        <v>4.7675556768575107E-2</v>
      </c>
      <c r="T222" s="3">
        <f t="shared" si="183"/>
        <v>4.7675556768520519E-2</v>
      </c>
      <c r="U222" s="3">
        <f t="shared" si="183"/>
        <v>4.7675556767974664E-2</v>
      </c>
      <c r="V222" s="3">
        <f t="shared" si="183"/>
        <v>4.7675556762516079E-2</v>
      </c>
      <c r="W222" s="3">
        <f t="shared" si="183"/>
        <v>4.7675556707930215E-2</v>
      </c>
      <c r="X222" s="3">
        <f t="shared" si="183"/>
        <v>4.76755561620716E-2</v>
      </c>
      <c r="Y222" s="3">
        <f t="shared" si="183"/>
        <v>4.7675550703485774E-2</v>
      </c>
      <c r="Z222" s="3">
        <f t="shared" si="183"/>
        <v>4.7675496117661934E-2</v>
      </c>
      <c r="AA222" s="3">
        <f t="shared" si="183"/>
        <v>4.7674950262860859E-2</v>
      </c>
      <c r="AB222" s="3">
        <f t="shared" si="183"/>
        <v>4.7669492058571683E-2</v>
      </c>
      <c r="AC222" s="3">
        <f t="shared" si="183"/>
        <v>4.7614944373283015E-2</v>
      </c>
      <c r="AD222" s="3">
        <f t="shared" si="183"/>
        <v>4.7072888770278425E-2</v>
      </c>
      <c r="AE222" s="3">
        <f t="shared" si="183"/>
        <v>4.1980397565298221E-2</v>
      </c>
      <c r="AF222" s="3">
        <f t="shared" si="183"/>
        <v>1.3359909290476955E-2</v>
      </c>
      <c r="AG222" s="3"/>
      <c r="AH222" s="3"/>
    </row>
    <row r="223" spans="1:34" x14ac:dyDescent="0.25">
      <c r="B223" s="3">
        <f t="shared" ref="B223:AF223" si="184">$C31*EXP(-B$207/$A31/EXP(-$D$126))</f>
        <v>1.9951380582978136E-2</v>
      </c>
      <c r="C223" s="3">
        <f t="shared" si="184"/>
        <v>1.9951380582978136E-2</v>
      </c>
      <c r="D223" s="3">
        <f t="shared" si="184"/>
        <v>1.9951380582978136E-2</v>
      </c>
      <c r="E223" s="3">
        <f t="shared" si="184"/>
        <v>1.9951380582978136E-2</v>
      </c>
      <c r="F223" s="3">
        <f t="shared" si="184"/>
        <v>1.9951380582978136E-2</v>
      </c>
      <c r="G223" s="3">
        <f t="shared" si="184"/>
        <v>1.9951380582978136E-2</v>
      </c>
      <c r="H223" s="3">
        <f t="shared" si="184"/>
        <v>1.9951380582978136E-2</v>
      </c>
      <c r="I223" s="3">
        <f t="shared" si="184"/>
        <v>1.9951380582978136E-2</v>
      </c>
      <c r="J223" s="3">
        <f t="shared" si="184"/>
        <v>1.9951380582978136E-2</v>
      </c>
      <c r="K223" s="3">
        <f t="shared" si="184"/>
        <v>1.9951380582978136E-2</v>
      </c>
      <c r="L223" s="3">
        <f t="shared" si="184"/>
        <v>1.9951380582978136E-2</v>
      </c>
      <c r="M223" s="3">
        <f t="shared" si="184"/>
        <v>1.9951380582978136E-2</v>
      </c>
      <c r="N223" s="3">
        <f t="shared" si="184"/>
        <v>1.9951380582978136E-2</v>
      </c>
      <c r="O223" s="3">
        <f t="shared" si="184"/>
        <v>1.9951380582978136E-2</v>
      </c>
      <c r="P223" s="3">
        <f t="shared" si="184"/>
        <v>1.9951380582978136E-2</v>
      </c>
      <c r="Q223" s="3">
        <f t="shared" si="184"/>
        <v>1.9951380582978132E-2</v>
      </c>
      <c r="R223" s="3">
        <f t="shared" si="184"/>
        <v>1.9951380582978115E-2</v>
      </c>
      <c r="S223" s="3">
        <f t="shared" si="184"/>
        <v>1.9951380582977907E-2</v>
      </c>
      <c r="T223" s="3">
        <f t="shared" si="184"/>
        <v>1.9951380582975846E-2</v>
      </c>
      <c r="U223" s="3">
        <f t="shared" si="184"/>
        <v>1.9951380582955237E-2</v>
      </c>
      <c r="V223" s="3">
        <f t="shared" si="184"/>
        <v>1.9951380582749177E-2</v>
      </c>
      <c r="W223" s="3">
        <f t="shared" si="184"/>
        <v>1.9951380580688526E-2</v>
      </c>
      <c r="X223" s="3">
        <f t="shared" si="184"/>
        <v>1.9951380560082041E-2</v>
      </c>
      <c r="Y223" s="3">
        <f t="shared" si="184"/>
        <v>1.9951380354017178E-2</v>
      </c>
      <c r="Z223" s="3">
        <f t="shared" si="184"/>
        <v>1.9951378293368682E-2</v>
      </c>
      <c r="AA223" s="3">
        <f t="shared" si="184"/>
        <v>1.9951357686895436E-2</v>
      </c>
      <c r="AB223" s="3">
        <f t="shared" si="184"/>
        <v>1.9951151623333548E-2</v>
      </c>
      <c r="AC223" s="3">
        <f t="shared" si="184"/>
        <v>1.9949091104766729E-2</v>
      </c>
      <c r="AD223" s="3">
        <f t="shared" si="184"/>
        <v>1.9928497619835936E-2</v>
      </c>
      <c r="AE223" s="3">
        <f t="shared" si="184"/>
        <v>1.9723728385168785E-2</v>
      </c>
      <c r="AF223" s="3">
        <f t="shared" si="184"/>
        <v>1.7788263520088169E-2</v>
      </c>
      <c r="AG223" s="3"/>
      <c r="AH223" s="3"/>
    </row>
    <row r="224" spans="1:34" x14ac:dyDescent="0.25">
      <c r="B224" s="3">
        <f t="shared" ref="B224:AF224" si="185">$C32*EXP(-B$207/$A32/EXP(-$D$126))</f>
        <v>3.7229726854135226E-3</v>
      </c>
      <c r="C224" s="3">
        <f t="shared" si="185"/>
        <v>3.7229726854135226E-3</v>
      </c>
      <c r="D224" s="3">
        <f t="shared" si="185"/>
        <v>3.7229726854135226E-3</v>
      </c>
      <c r="E224" s="3">
        <f t="shared" si="185"/>
        <v>3.7229726854135226E-3</v>
      </c>
      <c r="F224" s="3">
        <f t="shared" si="185"/>
        <v>3.7229726854135226E-3</v>
      </c>
      <c r="G224" s="3">
        <f t="shared" si="185"/>
        <v>3.7229726854135226E-3</v>
      </c>
      <c r="H224" s="3">
        <f t="shared" si="185"/>
        <v>3.7229726854135226E-3</v>
      </c>
      <c r="I224" s="3">
        <f t="shared" si="185"/>
        <v>3.7229726854135226E-3</v>
      </c>
      <c r="J224" s="3">
        <f t="shared" si="185"/>
        <v>3.7229726854135226E-3</v>
      </c>
      <c r="K224" s="3">
        <f t="shared" si="185"/>
        <v>3.7229726854135226E-3</v>
      </c>
      <c r="L224" s="3">
        <f t="shared" si="185"/>
        <v>3.7229726854135226E-3</v>
      </c>
      <c r="M224" s="3">
        <f t="shared" si="185"/>
        <v>3.7229726854135226E-3</v>
      </c>
      <c r="N224" s="3">
        <f t="shared" si="185"/>
        <v>3.7229726854135226E-3</v>
      </c>
      <c r="O224" s="3">
        <f t="shared" si="185"/>
        <v>3.7229726854135226E-3</v>
      </c>
      <c r="P224" s="3">
        <f t="shared" si="185"/>
        <v>3.7229726854135226E-3</v>
      </c>
      <c r="Q224" s="3">
        <f t="shared" si="185"/>
        <v>3.7229726854135226E-3</v>
      </c>
      <c r="R224" s="3">
        <f t="shared" si="185"/>
        <v>3.7229726854135221E-3</v>
      </c>
      <c r="S224" s="3">
        <f t="shared" si="185"/>
        <v>3.7229726854135187E-3</v>
      </c>
      <c r="T224" s="3">
        <f t="shared" si="185"/>
        <v>3.722972685413484E-3</v>
      </c>
      <c r="U224" s="3">
        <f t="shared" si="185"/>
        <v>3.7229726854131374E-3</v>
      </c>
      <c r="V224" s="3">
        <f t="shared" si="185"/>
        <v>3.7229726854096684E-3</v>
      </c>
      <c r="W224" s="3">
        <f t="shared" si="185"/>
        <v>3.7229726853749813E-3</v>
      </c>
      <c r="X224" s="3">
        <f t="shared" si="185"/>
        <v>3.7229726850281112E-3</v>
      </c>
      <c r="Y224" s="3">
        <f t="shared" si="185"/>
        <v>3.722972681559405E-3</v>
      </c>
      <c r="Z224" s="3">
        <f t="shared" si="185"/>
        <v>3.7229726468723501E-3</v>
      </c>
      <c r="AA224" s="3">
        <f t="shared" si="185"/>
        <v>3.7229723000018183E-3</v>
      </c>
      <c r="AB224" s="3">
        <f t="shared" si="185"/>
        <v>3.7229688312982734E-3</v>
      </c>
      <c r="AC224" s="3">
        <f t="shared" si="185"/>
        <v>3.7229341444405739E-3</v>
      </c>
      <c r="AD224" s="3">
        <f t="shared" si="185"/>
        <v>3.7225872936378222E-3</v>
      </c>
      <c r="AE224" s="3">
        <f t="shared" si="185"/>
        <v>3.7191205624218359E-3</v>
      </c>
      <c r="AF224" s="3">
        <f t="shared" si="185"/>
        <v>3.6846303204183558E-3</v>
      </c>
      <c r="AG224" s="3"/>
      <c r="AH224" s="3"/>
    </row>
    <row r="225" spans="2:34" x14ac:dyDescent="0.25">
      <c r="B225" s="3">
        <f t="shared" ref="B225:AF225" si="186">$C33*EXP(-B$207/$A33/EXP(-$D$126))</f>
        <v>3.2258116785225384E-3</v>
      </c>
      <c r="C225" s="3">
        <f t="shared" si="186"/>
        <v>3.2258116785225384E-3</v>
      </c>
      <c r="D225" s="3">
        <f t="shared" si="186"/>
        <v>3.2258116785225384E-3</v>
      </c>
      <c r="E225" s="3">
        <f t="shared" si="186"/>
        <v>3.2258116785225384E-3</v>
      </c>
      <c r="F225" s="3">
        <f t="shared" si="186"/>
        <v>3.2258116785225384E-3</v>
      </c>
      <c r="G225" s="3">
        <f t="shared" si="186"/>
        <v>3.2258116785225384E-3</v>
      </c>
      <c r="H225" s="3">
        <f t="shared" si="186"/>
        <v>3.2258116785225384E-3</v>
      </c>
      <c r="I225" s="3">
        <f t="shared" si="186"/>
        <v>3.2258116785225384E-3</v>
      </c>
      <c r="J225" s="3">
        <f t="shared" si="186"/>
        <v>3.2258116785225384E-3</v>
      </c>
      <c r="K225" s="3">
        <f t="shared" si="186"/>
        <v>3.2258116785225384E-3</v>
      </c>
      <c r="L225" s="3">
        <f t="shared" si="186"/>
        <v>3.2258116785225384E-3</v>
      </c>
      <c r="M225" s="3">
        <f t="shared" si="186"/>
        <v>3.2258116785225384E-3</v>
      </c>
      <c r="N225" s="3">
        <f t="shared" si="186"/>
        <v>3.2258116785225384E-3</v>
      </c>
      <c r="O225" s="3">
        <f t="shared" si="186"/>
        <v>3.2258116785225384E-3</v>
      </c>
      <c r="P225" s="3">
        <f t="shared" si="186"/>
        <v>3.2258116785225384E-3</v>
      </c>
      <c r="Q225" s="3">
        <f t="shared" si="186"/>
        <v>3.2258116785225384E-3</v>
      </c>
      <c r="R225" s="3">
        <f t="shared" si="186"/>
        <v>3.2258116785225384E-3</v>
      </c>
      <c r="S225" s="3">
        <f t="shared" si="186"/>
        <v>3.2258116785225379E-3</v>
      </c>
      <c r="T225" s="3">
        <f t="shared" si="186"/>
        <v>3.2258116785225353E-3</v>
      </c>
      <c r="U225" s="3">
        <f t="shared" si="186"/>
        <v>3.2258116785225084E-3</v>
      </c>
      <c r="V225" s="3">
        <f t="shared" si="186"/>
        <v>3.225811678522237E-3</v>
      </c>
      <c r="W225" s="3">
        <f t="shared" si="186"/>
        <v>3.225811678519526E-3</v>
      </c>
      <c r="X225" s="3">
        <f t="shared" si="186"/>
        <v>3.2258116784924136E-3</v>
      </c>
      <c r="Y225" s="3">
        <f t="shared" si="186"/>
        <v>3.2258116782212928E-3</v>
      </c>
      <c r="Z225" s="3">
        <f t="shared" si="186"/>
        <v>3.2258116755100826E-3</v>
      </c>
      <c r="AA225" s="3">
        <f t="shared" si="186"/>
        <v>3.2258116483979814E-3</v>
      </c>
      <c r="AB225" s="3">
        <f t="shared" si="186"/>
        <v>3.2258113772769799E-3</v>
      </c>
      <c r="AC225" s="3">
        <f t="shared" si="186"/>
        <v>3.2258086660682185E-3</v>
      </c>
      <c r="AD225" s="3">
        <f t="shared" si="186"/>
        <v>3.2257815541059348E-3</v>
      </c>
      <c r="AE225" s="3">
        <f t="shared" si="186"/>
        <v>3.2255104470155201E-3</v>
      </c>
      <c r="AF225" s="3">
        <f t="shared" si="186"/>
        <v>3.2228006289640155E-3</v>
      </c>
      <c r="AG225" s="3"/>
      <c r="AH225" s="3"/>
    </row>
    <row r="226" spans="2:34" x14ac:dyDescent="0.25">
      <c r="B226" s="3">
        <f t="shared" ref="B226:AF226" si="187">$C34*EXP(-B$207/$A34/EXP(-$D$126))</f>
        <v>4.6514491459037388E-4</v>
      </c>
      <c r="C226" s="3">
        <f t="shared" si="187"/>
        <v>4.6514491459037388E-4</v>
      </c>
      <c r="D226" s="3">
        <f t="shared" si="187"/>
        <v>4.6514491459037388E-4</v>
      </c>
      <c r="E226" s="3">
        <f t="shared" si="187"/>
        <v>4.6514491459037388E-4</v>
      </c>
      <c r="F226" s="3">
        <f t="shared" si="187"/>
        <v>4.6514491459037388E-4</v>
      </c>
      <c r="G226" s="3">
        <f t="shared" si="187"/>
        <v>4.6514491459037388E-4</v>
      </c>
      <c r="H226" s="3">
        <f t="shared" si="187"/>
        <v>4.6514491459037388E-4</v>
      </c>
      <c r="I226" s="3">
        <f t="shared" si="187"/>
        <v>4.6514491459037388E-4</v>
      </c>
      <c r="J226" s="3">
        <f t="shared" si="187"/>
        <v>4.6514491459037388E-4</v>
      </c>
      <c r="K226" s="3">
        <f t="shared" si="187"/>
        <v>4.6514491459037388E-4</v>
      </c>
      <c r="L226" s="3">
        <f t="shared" si="187"/>
        <v>4.6514491459037388E-4</v>
      </c>
      <c r="M226" s="3">
        <f t="shared" si="187"/>
        <v>4.6514491459037388E-4</v>
      </c>
      <c r="N226" s="3">
        <f t="shared" si="187"/>
        <v>4.6514491459037388E-4</v>
      </c>
      <c r="O226" s="3">
        <f t="shared" si="187"/>
        <v>4.6514491459037388E-4</v>
      </c>
      <c r="P226" s="3">
        <f t="shared" si="187"/>
        <v>4.6514491459037388E-4</v>
      </c>
      <c r="Q226" s="3">
        <f t="shared" si="187"/>
        <v>4.6514491459037388E-4</v>
      </c>
      <c r="R226" s="3">
        <f t="shared" si="187"/>
        <v>4.6514491459037388E-4</v>
      </c>
      <c r="S226" s="3">
        <f t="shared" si="187"/>
        <v>4.6514491459037388E-4</v>
      </c>
      <c r="T226" s="3">
        <f t="shared" si="187"/>
        <v>4.6514491459037383E-4</v>
      </c>
      <c r="U226" s="3">
        <f t="shared" si="187"/>
        <v>4.6514491459037345E-4</v>
      </c>
      <c r="V226" s="3">
        <f t="shared" si="187"/>
        <v>4.6514491459036998E-4</v>
      </c>
      <c r="W226" s="3">
        <f t="shared" si="187"/>
        <v>4.6514491459033469E-4</v>
      </c>
      <c r="X226" s="3">
        <f t="shared" si="187"/>
        <v>4.6514491458998205E-4</v>
      </c>
      <c r="Y226" s="3">
        <f t="shared" si="187"/>
        <v>4.6514491458645542E-4</v>
      </c>
      <c r="Z226" s="3">
        <f t="shared" si="187"/>
        <v>4.6514491455118919E-4</v>
      </c>
      <c r="AA226" s="3">
        <f t="shared" si="187"/>
        <v>4.6514491419852685E-4</v>
      </c>
      <c r="AB226" s="3">
        <f t="shared" si="187"/>
        <v>4.6514491067190384E-4</v>
      </c>
      <c r="AC226" s="3">
        <f t="shared" si="187"/>
        <v>4.6514487540567505E-4</v>
      </c>
      <c r="AD226" s="3">
        <f t="shared" si="187"/>
        <v>4.6514452274353446E-4</v>
      </c>
      <c r="AE226" s="3">
        <f t="shared" si="187"/>
        <v>4.6514099613683389E-4</v>
      </c>
      <c r="AF226" s="3">
        <f t="shared" si="187"/>
        <v>4.6510573154037526E-4</v>
      </c>
      <c r="AG226" s="3"/>
      <c r="AH226" s="3"/>
    </row>
    <row r="227" spans="2:34" x14ac:dyDescent="0.25">
      <c r="B227" s="3">
        <f t="shared" ref="B227:AF227" si="188">$C35*EXP(-B$207/$A35/EXP(-$D$126))</f>
        <v>1.1429544870574336E-5</v>
      </c>
      <c r="C227" s="3">
        <f t="shared" si="188"/>
        <v>1.1429544870574336E-5</v>
      </c>
      <c r="D227" s="3">
        <f t="shared" si="188"/>
        <v>1.1429544870574336E-5</v>
      </c>
      <c r="E227" s="3">
        <f t="shared" si="188"/>
        <v>1.1429544870574336E-5</v>
      </c>
      <c r="F227" s="3">
        <f t="shared" si="188"/>
        <v>1.1429544870574336E-5</v>
      </c>
      <c r="G227" s="3">
        <f t="shared" si="188"/>
        <v>1.1429544870574336E-5</v>
      </c>
      <c r="H227" s="3">
        <f t="shared" si="188"/>
        <v>1.1429544870574336E-5</v>
      </c>
      <c r="I227" s="3">
        <f t="shared" si="188"/>
        <v>1.1429544870574336E-5</v>
      </c>
      <c r="J227" s="3">
        <f t="shared" si="188"/>
        <v>1.1429544870574336E-5</v>
      </c>
      <c r="K227" s="3">
        <f t="shared" si="188"/>
        <v>1.1429544870574336E-5</v>
      </c>
      <c r="L227" s="3">
        <f t="shared" si="188"/>
        <v>1.1429544870574336E-5</v>
      </c>
      <c r="M227" s="3">
        <f t="shared" si="188"/>
        <v>1.1429544870574336E-5</v>
      </c>
      <c r="N227" s="3">
        <f t="shared" si="188"/>
        <v>1.1429544870574336E-5</v>
      </c>
      <c r="O227" s="3">
        <f t="shared" si="188"/>
        <v>1.1429544870574336E-5</v>
      </c>
      <c r="P227" s="3">
        <f t="shared" si="188"/>
        <v>1.1429544870574336E-5</v>
      </c>
      <c r="Q227" s="3">
        <f t="shared" si="188"/>
        <v>1.1429544870574336E-5</v>
      </c>
      <c r="R227" s="3">
        <f t="shared" si="188"/>
        <v>1.1429544870574336E-5</v>
      </c>
      <c r="S227" s="3">
        <f t="shared" si="188"/>
        <v>1.1429544870574336E-5</v>
      </c>
      <c r="T227" s="3">
        <f t="shared" si="188"/>
        <v>1.1429544870574336E-5</v>
      </c>
      <c r="U227" s="3">
        <f t="shared" si="188"/>
        <v>1.1429544870574334E-5</v>
      </c>
      <c r="V227" s="3">
        <f t="shared" si="188"/>
        <v>1.1429544870574327E-5</v>
      </c>
      <c r="W227" s="3">
        <f t="shared" si="188"/>
        <v>1.1429544870574249E-5</v>
      </c>
      <c r="X227" s="3">
        <f t="shared" si="188"/>
        <v>1.1429544870573468E-5</v>
      </c>
      <c r="Y227" s="3">
        <f t="shared" si="188"/>
        <v>1.142954487056565E-5</v>
      </c>
      <c r="Z227" s="3">
        <f t="shared" si="188"/>
        <v>1.1429544870487479E-5</v>
      </c>
      <c r="AA227" s="3">
        <f t="shared" si="188"/>
        <v>1.1429544869705768E-5</v>
      </c>
      <c r="AB227" s="3">
        <f t="shared" si="188"/>
        <v>1.1429544861888657E-5</v>
      </c>
      <c r="AC227" s="3">
        <f t="shared" si="188"/>
        <v>1.1429544783717544E-5</v>
      </c>
      <c r="AD227" s="3">
        <f t="shared" si="188"/>
        <v>1.1429544002006455E-5</v>
      </c>
      <c r="AE227" s="3">
        <f t="shared" si="188"/>
        <v>1.1429536184898498E-5</v>
      </c>
      <c r="AF227" s="3">
        <f t="shared" si="188"/>
        <v>1.1429458014112988E-5</v>
      </c>
      <c r="AG227" s="3"/>
      <c r="AH227" s="3"/>
    </row>
    <row r="228" spans="2:34" x14ac:dyDescent="0.25">
      <c r="B228" s="3">
        <f t="shared" ref="B228:AF228" si="189">$C36*EXP(-B$207/$A36/EXP(-$D$126))</f>
        <v>2.5915484418969715E-5</v>
      </c>
      <c r="C228" s="3">
        <f t="shared" si="189"/>
        <v>2.5915484418969715E-5</v>
      </c>
      <c r="D228" s="3">
        <f t="shared" si="189"/>
        <v>2.5915484418969715E-5</v>
      </c>
      <c r="E228" s="3">
        <f t="shared" si="189"/>
        <v>2.5915484418969715E-5</v>
      </c>
      <c r="F228" s="3">
        <f t="shared" si="189"/>
        <v>2.5915484418969715E-5</v>
      </c>
      <c r="G228" s="3">
        <f t="shared" si="189"/>
        <v>2.5915484418969715E-5</v>
      </c>
      <c r="H228" s="3">
        <f t="shared" si="189"/>
        <v>2.5915484418969715E-5</v>
      </c>
      <c r="I228" s="3">
        <f t="shared" si="189"/>
        <v>2.5915484418969715E-5</v>
      </c>
      <c r="J228" s="3">
        <f t="shared" si="189"/>
        <v>2.5915484418969715E-5</v>
      </c>
      <c r="K228" s="3">
        <f t="shared" si="189"/>
        <v>2.5915484418969715E-5</v>
      </c>
      <c r="L228" s="3">
        <f t="shared" si="189"/>
        <v>2.5915484418969715E-5</v>
      </c>
      <c r="M228" s="3">
        <f t="shared" si="189"/>
        <v>2.5915484418969715E-5</v>
      </c>
      <c r="N228" s="3">
        <f t="shared" si="189"/>
        <v>2.5915484418969715E-5</v>
      </c>
      <c r="O228" s="3">
        <f t="shared" si="189"/>
        <v>2.5915484418969715E-5</v>
      </c>
      <c r="P228" s="3">
        <f t="shared" si="189"/>
        <v>2.5915484418969715E-5</v>
      </c>
      <c r="Q228" s="3">
        <f t="shared" si="189"/>
        <v>2.5915484418969715E-5</v>
      </c>
      <c r="R228" s="3">
        <f t="shared" si="189"/>
        <v>2.5915484418969715E-5</v>
      </c>
      <c r="S228" s="3">
        <f t="shared" si="189"/>
        <v>2.5915484418969715E-5</v>
      </c>
      <c r="T228" s="3">
        <f t="shared" si="189"/>
        <v>2.5915484418969715E-5</v>
      </c>
      <c r="U228" s="3">
        <f t="shared" si="189"/>
        <v>2.5915484418969715E-5</v>
      </c>
      <c r="V228" s="3">
        <f t="shared" si="189"/>
        <v>2.5915484418969712E-5</v>
      </c>
      <c r="W228" s="3">
        <f t="shared" si="189"/>
        <v>2.5915484418969698E-5</v>
      </c>
      <c r="X228" s="3">
        <f t="shared" si="189"/>
        <v>2.5915484418969535E-5</v>
      </c>
      <c r="Y228" s="3">
        <f t="shared" si="189"/>
        <v>2.591548441896794E-5</v>
      </c>
      <c r="Z228" s="3">
        <f t="shared" si="189"/>
        <v>2.5915484418951948E-5</v>
      </c>
      <c r="AA228" s="3">
        <f t="shared" si="189"/>
        <v>2.5915484418792058E-5</v>
      </c>
      <c r="AB228" s="3">
        <f t="shared" si="189"/>
        <v>2.5915484417193151E-5</v>
      </c>
      <c r="AC228" s="3">
        <f t="shared" si="189"/>
        <v>2.5915484401204076E-5</v>
      </c>
      <c r="AD228" s="3">
        <f t="shared" si="189"/>
        <v>2.5915484241313353E-5</v>
      </c>
      <c r="AE228" s="3">
        <f t="shared" si="189"/>
        <v>2.5915482642406145E-5</v>
      </c>
      <c r="AF228" s="3">
        <f t="shared" si="189"/>
        <v>2.5915466653339504E-5</v>
      </c>
      <c r="AG228" s="3"/>
      <c r="AH228" s="3"/>
    </row>
    <row r="229" spans="2:34" x14ac:dyDescent="0.25">
      <c r="B229" s="3">
        <f t="shared" ref="B229:AF229" si="190">$C37*EXP(-B$207/$A37/EXP(-$D$126))</f>
        <v>2.9552981931303355E-5</v>
      </c>
      <c r="C229" s="3">
        <f t="shared" si="190"/>
        <v>2.9552981931303355E-5</v>
      </c>
      <c r="D229" s="3">
        <f t="shared" si="190"/>
        <v>2.9552981931303355E-5</v>
      </c>
      <c r="E229" s="3">
        <f t="shared" si="190"/>
        <v>2.9552981931303355E-5</v>
      </c>
      <c r="F229" s="3">
        <f t="shared" si="190"/>
        <v>2.9552981931303355E-5</v>
      </c>
      <c r="G229" s="3">
        <f t="shared" si="190"/>
        <v>2.9552981931303355E-5</v>
      </c>
      <c r="H229" s="3">
        <f t="shared" si="190"/>
        <v>2.9552981931303355E-5</v>
      </c>
      <c r="I229" s="3">
        <f t="shared" si="190"/>
        <v>2.9552981931303355E-5</v>
      </c>
      <c r="J229" s="3">
        <f t="shared" si="190"/>
        <v>2.9552981931303355E-5</v>
      </c>
      <c r="K229" s="3">
        <f t="shared" si="190"/>
        <v>2.9552981931303355E-5</v>
      </c>
      <c r="L229" s="3">
        <f t="shared" si="190"/>
        <v>2.9552981931303355E-5</v>
      </c>
      <c r="M229" s="3">
        <f t="shared" si="190"/>
        <v>2.9552981931303355E-5</v>
      </c>
      <c r="N229" s="3">
        <f t="shared" si="190"/>
        <v>2.9552981931303355E-5</v>
      </c>
      <c r="O229" s="3">
        <f t="shared" si="190"/>
        <v>2.9552981931303355E-5</v>
      </c>
      <c r="P229" s="3">
        <f t="shared" si="190"/>
        <v>2.9552981931303355E-5</v>
      </c>
      <c r="Q229" s="3">
        <f t="shared" si="190"/>
        <v>2.9552981931303355E-5</v>
      </c>
      <c r="R229" s="3">
        <f t="shared" si="190"/>
        <v>2.9552981931303355E-5</v>
      </c>
      <c r="S229" s="3">
        <f t="shared" si="190"/>
        <v>2.9552981931303355E-5</v>
      </c>
      <c r="T229" s="3">
        <f t="shared" si="190"/>
        <v>2.9552981931303355E-5</v>
      </c>
      <c r="U229" s="3">
        <f t="shared" si="190"/>
        <v>2.9552981931303355E-5</v>
      </c>
      <c r="V229" s="3">
        <f t="shared" si="190"/>
        <v>2.9552981931303355E-5</v>
      </c>
      <c r="W229" s="3">
        <f t="shared" si="190"/>
        <v>2.9552981931303352E-5</v>
      </c>
      <c r="X229" s="3">
        <f t="shared" si="190"/>
        <v>2.9552981931303335E-5</v>
      </c>
      <c r="Y229" s="3">
        <f t="shared" si="190"/>
        <v>2.9552981931303172E-5</v>
      </c>
      <c r="Z229" s="3">
        <f t="shared" si="190"/>
        <v>2.9552981931301529E-5</v>
      </c>
      <c r="AA229" s="3">
        <f t="shared" si="190"/>
        <v>2.955298193128508E-5</v>
      </c>
      <c r="AB229" s="3">
        <f t="shared" si="190"/>
        <v>2.9552981931120603E-5</v>
      </c>
      <c r="AC229" s="3">
        <f t="shared" si="190"/>
        <v>2.9552981929475807E-5</v>
      </c>
      <c r="AD229" s="3">
        <f t="shared" si="190"/>
        <v>2.9552981913027854E-5</v>
      </c>
      <c r="AE229" s="3">
        <f t="shared" si="190"/>
        <v>2.9552981748548326E-5</v>
      </c>
      <c r="AF229" s="3">
        <f t="shared" si="190"/>
        <v>2.9552980103753128E-5</v>
      </c>
      <c r="AG229" s="3"/>
      <c r="AH229" s="3"/>
    </row>
    <row r="230" spans="2:34" x14ac:dyDescent="0.25">
      <c r="B230" s="3">
        <f t="shared" ref="B230:AF230" si="191">$C38*EXP(-B$207/$A38/EXP(-$D$126))</f>
        <v>3.2731039559542382E-6</v>
      </c>
      <c r="C230" s="3">
        <f t="shared" si="191"/>
        <v>3.2731039559542382E-6</v>
      </c>
      <c r="D230" s="3">
        <f t="shared" si="191"/>
        <v>3.2731039559542382E-6</v>
      </c>
      <c r="E230" s="3">
        <f t="shared" si="191"/>
        <v>3.2731039559542382E-6</v>
      </c>
      <c r="F230" s="3">
        <f t="shared" si="191"/>
        <v>3.2731039559542382E-6</v>
      </c>
      <c r="G230" s="3">
        <f t="shared" si="191"/>
        <v>3.2731039559542382E-6</v>
      </c>
      <c r="H230" s="3">
        <f t="shared" si="191"/>
        <v>3.2731039559542382E-6</v>
      </c>
      <c r="I230" s="3">
        <f t="shared" si="191"/>
        <v>3.2731039559542382E-6</v>
      </c>
      <c r="J230" s="3">
        <f t="shared" si="191"/>
        <v>3.2731039559542382E-6</v>
      </c>
      <c r="K230" s="3">
        <f t="shared" si="191"/>
        <v>3.2731039559542382E-6</v>
      </c>
      <c r="L230" s="3">
        <f t="shared" si="191"/>
        <v>3.2731039559542382E-6</v>
      </c>
      <c r="M230" s="3">
        <f t="shared" si="191"/>
        <v>3.2731039559542382E-6</v>
      </c>
      <c r="N230" s="3">
        <f t="shared" si="191"/>
        <v>3.2731039559542382E-6</v>
      </c>
      <c r="O230" s="3">
        <f t="shared" si="191"/>
        <v>3.2731039559542382E-6</v>
      </c>
      <c r="P230" s="3">
        <f t="shared" si="191"/>
        <v>3.2731039559542382E-6</v>
      </c>
      <c r="Q230" s="3">
        <f t="shared" si="191"/>
        <v>3.2731039559542382E-6</v>
      </c>
      <c r="R230" s="3">
        <f t="shared" si="191"/>
        <v>3.2731039559542382E-6</v>
      </c>
      <c r="S230" s="3">
        <f t="shared" si="191"/>
        <v>3.2731039559542382E-6</v>
      </c>
      <c r="T230" s="3">
        <f t="shared" si="191"/>
        <v>3.2731039559542382E-6</v>
      </c>
      <c r="U230" s="3">
        <f t="shared" si="191"/>
        <v>3.2731039559542382E-6</v>
      </c>
      <c r="V230" s="3">
        <f t="shared" si="191"/>
        <v>3.2731039559542382E-6</v>
      </c>
      <c r="W230" s="3">
        <f t="shared" si="191"/>
        <v>3.2731039559542382E-6</v>
      </c>
      <c r="X230" s="3">
        <f t="shared" si="191"/>
        <v>3.2731039559542378E-6</v>
      </c>
      <c r="Y230" s="3">
        <f t="shared" si="191"/>
        <v>3.2731039559542365E-6</v>
      </c>
      <c r="Z230" s="3">
        <f t="shared" si="191"/>
        <v>3.27310395595422E-6</v>
      </c>
      <c r="AA230" s="3">
        <f t="shared" si="191"/>
        <v>3.2731039559540557E-6</v>
      </c>
      <c r="AB230" s="3">
        <f t="shared" si="191"/>
        <v>3.273103955952412E-6</v>
      </c>
      <c r="AC230" s="3">
        <f t="shared" si="191"/>
        <v>3.2731039559359796E-6</v>
      </c>
      <c r="AD230" s="3">
        <f t="shared" si="191"/>
        <v>3.2731039557716492E-6</v>
      </c>
      <c r="AE230" s="3">
        <f t="shared" si="191"/>
        <v>3.273103954128349E-6</v>
      </c>
      <c r="AF230" s="3">
        <f t="shared" si="191"/>
        <v>3.2731039376953461E-6</v>
      </c>
      <c r="AG230" s="3"/>
      <c r="AH230" s="3"/>
    </row>
    <row r="231" spans="2:34" x14ac:dyDescent="0.25">
      <c r="B231" s="3">
        <f t="shared" ref="B231:AF231" si="192">$C39*EXP(-B$207/$A39/EXP(-$D$126))</f>
        <v>4.7316671387144988E-5</v>
      </c>
      <c r="C231" s="3">
        <f t="shared" si="192"/>
        <v>4.7316671387144988E-5</v>
      </c>
      <c r="D231" s="3">
        <f t="shared" si="192"/>
        <v>4.7316671387144988E-5</v>
      </c>
      <c r="E231" s="3">
        <f t="shared" si="192"/>
        <v>4.7316671387144988E-5</v>
      </c>
      <c r="F231" s="3">
        <f t="shared" si="192"/>
        <v>4.7316671387144988E-5</v>
      </c>
      <c r="G231" s="3">
        <f t="shared" si="192"/>
        <v>4.7316671387144988E-5</v>
      </c>
      <c r="H231" s="3">
        <f t="shared" si="192"/>
        <v>4.7316671387144988E-5</v>
      </c>
      <c r="I231" s="3">
        <f t="shared" si="192"/>
        <v>4.7316671387144988E-5</v>
      </c>
      <c r="J231" s="3">
        <f t="shared" si="192"/>
        <v>4.7316671387144988E-5</v>
      </c>
      <c r="K231" s="3">
        <f t="shared" si="192"/>
        <v>4.7316671387144988E-5</v>
      </c>
      <c r="L231" s="3">
        <f t="shared" si="192"/>
        <v>4.7316671387144988E-5</v>
      </c>
      <c r="M231" s="3">
        <f t="shared" si="192"/>
        <v>4.7316671387144988E-5</v>
      </c>
      <c r="N231" s="3">
        <f t="shared" si="192"/>
        <v>4.7316671387144988E-5</v>
      </c>
      <c r="O231" s="3">
        <f t="shared" si="192"/>
        <v>4.7316671387144988E-5</v>
      </c>
      <c r="P231" s="3">
        <f t="shared" si="192"/>
        <v>4.7316671387144988E-5</v>
      </c>
      <c r="Q231" s="3">
        <f t="shared" si="192"/>
        <v>4.7316671387144988E-5</v>
      </c>
      <c r="R231" s="3">
        <f t="shared" si="192"/>
        <v>4.7316671387144988E-5</v>
      </c>
      <c r="S231" s="3">
        <f t="shared" si="192"/>
        <v>4.7316671387144988E-5</v>
      </c>
      <c r="T231" s="3">
        <f t="shared" si="192"/>
        <v>4.7316671387144988E-5</v>
      </c>
      <c r="U231" s="3">
        <f t="shared" si="192"/>
        <v>4.7316671387144988E-5</v>
      </c>
      <c r="V231" s="3">
        <f t="shared" si="192"/>
        <v>4.7316671387144988E-5</v>
      </c>
      <c r="W231" s="3">
        <f t="shared" si="192"/>
        <v>4.7316671387144988E-5</v>
      </c>
      <c r="X231" s="3">
        <f t="shared" si="192"/>
        <v>4.7316671387144988E-5</v>
      </c>
      <c r="Y231" s="3">
        <f t="shared" si="192"/>
        <v>4.7316671387144982E-5</v>
      </c>
      <c r="Z231" s="3">
        <f t="shared" si="192"/>
        <v>4.7316671387144914E-5</v>
      </c>
      <c r="AA231" s="3">
        <f t="shared" si="192"/>
        <v>4.7316671387144257E-5</v>
      </c>
      <c r="AB231" s="3">
        <f t="shared" si="192"/>
        <v>4.7316671387137684E-5</v>
      </c>
      <c r="AC231" s="3">
        <f t="shared" si="192"/>
        <v>4.7316671387071988E-5</v>
      </c>
      <c r="AD231" s="3">
        <f t="shared" si="192"/>
        <v>4.7316671386414954E-5</v>
      </c>
      <c r="AE231" s="3">
        <f t="shared" si="192"/>
        <v>4.7316671379844669E-5</v>
      </c>
      <c r="AF231" s="3">
        <f t="shared" si="192"/>
        <v>4.7316671314141828E-5</v>
      </c>
      <c r="AG231" s="3"/>
      <c r="AH231" s="3"/>
    </row>
    <row r="232" spans="2:34" x14ac:dyDescent="0.25">
      <c r="B232" s="3">
        <f t="shared" ref="B232:AF232" si="193">$C40*EXP(-B$207/$A40/EXP(-$D$126))</f>
        <v>2.2741722122049058E-5</v>
      </c>
      <c r="C232" s="3">
        <f t="shared" si="193"/>
        <v>2.2741722122049058E-5</v>
      </c>
      <c r="D232" s="3">
        <f t="shared" si="193"/>
        <v>2.2741722122049058E-5</v>
      </c>
      <c r="E232" s="3">
        <f t="shared" si="193"/>
        <v>2.2741722122049058E-5</v>
      </c>
      <c r="F232" s="3">
        <f t="shared" si="193"/>
        <v>2.2741722122049058E-5</v>
      </c>
      <c r="G232" s="3">
        <f t="shared" si="193"/>
        <v>2.2741722122049058E-5</v>
      </c>
      <c r="H232" s="3">
        <f t="shared" si="193"/>
        <v>2.2741722122049058E-5</v>
      </c>
      <c r="I232" s="3">
        <f t="shared" si="193"/>
        <v>2.2741722122049058E-5</v>
      </c>
      <c r="J232" s="3">
        <f t="shared" si="193"/>
        <v>2.2741722122049058E-5</v>
      </c>
      <c r="K232" s="3">
        <f t="shared" si="193"/>
        <v>2.2741722122049058E-5</v>
      </c>
      <c r="L232" s="3">
        <f t="shared" si="193"/>
        <v>2.2741722122049058E-5</v>
      </c>
      <c r="M232" s="3">
        <f t="shared" si="193"/>
        <v>2.2741722122049058E-5</v>
      </c>
      <c r="N232" s="3">
        <f t="shared" si="193"/>
        <v>2.2741722122049058E-5</v>
      </c>
      <c r="O232" s="3">
        <f t="shared" si="193"/>
        <v>2.2741722122049058E-5</v>
      </c>
      <c r="P232" s="3">
        <f t="shared" si="193"/>
        <v>2.2741722122049058E-5</v>
      </c>
      <c r="Q232" s="3">
        <f t="shared" si="193"/>
        <v>2.2741722122049058E-5</v>
      </c>
      <c r="R232" s="3">
        <f t="shared" si="193"/>
        <v>2.2741722122049058E-5</v>
      </c>
      <c r="S232" s="3">
        <f t="shared" si="193"/>
        <v>2.2741722122049058E-5</v>
      </c>
      <c r="T232" s="3">
        <f t="shared" si="193"/>
        <v>2.2741722122049058E-5</v>
      </c>
      <c r="U232" s="3">
        <f t="shared" si="193"/>
        <v>2.2741722122049058E-5</v>
      </c>
      <c r="V232" s="3">
        <f t="shared" si="193"/>
        <v>2.2741722122049058E-5</v>
      </c>
      <c r="W232" s="3">
        <f t="shared" si="193"/>
        <v>2.2741722122049058E-5</v>
      </c>
      <c r="X232" s="3">
        <f t="shared" si="193"/>
        <v>2.2741722122049058E-5</v>
      </c>
      <c r="Y232" s="3">
        <f t="shared" si="193"/>
        <v>2.2741722122049058E-5</v>
      </c>
      <c r="Z232" s="3">
        <f t="shared" si="193"/>
        <v>2.2741722122049055E-5</v>
      </c>
      <c r="AA232" s="3">
        <f t="shared" si="193"/>
        <v>2.2741722122049024E-5</v>
      </c>
      <c r="AB232" s="3">
        <f t="shared" si="193"/>
        <v>2.2741722122048706E-5</v>
      </c>
      <c r="AC232" s="3">
        <f t="shared" si="193"/>
        <v>2.2741722122045548E-5</v>
      </c>
      <c r="AD232" s="3">
        <f t="shared" si="193"/>
        <v>2.2741722122013971E-5</v>
      </c>
      <c r="AE232" s="3">
        <f t="shared" si="193"/>
        <v>2.2741722121698183E-5</v>
      </c>
      <c r="AF232" s="3">
        <f t="shared" si="193"/>
        <v>2.2741722118540319E-5</v>
      </c>
      <c r="AG232" s="3"/>
      <c r="AH232" s="3"/>
    </row>
    <row r="233" spans="2:34" x14ac:dyDescent="0.25">
      <c r="B233" s="3">
        <f t="shared" ref="B233:AF233" si="194">$C41*EXP(-B$207/$A41/EXP(-$D$126))</f>
        <v>1.7857506760164985E-5</v>
      </c>
      <c r="C233" s="3">
        <f t="shared" si="194"/>
        <v>1.7857506760164985E-5</v>
      </c>
      <c r="D233" s="3">
        <f t="shared" si="194"/>
        <v>1.7857506760164985E-5</v>
      </c>
      <c r="E233" s="3">
        <f t="shared" si="194"/>
        <v>1.7857506760164985E-5</v>
      </c>
      <c r="F233" s="3">
        <f t="shared" si="194"/>
        <v>1.7857506760164985E-5</v>
      </c>
      <c r="G233" s="3">
        <f t="shared" si="194"/>
        <v>1.7857506760164985E-5</v>
      </c>
      <c r="H233" s="3">
        <f t="shared" si="194"/>
        <v>1.7857506760164985E-5</v>
      </c>
      <c r="I233" s="3">
        <f t="shared" si="194"/>
        <v>1.7857506760164985E-5</v>
      </c>
      <c r="J233" s="3">
        <f t="shared" si="194"/>
        <v>1.7857506760164985E-5</v>
      </c>
      <c r="K233" s="3">
        <f t="shared" si="194"/>
        <v>1.7857506760164985E-5</v>
      </c>
      <c r="L233" s="3">
        <f t="shared" si="194"/>
        <v>1.7857506760164985E-5</v>
      </c>
      <c r="M233" s="3">
        <f t="shared" si="194"/>
        <v>1.7857506760164985E-5</v>
      </c>
      <c r="N233" s="3">
        <f t="shared" si="194"/>
        <v>1.7857506760164985E-5</v>
      </c>
      <c r="O233" s="3">
        <f t="shared" si="194"/>
        <v>1.7857506760164985E-5</v>
      </c>
      <c r="P233" s="3">
        <f t="shared" si="194"/>
        <v>1.7857506760164985E-5</v>
      </c>
      <c r="Q233" s="3">
        <f t="shared" si="194"/>
        <v>1.7857506760164985E-5</v>
      </c>
      <c r="R233" s="3">
        <f t="shared" si="194"/>
        <v>1.7857506760164985E-5</v>
      </c>
      <c r="S233" s="3">
        <f t="shared" si="194"/>
        <v>1.7857506760164985E-5</v>
      </c>
      <c r="T233" s="3">
        <f t="shared" si="194"/>
        <v>1.7857506760164985E-5</v>
      </c>
      <c r="U233" s="3">
        <f t="shared" si="194"/>
        <v>1.7857506760164985E-5</v>
      </c>
      <c r="V233" s="3">
        <f t="shared" si="194"/>
        <v>1.7857506760164985E-5</v>
      </c>
      <c r="W233" s="3">
        <f t="shared" si="194"/>
        <v>1.7857506760164985E-5</v>
      </c>
      <c r="X233" s="3">
        <f t="shared" si="194"/>
        <v>1.7857506760164985E-5</v>
      </c>
      <c r="Y233" s="3">
        <f t="shared" si="194"/>
        <v>1.7857506760164985E-5</v>
      </c>
      <c r="Z233" s="3">
        <f t="shared" si="194"/>
        <v>1.7857506760164985E-5</v>
      </c>
      <c r="AA233" s="3">
        <f t="shared" si="194"/>
        <v>1.7857506760164981E-5</v>
      </c>
      <c r="AB233" s="3">
        <f t="shared" si="194"/>
        <v>1.7857506760164958E-5</v>
      </c>
      <c r="AC233" s="3">
        <f t="shared" si="194"/>
        <v>1.785750676016471E-5</v>
      </c>
      <c r="AD233" s="3">
        <f t="shared" si="194"/>
        <v>1.785750676016223E-5</v>
      </c>
      <c r="AE233" s="3">
        <f t="shared" si="194"/>
        <v>1.7857506760137432E-5</v>
      </c>
      <c r="AF233" s="3">
        <f t="shared" si="194"/>
        <v>1.7857506759889469E-5</v>
      </c>
      <c r="AG233" s="3"/>
      <c r="AH233" s="3"/>
    </row>
    <row r="234" spans="2:34" x14ac:dyDescent="0.25">
      <c r="B234" s="3">
        <f t="shared" ref="B234:AF234" si="195">$C42*EXP(-B$207/$A42/EXP(-$D$126))</f>
        <v>0</v>
      </c>
      <c r="C234" s="3">
        <f t="shared" si="195"/>
        <v>0</v>
      </c>
      <c r="D234" s="3">
        <f t="shared" si="195"/>
        <v>0</v>
      </c>
      <c r="E234" s="3">
        <f t="shared" si="195"/>
        <v>0</v>
      </c>
      <c r="F234" s="3">
        <f t="shared" si="195"/>
        <v>0</v>
      </c>
      <c r="G234" s="3">
        <f t="shared" si="195"/>
        <v>0</v>
      </c>
      <c r="H234" s="3">
        <f t="shared" si="195"/>
        <v>0</v>
      </c>
      <c r="I234" s="3">
        <f t="shared" si="195"/>
        <v>0</v>
      </c>
      <c r="J234" s="3">
        <f t="shared" si="195"/>
        <v>0</v>
      </c>
      <c r="K234" s="3">
        <f t="shared" si="195"/>
        <v>0</v>
      </c>
      <c r="L234" s="3">
        <f t="shared" si="195"/>
        <v>0</v>
      </c>
      <c r="M234" s="3">
        <f t="shared" si="195"/>
        <v>0</v>
      </c>
      <c r="N234" s="3">
        <f t="shared" si="195"/>
        <v>0</v>
      </c>
      <c r="O234" s="3">
        <f t="shared" si="195"/>
        <v>0</v>
      </c>
      <c r="P234" s="3">
        <f t="shared" si="195"/>
        <v>0</v>
      </c>
      <c r="Q234" s="3">
        <f t="shared" si="195"/>
        <v>0</v>
      </c>
      <c r="R234" s="3">
        <f t="shared" si="195"/>
        <v>0</v>
      </c>
      <c r="S234" s="3">
        <f t="shared" si="195"/>
        <v>0</v>
      </c>
      <c r="T234" s="3">
        <f t="shared" si="195"/>
        <v>0</v>
      </c>
      <c r="U234" s="3">
        <f t="shared" si="195"/>
        <v>0</v>
      </c>
      <c r="V234" s="3">
        <f t="shared" si="195"/>
        <v>0</v>
      </c>
      <c r="W234" s="3">
        <f t="shared" si="195"/>
        <v>0</v>
      </c>
      <c r="X234" s="3">
        <f t="shared" si="195"/>
        <v>0</v>
      </c>
      <c r="Y234" s="3">
        <f t="shared" si="195"/>
        <v>0</v>
      </c>
      <c r="Z234" s="3">
        <f t="shared" si="195"/>
        <v>0</v>
      </c>
      <c r="AA234" s="3">
        <f t="shared" si="195"/>
        <v>0</v>
      </c>
      <c r="AB234" s="3">
        <f t="shared" si="195"/>
        <v>0</v>
      </c>
      <c r="AC234" s="3">
        <f t="shared" si="195"/>
        <v>0</v>
      </c>
      <c r="AD234" s="3">
        <f t="shared" si="195"/>
        <v>0</v>
      </c>
      <c r="AE234" s="3">
        <f t="shared" si="195"/>
        <v>0</v>
      </c>
      <c r="AF234" s="3">
        <f t="shared" si="195"/>
        <v>0</v>
      </c>
      <c r="AG234" s="3"/>
      <c r="AH234" s="3"/>
    </row>
    <row r="235" spans="2:34" x14ac:dyDescent="0.25">
      <c r="B235" s="3">
        <f t="shared" ref="B235:AF235" si="196">$C43*EXP(-B$207/$A43/EXP(-$D$126))</f>
        <v>1.5759572914912317E-6</v>
      </c>
      <c r="C235" s="3">
        <f t="shared" si="196"/>
        <v>1.5759572914912317E-6</v>
      </c>
      <c r="D235" s="3">
        <f t="shared" si="196"/>
        <v>1.5759572914912317E-6</v>
      </c>
      <c r="E235" s="3">
        <f t="shared" si="196"/>
        <v>1.5759572914912317E-6</v>
      </c>
      <c r="F235" s="3">
        <f t="shared" si="196"/>
        <v>1.5759572914912317E-6</v>
      </c>
      <c r="G235" s="3">
        <f t="shared" si="196"/>
        <v>1.5759572914912317E-6</v>
      </c>
      <c r="H235" s="3">
        <f t="shared" si="196"/>
        <v>1.5759572914912317E-6</v>
      </c>
      <c r="I235" s="3">
        <f t="shared" si="196"/>
        <v>1.5759572914912317E-6</v>
      </c>
      <c r="J235" s="3">
        <f t="shared" si="196"/>
        <v>1.5759572914912317E-6</v>
      </c>
      <c r="K235" s="3">
        <f t="shared" si="196"/>
        <v>1.5759572914912317E-6</v>
      </c>
      <c r="L235" s="3">
        <f t="shared" si="196"/>
        <v>1.5759572914912317E-6</v>
      </c>
      <c r="M235" s="3">
        <f t="shared" si="196"/>
        <v>1.5759572914912317E-6</v>
      </c>
      <c r="N235" s="3">
        <f t="shared" si="196"/>
        <v>1.5759572914912317E-6</v>
      </c>
      <c r="O235" s="3">
        <f t="shared" si="196"/>
        <v>1.5759572914912317E-6</v>
      </c>
      <c r="P235" s="3">
        <f t="shared" si="196"/>
        <v>1.5759572914912317E-6</v>
      </c>
      <c r="Q235" s="3">
        <f t="shared" si="196"/>
        <v>1.5759572914912317E-6</v>
      </c>
      <c r="R235" s="3">
        <f t="shared" si="196"/>
        <v>1.5759572914912317E-6</v>
      </c>
      <c r="S235" s="3">
        <f t="shared" si="196"/>
        <v>1.5759572914912317E-6</v>
      </c>
      <c r="T235" s="3">
        <f t="shared" si="196"/>
        <v>1.5759572914912317E-6</v>
      </c>
      <c r="U235" s="3">
        <f t="shared" si="196"/>
        <v>1.5759572914912317E-6</v>
      </c>
      <c r="V235" s="3">
        <f t="shared" si="196"/>
        <v>1.5759572914912317E-6</v>
      </c>
      <c r="W235" s="3">
        <f t="shared" si="196"/>
        <v>1.5759572914912317E-6</v>
      </c>
      <c r="X235" s="3">
        <f t="shared" si="196"/>
        <v>1.5759572914912317E-6</v>
      </c>
      <c r="Y235" s="3">
        <f t="shared" si="196"/>
        <v>1.5759572914912317E-6</v>
      </c>
      <c r="Z235" s="3">
        <f t="shared" si="196"/>
        <v>1.5759572914912317E-6</v>
      </c>
      <c r="AA235" s="3">
        <f t="shared" si="196"/>
        <v>1.5759572914912317E-6</v>
      </c>
      <c r="AB235" s="3">
        <f t="shared" si="196"/>
        <v>1.5759572914912317E-6</v>
      </c>
      <c r="AC235" s="3">
        <f t="shared" si="196"/>
        <v>1.5759572914912315E-6</v>
      </c>
      <c r="AD235" s="3">
        <f t="shared" si="196"/>
        <v>1.5759572914912291E-6</v>
      </c>
      <c r="AE235" s="3">
        <f t="shared" si="196"/>
        <v>1.5759572914912073E-6</v>
      </c>
      <c r="AF235" s="3">
        <f t="shared" si="196"/>
        <v>1.5759572914909886E-6</v>
      </c>
      <c r="AG235" s="3"/>
      <c r="AH235" s="3"/>
    </row>
    <row r="236" spans="2:34" x14ac:dyDescent="0.25">
      <c r="B236" s="3">
        <f t="shared" ref="B236:AF236" si="197">$C44*EXP(-B$207/$A44/EXP(-$D$126))</f>
        <v>0</v>
      </c>
      <c r="C236" s="3">
        <f t="shared" si="197"/>
        <v>0</v>
      </c>
      <c r="D236" s="3">
        <f t="shared" si="197"/>
        <v>0</v>
      </c>
      <c r="E236" s="3">
        <f t="shared" si="197"/>
        <v>0</v>
      </c>
      <c r="F236" s="3">
        <f t="shared" si="197"/>
        <v>0</v>
      </c>
      <c r="G236" s="3">
        <f t="shared" si="197"/>
        <v>0</v>
      </c>
      <c r="H236" s="3">
        <f t="shared" si="197"/>
        <v>0</v>
      </c>
      <c r="I236" s="3">
        <f t="shared" si="197"/>
        <v>0</v>
      </c>
      <c r="J236" s="3">
        <f t="shared" si="197"/>
        <v>0</v>
      </c>
      <c r="K236" s="3">
        <f t="shared" si="197"/>
        <v>0</v>
      </c>
      <c r="L236" s="3">
        <f t="shared" si="197"/>
        <v>0</v>
      </c>
      <c r="M236" s="3">
        <f t="shared" si="197"/>
        <v>0</v>
      </c>
      <c r="N236" s="3">
        <f t="shared" si="197"/>
        <v>0</v>
      </c>
      <c r="O236" s="3">
        <f t="shared" si="197"/>
        <v>0</v>
      </c>
      <c r="P236" s="3">
        <f t="shared" si="197"/>
        <v>0</v>
      </c>
      <c r="Q236" s="3">
        <f t="shared" si="197"/>
        <v>0</v>
      </c>
      <c r="R236" s="3">
        <f t="shared" si="197"/>
        <v>0</v>
      </c>
      <c r="S236" s="3">
        <f t="shared" si="197"/>
        <v>0</v>
      </c>
      <c r="T236" s="3">
        <f t="shared" si="197"/>
        <v>0</v>
      </c>
      <c r="U236" s="3">
        <f t="shared" si="197"/>
        <v>0</v>
      </c>
      <c r="V236" s="3">
        <f t="shared" si="197"/>
        <v>0</v>
      </c>
      <c r="W236" s="3">
        <f t="shared" si="197"/>
        <v>0</v>
      </c>
      <c r="X236" s="3">
        <f t="shared" si="197"/>
        <v>0</v>
      </c>
      <c r="Y236" s="3">
        <f t="shared" si="197"/>
        <v>0</v>
      </c>
      <c r="Z236" s="3">
        <f t="shared" si="197"/>
        <v>0</v>
      </c>
      <c r="AA236" s="3">
        <f t="shared" si="197"/>
        <v>0</v>
      </c>
      <c r="AB236" s="3">
        <f t="shared" si="197"/>
        <v>0</v>
      </c>
      <c r="AC236" s="3">
        <f t="shared" si="197"/>
        <v>0</v>
      </c>
      <c r="AD236" s="3">
        <f t="shared" si="197"/>
        <v>0</v>
      </c>
      <c r="AE236" s="3">
        <f t="shared" si="197"/>
        <v>0</v>
      </c>
      <c r="AF236" s="3">
        <f t="shared" si="197"/>
        <v>0</v>
      </c>
      <c r="AG236" s="3"/>
      <c r="AH236" s="3"/>
    </row>
    <row r="237" spans="2:34" x14ac:dyDescent="0.25">
      <c r="B237" s="3">
        <f t="shared" ref="B237:AF237" si="198">$C45*EXP(-B$207/$A45/EXP(-$D$126))</f>
        <v>0</v>
      </c>
      <c r="C237" s="3">
        <f t="shared" si="198"/>
        <v>0</v>
      </c>
      <c r="D237" s="3">
        <f t="shared" si="198"/>
        <v>0</v>
      </c>
      <c r="E237" s="3">
        <f t="shared" si="198"/>
        <v>0</v>
      </c>
      <c r="F237" s="3">
        <f t="shared" si="198"/>
        <v>0</v>
      </c>
      <c r="G237" s="3">
        <f t="shared" si="198"/>
        <v>0</v>
      </c>
      <c r="H237" s="3">
        <f t="shared" si="198"/>
        <v>0</v>
      </c>
      <c r="I237" s="3">
        <f t="shared" si="198"/>
        <v>0</v>
      </c>
      <c r="J237" s="3">
        <f t="shared" si="198"/>
        <v>0</v>
      </c>
      <c r="K237" s="3">
        <f t="shared" si="198"/>
        <v>0</v>
      </c>
      <c r="L237" s="3">
        <f t="shared" si="198"/>
        <v>0</v>
      </c>
      <c r="M237" s="3">
        <f t="shared" si="198"/>
        <v>0</v>
      </c>
      <c r="N237" s="3">
        <f t="shared" si="198"/>
        <v>0</v>
      </c>
      <c r="O237" s="3">
        <f t="shared" si="198"/>
        <v>0</v>
      </c>
      <c r="P237" s="3">
        <f t="shared" si="198"/>
        <v>0</v>
      </c>
      <c r="Q237" s="3">
        <f t="shared" si="198"/>
        <v>0</v>
      </c>
      <c r="R237" s="3">
        <f t="shared" si="198"/>
        <v>0</v>
      </c>
      <c r="S237" s="3">
        <f t="shared" si="198"/>
        <v>0</v>
      </c>
      <c r="T237" s="3">
        <f t="shared" si="198"/>
        <v>0</v>
      </c>
      <c r="U237" s="3">
        <f t="shared" si="198"/>
        <v>0</v>
      </c>
      <c r="V237" s="3">
        <f t="shared" si="198"/>
        <v>0</v>
      </c>
      <c r="W237" s="3">
        <f t="shared" si="198"/>
        <v>0</v>
      </c>
      <c r="X237" s="3">
        <f t="shared" si="198"/>
        <v>0</v>
      </c>
      <c r="Y237" s="3">
        <f t="shared" si="198"/>
        <v>0</v>
      </c>
      <c r="Z237" s="3">
        <f t="shared" si="198"/>
        <v>0</v>
      </c>
      <c r="AA237" s="3">
        <f t="shared" si="198"/>
        <v>0</v>
      </c>
      <c r="AB237" s="3">
        <f t="shared" si="198"/>
        <v>0</v>
      </c>
      <c r="AC237" s="3">
        <f t="shared" si="198"/>
        <v>0</v>
      </c>
      <c r="AD237" s="3">
        <f t="shared" si="198"/>
        <v>0</v>
      </c>
      <c r="AE237" s="3">
        <f t="shared" si="198"/>
        <v>0</v>
      </c>
      <c r="AF237" s="3">
        <f t="shared" si="198"/>
        <v>0</v>
      </c>
      <c r="AG237" s="3"/>
      <c r="AH237" s="3"/>
    </row>
    <row r="238" spans="2:34" x14ac:dyDescent="0.25">
      <c r="B238" s="3">
        <f t="shared" ref="B238:AF238" si="199">$C46*EXP(-B$207/$A46/EXP(-$D$126))</f>
        <v>0</v>
      </c>
      <c r="C238" s="3">
        <f t="shared" si="199"/>
        <v>0</v>
      </c>
      <c r="D238" s="3">
        <f t="shared" si="199"/>
        <v>0</v>
      </c>
      <c r="E238" s="3">
        <f t="shared" si="199"/>
        <v>0</v>
      </c>
      <c r="F238" s="3">
        <f t="shared" si="199"/>
        <v>0</v>
      </c>
      <c r="G238" s="3">
        <f t="shared" si="199"/>
        <v>0</v>
      </c>
      <c r="H238" s="3">
        <f t="shared" si="199"/>
        <v>0</v>
      </c>
      <c r="I238" s="3">
        <f t="shared" si="199"/>
        <v>0</v>
      </c>
      <c r="J238" s="3">
        <f t="shared" si="199"/>
        <v>0</v>
      </c>
      <c r="K238" s="3">
        <f t="shared" si="199"/>
        <v>0</v>
      </c>
      <c r="L238" s="3">
        <f t="shared" si="199"/>
        <v>0</v>
      </c>
      <c r="M238" s="3">
        <f t="shared" si="199"/>
        <v>0</v>
      </c>
      <c r="N238" s="3">
        <f t="shared" si="199"/>
        <v>0</v>
      </c>
      <c r="O238" s="3">
        <f t="shared" si="199"/>
        <v>0</v>
      </c>
      <c r="P238" s="3">
        <f t="shared" si="199"/>
        <v>0</v>
      </c>
      <c r="Q238" s="3">
        <f t="shared" si="199"/>
        <v>0</v>
      </c>
      <c r="R238" s="3">
        <f t="shared" si="199"/>
        <v>0</v>
      </c>
      <c r="S238" s="3">
        <f t="shared" si="199"/>
        <v>0</v>
      </c>
      <c r="T238" s="3">
        <f t="shared" si="199"/>
        <v>0</v>
      </c>
      <c r="U238" s="3">
        <f t="shared" si="199"/>
        <v>0</v>
      </c>
      <c r="V238" s="3">
        <f t="shared" si="199"/>
        <v>0</v>
      </c>
      <c r="W238" s="3">
        <f t="shared" si="199"/>
        <v>0</v>
      </c>
      <c r="X238" s="3">
        <f t="shared" si="199"/>
        <v>0</v>
      </c>
      <c r="Y238" s="3">
        <f t="shared" si="199"/>
        <v>0</v>
      </c>
      <c r="Z238" s="3">
        <f t="shared" si="199"/>
        <v>0</v>
      </c>
      <c r="AA238" s="3">
        <f t="shared" si="199"/>
        <v>0</v>
      </c>
      <c r="AB238" s="3">
        <f t="shared" si="199"/>
        <v>0</v>
      </c>
      <c r="AC238" s="3">
        <f t="shared" si="199"/>
        <v>0</v>
      </c>
      <c r="AD238" s="3">
        <f t="shared" si="199"/>
        <v>0</v>
      </c>
      <c r="AE238" s="3">
        <f t="shared" si="199"/>
        <v>0</v>
      </c>
      <c r="AF238" s="3">
        <f t="shared" si="199"/>
        <v>0</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1.823122872957775E-3</v>
      </c>
      <c r="C240" s="3">
        <f t="shared" si="201"/>
        <v>1.823122872957775E-3</v>
      </c>
      <c r="D240" s="3">
        <f t="shared" si="201"/>
        <v>1.823122872957775E-3</v>
      </c>
      <c r="E240" s="3">
        <f t="shared" si="201"/>
        <v>1.823122872957775E-3</v>
      </c>
      <c r="F240" s="3">
        <f t="shared" si="201"/>
        <v>1.823122872957775E-3</v>
      </c>
      <c r="G240" s="3">
        <f t="shared" si="201"/>
        <v>1.823122872957775E-3</v>
      </c>
      <c r="H240" s="3">
        <f t="shared" si="201"/>
        <v>1.823122872957775E-3</v>
      </c>
      <c r="I240" s="3">
        <f t="shared" si="201"/>
        <v>1.823122872957775E-3</v>
      </c>
      <c r="J240" s="3">
        <f t="shared" si="201"/>
        <v>1.823122872957775E-3</v>
      </c>
      <c r="K240" s="3">
        <f t="shared" si="201"/>
        <v>1.823122872957775E-3</v>
      </c>
      <c r="L240" s="3">
        <f t="shared" si="201"/>
        <v>1.823122872957775E-3</v>
      </c>
      <c r="M240" s="3">
        <f t="shared" si="201"/>
        <v>1.823122872957775E-3</v>
      </c>
      <c r="N240" s="3">
        <f t="shared" si="201"/>
        <v>1.823122872957775E-3</v>
      </c>
      <c r="O240" s="3">
        <f t="shared" si="201"/>
        <v>1.823122872957775E-3</v>
      </c>
      <c r="P240" s="3">
        <f t="shared" si="201"/>
        <v>1.823122872957775E-3</v>
      </c>
      <c r="Q240" s="3">
        <f t="shared" si="201"/>
        <v>1.823122872957775E-3</v>
      </c>
      <c r="R240" s="3">
        <f t="shared" si="201"/>
        <v>1.823122872957775E-3</v>
      </c>
      <c r="S240" s="3">
        <f t="shared" si="201"/>
        <v>1.823122872957775E-3</v>
      </c>
      <c r="T240" s="3">
        <f t="shared" si="201"/>
        <v>1.823122872957775E-3</v>
      </c>
      <c r="U240" s="3">
        <f t="shared" si="201"/>
        <v>1.823122872957775E-3</v>
      </c>
      <c r="V240" s="3">
        <f t="shared" si="201"/>
        <v>1.823122872957775E-3</v>
      </c>
      <c r="W240" s="3">
        <f t="shared" si="201"/>
        <v>1.823122872957775E-3</v>
      </c>
      <c r="X240" s="3">
        <f t="shared" si="201"/>
        <v>1.823122872957775E-3</v>
      </c>
      <c r="Y240" s="3">
        <f t="shared" si="201"/>
        <v>1.823122872957775E-3</v>
      </c>
      <c r="Z240" s="3">
        <f t="shared" si="201"/>
        <v>1.823122872957775E-3</v>
      </c>
      <c r="AA240" s="3">
        <f t="shared" si="201"/>
        <v>1.823122872957775E-3</v>
      </c>
      <c r="AB240" s="3">
        <f t="shared" si="201"/>
        <v>1.823122872957775E-3</v>
      </c>
      <c r="AC240" s="3">
        <f t="shared" si="201"/>
        <v>1.823122872957775E-3</v>
      </c>
      <c r="AD240" s="3">
        <f t="shared" si="201"/>
        <v>1.823122872957775E-3</v>
      </c>
      <c r="AE240" s="3">
        <f t="shared" si="201"/>
        <v>1.823122872957775E-3</v>
      </c>
      <c r="AF240" s="3">
        <f t="shared" si="201"/>
        <v>1.823122872957775E-3</v>
      </c>
      <c r="AG240" s="3"/>
      <c r="AH240" s="3"/>
    </row>
    <row r="241" spans="1:34" x14ac:dyDescent="0.25">
      <c r="A241" s="80">
        <f>AVERAGE(B241:AF241)</f>
        <v>3.1444491482116921E-2</v>
      </c>
      <c r="B241" s="81">
        <f>IF($A$64&lt;=B207,IF($B$64&gt;=B207,ABS((B209-B208)/B208),0),0)</f>
        <v>2.5694964943904114E-7</v>
      </c>
      <c r="C241" s="81">
        <f t="shared" ref="C241:AF241" si="202">IF($A$64&lt;=C207,IF($B$64&gt;=C207,ABS((C209-C208)/C208),0),0)</f>
        <v>5.9411753239818166E-6</v>
      </c>
      <c r="D241" s="81">
        <f t="shared" si="202"/>
        <v>2.1558958513376386E-6</v>
      </c>
      <c r="E241" s="81">
        <f t="shared" si="202"/>
        <v>1.010631623050718E-6</v>
      </c>
      <c r="F241" s="81">
        <f t="shared" si="202"/>
        <v>6.6310173388462743E-7</v>
      </c>
      <c r="G241" s="81">
        <f t="shared" si="202"/>
        <v>5.4271931308227123E-7</v>
      </c>
      <c r="H241" s="81">
        <f t="shared" si="202"/>
        <v>6.8086157561363722E-7</v>
      </c>
      <c r="I241" s="81">
        <f t="shared" si="202"/>
        <v>2.1571592075664116E-6</v>
      </c>
      <c r="J241" s="81">
        <f t="shared" si="202"/>
        <v>1.7278191063155483E-5</v>
      </c>
      <c r="K241" s="81">
        <f t="shared" si="202"/>
        <v>1.6846767128879864E-4</v>
      </c>
      <c r="L241" s="81">
        <f t="shared" si="202"/>
        <v>1.6686868333326149E-3</v>
      </c>
      <c r="M241" s="81">
        <f t="shared" si="202"/>
        <v>1.5576735297983629E-2</v>
      </c>
      <c r="N241" s="81">
        <f t="shared" si="202"/>
        <v>8.5495976166976115E-2</v>
      </c>
      <c r="O241" s="81">
        <f t="shared" si="202"/>
        <v>0.10561812835806694</v>
      </c>
      <c r="P241" s="81">
        <f t="shared" si="202"/>
        <v>8.7238589998612615E-2</v>
      </c>
      <c r="Q241" s="81">
        <f t="shared" si="202"/>
        <v>6.4370463394818458E-2</v>
      </c>
      <c r="R241" s="81">
        <f t="shared" si="202"/>
        <v>3.7898503950353699E-2</v>
      </c>
      <c r="S241" s="81">
        <f t="shared" si="202"/>
        <v>5.7607066454738723E-3</v>
      </c>
      <c r="T241" s="81">
        <f t="shared" si="202"/>
        <v>1.4285202469185063E-2</v>
      </c>
      <c r="U241" s="81">
        <f t="shared" si="202"/>
        <v>5.9724698443029273E-3</v>
      </c>
      <c r="V241" s="81">
        <f t="shared" si="202"/>
        <v>2.9673310137083613E-2</v>
      </c>
      <c r="W241" s="81">
        <f t="shared" si="202"/>
        <v>4.2164082568272775E-2</v>
      </c>
      <c r="X241" s="81">
        <f t="shared" si="202"/>
        <v>5.1826670462416E-2</v>
      </c>
      <c r="Y241" s="81">
        <f t="shared" si="202"/>
        <v>5.6036927781208827E-2</v>
      </c>
      <c r="Z241" s="81">
        <f t="shared" si="202"/>
        <v>5.3258873347014513E-2</v>
      </c>
      <c r="AA241" s="81">
        <f t="shared" si="202"/>
        <v>4.1476612411852617E-2</v>
      </c>
      <c r="AB241" s="81">
        <f t="shared" si="202"/>
        <v>2.262234314411277E-2</v>
      </c>
      <c r="AC241" s="81">
        <f t="shared" si="202"/>
        <v>1.1683143646621381E-2</v>
      </c>
      <c r="AD241" s="81">
        <f t="shared" si="202"/>
        <v>6.2706000293694067E-2</v>
      </c>
      <c r="AE241" s="81">
        <f t="shared" si="202"/>
        <v>7.7369210472223227E-2</v>
      </c>
      <c r="AF241" s="81">
        <f t="shared" si="202"/>
        <v>0.10187744436538883</v>
      </c>
    </row>
    <row r="242" spans="1:34" x14ac:dyDescent="0.25">
      <c r="B242" s="21">
        <f>(B209-B208)^2</f>
        <v>2.3220147123798676E-6</v>
      </c>
      <c r="C242" s="21">
        <f t="shared" ref="C242:AF242" si="203">(C209-C208)^2</f>
        <v>1.2414208320389506E-3</v>
      </c>
      <c r="D242" s="21">
        <f t="shared" si="203"/>
        <v>1.6346566946857485E-4</v>
      </c>
      <c r="E242" s="21">
        <f t="shared" si="203"/>
        <v>3.5921608531725455E-5</v>
      </c>
      <c r="F242" s="21">
        <f t="shared" si="203"/>
        <v>1.5464291689284519E-5</v>
      </c>
      <c r="G242" s="21">
        <f t="shared" si="203"/>
        <v>1.0359055053900073E-5</v>
      </c>
      <c r="H242" s="21">
        <f t="shared" si="203"/>
        <v>1.6303739487003363E-5</v>
      </c>
      <c r="I242" s="21">
        <f t="shared" si="203"/>
        <v>1.6365675628301449E-4</v>
      </c>
      <c r="J242" s="21">
        <f t="shared" si="203"/>
        <v>1.0499437774847943E-2</v>
      </c>
      <c r="K242" s="21">
        <f t="shared" si="203"/>
        <v>0.99816494926308763</v>
      </c>
      <c r="L242" s="21">
        <f t="shared" si="203"/>
        <v>97.929922422934141</v>
      </c>
      <c r="M242" s="21">
        <f t="shared" si="203"/>
        <v>8532.6585741281415</v>
      </c>
      <c r="N242" s="21">
        <f t="shared" si="203"/>
        <v>256851.99815861529</v>
      </c>
      <c r="O242" s="21">
        <f t="shared" si="203"/>
        <v>389147.7837321377</v>
      </c>
      <c r="P242" s="21">
        <f t="shared" si="203"/>
        <v>254908.13577102995</v>
      </c>
      <c r="Q242" s="21">
        <f t="shared" si="203"/>
        <v>132074.8732706951</v>
      </c>
      <c r="R242" s="21">
        <f t="shared" si="203"/>
        <v>43270.880657367023</v>
      </c>
      <c r="S242" s="21">
        <f t="shared" si="203"/>
        <v>930.66447718830102</v>
      </c>
      <c r="T242" s="21">
        <f t="shared" si="203"/>
        <v>5230.3339424680416</v>
      </c>
      <c r="U242" s="21">
        <f t="shared" si="203"/>
        <v>808.96504271410095</v>
      </c>
      <c r="V242" s="21">
        <f t="shared" si="203"/>
        <v>17271.56649543938</v>
      </c>
      <c r="W242" s="21">
        <f t="shared" si="203"/>
        <v>30056.025925749942</v>
      </c>
      <c r="X242" s="21">
        <f t="shared" si="203"/>
        <v>39076.8595288211</v>
      </c>
      <c r="Y242" s="21">
        <f t="shared" si="203"/>
        <v>38858.503288589316</v>
      </c>
      <c r="Z242" s="21">
        <f t="shared" si="203"/>
        <v>28959.516894703083</v>
      </c>
      <c r="AA242" s="21">
        <f t="shared" si="203"/>
        <v>13404.653479528895</v>
      </c>
      <c r="AB242" s="21">
        <f t="shared" si="203"/>
        <v>2736.0152218748385</v>
      </c>
      <c r="AC242" s="21">
        <f t="shared" si="203"/>
        <v>423.4913377181802</v>
      </c>
      <c r="AD242" s="21">
        <f t="shared" si="203"/>
        <v>5337.4849287460211</v>
      </c>
      <c r="AE242" s="21">
        <f t="shared" si="203"/>
        <v>2873.7239489967665</v>
      </c>
      <c r="AF242" s="21">
        <f t="shared" si="203"/>
        <v>1610.304620630526</v>
      </c>
      <c r="AG242" s="3"/>
      <c r="AH242" s="3"/>
    </row>
    <row r="243" spans="1:34" x14ac:dyDescent="0.25">
      <c r="A243" s="72">
        <f>SUM(B243:AF243)</f>
        <v>1272463.3795328657</v>
      </c>
      <c r="B243" s="60">
        <f>IF($A$64&lt;=B207,IF($B$64&gt;=B207,ABS(B242),0),0)</f>
        <v>2.3220147123798676E-6</v>
      </c>
      <c r="C243" s="60">
        <f t="shared" ref="C243" si="204">IF($A$64&lt;=C207,IF($B$64&gt;=C207,ABS(C242),0),0)</f>
        <v>1.2414208320389506E-3</v>
      </c>
      <c r="D243" s="60">
        <f t="shared" ref="D243" si="205">IF($A$64&lt;=D207,IF($B$64&gt;=D207,ABS(D242),0),0)</f>
        <v>1.6346566946857485E-4</v>
      </c>
      <c r="E243" s="60">
        <f t="shared" ref="E243" si="206">IF($A$64&lt;=E207,IF($B$64&gt;=E207,ABS(E242),0),0)</f>
        <v>3.5921608531725455E-5</v>
      </c>
      <c r="F243" s="60">
        <f t="shared" ref="F243" si="207">IF($A$64&lt;=F207,IF($B$64&gt;=F207,ABS(F242),0),0)</f>
        <v>1.5464291689284519E-5</v>
      </c>
      <c r="G243" s="60">
        <f t="shared" ref="G243" si="208">IF($A$64&lt;=G207,IF($B$64&gt;=G207,ABS(G242),0),0)</f>
        <v>1.0359055053900073E-5</v>
      </c>
      <c r="H243" s="60">
        <f t="shared" ref="H243" si="209">IF($A$64&lt;=H207,IF($B$64&gt;=H207,ABS(H242),0),0)</f>
        <v>1.6303739487003363E-5</v>
      </c>
      <c r="I243" s="60">
        <f t="shared" ref="I243" si="210">IF($A$64&lt;=I207,IF($B$64&gt;=I207,ABS(I242),0),0)</f>
        <v>1.6365675628301449E-4</v>
      </c>
      <c r="J243" s="60">
        <f t="shared" ref="J243" si="211">IF($A$64&lt;=J207,IF($B$64&gt;=J207,ABS(J242),0),0)</f>
        <v>1.0499437774847943E-2</v>
      </c>
      <c r="K243" s="60">
        <f t="shared" ref="K243" si="212">IF($A$64&lt;=K207,IF($B$64&gt;=K207,ABS(K242),0),0)</f>
        <v>0.99816494926308763</v>
      </c>
      <c r="L243" s="60">
        <f t="shared" ref="L243" si="213">IF($A$64&lt;=L207,IF($B$64&gt;=L207,ABS(L242),0),0)</f>
        <v>97.929922422934141</v>
      </c>
      <c r="M243" s="60">
        <f t="shared" ref="M243" si="214">IF($A$64&lt;=M207,IF($B$64&gt;=M207,ABS(M242),0),0)</f>
        <v>8532.6585741281415</v>
      </c>
      <c r="N243" s="60">
        <f t="shared" ref="N243" si="215">IF($A$64&lt;=N207,IF($B$64&gt;=N207,ABS(N242),0),0)</f>
        <v>256851.99815861529</v>
      </c>
      <c r="O243" s="60">
        <f t="shared" ref="O243" si="216">IF($A$64&lt;=O207,IF($B$64&gt;=O207,ABS(O242),0),0)</f>
        <v>389147.7837321377</v>
      </c>
      <c r="P243" s="60">
        <f t="shared" ref="P243" si="217">IF($A$64&lt;=P207,IF($B$64&gt;=P207,ABS(P242),0),0)</f>
        <v>254908.13577102995</v>
      </c>
      <c r="Q243" s="60">
        <f t="shared" ref="Q243" si="218">IF($A$64&lt;=Q207,IF($B$64&gt;=Q207,ABS(Q242),0),0)</f>
        <v>132074.8732706951</v>
      </c>
      <c r="R243" s="60">
        <f t="shared" ref="R243" si="219">IF($A$64&lt;=R207,IF($B$64&gt;=R207,ABS(R242),0),0)</f>
        <v>43270.880657367023</v>
      </c>
      <c r="S243" s="60">
        <f t="shared" ref="S243" si="220">IF($A$64&lt;=S207,IF($B$64&gt;=S207,ABS(S242),0),0)</f>
        <v>930.66447718830102</v>
      </c>
      <c r="T243" s="60">
        <f t="shared" ref="T243" si="221">IF($A$64&lt;=T207,IF($B$64&gt;=T207,ABS(T242),0),0)</f>
        <v>5230.3339424680416</v>
      </c>
      <c r="U243" s="60">
        <f t="shared" ref="U243" si="222">IF($A$64&lt;=U207,IF($B$64&gt;=U207,ABS(U242),0),0)</f>
        <v>808.96504271410095</v>
      </c>
      <c r="V243" s="60">
        <f t="shared" ref="V243" si="223">IF($A$64&lt;=V207,IF($B$64&gt;=V207,ABS(V242),0),0)</f>
        <v>17271.56649543938</v>
      </c>
      <c r="W243" s="60">
        <f t="shared" ref="W243" si="224">IF($A$64&lt;=W207,IF($B$64&gt;=W207,ABS(W242),0),0)</f>
        <v>30056.025925749942</v>
      </c>
      <c r="X243" s="60">
        <f t="shared" ref="X243" si="225">IF($A$64&lt;=X207,IF($B$64&gt;=X207,ABS(X242),0),0)</f>
        <v>39076.8595288211</v>
      </c>
      <c r="Y243" s="60">
        <f t="shared" ref="Y243" si="226">IF($A$64&lt;=Y207,IF($B$64&gt;=Y207,ABS(Y242),0),0)</f>
        <v>38858.503288589316</v>
      </c>
      <c r="Z243" s="60">
        <f t="shared" ref="Z243" si="227">IF($A$64&lt;=Z207,IF($B$64&gt;=Z207,ABS(Z242),0),0)</f>
        <v>28959.516894703083</v>
      </c>
      <c r="AA243" s="60">
        <f t="shared" ref="AA243" si="228">IF($A$64&lt;=AA207,IF($B$64&gt;=AA207,ABS(AA242),0),0)</f>
        <v>13404.653479528895</v>
      </c>
      <c r="AB243" s="60">
        <f t="shared" ref="AB243" si="229">IF($A$64&lt;=AB207,IF($B$64&gt;=AB207,ABS(AB242),0),0)</f>
        <v>2736.0152218748385</v>
      </c>
      <c r="AC243" s="60">
        <f t="shared" ref="AC243" si="230">IF($A$64&lt;=AC207,IF($B$64&gt;=AC207,ABS(AC242),0),0)</f>
        <v>423.4913377181802</v>
      </c>
      <c r="AD243" s="60">
        <f t="shared" ref="AD243" si="231">IF($A$64&lt;=AD207,IF($B$64&gt;=AD207,ABS(AD242),0),0)</f>
        <v>5337.4849287460211</v>
      </c>
      <c r="AE243" s="60">
        <f t="shared" ref="AE243" si="232">IF($A$64&lt;=AE207,IF($B$64&gt;=AE207,ABS(AE242),0),0)</f>
        <v>2873.7239489967665</v>
      </c>
      <c r="AF243" s="60">
        <f t="shared" ref="AF243" si="233">IF($A$64&lt;=AF207,IF($B$64&gt;=AF207,ABS(AF242),0),0)</f>
        <v>1610.304620630526</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70" t="s">
        <v>27</v>
      </c>
      <c r="B245" s="11">
        <f>INDEX($D$1:$M$1,1,$E$122)</f>
        <v>50</v>
      </c>
    </row>
    <row r="246" spans="1:34" x14ac:dyDescent="0.25">
      <c r="A246" s="70"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5924.2874974527258</v>
      </c>
      <c r="C247" s="26">
        <f>INDEX(Comparison!$AM$3:$AS$33,G$14,$E$122)</f>
        <v>5924.3241993050724</v>
      </c>
      <c r="D247" s="26">
        <f>INDEX(Comparison!$AM$3:$AS$33,H$14,$E$122)</f>
        <v>5924.3017770264787</v>
      </c>
      <c r="E247" s="26">
        <f>INDEX(Comparison!$AM$3:$AS$33,I$14,$E$122)</f>
        <v>5924.2949982314785</v>
      </c>
      <c r="F247" s="26">
        <f>INDEX(Comparison!$AM$3:$AS$33,J$14,$E$122)</f>
        <v>5924.2929325070927</v>
      </c>
      <c r="G247" s="26">
        <f>INDEX(Comparison!$AM$3:$AS$33,K$14,$E$122)</f>
        <v>5924.292050062164</v>
      </c>
      <c r="H247" s="26">
        <f>INDEX(Comparison!$AM$3:$AS$33,L$14,$E$122)</f>
        <v>5924.2896233399624</v>
      </c>
      <c r="I247" s="26">
        <f>INDEX(Comparison!$AM$3:$AS$33,M$14,$E$122)</f>
        <v>5924.2686453119095</v>
      </c>
      <c r="J247" s="26">
        <f>INDEX(Comparison!$AM$3:$AS$33,N$14,$E$122)</f>
        <v>5924.0589935262078</v>
      </c>
      <c r="K247" s="26">
        <f>INDEX(Comparison!$AM$3:$AS$33,O$14,$E$122)</f>
        <v>5921.976437640149</v>
      </c>
      <c r="L247" s="26">
        <f>INDEX(Comparison!$AM$3:$AS$33,P$14,$E$122)</f>
        <v>5902.5412392933085</v>
      </c>
      <c r="M247" s="26">
        <f>INDEX(Comparison!$AM$3:$AS$33,Q$14,$E$122)</f>
        <v>5788.7691117948852</v>
      </c>
      <c r="N247" s="26">
        <f>INDEX(Comparison!$AM$3:$AS$33,R$14,$E$122)</f>
        <v>5647.748615055857</v>
      </c>
      <c r="O247" s="26">
        <f>INDEX(Comparison!$AM$3:$AS$33,S$14,$E$122)</f>
        <v>5493.0807600988655</v>
      </c>
      <c r="P247" s="26">
        <f>INDEX(Comparison!$AM$3:$AS$33,T$14,$E$122)</f>
        <v>5310.1724689095536</v>
      </c>
      <c r="Q247" s="26">
        <f>INDEX(Comparison!$AM$3:$AS$33,U$14,$E$122)</f>
        <v>5116.9183384452708</v>
      </c>
      <c r="R247" s="26">
        <f>INDEX(Comparison!$AM$3:$AS$33,V$14,$E$122)</f>
        <v>4889.0072432178858</v>
      </c>
      <c r="S247" s="26">
        <f>INDEX(Comparison!$AM$3:$AS$33,W$14,$E$122)</f>
        <v>4599.1409750767552</v>
      </c>
      <c r="T247" s="26">
        <f>INDEX(Comparison!$AM$3:$AS$33,X$14,$E$122)</f>
        <v>4272.3926167684576</v>
      </c>
      <c r="U247" s="26">
        <f>INDEX(Comparison!$AM$3:$AS$33,Y$14,$E$122)</f>
        <v>3941.1470093551798</v>
      </c>
      <c r="V247" s="26">
        <f>INDEX(Comparison!$AM$3:$AS$33,Z$14,$E$122)</f>
        <v>3608.495032401398</v>
      </c>
      <c r="W247" s="26">
        <f>INDEX(Comparison!$AM$3:$AS$33,AA$14,$E$122)</f>
        <v>3262.5462100054015</v>
      </c>
      <c r="X247" s="26">
        <f>INDEX(Comparison!$AM$3:$AS$33,AB$14,$E$122)</f>
        <v>2841.314577864513</v>
      </c>
      <c r="Y247" s="26">
        <f>INDEX(Comparison!$AM$3:$AS$33,AC$14,$E$122)</f>
        <v>2350.4004054830193</v>
      </c>
      <c r="Z247" s="26">
        <f>INDEX(Comparison!$AM$3:$AS$33,AD$14,$E$122)</f>
        <v>1794.2797745605371</v>
      </c>
      <c r="AA247" s="26">
        <f>INDEX(Comparison!$AM$3:$AS$33,AE$14,$E$122)</f>
        <v>1192.7526197056241</v>
      </c>
      <c r="AB247" s="26">
        <f>INDEX(Comparison!$AM$3:$AS$33,AF$14,$E$122)</f>
        <v>712.56207316539314</v>
      </c>
      <c r="AC247" s="26">
        <f>INDEX(Comparison!$AM$3:$AS$33,AG$14,$E$122)</f>
        <v>405.79350694215293</v>
      </c>
      <c r="AD247" s="26">
        <f>INDEX(Comparison!$AM$3:$AS$33,AH$14,$E$122)</f>
        <v>227.75650575396227</v>
      </c>
      <c r="AE247" s="26">
        <f>INDEX(Comparison!$AM$3:$AS$33,AI$14,$E$122)</f>
        <v>157.27484077697326</v>
      </c>
      <c r="AF247" s="26">
        <f>INDEX(Comparison!$AM$3:$AS$33,AJ$14,$E$122)</f>
        <v>137.32830205333357</v>
      </c>
      <c r="AG247" s="26"/>
      <c r="AH247" s="26"/>
    </row>
    <row r="248" spans="1:34" x14ac:dyDescent="0.25">
      <c r="A248" s="71" t="s">
        <v>22</v>
      </c>
      <c r="B248" s="27">
        <f>($C$17+SUM(B249:B279))*$B$51</f>
        <v>5930.4078992247642</v>
      </c>
      <c r="C248" s="27">
        <f t="shared" ref="C248:AF248" si="234">($C$17+SUM(C249:C279))*$B$51</f>
        <v>5930.4078922476247</v>
      </c>
      <c r="D248" s="27">
        <f t="shared" si="234"/>
        <v>5930.4078224762279</v>
      </c>
      <c r="E248" s="27">
        <f t="shared" si="234"/>
        <v>5930.4071247626798</v>
      </c>
      <c r="F248" s="27">
        <f t="shared" si="234"/>
        <v>5930.4001476685171</v>
      </c>
      <c r="G248" s="27">
        <f t="shared" si="234"/>
        <v>5930.3303808593191</v>
      </c>
      <c r="H248" s="27">
        <f t="shared" si="234"/>
        <v>5929.6331258449909</v>
      </c>
      <c r="I248" s="27">
        <f t="shared" si="234"/>
        <v>5922.7017193448091</v>
      </c>
      <c r="J248" s="27">
        <f t="shared" si="234"/>
        <v>5857.3426935552197</v>
      </c>
      <c r="K248" s="27">
        <f t="shared" si="234"/>
        <v>5478.3353276165126</v>
      </c>
      <c r="L248" s="27">
        <f t="shared" si="234"/>
        <v>5282.5323106173464</v>
      </c>
      <c r="M248" s="27">
        <f t="shared" si="234"/>
        <v>5282.5158388170767</v>
      </c>
      <c r="N248" s="27">
        <f t="shared" si="234"/>
        <v>5282.3923310699874</v>
      </c>
      <c r="O248" s="27">
        <f t="shared" si="234"/>
        <v>5281.1590417067346</v>
      </c>
      <c r="P248" s="27">
        <f t="shared" si="234"/>
        <v>5269.0031539237889</v>
      </c>
      <c r="Q248" s="27">
        <f t="shared" si="234"/>
        <v>5163.4703438690503</v>
      </c>
      <c r="R248" s="27">
        <f t="shared" si="234"/>
        <v>4817.0490718099672</v>
      </c>
      <c r="S248" s="27">
        <f t="shared" si="234"/>
        <v>4585.5294112416741</v>
      </c>
      <c r="T248" s="27">
        <f t="shared" si="234"/>
        <v>4313.3322827770762</v>
      </c>
      <c r="U248" s="27">
        <f t="shared" si="234"/>
        <v>4041.8273164409288</v>
      </c>
      <c r="V248" s="27">
        <f t="shared" si="234"/>
        <v>3749.4228779438608</v>
      </c>
      <c r="W248" s="27">
        <f t="shared" si="234"/>
        <v>3409.2297170515362</v>
      </c>
      <c r="X248" s="27">
        <f t="shared" si="234"/>
        <v>2965.0330217367277</v>
      </c>
      <c r="Y248" s="27">
        <f t="shared" si="234"/>
        <v>2433.635682717736</v>
      </c>
      <c r="Z248" s="27">
        <f t="shared" si="234"/>
        <v>1820.5477619789117</v>
      </c>
      <c r="AA248" s="27">
        <f t="shared" si="234"/>
        <v>1169.9580543816326</v>
      </c>
      <c r="AB248" s="27">
        <f t="shared" si="234"/>
        <v>685.54063162051625</v>
      </c>
      <c r="AC248" s="27">
        <f t="shared" si="234"/>
        <v>382.75940701008767</v>
      </c>
      <c r="AD248" s="27">
        <f t="shared" si="234"/>
        <v>216.04504892756205</v>
      </c>
      <c r="AE248" s="27">
        <f t="shared" si="234"/>
        <v>155.76105072116678</v>
      </c>
      <c r="AF248" s="27">
        <f t="shared" si="234"/>
        <v>137.18138480673426</v>
      </c>
      <c r="AG248" s="27"/>
      <c r="AH248" s="27"/>
    </row>
    <row r="249" spans="1:34" x14ac:dyDescent="0.25">
      <c r="B249" s="3">
        <f t="shared" ref="B249:AF249" si="235">$C18*EXP(-B$246/$A18/EXP(-$E$126))</f>
        <v>0.1092468420790717</v>
      </c>
      <c r="C249" s="3">
        <f t="shared" si="235"/>
        <v>0.10924684090256936</v>
      </c>
      <c r="D249" s="3">
        <f t="shared" si="235"/>
        <v>0.10924682913754662</v>
      </c>
      <c r="E249" s="3">
        <f t="shared" si="235"/>
        <v>0.10924671148738882</v>
      </c>
      <c r="F249" s="3">
        <f t="shared" si="235"/>
        <v>0.10924553499277925</v>
      </c>
      <c r="G249" s="3">
        <f t="shared" si="235"/>
        <v>0.109233770743503</v>
      </c>
      <c r="H249" s="3">
        <f t="shared" si="235"/>
        <v>0.10911619790491271</v>
      </c>
      <c r="I249" s="3">
        <f t="shared" si="235"/>
        <v>0.10794740726153981</v>
      </c>
      <c r="J249" s="3">
        <f t="shared" si="235"/>
        <v>9.6926409289911808E-2</v>
      </c>
      <c r="K249" s="3">
        <f t="shared" si="235"/>
        <v>3.3017273729254781E-2</v>
      </c>
      <c r="L249" s="3">
        <f t="shared" si="235"/>
        <v>6.9459566746621651E-7</v>
      </c>
      <c r="M249" s="3">
        <f t="shared" si="235"/>
        <v>1.1793444517660799E-53</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7.1825631805889148E-2</v>
      </c>
      <c r="C250" s="3">
        <f t="shared" si="236"/>
        <v>7.1825631805888954E-2</v>
      </c>
      <c r="D250" s="3">
        <f t="shared" si="236"/>
        <v>7.1825631805886969E-2</v>
      </c>
      <c r="E250" s="3">
        <f t="shared" si="236"/>
        <v>7.1825631805867166E-2</v>
      </c>
      <c r="F250" s="3">
        <f t="shared" si="236"/>
        <v>7.1825631805669019E-2</v>
      </c>
      <c r="G250" s="3">
        <f t="shared" si="236"/>
        <v>7.1825631803687659E-2</v>
      </c>
      <c r="H250" s="3">
        <f t="shared" si="236"/>
        <v>7.1825631783873967E-2</v>
      </c>
      <c r="I250" s="3">
        <f t="shared" si="236"/>
        <v>7.1825631585737112E-2</v>
      </c>
      <c r="J250" s="3">
        <f t="shared" si="236"/>
        <v>7.1825629604368557E-2</v>
      </c>
      <c r="K250" s="3">
        <f t="shared" si="236"/>
        <v>7.1825609790686043E-2</v>
      </c>
      <c r="L250" s="3">
        <f t="shared" si="236"/>
        <v>7.1825411654161592E-2</v>
      </c>
      <c r="M250" s="3">
        <f t="shared" si="236"/>
        <v>7.1823430318978379E-2</v>
      </c>
      <c r="N250" s="3">
        <f t="shared" si="236"/>
        <v>7.180361997297699E-2</v>
      </c>
      <c r="O250" s="3">
        <f t="shared" si="236"/>
        <v>7.1605816789470672E-2</v>
      </c>
      <c r="P250" s="3">
        <f t="shared" si="236"/>
        <v>6.9657508368742821E-2</v>
      </c>
      <c r="Q250" s="3">
        <f t="shared" si="236"/>
        <v>5.2864516422287129E-2</v>
      </c>
      <c r="R250" s="3">
        <f t="shared" si="236"/>
        <v>3.3506382690045712E-3</v>
      </c>
      <c r="S250" s="3">
        <f t="shared" si="236"/>
        <v>3.5055837760138119E-15</v>
      </c>
      <c r="T250" s="3">
        <f t="shared" si="236"/>
        <v>5.5091983502946297E-135</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3.596772409142239E-2</v>
      </c>
      <c r="C251" s="3">
        <f t="shared" si="237"/>
        <v>3.5967724091422383E-2</v>
      </c>
      <c r="D251" s="3">
        <f t="shared" si="237"/>
        <v>3.5967724091422293E-2</v>
      </c>
      <c r="E251" s="3">
        <f t="shared" si="237"/>
        <v>3.5967724091421398E-2</v>
      </c>
      <c r="F251" s="3">
        <f t="shared" si="237"/>
        <v>3.5967724091412447E-2</v>
      </c>
      <c r="G251" s="3">
        <f t="shared" si="237"/>
        <v>3.5967724091322942E-2</v>
      </c>
      <c r="H251" s="3">
        <f t="shared" si="237"/>
        <v>3.5967724090427894E-2</v>
      </c>
      <c r="I251" s="3">
        <f t="shared" si="237"/>
        <v>3.5967724081477435E-2</v>
      </c>
      <c r="J251" s="3">
        <f t="shared" si="237"/>
        <v>3.596772399197283E-2</v>
      </c>
      <c r="K251" s="3">
        <f t="shared" si="237"/>
        <v>3.5967723096926821E-2</v>
      </c>
      <c r="L251" s="3">
        <f t="shared" si="237"/>
        <v>3.5967714146467961E-2</v>
      </c>
      <c r="M251" s="3">
        <f t="shared" si="237"/>
        <v>3.5967624642001816E-2</v>
      </c>
      <c r="N251" s="3">
        <f t="shared" si="237"/>
        <v>3.5966729609590416E-2</v>
      </c>
      <c r="O251" s="3">
        <f t="shared" si="237"/>
        <v>3.5957780510363406E-2</v>
      </c>
      <c r="P251" s="3">
        <f t="shared" si="237"/>
        <v>3.5868411894091866E-2</v>
      </c>
      <c r="Q251" s="3">
        <f t="shared" si="237"/>
        <v>3.4986851401579047E-2</v>
      </c>
      <c r="R251" s="3">
        <f t="shared" si="237"/>
        <v>2.7279222095052409E-2</v>
      </c>
      <c r="S251" s="3">
        <f t="shared" si="237"/>
        <v>2.2651824787287451E-3</v>
      </c>
      <c r="T251" s="3">
        <f t="shared" si="237"/>
        <v>3.5303300874645058E-14</v>
      </c>
      <c r="U251" s="3">
        <f t="shared" si="237"/>
        <v>2.9849462649313661E-122</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4.9137716927094087E-2</v>
      </c>
      <c r="C252" s="3">
        <f t="shared" si="238"/>
        <v>4.9137716927094087E-2</v>
      </c>
      <c r="D252" s="3">
        <f t="shared" si="238"/>
        <v>4.9137716927094073E-2</v>
      </c>
      <c r="E252" s="3">
        <f t="shared" si="238"/>
        <v>4.9137716927093969E-2</v>
      </c>
      <c r="F252" s="3">
        <f t="shared" si="238"/>
        <v>4.9137716927092859E-2</v>
      </c>
      <c r="G252" s="3">
        <f t="shared" si="238"/>
        <v>4.9137716927081826E-2</v>
      </c>
      <c r="H252" s="3">
        <f t="shared" si="238"/>
        <v>4.9137716926971525E-2</v>
      </c>
      <c r="I252" s="3">
        <f t="shared" si="238"/>
        <v>4.9137716925868484E-2</v>
      </c>
      <c r="J252" s="3">
        <f t="shared" si="238"/>
        <v>4.9137716914838009E-2</v>
      </c>
      <c r="K252" s="3">
        <f t="shared" si="238"/>
        <v>4.913771680453332E-2</v>
      </c>
      <c r="L252" s="3">
        <f t="shared" si="238"/>
        <v>4.9137715701486451E-2</v>
      </c>
      <c r="M252" s="3">
        <f t="shared" si="238"/>
        <v>4.9137704671019078E-2</v>
      </c>
      <c r="N252" s="3">
        <f t="shared" si="238"/>
        <v>4.9137594366481546E-2</v>
      </c>
      <c r="O252" s="3">
        <f t="shared" si="238"/>
        <v>4.9136491334724815E-2</v>
      </c>
      <c r="P252" s="3">
        <f t="shared" si="238"/>
        <v>4.9125462378901849E-2</v>
      </c>
      <c r="Q252" s="3">
        <f t="shared" si="238"/>
        <v>4.9015308882072263E-2</v>
      </c>
      <c r="R252" s="3">
        <f t="shared" si="238"/>
        <v>4.7927267719463817E-2</v>
      </c>
      <c r="S252" s="3">
        <f t="shared" si="238"/>
        <v>3.8290579892306095E-2</v>
      </c>
      <c r="T252" s="3">
        <f t="shared" si="238"/>
        <v>4.0568100073237077E-3</v>
      </c>
      <c r="U252" s="3">
        <f t="shared" si="238"/>
        <v>7.2295609198665253E-13</v>
      </c>
      <c r="V252" s="3">
        <f t="shared" si="238"/>
        <v>2.3355246192698911E-110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4.6762783367912203E-2</v>
      </c>
      <c r="C253" s="3">
        <f t="shared" si="239"/>
        <v>4.6762783367912203E-2</v>
      </c>
      <c r="D253" s="3">
        <f t="shared" si="239"/>
        <v>4.6762783367912203E-2</v>
      </c>
      <c r="E253" s="3">
        <f t="shared" si="239"/>
        <v>4.6762783367912196E-2</v>
      </c>
      <c r="F253" s="3">
        <f t="shared" si="239"/>
        <v>4.6762783367912099E-2</v>
      </c>
      <c r="G253" s="3">
        <f t="shared" si="239"/>
        <v>4.6762783367911148E-2</v>
      </c>
      <c r="H253" s="3">
        <f t="shared" si="239"/>
        <v>4.6762783367901677E-2</v>
      </c>
      <c r="I253" s="3">
        <f t="shared" si="239"/>
        <v>4.6762783367806988E-2</v>
      </c>
      <c r="J253" s="3">
        <f t="shared" si="239"/>
        <v>4.6762783366860038E-2</v>
      </c>
      <c r="K253" s="3">
        <f t="shared" si="239"/>
        <v>4.6762783357390564E-2</v>
      </c>
      <c r="L253" s="3">
        <f t="shared" si="239"/>
        <v>4.6762783262695805E-2</v>
      </c>
      <c r="M253" s="3">
        <f t="shared" si="239"/>
        <v>4.6762782315748222E-2</v>
      </c>
      <c r="N253" s="3">
        <f t="shared" si="239"/>
        <v>4.676277284627349E-2</v>
      </c>
      <c r="O253" s="3">
        <f t="shared" si="239"/>
        <v>4.6762678151631557E-2</v>
      </c>
      <c r="P253" s="3">
        <f t="shared" si="239"/>
        <v>4.6761731215758814E-2</v>
      </c>
      <c r="Q253" s="3">
        <f t="shared" si="239"/>
        <v>4.6752262911607827E-2</v>
      </c>
      <c r="R253" s="3">
        <f t="shared" si="239"/>
        <v>4.6657685248771674E-2</v>
      </c>
      <c r="S253" s="3">
        <f t="shared" si="239"/>
        <v>4.5722367958551439E-2</v>
      </c>
      <c r="T253" s="3">
        <f t="shared" si="239"/>
        <v>3.7340830058778599E-2</v>
      </c>
      <c r="U253" s="3">
        <f t="shared" si="239"/>
        <v>4.9287467248457281E-3</v>
      </c>
      <c r="V253" s="3">
        <f t="shared" si="239"/>
        <v>7.9115547670115663E-12</v>
      </c>
      <c r="W253" s="3">
        <f t="shared" si="239"/>
        <v>8.9849406307401005E-100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5.0407962506303181E-2</v>
      </c>
      <c r="C254" s="3">
        <f t="shared" si="240"/>
        <v>5.0407962506303181E-2</v>
      </c>
      <c r="D254" s="3">
        <f t="shared" si="240"/>
        <v>5.0407962506303181E-2</v>
      </c>
      <c r="E254" s="3">
        <f t="shared" si="240"/>
        <v>5.0407962506303181E-2</v>
      </c>
      <c r="F254" s="3">
        <f t="shared" si="240"/>
        <v>5.0407962506303167E-2</v>
      </c>
      <c r="G254" s="3">
        <f t="shared" si="240"/>
        <v>5.0407962506303076E-2</v>
      </c>
      <c r="H254" s="3">
        <f t="shared" si="240"/>
        <v>5.0407962506302154E-2</v>
      </c>
      <c r="I254" s="3">
        <f t="shared" si="240"/>
        <v>5.0407962506292953E-2</v>
      </c>
      <c r="J254" s="3">
        <f t="shared" si="240"/>
        <v>5.0407962506200867E-2</v>
      </c>
      <c r="K254" s="3">
        <f t="shared" si="240"/>
        <v>5.0407962505280055E-2</v>
      </c>
      <c r="L254" s="3">
        <f t="shared" si="240"/>
        <v>5.0407962496071927E-2</v>
      </c>
      <c r="M254" s="3">
        <f t="shared" si="240"/>
        <v>5.0407962403990647E-2</v>
      </c>
      <c r="N254" s="3">
        <f t="shared" si="240"/>
        <v>5.0407961483177909E-2</v>
      </c>
      <c r="O254" s="3">
        <f t="shared" si="240"/>
        <v>5.0407952275051418E-2</v>
      </c>
      <c r="P254" s="3">
        <f t="shared" si="240"/>
        <v>5.0407860193878974E-2</v>
      </c>
      <c r="Q254" s="3">
        <f t="shared" si="240"/>
        <v>5.0406939391405836E-2</v>
      </c>
      <c r="R254" s="3">
        <f t="shared" si="240"/>
        <v>5.0397732291742305E-2</v>
      </c>
      <c r="S254" s="3">
        <f t="shared" si="240"/>
        <v>5.0305753739397253E-2</v>
      </c>
      <c r="T254" s="3">
        <f t="shared" si="240"/>
        <v>4.9395150467230489E-2</v>
      </c>
      <c r="U254" s="3">
        <f t="shared" si="240"/>
        <v>4.114819932843361E-2</v>
      </c>
      <c r="V254" s="3">
        <f t="shared" si="240"/>
        <v>6.6224098863978858E-3</v>
      </c>
      <c r="W254" s="3">
        <f t="shared" si="240"/>
        <v>7.7209062980997561E-11</v>
      </c>
      <c r="X254" s="3">
        <f t="shared" si="240"/>
        <v>3.5825356942566396E-90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5.7182312842770561E-2</v>
      </c>
      <c r="C255" s="3">
        <f t="shared" si="241"/>
        <v>5.7182312842770561E-2</v>
      </c>
      <c r="D255" s="3">
        <f t="shared" si="241"/>
        <v>5.7182312842770561E-2</v>
      </c>
      <c r="E255" s="3">
        <f t="shared" si="241"/>
        <v>5.7182312842770561E-2</v>
      </c>
      <c r="F255" s="3">
        <f t="shared" si="241"/>
        <v>5.7182312842770561E-2</v>
      </c>
      <c r="G255" s="3">
        <f t="shared" si="241"/>
        <v>5.7182312842770547E-2</v>
      </c>
      <c r="H255" s="3">
        <f t="shared" si="241"/>
        <v>5.7182312842770457E-2</v>
      </c>
      <c r="I255" s="3">
        <f t="shared" si="241"/>
        <v>5.7182312842769513E-2</v>
      </c>
      <c r="J255" s="3">
        <f t="shared" si="241"/>
        <v>5.718231284276009E-2</v>
      </c>
      <c r="K255" s="3">
        <f t="shared" si="241"/>
        <v>5.718231284266586E-2</v>
      </c>
      <c r="L255" s="3">
        <f t="shared" si="241"/>
        <v>5.7182312841723586E-2</v>
      </c>
      <c r="M255" s="3">
        <f t="shared" si="241"/>
        <v>5.7182312832300769E-2</v>
      </c>
      <c r="N255" s="3">
        <f t="shared" si="241"/>
        <v>5.7182312738072658E-2</v>
      </c>
      <c r="O255" s="3">
        <f t="shared" si="241"/>
        <v>5.718231179579155E-2</v>
      </c>
      <c r="P255" s="3">
        <f t="shared" si="241"/>
        <v>5.7182302372981289E-2</v>
      </c>
      <c r="Q255" s="3">
        <f t="shared" si="241"/>
        <v>5.7182208144964108E-2</v>
      </c>
      <c r="R255" s="3">
        <f t="shared" si="241"/>
        <v>5.7181265873332353E-2</v>
      </c>
      <c r="S255" s="3">
        <f t="shared" si="241"/>
        <v>5.7171844010964944E-2</v>
      </c>
      <c r="T255" s="3">
        <f t="shared" si="241"/>
        <v>5.7077710730265248E-2</v>
      </c>
      <c r="U255" s="3">
        <f t="shared" si="241"/>
        <v>5.6144860415142842E-2</v>
      </c>
      <c r="V255" s="3">
        <f t="shared" si="241"/>
        <v>4.7615090005578529E-2</v>
      </c>
      <c r="W255" s="3">
        <f t="shared" si="241"/>
        <v>9.1641173350582219E-3</v>
      </c>
      <c r="X255" s="3">
        <f t="shared" si="241"/>
        <v>6.3907371673120594E-10</v>
      </c>
      <c r="Y255" s="3">
        <f t="shared" si="241"/>
        <v>1.7384176048960649E-81</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8.0089931313285845E-2</v>
      </c>
      <c r="C256" s="3">
        <f t="shared" si="242"/>
        <v>8.0089931313285845E-2</v>
      </c>
      <c r="D256" s="3">
        <f t="shared" si="242"/>
        <v>8.0089931313285845E-2</v>
      </c>
      <c r="E256" s="3">
        <f t="shared" si="242"/>
        <v>8.0089931313285845E-2</v>
      </c>
      <c r="F256" s="3">
        <f t="shared" si="242"/>
        <v>8.0089931313285845E-2</v>
      </c>
      <c r="G256" s="3">
        <f t="shared" si="242"/>
        <v>8.0089931313285845E-2</v>
      </c>
      <c r="H256" s="3">
        <f t="shared" si="242"/>
        <v>8.0089931313285831E-2</v>
      </c>
      <c r="I256" s="3">
        <f t="shared" si="242"/>
        <v>8.0089931313285706E-2</v>
      </c>
      <c r="J256" s="3">
        <f t="shared" si="242"/>
        <v>8.0089931313284526E-2</v>
      </c>
      <c r="K256" s="3">
        <f t="shared" si="242"/>
        <v>8.0089931313272619E-2</v>
      </c>
      <c r="L256" s="3">
        <f t="shared" si="242"/>
        <v>8.0089931313153562E-2</v>
      </c>
      <c r="M256" s="3">
        <f t="shared" si="242"/>
        <v>8.0089931311963028E-2</v>
      </c>
      <c r="N256" s="3">
        <f t="shared" si="242"/>
        <v>8.0089931300057635E-2</v>
      </c>
      <c r="O256" s="3">
        <f t="shared" si="242"/>
        <v>8.008993118100384E-2</v>
      </c>
      <c r="P256" s="3">
        <f t="shared" si="242"/>
        <v>8.0089929990465783E-2</v>
      </c>
      <c r="Q256" s="3">
        <f t="shared" si="242"/>
        <v>8.0089918085086254E-2</v>
      </c>
      <c r="R256" s="3">
        <f t="shared" si="242"/>
        <v>8.0089799031388145E-2</v>
      </c>
      <c r="S256" s="3">
        <f t="shared" si="242"/>
        <v>8.0088608504140679E-2</v>
      </c>
      <c r="T256" s="3">
        <f t="shared" si="242"/>
        <v>8.0076704204961741E-2</v>
      </c>
      <c r="U256" s="3">
        <f t="shared" si="242"/>
        <v>7.9957758489230146E-2</v>
      </c>
      <c r="V256" s="3">
        <f t="shared" si="242"/>
        <v>7.8777975647400383E-2</v>
      </c>
      <c r="W256" s="3">
        <f t="shared" si="242"/>
        <v>6.7896419887585616E-2</v>
      </c>
      <c r="X256" s="3">
        <f t="shared" si="242"/>
        <v>1.5355623623774968E-2</v>
      </c>
      <c r="Y256" s="3">
        <f t="shared" si="242"/>
        <v>5.3761737564560185E-9</v>
      </c>
      <c r="Z256" s="3">
        <f t="shared" si="242"/>
        <v>1.4877558775636196E-73</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9.4725402978259585E-2</v>
      </c>
      <c r="C257" s="3">
        <f t="shared" si="243"/>
        <v>9.4725402978259585E-2</v>
      </c>
      <c r="D257" s="3">
        <f t="shared" si="243"/>
        <v>9.4725402978259585E-2</v>
      </c>
      <c r="E257" s="3">
        <f t="shared" si="243"/>
        <v>9.4725402978259585E-2</v>
      </c>
      <c r="F257" s="3">
        <f t="shared" si="243"/>
        <v>9.4725402978259585E-2</v>
      </c>
      <c r="G257" s="3">
        <f t="shared" si="243"/>
        <v>9.4725402978259585E-2</v>
      </c>
      <c r="H257" s="3">
        <f t="shared" si="243"/>
        <v>9.4725402978259585E-2</v>
      </c>
      <c r="I257" s="3">
        <f t="shared" si="243"/>
        <v>9.4725402978259571E-2</v>
      </c>
      <c r="J257" s="3">
        <f t="shared" si="243"/>
        <v>9.4725402978259446E-2</v>
      </c>
      <c r="K257" s="3">
        <f t="shared" si="243"/>
        <v>9.4725402978258169E-2</v>
      </c>
      <c r="L257" s="3">
        <f t="shared" si="243"/>
        <v>9.4725402978245471E-2</v>
      </c>
      <c r="M257" s="3">
        <f t="shared" si="243"/>
        <v>9.4725402978118448E-2</v>
      </c>
      <c r="N257" s="3">
        <f t="shared" si="243"/>
        <v>9.4725402976848228E-2</v>
      </c>
      <c r="O257" s="3">
        <f t="shared" si="243"/>
        <v>9.4725402964146041E-2</v>
      </c>
      <c r="P257" s="3">
        <f t="shared" si="243"/>
        <v>9.4725402837124204E-2</v>
      </c>
      <c r="Q257" s="3">
        <f t="shared" si="243"/>
        <v>9.4725401566905759E-2</v>
      </c>
      <c r="R257" s="3">
        <f t="shared" si="243"/>
        <v>9.4725388864722315E-2</v>
      </c>
      <c r="S257" s="3">
        <f t="shared" si="243"/>
        <v>9.4725261842981606E-2</v>
      </c>
      <c r="T257" s="3">
        <f t="shared" si="243"/>
        <v>9.4723991634942509E-2</v>
      </c>
      <c r="U257" s="3">
        <f t="shared" si="243"/>
        <v>9.471129049131323E-2</v>
      </c>
      <c r="V257" s="3">
        <f t="shared" si="243"/>
        <v>9.4584372684727913E-2</v>
      </c>
      <c r="W257" s="3">
        <f t="shared" si="243"/>
        <v>9.3324511301330751E-2</v>
      </c>
      <c r="X257" s="3">
        <f t="shared" si="243"/>
        <v>8.1612952650971848E-2</v>
      </c>
      <c r="Y257" s="3">
        <f t="shared" si="243"/>
        <v>2.1349747835667718E-2</v>
      </c>
      <c r="Z257" s="3">
        <f t="shared" si="243"/>
        <v>3.2042717820931988E-8</v>
      </c>
      <c r="AA257" s="3">
        <f t="shared" si="243"/>
        <v>1.8582121651553863E-66</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0.11171287761739628</v>
      </c>
      <c r="C258" s="3">
        <f t="shared" si="244"/>
        <v>0.11171287761739628</v>
      </c>
      <c r="D258" s="3">
        <f t="shared" si="244"/>
        <v>0.11171287761739628</v>
      </c>
      <c r="E258" s="3">
        <f t="shared" si="244"/>
        <v>0.11171287761739628</v>
      </c>
      <c r="F258" s="3">
        <f t="shared" si="244"/>
        <v>0.11171287761739628</v>
      </c>
      <c r="G258" s="3">
        <f t="shared" si="244"/>
        <v>0.11171287761739628</v>
      </c>
      <c r="H258" s="3">
        <f t="shared" si="244"/>
        <v>0.11171287761739628</v>
      </c>
      <c r="I258" s="3">
        <f t="shared" si="244"/>
        <v>0.11171287761739628</v>
      </c>
      <c r="J258" s="3">
        <f t="shared" si="244"/>
        <v>0.11171287761739626</v>
      </c>
      <c r="K258" s="3">
        <f t="shared" si="244"/>
        <v>0.11171287761739612</v>
      </c>
      <c r="L258" s="3">
        <f t="shared" si="244"/>
        <v>0.11171287761739478</v>
      </c>
      <c r="M258" s="3">
        <f t="shared" si="244"/>
        <v>0.11171287761738126</v>
      </c>
      <c r="N258" s="3">
        <f t="shared" si="244"/>
        <v>0.11171287761724613</v>
      </c>
      <c r="O258" s="3">
        <f t="shared" si="244"/>
        <v>0.1117128776158948</v>
      </c>
      <c r="P258" s="3">
        <f t="shared" si="244"/>
        <v>0.11171287760238149</v>
      </c>
      <c r="Q258" s="3">
        <f t="shared" si="244"/>
        <v>0.11171287746724837</v>
      </c>
      <c r="R258" s="3">
        <f t="shared" si="244"/>
        <v>0.11171287611591724</v>
      </c>
      <c r="S258" s="3">
        <f t="shared" si="244"/>
        <v>0.11171286260260685</v>
      </c>
      <c r="T258" s="3">
        <f t="shared" si="244"/>
        <v>0.11171272746959288</v>
      </c>
      <c r="U258" s="3">
        <f t="shared" si="244"/>
        <v>0.11171137614844352</v>
      </c>
      <c r="V258" s="3">
        <f t="shared" si="244"/>
        <v>0.11169786383595366</v>
      </c>
      <c r="W258" s="3">
        <f t="shared" si="244"/>
        <v>0.11156283057118947</v>
      </c>
      <c r="X258" s="3">
        <f t="shared" si="244"/>
        <v>0.11022144384817001</v>
      </c>
      <c r="Y258" s="3">
        <f t="shared" si="244"/>
        <v>9.7663392701482069E-2</v>
      </c>
      <c r="Z258" s="3">
        <f t="shared" si="244"/>
        <v>2.9133248932292483E-2</v>
      </c>
      <c r="AA258" s="3">
        <f t="shared" si="244"/>
        <v>1.6253992186017387E-7</v>
      </c>
      <c r="AB258" s="3">
        <f t="shared" si="244"/>
        <v>4.749756170400035E-60</v>
      </c>
      <c r="AC258" s="3">
        <f t="shared" si="244"/>
        <v>0</v>
      </c>
      <c r="AD258" s="3">
        <f t="shared" si="244"/>
        <v>0</v>
      </c>
      <c r="AE258" s="3">
        <f t="shared" si="244"/>
        <v>0</v>
      </c>
      <c r="AF258" s="3">
        <f t="shared" si="244"/>
        <v>0</v>
      </c>
      <c r="AG258" s="3"/>
      <c r="AH258" s="3"/>
    </row>
    <row r="259" spans="2:34" x14ac:dyDescent="0.25">
      <c r="B259" s="3">
        <f t="shared" ref="B259:AF259" si="245">$C28*EXP(-B$246/$A28/EXP(-$E$126))</f>
        <v>0.12486929252202905</v>
      </c>
      <c r="C259" s="3">
        <f t="shared" si="245"/>
        <v>0.12486929252202905</v>
      </c>
      <c r="D259" s="3">
        <f t="shared" si="245"/>
        <v>0.12486929252202905</v>
      </c>
      <c r="E259" s="3">
        <f t="shared" si="245"/>
        <v>0.12486929252202905</v>
      </c>
      <c r="F259" s="3">
        <f t="shared" si="245"/>
        <v>0.12486929252202905</v>
      </c>
      <c r="G259" s="3">
        <f t="shared" si="245"/>
        <v>0.12486929252202905</v>
      </c>
      <c r="H259" s="3">
        <f t="shared" si="245"/>
        <v>0.12486929252202905</v>
      </c>
      <c r="I259" s="3">
        <f t="shared" si="245"/>
        <v>0.12486929252202905</v>
      </c>
      <c r="J259" s="3">
        <f t="shared" si="245"/>
        <v>0.12486929252202905</v>
      </c>
      <c r="K259" s="3">
        <f t="shared" si="245"/>
        <v>0.12486929252202904</v>
      </c>
      <c r="L259" s="3">
        <f t="shared" si="245"/>
        <v>0.1248692925220289</v>
      </c>
      <c r="M259" s="3">
        <f t="shared" si="245"/>
        <v>0.12486929252202754</v>
      </c>
      <c r="N259" s="3">
        <f t="shared" si="245"/>
        <v>0.12486929252201391</v>
      </c>
      <c r="O259" s="3">
        <f t="shared" si="245"/>
        <v>0.12486929252187765</v>
      </c>
      <c r="P259" s="3">
        <f t="shared" si="245"/>
        <v>0.12486929252051508</v>
      </c>
      <c r="Q259" s="3">
        <f t="shared" si="245"/>
        <v>0.12486929250688932</v>
      </c>
      <c r="R259" s="3">
        <f t="shared" si="245"/>
        <v>0.1248692923706317</v>
      </c>
      <c r="S259" s="3">
        <f t="shared" si="245"/>
        <v>0.12486929100805555</v>
      </c>
      <c r="T259" s="3">
        <f t="shared" si="245"/>
        <v>0.12486927738229482</v>
      </c>
      <c r="U259" s="3">
        <f t="shared" si="245"/>
        <v>0.12486914112476928</v>
      </c>
      <c r="V259" s="3">
        <f t="shared" si="245"/>
        <v>0.12486777855769153</v>
      </c>
      <c r="W259" s="3">
        <f t="shared" si="245"/>
        <v>0.12485415370464251</v>
      </c>
      <c r="X259" s="3">
        <f t="shared" si="245"/>
        <v>0.1247179869139959</v>
      </c>
      <c r="Y259" s="3">
        <f t="shared" si="245"/>
        <v>0.12336446008596608</v>
      </c>
      <c r="Z259" s="3">
        <f t="shared" si="245"/>
        <v>0.11061136798482535</v>
      </c>
      <c r="AA259" s="3">
        <f t="shared" si="245"/>
        <v>3.7144693132826145E-2</v>
      </c>
      <c r="AB259" s="3">
        <f t="shared" si="245"/>
        <v>6.774338413132995E-7</v>
      </c>
      <c r="AC259" s="3">
        <f t="shared" si="245"/>
        <v>2.757833361170278E-54</v>
      </c>
      <c r="AD259" s="3">
        <f t="shared" si="245"/>
        <v>0</v>
      </c>
      <c r="AE259" s="3">
        <f t="shared" si="245"/>
        <v>0</v>
      </c>
      <c r="AF259" s="3">
        <f t="shared" si="245"/>
        <v>0</v>
      </c>
      <c r="AG259" s="3"/>
      <c r="AH259" s="3"/>
    </row>
    <row r="260" spans="2:34" x14ac:dyDescent="0.25">
      <c r="B260" s="3">
        <f t="shared" ref="B260:AF260" si="246">$C29*EXP(-B$246/$A29/EXP(-$E$126))</f>
        <v>7.1899142973036512E-2</v>
      </c>
      <c r="C260" s="3">
        <f t="shared" si="246"/>
        <v>7.1899142973036512E-2</v>
      </c>
      <c r="D260" s="3">
        <f t="shared" si="246"/>
        <v>7.1899142973036512E-2</v>
      </c>
      <c r="E260" s="3">
        <f t="shared" si="246"/>
        <v>7.1899142973036512E-2</v>
      </c>
      <c r="F260" s="3">
        <f t="shared" si="246"/>
        <v>7.1899142973036512E-2</v>
      </c>
      <c r="G260" s="3">
        <f t="shared" si="246"/>
        <v>7.1899142973036512E-2</v>
      </c>
      <c r="H260" s="3">
        <f t="shared" si="246"/>
        <v>7.1899142973036512E-2</v>
      </c>
      <c r="I260" s="3">
        <f t="shared" si="246"/>
        <v>7.1899142973036512E-2</v>
      </c>
      <c r="J260" s="3">
        <f t="shared" si="246"/>
        <v>7.1899142973036512E-2</v>
      </c>
      <c r="K260" s="3">
        <f t="shared" si="246"/>
        <v>7.1899142973036512E-2</v>
      </c>
      <c r="L260" s="3">
        <f t="shared" si="246"/>
        <v>7.1899142973036498E-2</v>
      </c>
      <c r="M260" s="3">
        <f t="shared" si="246"/>
        <v>7.1899142973036428E-2</v>
      </c>
      <c r="N260" s="3">
        <f t="shared" si="246"/>
        <v>7.1899142973035721E-2</v>
      </c>
      <c r="O260" s="3">
        <f t="shared" si="246"/>
        <v>7.1899142973028643E-2</v>
      </c>
      <c r="P260" s="3">
        <f t="shared" si="246"/>
        <v>7.189914297295788E-2</v>
      </c>
      <c r="Q260" s="3">
        <f t="shared" si="246"/>
        <v>7.1899142972250127E-2</v>
      </c>
      <c r="R260" s="3">
        <f t="shared" si="246"/>
        <v>7.1899142965172705E-2</v>
      </c>
      <c r="S260" s="3">
        <f t="shared" si="246"/>
        <v>7.189914289439843E-2</v>
      </c>
      <c r="T260" s="3">
        <f t="shared" si="246"/>
        <v>7.1899142186655662E-2</v>
      </c>
      <c r="U260" s="3">
        <f t="shared" si="246"/>
        <v>7.1899135109228393E-2</v>
      </c>
      <c r="V260" s="3">
        <f t="shared" si="246"/>
        <v>7.1899064334994073E-2</v>
      </c>
      <c r="W260" s="3">
        <f t="shared" si="246"/>
        <v>7.1898356596482429E-2</v>
      </c>
      <c r="X260" s="3">
        <f t="shared" si="246"/>
        <v>7.1891279594519159E-2</v>
      </c>
      <c r="Y260" s="3">
        <f t="shared" si="246"/>
        <v>7.1820547876239857E-2</v>
      </c>
      <c r="Z260" s="3">
        <f t="shared" si="246"/>
        <v>7.1117046915657747E-2</v>
      </c>
      <c r="AA260" s="3">
        <f t="shared" si="246"/>
        <v>6.4450118841471699E-2</v>
      </c>
      <c r="AB260" s="3">
        <f t="shared" si="246"/>
        <v>2.4083732886423001E-2</v>
      </c>
      <c r="AC260" s="3">
        <f t="shared" si="246"/>
        <v>1.2785702490630238E-6</v>
      </c>
      <c r="AD260" s="3">
        <f t="shared" si="246"/>
        <v>2.2736966575923815E-49</v>
      </c>
      <c r="AE260" s="3">
        <f t="shared" si="246"/>
        <v>0</v>
      </c>
      <c r="AF260" s="3">
        <f t="shared" si="246"/>
        <v>0</v>
      </c>
      <c r="AG260" s="3"/>
      <c r="AH260" s="3"/>
    </row>
    <row r="261" spans="2:34" x14ac:dyDescent="0.25">
      <c r="B261" s="3">
        <f t="shared" ref="B261:AF261" si="247">$C30*EXP(-B$246/$A30/EXP(-$E$126))</f>
        <v>4.7675556768581172E-2</v>
      </c>
      <c r="C261" s="3">
        <f t="shared" si="247"/>
        <v>4.7675556768581172E-2</v>
      </c>
      <c r="D261" s="3">
        <f t="shared" si="247"/>
        <v>4.7675556768581172E-2</v>
      </c>
      <c r="E261" s="3">
        <f t="shared" si="247"/>
        <v>4.7675556768581172E-2</v>
      </c>
      <c r="F261" s="3">
        <f t="shared" si="247"/>
        <v>4.7675556768581172E-2</v>
      </c>
      <c r="G261" s="3">
        <f t="shared" si="247"/>
        <v>4.7675556768581172E-2</v>
      </c>
      <c r="H261" s="3">
        <f t="shared" si="247"/>
        <v>4.7675556768581172E-2</v>
      </c>
      <c r="I261" s="3">
        <f t="shared" si="247"/>
        <v>4.7675556768581172E-2</v>
      </c>
      <c r="J261" s="3">
        <f t="shared" si="247"/>
        <v>4.7675556768581172E-2</v>
      </c>
      <c r="K261" s="3">
        <f t="shared" si="247"/>
        <v>4.7675556768581172E-2</v>
      </c>
      <c r="L261" s="3">
        <f t="shared" si="247"/>
        <v>4.7675556768581172E-2</v>
      </c>
      <c r="M261" s="3">
        <f t="shared" si="247"/>
        <v>4.7675556768581165E-2</v>
      </c>
      <c r="N261" s="3">
        <f t="shared" si="247"/>
        <v>4.7675556768581123E-2</v>
      </c>
      <c r="O261" s="3">
        <f t="shared" si="247"/>
        <v>4.76755567685807E-2</v>
      </c>
      <c r="P261" s="3">
        <f t="shared" si="247"/>
        <v>4.7675556768576467E-2</v>
      </c>
      <c r="Q261" s="3">
        <f t="shared" si="247"/>
        <v>4.7675556768534133E-2</v>
      </c>
      <c r="R261" s="3">
        <f t="shared" si="247"/>
        <v>4.7675556768110791E-2</v>
      </c>
      <c r="S261" s="3">
        <f t="shared" si="247"/>
        <v>4.7675556763877344E-2</v>
      </c>
      <c r="T261" s="3">
        <f t="shared" si="247"/>
        <v>4.7675556721542875E-2</v>
      </c>
      <c r="U261" s="3">
        <f t="shared" si="247"/>
        <v>4.767555629819821E-2</v>
      </c>
      <c r="V261" s="3">
        <f t="shared" si="247"/>
        <v>4.767555206475179E-2</v>
      </c>
      <c r="W261" s="3">
        <f t="shared" si="247"/>
        <v>4.7675509730308201E-2</v>
      </c>
      <c r="X261" s="3">
        <f t="shared" si="247"/>
        <v>4.7675086387939929E-2</v>
      </c>
      <c r="Y261" s="3">
        <f t="shared" si="247"/>
        <v>4.7670853171004203E-2</v>
      </c>
      <c r="Z261" s="3">
        <f t="shared" si="247"/>
        <v>4.762854166955726E-2</v>
      </c>
      <c r="AA261" s="3">
        <f t="shared" si="247"/>
        <v>4.7207486671800962E-2</v>
      </c>
      <c r="AB261" s="3">
        <f t="shared" si="247"/>
        <v>4.3196327967544593E-2</v>
      </c>
      <c r="AC261" s="3">
        <f t="shared" si="247"/>
        <v>1.7774866059545424E-2</v>
      </c>
      <c r="AD261" s="3">
        <f t="shared" si="247"/>
        <v>2.4740097471193963E-6</v>
      </c>
      <c r="AE261" s="3">
        <f t="shared" si="247"/>
        <v>6.7507511842342386E-45</v>
      </c>
      <c r="AF261" s="3">
        <f t="shared" si="247"/>
        <v>0</v>
      </c>
      <c r="AG261" s="3"/>
      <c r="AH261" s="3"/>
    </row>
    <row r="262" spans="2:34" x14ac:dyDescent="0.25">
      <c r="B262" s="3">
        <f t="shared" ref="B262:AF262" si="248">$C31*EXP(-B$246/$A31/EXP(-$E$126))</f>
        <v>1.9951380582978136E-2</v>
      </c>
      <c r="C262" s="3">
        <f t="shared" si="248"/>
        <v>1.9951380582978136E-2</v>
      </c>
      <c r="D262" s="3">
        <f t="shared" si="248"/>
        <v>1.9951380582978136E-2</v>
      </c>
      <c r="E262" s="3">
        <f t="shared" si="248"/>
        <v>1.9951380582978136E-2</v>
      </c>
      <c r="F262" s="3">
        <f t="shared" si="248"/>
        <v>1.9951380582978136E-2</v>
      </c>
      <c r="G262" s="3">
        <f t="shared" si="248"/>
        <v>1.9951380582978136E-2</v>
      </c>
      <c r="H262" s="3">
        <f t="shared" si="248"/>
        <v>1.9951380582978136E-2</v>
      </c>
      <c r="I262" s="3">
        <f t="shared" si="248"/>
        <v>1.9951380582978136E-2</v>
      </c>
      <c r="J262" s="3">
        <f t="shared" si="248"/>
        <v>1.9951380582978136E-2</v>
      </c>
      <c r="K262" s="3">
        <f t="shared" si="248"/>
        <v>1.9951380582978136E-2</v>
      </c>
      <c r="L262" s="3">
        <f t="shared" si="248"/>
        <v>1.9951380582978136E-2</v>
      </c>
      <c r="M262" s="3">
        <f t="shared" si="248"/>
        <v>1.9951380582978136E-2</v>
      </c>
      <c r="N262" s="3">
        <f t="shared" si="248"/>
        <v>1.9951380582978132E-2</v>
      </c>
      <c r="O262" s="3">
        <f t="shared" si="248"/>
        <v>1.9951380582978118E-2</v>
      </c>
      <c r="P262" s="3">
        <f t="shared" si="248"/>
        <v>1.9951380582977959E-2</v>
      </c>
      <c r="Q262" s="3">
        <f t="shared" si="248"/>
        <v>1.9951380582976359E-2</v>
      </c>
      <c r="R262" s="3">
        <f t="shared" si="248"/>
        <v>1.9951380582960379E-2</v>
      </c>
      <c r="S262" s="3">
        <f t="shared" si="248"/>
        <v>1.9951380582800562E-2</v>
      </c>
      <c r="T262" s="3">
        <f t="shared" si="248"/>
        <v>1.995138058120241E-2</v>
      </c>
      <c r="U262" s="3">
        <f t="shared" si="248"/>
        <v>1.9951380565220899E-2</v>
      </c>
      <c r="V262" s="3">
        <f t="shared" si="248"/>
        <v>1.995138040540578E-2</v>
      </c>
      <c r="W262" s="3">
        <f t="shared" si="248"/>
        <v>1.9951378807254672E-2</v>
      </c>
      <c r="X262" s="3">
        <f t="shared" si="248"/>
        <v>1.9951362825750607E-2</v>
      </c>
      <c r="Y262" s="3">
        <f t="shared" si="248"/>
        <v>1.9951203011414047E-2</v>
      </c>
      <c r="Z262" s="3">
        <f t="shared" si="248"/>
        <v>1.9949604938454692E-2</v>
      </c>
      <c r="AA262" s="3">
        <f t="shared" si="248"/>
        <v>1.9933631247399018E-2</v>
      </c>
      <c r="AB262" s="3">
        <f t="shared" si="248"/>
        <v>1.9774596109021287E-2</v>
      </c>
      <c r="AC262" s="3">
        <f t="shared" si="248"/>
        <v>1.8252385856803551E-2</v>
      </c>
      <c r="AD262" s="3">
        <f t="shared" si="248"/>
        <v>8.1929411303346689E-3</v>
      </c>
      <c r="AE262" s="3">
        <f t="shared" si="248"/>
        <v>2.7204563687026932E-6</v>
      </c>
      <c r="AF262" s="3">
        <f t="shared" si="248"/>
        <v>4.4326258208536703E-41</v>
      </c>
      <c r="AG262" s="3"/>
      <c r="AH262" s="3"/>
    </row>
    <row r="263" spans="2:34" x14ac:dyDescent="0.25">
      <c r="B263" s="3">
        <f t="shared" ref="B263:AF263" si="249">$C32*EXP(-B$246/$A32/EXP(-$E$126))</f>
        <v>3.7229726854135226E-3</v>
      </c>
      <c r="C263" s="3">
        <f t="shared" si="249"/>
        <v>3.7229726854135226E-3</v>
      </c>
      <c r="D263" s="3">
        <f t="shared" si="249"/>
        <v>3.7229726854135226E-3</v>
      </c>
      <c r="E263" s="3">
        <f t="shared" si="249"/>
        <v>3.7229726854135226E-3</v>
      </c>
      <c r="F263" s="3">
        <f t="shared" si="249"/>
        <v>3.7229726854135226E-3</v>
      </c>
      <c r="G263" s="3">
        <f t="shared" si="249"/>
        <v>3.7229726854135226E-3</v>
      </c>
      <c r="H263" s="3">
        <f t="shared" si="249"/>
        <v>3.7229726854135226E-3</v>
      </c>
      <c r="I263" s="3">
        <f t="shared" si="249"/>
        <v>3.7229726854135226E-3</v>
      </c>
      <c r="J263" s="3">
        <f t="shared" si="249"/>
        <v>3.7229726854135226E-3</v>
      </c>
      <c r="K263" s="3">
        <f t="shared" si="249"/>
        <v>3.7229726854135226E-3</v>
      </c>
      <c r="L263" s="3">
        <f t="shared" si="249"/>
        <v>3.7229726854135226E-3</v>
      </c>
      <c r="M263" s="3">
        <f t="shared" si="249"/>
        <v>3.7229726854135226E-3</v>
      </c>
      <c r="N263" s="3">
        <f t="shared" si="249"/>
        <v>3.7229726854135226E-3</v>
      </c>
      <c r="O263" s="3">
        <f t="shared" si="249"/>
        <v>3.7229726854135221E-3</v>
      </c>
      <c r="P263" s="3">
        <f t="shared" si="249"/>
        <v>3.7229726854135195E-3</v>
      </c>
      <c r="Q263" s="3">
        <f t="shared" si="249"/>
        <v>3.7229726854134926E-3</v>
      </c>
      <c r="R263" s="3">
        <f t="shared" si="249"/>
        <v>3.7229726854132237E-3</v>
      </c>
      <c r="S263" s="3">
        <f t="shared" si="249"/>
        <v>3.7229726854105332E-3</v>
      </c>
      <c r="T263" s="3">
        <f t="shared" si="249"/>
        <v>3.7229726853836315E-3</v>
      </c>
      <c r="U263" s="3">
        <f t="shared" si="249"/>
        <v>3.7229726851146137E-3</v>
      </c>
      <c r="V263" s="3">
        <f t="shared" si="249"/>
        <v>3.7229726824244335E-3</v>
      </c>
      <c r="W263" s="3">
        <f t="shared" si="249"/>
        <v>3.7229726555226333E-3</v>
      </c>
      <c r="X263" s="3">
        <f t="shared" si="249"/>
        <v>3.7229723865046384E-3</v>
      </c>
      <c r="Y263" s="3">
        <f t="shared" si="249"/>
        <v>3.7229696963257627E-3</v>
      </c>
      <c r="Z263" s="3">
        <f t="shared" si="249"/>
        <v>3.7229427946439187E-3</v>
      </c>
      <c r="AA263" s="3">
        <f t="shared" si="249"/>
        <v>3.7226737885165859E-3</v>
      </c>
      <c r="AB263" s="3">
        <f t="shared" si="249"/>
        <v>3.7199847960680851E-3</v>
      </c>
      <c r="AC263" s="3">
        <f t="shared" si="249"/>
        <v>3.6932014688583234E-3</v>
      </c>
      <c r="AD263" s="3">
        <f t="shared" si="249"/>
        <v>3.4357483527649954E-3</v>
      </c>
      <c r="AE263" s="3">
        <f t="shared" si="249"/>
        <v>1.668033698689198E-3</v>
      </c>
      <c r="AF263" s="3">
        <f t="shared" si="249"/>
        <v>1.2134993656876775E-6</v>
      </c>
      <c r="AG263" s="3"/>
      <c r="AH263" s="3"/>
    </row>
    <row r="264" spans="2:34" x14ac:dyDescent="0.25">
      <c r="B264" s="3">
        <f t="shared" ref="B264:AF264" si="250">$C33*EXP(-B$246/$A33/EXP(-$E$126))</f>
        <v>3.2258116785225384E-3</v>
      </c>
      <c r="C264" s="3">
        <f t="shared" si="250"/>
        <v>3.2258116785225384E-3</v>
      </c>
      <c r="D264" s="3">
        <f t="shared" si="250"/>
        <v>3.2258116785225384E-3</v>
      </c>
      <c r="E264" s="3">
        <f t="shared" si="250"/>
        <v>3.2258116785225384E-3</v>
      </c>
      <c r="F264" s="3">
        <f t="shared" si="250"/>
        <v>3.2258116785225384E-3</v>
      </c>
      <c r="G264" s="3">
        <f t="shared" si="250"/>
        <v>3.2258116785225384E-3</v>
      </c>
      <c r="H264" s="3">
        <f t="shared" si="250"/>
        <v>3.2258116785225384E-3</v>
      </c>
      <c r="I264" s="3">
        <f t="shared" si="250"/>
        <v>3.2258116785225384E-3</v>
      </c>
      <c r="J264" s="3">
        <f t="shared" si="250"/>
        <v>3.2258116785225384E-3</v>
      </c>
      <c r="K264" s="3">
        <f t="shared" si="250"/>
        <v>3.2258116785225384E-3</v>
      </c>
      <c r="L264" s="3">
        <f t="shared" si="250"/>
        <v>3.2258116785225384E-3</v>
      </c>
      <c r="M264" s="3">
        <f t="shared" si="250"/>
        <v>3.2258116785225384E-3</v>
      </c>
      <c r="N264" s="3">
        <f t="shared" si="250"/>
        <v>3.2258116785225384E-3</v>
      </c>
      <c r="O264" s="3">
        <f t="shared" si="250"/>
        <v>3.2258116785225384E-3</v>
      </c>
      <c r="P264" s="3">
        <f t="shared" si="250"/>
        <v>3.2258116785225379E-3</v>
      </c>
      <c r="Q264" s="3">
        <f t="shared" si="250"/>
        <v>3.2258116785225358E-3</v>
      </c>
      <c r="R264" s="3">
        <f t="shared" si="250"/>
        <v>3.225811678522515E-3</v>
      </c>
      <c r="S264" s="3">
        <f t="shared" si="250"/>
        <v>3.2258116785223051E-3</v>
      </c>
      <c r="T264" s="3">
        <f t="shared" si="250"/>
        <v>3.2258116785202017E-3</v>
      </c>
      <c r="U264" s="3">
        <f t="shared" si="250"/>
        <v>3.2258116784991751E-3</v>
      </c>
      <c r="V264" s="3">
        <f t="shared" si="250"/>
        <v>3.2258116782889054E-3</v>
      </c>
      <c r="W264" s="3">
        <f t="shared" si="250"/>
        <v>3.2258116761862063E-3</v>
      </c>
      <c r="X264" s="3">
        <f t="shared" si="250"/>
        <v>3.2258116551592167E-3</v>
      </c>
      <c r="Y264" s="3">
        <f t="shared" si="250"/>
        <v>3.2258114448893284E-3</v>
      </c>
      <c r="Z264" s="3">
        <f t="shared" si="250"/>
        <v>3.2258093421912021E-3</v>
      </c>
      <c r="AA264" s="3">
        <f t="shared" si="250"/>
        <v>3.2257883152853177E-3</v>
      </c>
      <c r="AB264" s="3">
        <f t="shared" si="250"/>
        <v>3.2255780537646531E-3</v>
      </c>
      <c r="AC264" s="3">
        <f t="shared" si="250"/>
        <v>3.223476192193779E-3</v>
      </c>
      <c r="AD264" s="3">
        <f t="shared" si="250"/>
        <v>3.2025327586177486E-3</v>
      </c>
      <c r="AE264" s="3">
        <f t="shared" si="250"/>
        <v>3.0004384306422127E-3</v>
      </c>
      <c r="AF264" s="3">
        <f t="shared" si="250"/>
        <v>1.5634935910195157E-3</v>
      </c>
      <c r="AG264" s="3"/>
      <c r="AH264" s="3"/>
    </row>
    <row r="265" spans="2:34" x14ac:dyDescent="0.25">
      <c r="B265" s="3">
        <f t="shared" ref="B265:AF265" si="251">$C34*EXP(-B$246/$A34/EXP(-$E$126))</f>
        <v>4.6514491459037388E-4</v>
      </c>
      <c r="C265" s="3">
        <f t="shared" si="251"/>
        <v>4.6514491459037388E-4</v>
      </c>
      <c r="D265" s="3">
        <f t="shared" si="251"/>
        <v>4.6514491459037388E-4</v>
      </c>
      <c r="E265" s="3">
        <f t="shared" si="251"/>
        <v>4.6514491459037388E-4</v>
      </c>
      <c r="F265" s="3">
        <f t="shared" si="251"/>
        <v>4.6514491459037388E-4</v>
      </c>
      <c r="G265" s="3">
        <f t="shared" si="251"/>
        <v>4.6514491459037388E-4</v>
      </c>
      <c r="H265" s="3">
        <f t="shared" si="251"/>
        <v>4.6514491459037388E-4</v>
      </c>
      <c r="I265" s="3">
        <f t="shared" si="251"/>
        <v>4.6514491459037388E-4</v>
      </c>
      <c r="J265" s="3">
        <f t="shared" si="251"/>
        <v>4.6514491459037388E-4</v>
      </c>
      <c r="K265" s="3">
        <f t="shared" si="251"/>
        <v>4.6514491459037388E-4</v>
      </c>
      <c r="L265" s="3">
        <f t="shared" si="251"/>
        <v>4.6514491459037388E-4</v>
      </c>
      <c r="M265" s="3">
        <f t="shared" si="251"/>
        <v>4.6514491459037388E-4</v>
      </c>
      <c r="N265" s="3">
        <f t="shared" si="251"/>
        <v>4.6514491459037388E-4</v>
      </c>
      <c r="O265" s="3">
        <f t="shared" si="251"/>
        <v>4.6514491459037388E-4</v>
      </c>
      <c r="P265" s="3">
        <f t="shared" si="251"/>
        <v>4.6514491459037388E-4</v>
      </c>
      <c r="Q265" s="3">
        <f t="shared" si="251"/>
        <v>4.6514491459037383E-4</v>
      </c>
      <c r="R265" s="3">
        <f t="shared" si="251"/>
        <v>4.6514491459037356E-4</v>
      </c>
      <c r="S265" s="3">
        <f t="shared" si="251"/>
        <v>4.6514491459037085E-4</v>
      </c>
      <c r="T265" s="3">
        <f t="shared" si="251"/>
        <v>4.6514491459034353E-4</v>
      </c>
      <c r="U265" s="3">
        <f t="shared" si="251"/>
        <v>4.6514491459006998E-4</v>
      </c>
      <c r="V265" s="3">
        <f t="shared" si="251"/>
        <v>4.6514491458733487E-4</v>
      </c>
      <c r="W265" s="3">
        <f t="shared" si="251"/>
        <v>4.6514491455998391E-4</v>
      </c>
      <c r="X265" s="3">
        <f t="shared" si="251"/>
        <v>4.6514491428647408E-4</v>
      </c>
      <c r="Y265" s="3">
        <f t="shared" si="251"/>
        <v>4.6514491155137563E-4</v>
      </c>
      <c r="Z265" s="3">
        <f t="shared" si="251"/>
        <v>4.6514488420039239E-4</v>
      </c>
      <c r="AA265" s="3">
        <f t="shared" si="251"/>
        <v>4.651446106906484E-4</v>
      </c>
      <c r="AB265" s="3">
        <f t="shared" si="251"/>
        <v>4.651418756020541E-4</v>
      </c>
      <c r="AC265" s="3">
        <f t="shared" si="251"/>
        <v>4.6511452560063499E-4</v>
      </c>
      <c r="AD265" s="3">
        <f t="shared" si="251"/>
        <v>4.6484111401964596E-4</v>
      </c>
      <c r="AE265" s="3">
        <f t="shared" si="251"/>
        <v>4.6211582232031761E-4</v>
      </c>
      <c r="AF265" s="3">
        <f t="shared" si="251"/>
        <v>4.3572641654217217E-4</v>
      </c>
      <c r="AG265" s="3"/>
      <c r="AH265" s="3"/>
    </row>
    <row r="266" spans="2:34" x14ac:dyDescent="0.25">
      <c r="B266" s="3">
        <f t="shared" ref="B266:AF266" si="252">$C35*EXP(-B$246/$A35/EXP(-$E$126))</f>
        <v>1.1429544870574336E-5</v>
      </c>
      <c r="C266" s="3">
        <f t="shared" si="252"/>
        <v>1.1429544870574336E-5</v>
      </c>
      <c r="D266" s="3">
        <f t="shared" si="252"/>
        <v>1.1429544870574336E-5</v>
      </c>
      <c r="E266" s="3">
        <f t="shared" si="252"/>
        <v>1.1429544870574336E-5</v>
      </c>
      <c r="F266" s="3">
        <f t="shared" si="252"/>
        <v>1.1429544870574336E-5</v>
      </c>
      <c r="G266" s="3">
        <f t="shared" si="252"/>
        <v>1.1429544870574336E-5</v>
      </c>
      <c r="H266" s="3">
        <f t="shared" si="252"/>
        <v>1.1429544870574336E-5</v>
      </c>
      <c r="I266" s="3">
        <f t="shared" si="252"/>
        <v>1.1429544870574336E-5</v>
      </c>
      <c r="J266" s="3">
        <f t="shared" si="252"/>
        <v>1.1429544870574336E-5</v>
      </c>
      <c r="K266" s="3">
        <f t="shared" si="252"/>
        <v>1.1429544870574336E-5</v>
      </c>
      <c r="L266" s="3">
        <f t="shared" si="252"/>
        <v>1.1429544870574336E-5</v>
      </c>
      <c r="M266" s="3">
        <f t="shared" si="252"/>
        <v>1.1429544870574336E-5</v>
      </c>
      <c r="N266" s="3">
        <f t="shared" si="252"/>
        <v>1.1429544870574336E-5</v>
      </c>
      <c r="O266" s="3">
        <f t="shared" si="252"/>
        <v>1.1429544870574336E-5</v>
      </c>
      <c r="P266" s="3">
        <f t="shared" si="252"/>
        <v>1.1429544870574336E-5</v>
      </c>
      <c r="Q266" s="3">
        <f t="shared" si="252"/>
        <v>1.1429544870574336E-5</v>
      </c>
      <c r="R266" s="3">
        <f t="shared" si="252"/>
        <v>1.1429544870574334E-5</v>
      </c>
      <c r="S266" s="3">
        <f t="shared" si="252"/>
        <v>1.1429544870574329E-5</v>
      </c>
      <c r="T266" s="3">
        <f t="shared" si="252"/>
        <v>1.1429544870574268E-5</v>
      </c>
      <c r="U266" s="3">
        <f t="shared" si="252"/>
        <v>1.1429544870573661E-5</v>
      </c>
      <c r="V266" s="3">
        <f t="shared" si="252"/>
        <v>1.1429544870567598E-5</v>
      </c>
      <c r="W266" s="3">
        <f t="shared" si="252"/>
        <v>1.1429544870506973E-5</v>
      </c>
      <c r="X266" s="3">
        <f t="shared" si="252"/>
        <v>1.1429544869900712E-5</v>
      </c>
      <c r="Y266" s="3">
        <f t="shared" si="252"/>
        <v>1.1429544863838093E-5</v>
      </c>
      <c r="Z266" s="3">
        <f t="shared" si="252"/>
        <v>1.1429544803211913E-5</v>
      </c>
      <c r="AA266" s="3">
        <f t="shared" si="252"/>
        <v>1.1429544196950126E-5</v>
      </c>
      <c r="AB266" s="3">
        <f t="shared" si="252"/>
        <v>1.1429538134334018E-5</v>
      </c>
      <c r="AC266" s="3">
        <f t="shared" si="252"/>
        <v>1.1429477508349823E-5</v>
      </c>
      <c r="AD266" s="3">
        <f t="shared" si="252"/>
        <v>1.1428871266194494E-5</v>
      </c>
      <c r="AE266" s="3">
        <f t="shared" si="252"/>
        <v>1.1422810612955534E-5</v>
      </c>
      <c r="AF266" s="3">
        <f t="shared" si="252"/>
        <v>1.1362380565442111E-5</v>
      </c>
      <c r="AG266" s="3"/>
      <c r="AH266" s="3"/>
    </row>
    <row r="267" spans="2:34" x14ac:dyDescent="0.25">
      <c r="B267" s="3">
        <f t="shared" ref="B267:AF267" si="253">$C36*EXP(-B$246/$A36/EXP(-$E$126))</f>
        <v>2.5915484418969715E-5</v>
      </c>
      <c r="C267" s="3">
        <f t="shared" si="253"/>
        <v>2.5915484418969715E-5</v>
      </c>
      <c r="D267" s="3">
        <f t="shared" si="253"/>
        <v>2.5915484418969715E-5</v>
      </c>
      <c r="E267" s="3">
        <f t="shared" si="253"/>
        <v>2.5915484418969715E-5</v>
      </c>
      <c r="F267" s="3">
        <f t="shared" si="253"/>
        <v>2.5915484418969715E-5</v>
      </c>
      <c r="G267" s="3">
        <f t="shared" si="253"/>
        <v>2.5915484418969715E-5</v>
      </c>
      <c r="H267" s="3">
        <f t="shared" si="253"/>
        <v>2.5915484418969715E-5</v>
      </c>
      <c r="I267" s="3">
        <f t="shared" si="253"/>
        <v>2.5915484418969715E-5</v>
      </c>
      <c r="J267" s="3">
        <f t="shared" si="253"/>
        <v>2.5915484418969715E-5</v>
      </c>
      <c r="K267" s="3">
        <f t="shared" si="253"/>
        <v>2.5915484418969715E-5</v>
      </c>
      <c r="L267" s="3">
        <f t="shared" si="253"/>
        <v>2.5915484418969715E-5</v>
      </c>
      <c r="M267" s="3">
        <f t="shared" si="253"/>
        <v>2.5915484418969715E-5</v>
      </c>
      <c r="N267" s="3">
        <f t="shared" si="253"/>
        <v>2.5915484418969715E-5</v>
      </c>
      <c r="O267" s="3">
        <f t="shared" si="253"/>
        <v>2.5915484418969715E-5</v>
      </c>
      <c r="P267" s="3">
        <f t="shared" si="253"/>
        <v>2.5915484418969715E-5</v>
      </c>
      <c r="Q267" s="3">
        <f t="shared" si="253"/>
        <v>2.5915484418969715E-5</v>
      </c>
      <c r="R267" s="3">
        <f t="shared" si="253"/>
        <v>2.5915484418969715E-5</v>
      </c>
      <c r="S267" s="3">
        <f t="shared" si="253"/>
        <v>2.5915484418969715E-5</v>
      </c>
      <c r="T267" s="3">
        <f t="shared" si="253"/>
        <v>2.5915484418969701E-5</v>
      </c>
      <c r="U267" s="3">
        <f t="shared" si="253"/>
        <v>2.5915484418969576E-5</v>
      </c>
      <c r="V267" s="3">
        <f t="shared" si="253"/>
        <v>2.5915484418968336E-5</v>
      </c>
      <c r="W267" s="3">
        <f t="shared" si="253"/>
        <v>2.5915484418955935E-5</v>
      </c>
      <c r="X267" s="3">
        <f t="shared" si="253"/>
        <v>2.5915484418831933E-5</v>
      </c>
      <c r="Y267" s="3">
        <f t="shared" si="253"/>
        <v>2.5915484417591887E-5</v>
      </c>
      <c r="Z267" s="3">
        <f t="shared" si="253"/>
        <v>2.5915484405191443E-5</v>
      </c>
      <c r="AA267" s="3">
        <f t="shared" si="253"/>
        <v>2.5915484281187019E-5</v>
      </c>
      <c r="AB267" s="3">
        <f t="shared" si="253"/>
        <v>2.5915483041142768E-5</v>
      </c>
      <c r="AC267" s="3">
        <f t="shared" si="253"/>
        <v>2.5915470640703552E-5</v>
      </c>
      <c r="AD267" s="3">
        <f t="shared" si="253"/>
        <v>2.5915346636637727E-5</v>
      </c>
      <c r="AE267" s="3">
        <f t="shared" si="253"/>
        <v>2.5914106628613389E-5</v>
      </c>
      <c r="AF267" s="3">
        <f t="shared" si="253"/>
        <v>2.5901709811184017E-5</v>
      </c>
      <c r="AG267" s="3"/>
      <c r="AH267" s="3"/>
    </row>
    <row r="268" spans="2:34" x14ac:dyDescent="0.25">
      <c r="B268" s="3">
        <f t="shared" ref="B268:AF268" si="254">$C37*EXP(-B$246/$A37/EXP(-$E$126))</f>
        <v>2.9552981931303355E-5</v>
      </c>
      <c r="C268" s="3">
        <f t="shared" si="254"/>
        <v>2.9552981931303355E-5</v>
      </c>
      <c r="D268" s="3">
        <f t="shared" si="254"/>
        <v>2.9552981931303355E-5</v>
      </c>
      <c r="E268" s="3">
        <f t="shared" si="254"/>
        <v>2.9552981931303355E-5</v>
      </c>
      <c r="F268" s="3">
        <f t="shared" si="254"/>
        <v>2.9552981931303355E-5</v>
      </c>
      <c r="G268" s="3">
        <f t="shared" si="254"/>
        <v>2.9552981931303355E-5</v>
      </c>
      <c r="H268" s="3">
        <f t="shared" si="254"/>
        <v>2.9552981931303355E-5</v>
      </c>
      <c r="I268" s="3">
        <f t="shared" si="254"/>
        <v>2.9552981931303355E-5</v>
      </c>
      <c r="J268" s="3">
        <f t="shared" si="254"/>
        <v>2.9552981931303355E-5</v>
      </c>
      <c r="K268" s="3">
        <f t="shared" si="254"/>
        <v>2.9552981931303355E-5</v>
      </c>
      <c r="L268" s="3">
        <f t="shared" si="254"/>
        <v>2.9552981931303355E-5</v>
      </c>
      <c r="M268" s="3">
        <f t="shared" si="254"/>
        <v>2.9552981931303355E-5</v>
      </c>
      <c r="N268" s="3">
        <f t="shared" si="254"/>
        <v>2.9552981931303355E-5</v>
      </c>
      <c r="O268" s="3">
        <f t="shared" si="254"/>
        <v>2.9552981931303355E-5</v>
      </c>
      <c r="P268" s="3">
        <f t="shared" si="254"/>
        <v>2.9552981931303355E-5</v>
      </c>
      <c r="Q268" s="3">
        <f t="shared" si="254"/>
        <v>2.9552981931303355E-5</v>
      </c>
      <c r="R268" s="3">
        <f t="shared" si="254"/>
        <v>2.9552981931303355E-5</v>
      </c>
      <c r="S268" s="3">
        <f t="shared" si="254"/>
        <v>2.9552981931303355E-5</v>
      </c>
      <c r="T268" s="3">
        <f t="shared" si="254"/>
        <v>2.9552981931303355E-5</v>
      </c>
      <c r="U268" s="3">
        <f t="shared" si="254"/>
        <v>2.9552981931303342E-5</v>
      </c>
      <c r="V268" s="3">
        <f t="shared" si="254"/>
        <v>2.9552981931303213E-5</v>
      </c>
      <c r="W268" s="3">
        <f t="shared" si="254"/>
        <v>2.9552981931301939E-5</v>
      </c>
      <c r="X268" s="3">
        <f t="shared" si="254"/>
        <v>2.9552981931289183E-5</v>
      </c>
      <c r="Y268" s="3">
        <f t="shared" si="254"/>
        <v>2.9552981931161616E-5</v>
      </c>
      <c r="Z268" s="3">
        <f t="shared" si="254"/>
        <v>2.9552981929885984E-5</v>
      </c>
      <c r="AA268" s="3">
        <f t="shared" si="254"/>
        <v>2.9552981917129655E-5</v>
      </c>
      <c r="AB268" s="3">
        <f t="shared" si="254"/>
        <v>2.955298178956635E-5</v>
      </c>
      <c r="AC268" s="3">
        <f t="shared" si="254"/>
        <v>2.9552980513933333E-5</v>
      </c>
      <c r="AD268" s="3">
        <f t="shared" si="254"/>
        <v>2.9552967757606193E-5</v>
      </c>
      <c r="AE268" s="3">
        <f t="shared" si="254"/>
        <v>2.9552840194637626E-5</v>
      </c>
      <c r="AF268" s="3">
        <f t="shared" si="254"/>
        <v>2.9551564595235421E-5</v>
      </c>
      <c r="AG268" s="3"/>
      <c r="AH268" s="3"/>
    </row>
    <row r="269" spans="2:34" x14ac:dyDescent="0.25">
      <c r="B269" s="3">
        <f t="shared" ref="B269:AF269" si="255">$C38*EXP(-B$246/$A38/EXP(-$E$126))</f>
        <v>3.2731039559542382E-6</v>
      </c>
      <c r="C269" s="3">
        <f t="shared" si="255"/>
        <v>3.2731039559542382E-6</v>
      </c>
      <c r="D269" s="3">
        <f t="shared" si="255"/>
        <v>3.2731039559542382E-6</v>
      </c>
      <c r="E269" s="3">
        <f t="shared" si="255"/>
        <v>3.2731039559542382E-6</v>
      </c>
      <c r="F269" s="3">
        <f t="shared" si="255"/>
        <v>3.2731039559542382E-6</v>
      </c>
      <c r="G269" s="3">
        <f t="shared" si="255"/>
        <v>3.2731039559542382E-6</v>
      </c>
      <c r="H269" s="3">
        <f t="shared" si="255"/>
        <v>3.2731039559542382E-6</v>
      </c>
      <c r="I269" s="3">
        <f t="shared" si="255"/>
        <v>3.2731039559542382E-6</v>
      </c>
      <c r="J269" s="3">
        <f t="shared" si="255"/>
        <v>3.2731039559542382E-6</v>
      </c>
      <c r="K269" s="3">
        <f t="shared" si="255"/>
        <v>3.2731039559542382E-6</v>
      </c>
      <c r="L269" s="3">
        <f t="shared" si="255"/>
        <v>3.2731039559542382E-6</v>
      </c>
      <c r="M269" s="3">
        <f t="shared" si="255"/>
        <v>3.2731039559542382E-6</v>
      </c>
      <c r="N269" s="3">
        <f t="shared" si="255"/>
        <v>3.2731039559542382E-6</v>
      </c>
      <c r="O269" s="3">
        <f t="shared" si="255"/>
        <v>3.2731039559542382E-6</v>
      </c>
      <c r="P269" s="3">
        <f t="shared" si="255"/>
        <v>3.2731039559542382E-6</v>
      </c>
      <c r="Q269" s="3">
        <f t="shared" si="255"/>
        <v>3.2731039559542382E-6</v>
      </c>
      <c r="R269" s="3">
        <f t="shared" si="255"/>
        <v>3.2731039559542382E-6</v>
      </c>
      <c r="S269" s="3">
        <f t="shared" si="255"/>
        <v>3.2731039559542382E-6</v>
      </c>
      <c r="T269" s="3">
        <f t="shared" si="255"/>
        <v>3.2731039559542382E-6</v>
      </c>
      <c r="U269" s="3">
        <f t="shared" si="255"/>
        <v>3.2731039559542382E-6</v>
      </c>
      <c r="V269" s="3">
        <f t="shared" si="255"/>
        <v>3.2731039559542369E-6</v>
      </c>
      <c r="W269" s="3">
        <f t="shared" si="255"/>
        <v>3.2731039559542242E-6</v>
      </c>
      <c r="X269" s="3">
        <f t="shared" si="255"/>
        <v>3.2731039559540963E-6</v>
      </c>
      <c r="Y269" s="3">
        <f t="shared" si="255"/>
        <v>3.273103955952822E-6</v>
      </c>
      <c r="Z269" s="3">
        <f t="shared" si="255"/>
        <v>3.2731039559400775E-6</v>
      </c>
      <c r="AA269" s="3">
        <f t="shared" si="255"/>
        <v>3.27310395581263E-6</v>
      </c>
      <c r="AB269" s="3">
        <f t="shared" si="255"/>
        <v>3.2731039545381567E-6</v>
      </c>
      <c r="AC269" s="3">
        <f t="shared" si="255"/>
        <v>3.2731039417934207E-6</v>
      </c>
      <c r="AD269" s="3">
        <f t="shared" si="255"/>
        <v>3.2731038143460631E-6</v>
      </c>
      <c r="AE269" s="3">
        <f t="shared" si="255"/>
        <v>3.2731025398727637E-6</v>
      </c>
      <c r="AF269" s="3">
        <f t="shared" si="255"/>
        <v>3.2730897951670654E-6</v>
      </c>
      <c r="AG269" s="3"/>
      <c r="AH269" s="3"/>
    </row>
    <row r="270" spans="2:34" x14ac:dyDescent="0.25">
      <c r="B270" s="3">
        <f t="shared" ref="B270:AF270" si="256">$C39*EXP(-B$246/$A39/EXP(-$E$126))</f>
        <v>4.7316671387144988E-5</v>
      </c>
      <c r="C270" s="3">
        <f t="shared" si="256"/>
        <v>4.7316671387144988E-5</v>
      </c>
      <c r="D270" s="3">
        <f t="shared" si="256"/>
        <v>4.7316671387144988E-5</v>
      </c>
      <c r="E270" s="3">
        <f t="shared" si="256"/>
        <v>4.7316671387144988E-5</v>
      </c>
      <c r="F270" s="3">
        <f t="shared" si="256"/>
        <v>4.7316671387144988E-5</v>
      </c>
      <c r="G270" s="3">
        <f t="shared" si="256"/>
        <v>4.7316671387144988E-5</v>
      </c>
      <c r="H270" s="3">
        <f t="shared" si="256"/>
        <v>4.7316671387144988E-5</v>
      </c>
      <c r="I270" s="3">
        <f t="shared" si="256"/>
        <v>4.7316671387144988E-5</v>
      </c>
      <c r="J270" s="3">
        <f t="shared" si="256"/>
        <v>4.7316671387144988E-5</v>
      </c>
      <c r="K270" s="3">
        <f t="shared" si="256"/>
        <v>4.7316671387144988E-5</v>
      </c>
      <c r="L270" s="3">
        <f t="shared" si="256"/>
        <v>4.7316671387144988E-5</v>
      </c>
      <c r="M270" s="3">
        <f t="shared" si="256"/>
        <v>4.7316671387144988E-5</v>
      </c>
      <c r="N270" s="3">
        <f t="shared" si="256"/>
        <v>4.7316671387144988E-5</v>
      </c>
      <c r="O270" s="3">
        <f t="shared" si="256"/>
        <v>4.7316671387144988E-5</v>
      </c>
      <c r="P270" s="3">
        <f t="shared" si="256"/>
        <v>4.7316671387144988E-5</v>
      </c>
      <c r="Q270" s="3">
        <f t="shared" si="256"/>
        <v>4.7316671387144988E-5</v>
      </c>
      <c r="R270" s="3">
        <f t="shared" si="256"/>
        <v>4.7316671387144988E-5</v>
      </c>
      <c r="S270" s="3">
        <f t="shared" si="256"/>
        <v>4.7316671387144988E-5</v>
      </c>
      <c r="T270" s="3">
        <f t="shared" si="256"/>
        <v>4.7316671387144988E-5</v>
      </c>
      <c r="U270" s="3">
        <f t="shared" si="256"/>
        <v>4.7316671387144988E-5</v>
      </c>
      <c r="V270" s="3">
        <f t="shared" si="256"/>
        <v>4.7316671387144982E-5</v>
      </c>
      <c r="W270" s="3">
        <f t="shared" si="256"/>
        <v>4.7316671387144927E-5</v>
      </c>
      <c r="X270" s="3">
        <f t="shared" si="256"/>
        <v>4.7316671387144419E-5</v>
      </c>
      <c r="Y270" s="3">
        <f t="shared" si="256"/>
        <v>4.7316671387139324E-5</v>
      </c>
      <c r="Z270" s="3">
        <f t="shared" si="256"/>
        <v>4.7316671387088373E-5</v>
      </c>
      <c r="AA270" s="3">
        <f t="shared" si="256"/>
        <v>4.7316671386578811E-5</v>
      </c>
      <c r="AB270" s="3">
        <f t="shared" si="256"/>
        <v>4.731667138148317E-5</v>
      </c>
      <c r="AC270" s="3">
        <f t="shared" si="256"/>
        <v>4.7316671330526853E-5</v>
      </c>
      <c r="AD270" s="3">
        <f t="shared" si="256"/>
        <v>4.7316670820963616E-5</v>
      </c>
      <c r="AE270" s="3">
        <f t="shared" si="256"/>
        <v>4.7316665725331516E-5</v>
      </c>
      <c r="AF270" s="3">
        <f t="shared" si="256"/>
        <v>4.7316614769040768E-5</v>
      </c>
      <c r="AG270" s="3"/>
      <c r="AH270" s="3"/>
    </row>
    <row r="271" spans="2:34" x14ac:dyDescent="0.25">
      <c r="B271" s="3">
        <f t="shared" ref="B271:AF271" si="257">$C40*EXP(-B$246/$A40/EXP(-$E$126))</f>
        <v>2.2741722122049058E-5</v>
      </c>
      <c r="C271" s="3">
        <f t="shared" si="257"/>
        <v>2.2741722122049058E-5</v>
      </c>
      <c r="D271" s="3">
        <f t="shared" si="257"/>
        <v>2.2741722122049058E-5</v>
      </c>
      <c r="E271" s="3">
        <f t="shared" si="257"/>
        <v>2.2741722122049058E-5</v>
      </c>
      <c r="F271" s="3">
        <f t="shared" si="257"/>
        <v>2.2741722122049058E-5</v>
      </c>
      <c r="G271" s="3">
        <f t="shared" si="257"/>
        <v>2.2741722122049058E-5</v>
      </c>
      <c r="H271" s="3">
        <f t="shared" si="257"/>
        <v>2.2741722122049058E-5</v>
      </c>
      <c r="I271" s="3">
        <f t="shared" si="257"/>
        <v>2.2741722122049058E-5</v>
      </c>
      <c r="J271" s="3">
        <f t="shared" si="257"/>
        <v>2.2741722122049058E-5</v>
      </c>
      <c r="K271" s="3">
        <f t="shared" si="257"/>
        <v>2.2741722122049058E-5</v>
      </c>
      <c r="L271" s="3">
        <f t="shared" si="257"/>
        <v>2.2741722122049058E-5</v>
      </c>
      <c r="M271" s="3">
        <f t="shared" si="257"/>
        <v>2.2741722122049058E-5</v>
      </c>
      <c r="N271" s="3">
        <f t="shared" si="257"/>
        <v>2.2741722122049058E-5</v>
      </c>
      <c r="O271" s="3">
        <f t="shared" si="257"/>
        <v>2.2741722122049058E-5</v>
      </c>
      <c r="P271" s="3">
        <f t="shared" si="257"/>
        <v>2.2741722122049058E-5</v>
      </c>
      <c r="Q271" s="3">
        <f t="shared" si="257"/>
        <v>2.2741722122049058E-5</v>
      </c>
      <c r="R271" s="3">
        <f t="shared" si="257"/>
        <v>2.2741722122049058E-5</v>
      </c>
      <c r="S271" s="3">
        <f t="shared" si="257"/>
        <v>2.2741722122049058E-5</v>
      </c>
      <c r="T271" s="3">
        <f t="shared" si="257"/>
        <v>2.2741722122049058E-5</v>
      </c>
      <c r="U271" s="3">
        <f t="shared" si="257"/>
        <v>2.2741722122049058E-5</v>
      </c>
      <c r="V271" s="3">
        <f t="shared" si="257"/>
        <v>2.2741722122049058E-5</v>
      </c>
      <c r="W271" s="3">
        <f t="shared" si="257"/>
        <v>2.2741722122049055E-5</v>
      </c>
      <c r="X271" s="3">
        <f t="shared" si="257"/>
        <v>2.2741722122049031E-5</v>
      </c>
      <c r="Y271" s="3">
        <f t="shared" si="257"/>
        <v>2.2741722122048787E-5</v>
      </c>
      <c r="Z271" s="3">
        <f t="shared" si="257"/>
        <v>2.2741722122046338E-5</v>
      </c>
      <c r="AA271" s="3">
        <f t="shared" si="257"/>
        <v>2.2741722122021845E-5</v>
      </c>
      <c r="AB271" s="3">
        <f t="shared" si="257"/>
        <v>2.2741722121776937E-5</v>
      </c>
      <c r="AC271" s="3">
        <f t="shared" si="257"/>
        <v>2.2741722119327829E-5</v>
      </c>
      <c r="AD271" s="3">
        <f t="shared" si="257"/>
        <v>2.274172209483679E-5</v>
      </c>
      <c r="AE271" s="3">
        <f t="shared" si="257"/>
        <v>2.2741721849926378E-5</v>
      </c>
      <c r="AF271" s="3">
        <f t="shared" si="257"/>
        <v>2.2741719400822375E-5</v>
      </c>
      <c r="AG271" s="3"/>
      <c r="AH271" s="3"/>
    </row>
    <row r="272" spans="2:34" x14ac:dyDescent="0.25">
      <c r="B272" s="3">
        <f t="shared" ref="B272:AF272" si="258">$C41*EXP(-B$246/$A41/EXP(-$E$126))</f>
        <v>1.7857506760164985E-5</v>
      </c>
      <c r="C272" s="3">
        <f t="shared" si="258"/>
        <v>1.7857506760164985E-5</v>
      </c>
      <c r="D272" s="3">
        <f t="shared" si="258"/>
        <v>1.7857506760164985E-5</v>
      </c>
      <c r="E272" s="3">
        <f t="shared" si="258"/>
        <v>1.7857506760164985E-5</v>
      </c>
      <c r="F272" s="3">
        <f t="shared" si="258"/>
        <v>1.7857506760164985E-5</v>
      </c>
      <c r="G272" s="3">
        <f t="shared" si="258"/>
        <v>1.7857506760164985E-5</v>
      </c>
      <c r="H272" s="3">
        <f t="shared" si="258"/>
        <v>1.7857506760164985E-5</v>
      </c>
      <c r="I272" s="3">
        <f t="shared" si="258"/>
        <v>1.7857506760164985E-5</v>
      </c>
      <c r="J272" s="3">
        <f t="shared" si="258"/>
        <v>1.7857506760164985E-5</v>
      </c>
      <c r="K272" s="3">
        <f t="shared" si="258"/>
        <v>1.7857506760164985E-5</v>
      </c>
      <c r="L272" s="3">
        <f t="shared" si="258"/>
        <v>1.7857506760164985E-5</v>
      </c>
      <c r="M272" s="3">
        <f t="shared" si="258"/>
        <v>1.7857506760164985E-5</v>
      </c>
      <c r="N272" s="3">
        <f t="shared" si="258"/>
        <v>1.7857506760164985E-5</v>
      </c>
      <c r="O272" s="3">
        <f t="shared" si="258"/>
        <v>1.7857506760164985E-5</v>
      </c>
      <c r="P272" s="3">
        <f t="shared" si="258"/>
        <v>1.7857506760164985E-5</v>
      </c>
      <c r="Q272" s="3">
        <f t="shared" si="258"/>
        <v>1.7857506760164985E-5</v>
      </c>
      <c r="R272" s="3">
        <f t="shared" si="258"/>
        <v>1.7857506760164985E-5</v>
      </c>
      <c r="S272" s="3">
        <f t="shared" si="258"/>
        <v>1.7857506760164985E-5</v>
      </c>
      <c r="T272" s="3">
        <f t="shared" si="258"/>
        <v>1.7857506760164985E-5</v>
      </c>
      <c r="U272" s="3">
        <f t="shared" si="258"/>
        <v>1.7857506760164985E-5</v>
      </c>
      <c r="V272" s="3">
        <f t="shared" si="258"/>
        <v>1.7857506760164985E-5</v>
      </c>
      <c r="W272" s="3">
        <f t="shared" si="258"/>
        <v>1.7857506760164985E-5</v>
      </c>
      <c r="X272" s="3">
        <f t="shared" si="258"/>
        <v>1.7857506760164981E-5</v>
      </c>
      <c r="Y272" s="3">
        <f t="shared" si="258"/>
        <v>1.7857506760164964E-5</v>
      </c>
      <c r="Z272" s="3">
        <f t="shared" si="258"/>
        <v>1.7857506760164771E-5</v>
      </c>
      <c r="AA272" s="3">
        <f t="shared" si="258"/>
        <v>1.7857506760162847E-5</v>
      </c>
      <c r="AB272" s="3">
        <f t="shared" si="258"/>
        <v>1.7857506760143616E-5</v>
      </c>
      <c r="AC272" s="3">
        <f t="shared" si="258"/>
        <v>1.7857506759951305E-5</v>
      </c>
      <c r="AD272" s="3">
        <f t="shared" si="258"/>
        <v>1.7857506758028192E-5</v>
      </c>
      <c r="AE272" s="3">
        <f t="shared" si="258"/>
        <v>1.7857506738797068E-5</v>
      </c>
      <c r="AF272" s="3">
        <f t="shared" si="258"/>
        <v>1.7857506546485799E-5</v>
      </c>
      <c r="AG272" s="3"/>
      <c r="AH272" s="3"/>
    </row>
    <row r="273" spans="1:34" x14ac:dyDescent="0.25">
      <c r="B273" s="3">
        <f t="shared" ref="B273:AF273" si="259">$C42*EXP(-B$246/$A42/EXP(-$E$126))</f>
        <v>0</v>
      </c>
      <c r="C273" s="3">
        <f t="shared" si="259"/>
        <v>0</v>
      </c>
      <c r="D273" s="3">
        <f t="shared" si="259"/>
        <v>0</v>
      </c>
      <c r="E273" s="3">
        <f t="shared" si="259"/>
        <v>0</v>
      </c>
      <c r="F273" s="3">
        <f t="shared" si="259"/>
        <v>0</v>
      </c>
      <c r="G273" s="3">
        <f t="shared" si="259"/>
        <v>0</v>
      </c>
      <c r="H273" s="3">
        <f t="shared" si="259"/>
        <v>0</v>
      </c>
      <c r="I273" s="3">
        <f t="shared" si="259"/>
        <v>0</v>
      </c>
      <c r="J273" s="3">
        <f t="shared" si="259"/>
        <v>0</v>
      </c>
      <c r="K273" s="3">
        <f t="shared" si="259"/>
        <v>0</v>
      </c>
      <c r="L273" s="3">
        <f t="shared" si="259"/>
        <v>0</v>
      </c>
      <c r="M273" s="3">
        <f t="shared" si="259"/>
        <v>0</v>
      </c>
      <c r="N273" s="3">
        <f t="shared" si="259"/>
        <v>0</v>
      </c>
      <c r="O273" s="3">
        <f t="shared" si="259"/>
        <v>0</v>
      </c>
      <c r="P273" s="3">
        <f t="shared" si="259"/>
        <v>0</v>
      </c>
      <c r="Q273" s="3">
        <f t="shared" si="259"/>
        <v>0</v>
      </c>
      <c r="R273" s="3">
        <f t="shared" si="259"/>
        <v>0</v>
      </c>
      <c r="S273" s="3">
        <f t="shared" si="259"/>
        <v>0</v>
      </c>
      <c r="T273" s="3">
        <f t="shared" si="259"/>
        <v>0</v>
      </c>
      <c r="U273" s="3">
        <f t="shared" si="259"/>
        <v>0</v>
      </c>
      <c r="V273" s="3">
        <f t="shared" si="259"/>
        <v>0</v>
      </c>
      <c r="W273" s="3">
        <f t="shared" si="259"/>
        <v>0</v>
      </c>
      <c r="X273" s="3">
        <f t="shared" si="259"/>
        <v>0</v>
      </c>
      <c r="Y273" s="3">
        <f t="shared" si="259"/>
        <v>0</v>
      </c>
      <c r="Z273" s="3">
        <f t="shared" si="259"/>
        <v>0</v>
      </c>
      <c r="AA273" s="3">
        <f t="shared" si="259"/>
        <v>0</v>
      </c>
      <c r="AB273" s="3">
        <f t="shared" si="259"/>
        <v>0</v>
      </c>
      <c r="AC273" s="3">
        <f t="shared" si="259"/>
        <v>0</v>
      </c>
      <c r="AD273" s="3">
        <f t="shared" si="259"/>
        <v>0</v>
      </c>
      <c r="AE273" s="3">
        <f t="shared" si="259"/>
        <v>0</v>
      </c>
      <c r="AF273" s="3">
        <f t="shared" si="259"/>
        <v>0</v>
      </c>
      <c r="AG273" s="3"/>
      <c r="AH273" s="3"/>
    </row>
    <row r="274" spans="1:34" x14ac:dyDescent="0.25">
      <c r="B274" s="3">
        <f t="shared" ref="B274:AF274" si="260">$C43*EXP(-B$246/$A43/EXP(-$E$126))</f>
        <v>1.5759572914912317E-6</v>
      </c>
      <c r="C274" s="3">
        <f t="shared" si="260"/>
        <v>1.5759572914912317E-6</v>
      </c>
      <c r="D274" s="3">
        <f t="shared" si="260"/>
        <v>1.5759572914912317E-6</v>
      </c>
      <c r="E274" s="3">
        <f t="shared" si="260"/>
        <v>1.5759572914912317E-6</v>
      </c>
      <c r="F274" s="3">
        <f t="shared" si="260"/>
        <v>1.5759572914912317E-6</v>
      </c>
      <c r="G274" s="3">
        <f t="shared" si="260"/>
        <v>1.5759572914912317E-6</v>
      </c>
      <c r="H274" s="3">
        <f t="shared" si="260"/>
        <v>1.5759572914912317E-6</v>
      </c>
      <c r="I274" s="3">
        <f t="shared" si="260"/>
        <v>1.5759572914912317E-6</v>
      </c>
      <c r="J274" s="3">
        <f t="shared" si="260"/>
        <v>1.5759572914912317E-6</v>
      </c>
      <c r="K274" s="3">
        <f t="shared" si="260"/>
        <v>1.5759572914912317E-6</v>
      </c>
      <c r="L274" s="3">
        <f t="shared" si="260"/>
        <v>1.5759572914912317E-6</v>
      </c>
      <c r="M274" s="3">
        <f t="shared" si="260"/>
        <v>1.5759572914912317E-6</v>
      </c>
      <c r="N274" s="3">
        <f t="shared" si="260"/>
        <v>1.5759572914912317E-6</v>
      </c>
      <c r="O274" s="3">
        <f t="shared" si="260"/>
        <v>1.5759572914912317E-6</v>
      </c>
      <c r="P274" s="3">
        <f t="shared" si="260"/>
        <v>1.5759572914912317E-6</v>
      </c>
      <c r="Q274" s="3">
        <f t="shared" si="260"/>
        <v>1.5759572914912317E-6</v>
      </c>
      <c r="R274" s="3">
        <f t="shared" si="260"/>
        <v>1.5759572914912317E-6</v>
      </c>
      <c r="S274" s="3">
        <f t="shared" si="260"/>
        <v>1.5759572914912317E-6</v>
      </c>
      <c r="T274" s="3">
        <f t="shared" si="260"/>
        <v>1.5759572914912317E-6</v>
      </c>
      <c r="U274" s="3">
        <f t="shared" si="260"/>
        <v>1.5759572914912317E-6</v>
      </c>
      <c r="V274" s="3">
        <f t="shared" si="260"/>
        <v>1.5759572914912317E-6</v>
      </c>
      <c r="W274" s="3">
        <f t="shared" si="260"/>
        <v>1.5759572914912317E-6</v>
      </c>
      <c r="X274" s="3">
        <f t="shared" si="260"/>
        <v>1.5759572914912317E-6</v>
      </c>
      <c r="Y274" s="3">
        <f t="shared" si="260"/>
        <v>1.5759572914912317E-6</v>
      </c>
      <c r="Z274" s="3">
        <f t="shared" si="260"/>
        <v>1.5759572914912315E-6</v>
      </c>
      <c r="AA274" s="3">
        <f t="shared" si="260"/>
        <v>1.5759572914912298E-6</v>
      </c>
      <c r="AB274" s="3">
        <f t="shared" si="260"/>
        <v>1.5759572914912128E-6</v>
      </c>
      <c r="AC274" s="3">
        <f t="shared" si="260"/>
        <v>1.575957291491043E-6</v>
      </c>
      <c r="AD274" s="3">
        <f t="shared" si="260"/>
        <v>1.575957291489346E-6</v>
      </c>
      <c r="AE274" s="3">
        <f t="shared" si="260"/>
        <v>1.5759572914723742E-6</v>
      </c>
      <c r="AF274" s="3">
        <f t="shared" si="260"/>
        <v>1.5759572913026559E-6</v>
      </c>
      <c r="AG274" s="3"/>
      <c r="AH274" s="3"/>
    </row>
    <row r="275" spans="1:34" x14ac:dyDescent="0.25">
      <c r="B275" s="3">
        <f t="shared" ref="B275:AF275" si="261">$C44*EXP(-B$246/$A44/EXP(-$E$126))</f>
        <v>0</v>
      </c>
      <c r="C275" s="3">
        <f t="shared" si="261"/>
        <v>0</v>
      </c>
      <c r="D275" s="3">
        <f t="shared" si="261"/>
        <v>0</v>
      </c>
      <c r="E275" s="3">
        <f t="shared" si="261"/>
        <v>0</v>
      </c>
      <c r="F275" s="3">
        <f t="shared" si="261"/>
        <v>0</v>
      </c>
      <c r="G275" s="3">
        <f t="shared" si="261"/>
        <v>0</v>
      </c>
      <c r="H275" s="3">
        <f t="shared" si="261"/>
        <v>0</v>
      </c>
      <c r="I275" s="3">
        <f t="shared" si="261"/>
        <v>0</v>
      </c>
      <c r="J275" s="3">
        <f t="shared" si="261"/>
        <v>0</v>
      </c>
      <c r="K275" s="3">
        <f t="shared" si="261"/>
        <v>0</v>
      </c>
      <c r="L275" s="3">
        <f t="shared" si="261"/>
        <v>0</v>
      </c>
      <c r="M275" s="3">
        <f t="shared" si="261"/>
        <v>0</v>
      </c>
      <c r="N275" s="3">
        <f t="shared" si="261"/>
        <v>0</v>
      </c>
      <c r="O275" s="3">
        <f t="shared" si="261"/>
        <v>0</v>
      </c>
      <c r="P275" s="3">
        <f t="shared" si="261"/>
        <v>0</v>
      </c>
      <c r="Q275" s="3">
        <f t="shared" si="261"/>
        <v>0</v>
      </c>
      <c r="R275" s="3">
        <f t="shared" si="261"/>
        <v>0</v>
      </c>
      <c r="S275" s="3">
        <f t="shared" si="261"/>
        <v>0</v>
      </c>
      <c r="T275" s="3">
        <f t="shared" si="261"/>
        <v>0</v>
      </c>
      <c r="U275" s="3">
        <f t="shared" si="261"/>
        <v>0</v>
      </c>
      <c r="V275" s="3">
        <f t="shared" si="261"/>
        <v>0</v>
      </c>
      <c r="W275" s="3">
        <f t="shared" si="261"/>
        <v>0</v>
      </c>
      <c r="X275" s="3">
        <f t="shared" si="261"/>
        <v>0</v>
      </c>
      <c r="Y275" s="3">
        <f t="shared" si="261"/>
        <v>0</v>
      </c>
      <c r="Z275" s="3">
        <f t="shared" si="261"/>
        <v>0</v>
      </c>
      <c r="AA275" s="3">
        <f t="shared" si="261"/>
        <v>0</v>
      </c>
      <c r="AB275" s="3">
        <f t="shared" si="261"/>
        <v>0</v>
      </c>
      <c r="AC275" s="3">
        <f t="shared" si="261"/>
        <v>0</v>
      </c>
      <c r="AD275" s="3">
        <f t="shared" si="261"/>
        <v>0</v>
      </c>
      <c r="AE275" s="3">
        <f t="shared" si="261"/>
        <v>0</v>
      </c>
      <c r="AF275" s="3">
        <f t="shared" si="261"/>
        <v>0</v>
      </c>
      <c r="AG275" s="3"/>
      <c r="AH275" s="3"/>
    </row>
    <row r="276" spans="1:34" x14ac:dyDescent="0.25">
      <c r="B276" s="3">
        <f t="shared" ref="B276:AF276" si="262">$C45*EXP(-B$246/$A45/EXP(-$E$126))</f>
        <v>0</v>
      </c>
      <c r="C276" s="3">
        <f t="shared" si="262"/>
        <v>0</v>
      </c>
      <c r="D276" s="3">
        <f t="shared" si="262"/>
        <v>0</v>
      </c>
      <c r="E276" s="3">
        <f t="shared" si="262"/>
        <v>0</v>
      </c>
      <c r="F276" s="3">
        <f t="shared" si="262"/>
        <v>0</v>
      </c>
      <c r="G276" s="3">
        <f t="shared" si="262"/>
        <v>0</v>
      </c>
      <c r="H276" s="3">
        <f t="shared" si="262"/>
        <v>0</v>
      </c>
      <c r="I276" s="3">
        <f t="shared" si="262"/>
        <v>0</v>
      </c>
      <c r="J276" s="3">
        <f t="shared" si="262"/>
        <v>0</v>
      </c>
      <c r="K276" s="3">
        <f t="shared" si="262"/>
        <v>0</v>
      </c>
      <c r="L276" s="3">
        <f t="shared" si="262"/>
        <v>0</v>
      </c>
      <c r="M276" s="3">
        <f t="shared" si="262"/>
        <v>0</v>
      </c>
      <c r="N276" s="3">
        <f t="shared" si="262"/>
        <v>0</v>
      </c>
      <c r="O276" s="3">
        <f t="shared" si="262"/>
        <v>0</v>
      </c>
      <c r="P276" s="3">
        <f t="shared" si="262"/>
        <v>0</v>
      </c>
      <c r="Q276" s="3">
        <f t="shared" si="262"/>
        <v>0</v>
      </c>
      <c r="R276" s="3">
        <f t="shared" si="262"/>
        <v>0</v>
      </c>
      <c r="S276" s="3">
        <f t="shared" si="262"/>
        <v>0</v>
      </c>
      <c r="T276" s="3">
        <f t="shared" si="262"/>
        <v>0</v>
      </c>
      <c r="U276" s="3">
        <f t="shared" si="262"/>
        <v>0</v>
      </c>
      <c r="V276" s="3">
        <f t="shared" si="262"/>
        <v>0</v>
      </c>
      <c r="W276" s="3">
        <f t="shared" si="262"/>
        <v>0</v>
      </c>
      <c r="X276" s="3">
        <f t="shared" si="262"/>
        <v>0</v>
      </c>
      <c r="Y276" s="3">
        <f t="shared" si="262"/>
        <v>0</v>
      </c>
      <c r="Z276" s="3">
        <f t="shared" si="262"/>
        <v>0</v>
      </c>
      <c r="AA276" s="3">
        <f t="shared" si="262"/>
        <v>0</v>
      </c>
      <c r="AB276" s="3">
        <f t="shared" si="262"/>
        <v>0</v>
      </c>
      <c r="AC276" s="3">
        <f t="shared" si="262"/>
        <v>0</v>
      </c>
      <c r="AD276" s="3">
        <f t="shared" si="262"/>
        <v>0</v>
      </c>
      <c r="AE276" s="3">
        <f t="shared" si="262"/>
        <v>0</v>
      </c>
      <c r="AF276" s="3">
        <f t="shared" si="262"/>
        <v>0</v>
      </c>
      <c r="AG276" s="3"/>
      <c r="AH276" s="3"/>
    </row>
    <row r="277" spans="1:34" x14ac:dyDescent="0.25">
      <c r="B277" s="3">
        <f t="shared" ref="B277:AF277" si="263">$C46*EXP(-B$246/$A46/EXP(-$E$126))</f>
        <v>0</v>
      </c>
      <c r="C277" s="3">
        <f t="shared" si="263"/>
        <v>0</v>
      </c>
      <c r="D277" s="3">
        <f t="shared" si="263"/>
        <v>0</v>
      </c>
      <c r="E277" s="3">
        <f t="shared" si="263"/>
        <v>0</v>
      </c>
      <c r="F277" s="3">
        <f t="shared" si="263"/>
        <v>0</v>
      </c>
      <c r="G277" s="3">
        <f t="shared" si="263"/>
        <v>0</v>
      </c>
      <c r="H277" s="3">
        <f t="shared" si="263"/>
        <v>0</v>
      </c>
      <c r="I277" s="3">
        <f t="shared" si="263"/>
        <v>0</v>
      </c>
      <c r="J277" s="3">
        <f t="shared" si="263"/>
        <v>0</v>
      </c>
      <c r="K277" s="3">
        <f t="shared" si="263"/>
        <v>0</v>
      </c>
      <c r="L277" s="3">
        <f t="shared" si="263"/>
        <v>0</v>
      </c>
      <c r="M277" s="3">
        <f t="shared" si="263"/>
        <v>0</v>
      </c>
      <c r="N277" s="3">
        <f t="shared" si="263"/>
        <v>0</v>
      </c>
      <c r="O277" s="3">
        <f t="shared" si="263"/>
        <v>0</v>
      </c>
      <c r="P277" s="3">
        <f t="shared" si="263"/>
        <v>0</v>
      </c>
      <c r="Q277" s="3">
        <f t="shared" si="263"/>
        <v>0</v>
      </c>
      <c r="R277" s="3">
        <f t="shared" si="263"/>
        <v>0</v>
      </c>
      <c r="S277" s="3">
        <f t="shared" si="263"/>
        <v>0</v>
      </c>
      <c r="T277" s="3">
        <f t="shared" si="263"/>
        <v>0</v>
      </c>
      <c r="U277" s="3">
        <f t="shared" si="263"/>
        <v>0</v>
      </c>
      <c r="V277" s="3">
        <f t="shared" si="263"/>
        <v>0</v>
      </c>
      <c r="W277" s="3">
        <f t="shared" si="263"/>
        <v>0</v>
      </c>
      <c r="X277" s="3">
        <f t="shared" si="263"/>
        <v>0</v>
      </c>
      <c r="Y277" s="3">
        <f t="shared" si="263"/>
        <v>0</v>
      </c>
      <c r="Z277" s="3">
        <f t="shared" si="263"/>
        <v>0</v>
      </c>
      <c r="AA277" s="3">
        <f t="shared" si="263"/>
        <v>0</v>
      </c>
      <c r="AB277" s="3">
        <f t="shared" si="263"/>
        <v>0</v>
      </c>
      <c r="AC277" s="3">
        <f t="shared" si="263"/>
        <v>0</v>
      </c>
      <c r="AD277" s="3">
        <f t="shared" si="263"/>
        <v>0</v>
      </c>
      <c r="AE277" s="3">
        <f t="shared" si="263"/>
        <v>0</v>
      </c>
      <c r="AF277" s="3">
        <f t="shared" si="263"/>
        <v>0</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1.823122872957775E-3</v>
      </c>
      <c r="C279" s="3">
        <f t="shared" si="265"/>
        <v>1.823122872957775E-3</v>
      </c>
      <c r="D279" s="3">
        <f t="shared" si="265"/>
        <v>1.823122872957775E-3</v>
      </c>
      <c r="E279" s="3">
        <f t="shared" si="265"/>
        <v>1.823122872957775E-3</v>
      </c>
      <c r="F279" s="3">
        <f t="shared" si="265"/>
        <v>1.823122872957775E-3</v>
      </c>
      <c r="G279" s="3">
        <f t="shared" si="265"/>
        <v>1.823122872957775E-3</v>
      </c>
      <c r="H279" s="3">
        <f t="shared" si="265"/>
        <v>1.823122872957775E-3</v>
      </c>
      <c r="I279" s="3">
        <f t="shared" si="265"/>
        <v>1.823122872957775E-3</v>
      </c>
      <c r="J279" s="3">
        <f t="shared" si="265"/>
        <v>1.823122872957775E-3</v>
      </c>
      <c r="K279" s="3">
        <f t="shared" si="265"/>
        <v>1.823122872957775E-3</v>
      </c>
      <c r="L279" s="3">
        <f t="shared" si="265"/>
        <v>1.823122872957775E-3</v>
      </c>
      <c r="M279" s="3">
        <f t="shared" si="265"/>
        <v>1.823122872957775E-3</v>
      </c>
      <c r="N279" s="3">
        <f t="shared" si="265"/>
        <v>1.823122872957775E-3</v>
      </c>
      <c r="O279" s="3">
        <f t="shared" si="265"/>
        <v>1.823122872957775E-3</v>
      </c>
      <c r="P279" s="3">
        <f t="shared" si="265"/>
        <v>1.823122872957775E-3</v>
      </c>
      <c r="Q279" s="3">
        <f t="shared" si="265"/>
        <v>1.823122872957775E-3</v>
      </c>
      <c r="R279" s="3">
        <f t="shared" si="265"/>
        <v>1.823122872957775E-3</v>
      </c>
      <c r="S279" s="3">
        <f t="shared" si="265"/>
        <v>1.823122872957775E-3</v>
      </c>
      <c r="T279" s="3">
        <f t="shared" si="265"/>
        <v>1.823122872957775E-3</v>
      </c>
      <c r="U279" s="3">
        <f t="shared" si="265"/>
        <v>1.823122872957775E-3</v>
      </c>
      <c r="V279" s="3">
        <f t="shared" si="265"/>
        <v>1.823122872957775E-3</v>
      </c>
      <c r="W279" s="3">
        <f t="shared" si="265"/>
        <v>1.823122872957775E-3</v>
      </c>
      <c r="X279" s="3">
        <f t="shared" si="265"/>
        <v>1.823122872957775E-3</v>
      </c>
      <c r="Y279" s="3">
        <f t="shared" si="265"/>
        <v>1.823122872957775E-3</v>
      </c>
      <c r="Z279" s="3">
        <f t="shared" si="265"/>
        <v>1.823122872957775E-3</v>
      </c>
      <c r="AA279" s="3">
        <f t="shared" si="265"/>
        <v>1.823122872957775E-3</v>
      </c>
      <c r="AB279" s="3">
        <f t="shared" si="265"/>
        <v>1.823122872957775E-3</v>
      </c>
      <c r="AC279" s="3">
        <f t="shared" si="265"/>
        <v>1.823122872957775E-3</v>
      </c>
      <c r="AD279" s="3">
        <f t="shared" si="265"/>
        <v>1.823122872957775E-3</v>
      </c>
      <c r="AE279" s="3">
        <f t="shared" si="265"/>
        <v>1.8231228729577748E-3</v>
      </c>
      <c r="AF279" s="3">
        <f t="shared" si="265"/>
        <v>1.8231228729577728E-3</v>
      </c>
      <c r="AG279" s="3"/>
      <c r="AH279" s="3"/>
    </row>
    <row r="280" spans="1:34" x14ac:dyDescent="0.25">
      <c r="A280" s="80">
        <f>AVERAGE(B280:AF280)</f>
        <v>2.0061550779835874E-2</v>
      </c>
      <c r="B280" s="81">
        <f>IF($D$61&lt;=B246,IF($E$61&gt;=B246,ABS((B248-B247)/B247),0),0)</f>
        <v>1.0331034364334862E-3</v>
      </c>
      <c r="C280" s="81">
        <f t="shared" ref="C280:AF280" si="266">IF($D$61&lt;=C246,IF($E$61&gt;=C246,ABS((C248-C247)/C247),0),0)</f>
        <v>1.026900746462505E-3</v>
      </c>
      <c r="D280" s="81">
        <f t="shared" si="266"/>
        <v>1.0306776527535299E-3</v>
      </c>
      <c r="E280" s="81">
        <f t="shared" si="266"/>
        <v>1.0317052970903503E-3</v>
      </c>
      <c r="F280" s="81">
        <f t="shared" si="266"/>
        <v>1.0308766347311407E-3</v>
      </c>
      <c r="G280" s="81">
        <f t="shared" si="266"/>
        <v>1.0192493459352295E-3</v>
      </c>
      <c r="H280" s="81">
        <f t="shared" si="266"/>
        <v>9.0196510379517072E-4</v>
      </c>
      <c r="I280" s="81">
        <f t="shared" si="266"/>
        <v>2.6449272659846815E-4</v>
      </c>
      <c r="J280" s="81">
        <f t="shared" si="266"/>
        <v>1.1261923631060296E-2</v>
      </c>
      <c r="K280" s="81">
        <f t="shared" si="266"/>
        <v>7.491436595455675E-2</v>
      </c>
      <c r="L280" s="81">
        <f t="shared" si="266"/>
        <v>0.10504101598622523</v>
      </c>
      <c r="M280" s="81">
        <f t="shared" si="266"/>
        <v>8.745439025133929E-2</v>
      </c>
      <c r="N280" s="81">
        <f t="shared" si="266"/>
        <v>6.4690606627196029E-2</v>
      </c>
      <c r="O280" s="81">
        <f t="shared" si="266"/>
        <v>3.8579756542359074E-2</v>
      </c>
      <c r="P280" s="81">
        <f t="shared" si="266"/>
        <v>7.7529148491515612E-3</v>
      </c>
      <c r="Q280" s="81">
        <f t="shared" si="266"/>
        <v>9.0976643254236343E-3</v>
      </c>
      <c r="R280" s="81">
        <f t="shared" si="266"/>
        <v>1.4718360564456148E-2</v>
      </c>
      <c r="S280" s="81">
        <f t="shared" si="266"/>
        <v>2.9595883033035268E-3</v>
      </c>
      <c r="T280" s="81">
        <f t="shared" si="266"/>
        <v>9.5823744868243025E-3</v>
      </c>
      <c r="U280" s="81">
        <f t="shared" si="266"/>
        <v>2.5545940521062065E-2</v>
      </c>
      <c r="V280" s="81">
        <f t="shared" si="266"/>
        <v>3.9054465719654187E-2</v>
      </c>
      <c r="W280" s="81">
        <f t="shared" si="266"/>
        <v>4.4959825119501348E-2</v>
      </c>
      <c r="X280" s="81">
        <f t="shared" si="266"/>
        <v>4.3542677335361976E-2</v>
      </c>
      <c r="Y280" s="81">
        <f t="shared" si="266"/>
        <v>3.5413233013636851E-2</v>
      </c>
      <c r="Z280" s="81">
        <f t="shared" si="266"/>
        <v>0</v>
      </c>
      <c r="AA280" s="81">
        <f t="shared" si="266"/>
        <v>0</v>
      </c>
      <c r="AB280" s="81">
        <f t="shared" si="266"/>
        <v>0</v>
      </c>
      <c r="AC280" s="81">
        <f t="shared" si="266"/>
        <v>0</v>
      </c>
      <c r="AD280" s="81">
        <f t="shared" si="266"/>
        <v>0</v>
      </c>
      <c r="AE280" s="81">
        <f t="shared" si="266"/>
        <v>0</v>
      </c>
      <c r="AF280" s="81">
        <f t="shared" si="266"/>
        <v>0</v>
      </c>
    </row>
    <row r="281" spans="1:34" x14ac:dyDescent="0.25">
      <c r="B281" s="21">
        <f>(B248-B247)^2</f>
        <v>37.459317851170162</v>
      </c>
      <c r="C281" s="21">
        <f t="shared" ref="C281:AF281" si="267">(C248-C247)^2</f>
        <v>37.011319819260194</v>
      </c>
      <c r="D281" s="21">
        <f t="shared" si="267"/>
        <v>37.283791034403123</v>
      </c>
      <c r="E281" s="21">
        <f t="shared" si="267"/>
        <v>37.358090733414635</v>
      </c>
      <c r="F281" s="21">
        <f t="shared" si="267"/>
        <v>37.298077027931967</v>
      </c>
      <c r="G281" s="21">
        <f t="shared" si="267"/>
        <v>36.461438815872235</v>
      </c>
      <c r="H281" s="21">
        <f t="shared" si="267"/>
        <v>28.553019021245664</v>
      </c>
      <c r="I281" s="21">
        <f t="shared" si="267"/>
        <v>2.4552569863733988</v>
      </c>
      <c r="J281" s="21">
        <f t="shared" si="267"/>
        <v>4451.0646818188634</v>
      </c>
      <c r="K281" s="21">
        <f t="shared" si="267"/>
        <v>196817.43450300428</v>
      </c>
      <c r="L281" s="21">
        <f t="shared" si="267"/>
        <v>384411.07163791428</v>
      </c>
      <c r="M281" s="21">
        <f t="shared" si="267"/>
        <v>256292.37640074358</v>
      </c>
      <c r="N281" s="21">
        <f t="shared" si="267"/>
        <v>133485.21424796339</v>
      </c>
      <c r="O281" s="21">
        <f t="shared" si="267"/>
        <v>44910.81472627366</v>
      </c>
      <c r="P281" s="21">
        <f t="shared" si="267"/>
        <v>1694.9124963971087</v>
      </c>
      <c r="Q281" s="21">
        <f t="shared" si="267"/>
        <v>2167.089208975598</v>
      </c>
      <c r="R281" s="21">
        <f t="shared" si="267"/>
        <v>5177.9784323713939</v>
      </c>
      <c r="S281" s="21">
        <f t="shared" si="267"/>
        <v>185.27467003648886</v>
      </c>
      <c r="T281" s="21">
        <f t="shared" si="267"/>
        <v>1676.0562528972403</v>
      </c>
      <c r="U281" s="21">
        <f t="shared" si="267"/>
        <v>10136.524234880733</v>
      </c>
      <c r="V281" s="21">
        <f t="shared" si="267"/>
        <v>19860.657649240256</v>
      </c>
      <c r="W281" s="21">
        <f t="shared" si="267"/>
        <v>21516.051239353466</v>
      </c>
      <c r="X281" s="21">
        <f t="shared" si="267"/>
        <v>15306.253354162343</v>
      </c>
      <c r="Y281" s="21">
        <f t="shared" si="267"/>
        <v>6928.111376340149</v>
      </c>
      <c r="Z281" s="21">
        <f t="shared" si="267"/>
        <v>690.00716301188413</v>
      </c>
      <c r="AA281" s="21">
        <f t="shared" si="267"/>
        <v>519.59220830971537</v>
      </c>
      <c r="AB281" s="21">
        <f t="shared" si="267"/>
        <v>730.15830316319898</v>
      </c>
      <c r="AC281" s="21">
        <f t="shared" si="267"/>
        <v>530.56975968036886</v>
      </c>
      <c r="AD281" s="21">
        <f t="shared" si="267"/>
        <v>137.15822099663637</v>
      </c>
      <c r="AE281" s="21">
        <f t="shared" si="267"/>
        <v>2.2915603330585901</v>
      </c>
      <c r="AF281" s="21">
        <f t="shared" si="267"/>
        <v>2.1584677348324047E-2</v>
      </c>
      <c r="AG281" s="3"/>
      <c r="AH281" s="3"/>
    </row>
    <row r="282" spans="1:34" s="3" customFormat="1" x14ac:dyDescent="0.25">
      <c r="A282" s="72">
        <f>SUM(B282:AF282)</f>
        <v>1105270.7654236625</v>
      </c>
      <c r="B282" s="21">
        <f>IF($D$61&lt;=B246,IF($E$61&gt;=B246,ABS(B281),0),0)</f>
        <v>37.459317851170162</v>
      </c>
      <c r="C282" s="21">
        <f t="shared" ref="C282:AF282" si="268">IF($D$61&lt;=C246,IF($E$61&gt;=C246,ABS(C281),0),0)</f>
        <v>37.011319819260194</v>
      </c>
      <c r="D282" s="21">
        <f t="shared" si="268"/>
        <v>37.283791034403123</v>
      </c>
      <c r="E282" s="21">
        <f t="shared" si="268"/>
        <v>37.358090733414635</v>
      </c>
      <c r="F282" s="21">
        <f t="shared" si="268"/>
        <v>37.298077027931967</v>
      </c>
      <c r="G282" s="21">
        <f t="shared" si="268"/>
        <v>36.461438815872235</v>
      </c>
      <c r="H282" s="21">
        <f t="shared" si="268"/>
        <v>28.553019021245664</v>
      </c>
      <c r="I282" s="21">
        <f t="shared" si="268"/>
        <v>2.4552569863733988</v>
      </c>
      <c r="J282" s="21">
        <f t="shared" si="268"/>
        <v>4451.0646818188634</v>
      </c>
      <c r="K282" s="21">
        <f t="shared" si="268"/>
        <v>196817.43450300428</v>
      </c>
      <c r="L282" s="21">
        <f t="shared" si="268"/>
        <v>384411.07163791428</v>
      </c>
      <c r="M282" s="21">
        <f t="shared" si="268"/>
        <v>256292.37640074358</v>
      </c>
      <c r="N282" s="21">
        <f t="shared" si="268"/>
        <v>133485.21424796339</v>
      </c>
      <c r="O282" s="21">
        <f t="shared" si="268"/>
        <v>44910.81472627366</v>
      </c>
      <c r="P282" s="21">
        <f t="shared" si="268"/>
        <v>1694.9124963971087</v>
      </c>
      <c r="Q282" s="21">
        <f t="shared" si="268"/>
        <v>2167.089208975598</v>
      </c>
      <c r="R282" s="21">
        <f t="shared" si="268"/>
        <v>5177.9784323713939</v>
      </c>
      <c r="S282" s="21">
        <f t="shared" si="268"/>
        <v>185.27467003648886</v>
      </c>
      <c r="T282" s="21">
        <f t="shared" si="268"/>
        <v>1676.0562528972403</v>
      </c>
      <c r="U282" s="21">
        <f t="shared" si="268"/>
        <v>10136.524234880733</v>
      </c>
      <c r="V282" s="21">
        <f t="shared" si="268"/>
        <v>19860.657649240256</v>
      </c>
      <c r="W282" s="21">
        <f t="shared" si="268"/>
        <v>21516.051239353466</v>
      </c>
      <c r="X282" s="21">
        <f t="shared" si="268"/>
        <v>15306.253354162343</v>
      </c>
      <c r="Y282" s="21">
        <f t="shared" si="268"/>
        <v>6928.111376340149</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70" t="s">
        <v>27</v>
      </c>
      <c r="B284" s="11">
        <f>INDEX($D$1:$M$1,1,$F$122)</f>
        <v>80</v>
      </c>
    </row>
    <row r="285" spans="1:34" x14ac:dyDescent="0.25">
      <c r="A285" s="70"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5916.6915694579875</v>
      </c>
      <c r="C286" s="26">
        <f>INDEX(Comparison!$AM$3:$AS$33,G$14,$F$122)</f>
        <v>5916.7227160627044</v>
      </c>
      <c r="D286" s="26">
        <f>INDEX(Comparison!$AM$3:$AS$33,H$14,$F$122)</f>
        <v>5916.6446401256508</v>
      </c>
      <c r="E286" s="26">
        <f>INDEX(Comparison!$AM$3:$AS$33,I$14,$F$122)</f>
        <v>5916.0822262002403</v>
      </c>
      <c r="F286" s="26">
        <f>INDEX(Comparison!$AM$3:$AS$33,J$14,$F$122)</f>
        <v>5910.6250002955303</v>
      </c>
      <c r="G286" s="26">
        <f>INDEX(Comparison!$AM$3:$AS$33,K$14,$F$122)</f>
        <v>5865.0413696390469</v>
      </c>
      <c r="H286" s="26">
        <f>INDEX(Comparison!$AM$3:$AS$33,L$14,$F$122)</f>
        <v>5722.4751414535358</v>
      </c>
      <c r="I286" s="26">
        <f>INDEX(Comparison!$AM$3:$AS$33,M$14,$F$122)</f>
        <v>5576.9650996615301</v>
      </c>
      <c r="J286" s="26">
        <f>INDEX(Comparison!$AM$3:$AS$33,N$14,$F$122)</f>
        <v>5410.5738362167167</v>
      </c>
      <c r="K286" s="26">
        <f>INDEX(Comparison!$AM$3:$AS$33,O$14,$F$122)</f>
        <v>5216.1277029195053</v>
      </c>
      <c r="L286" s="26">
        <f>INDEX(Comparison!$AM$3:$AS$33,P$14,$F$122)</f>
        <v>5018.4752297884525</v>
      </c>
      <c r="M286" s="26">
        <f>INDEX(Comparison!$AM$3:$AS$33,Q$14,$F$122)</f>
        <v>4771.2929786824907</v>
      </c>
      <c r="N286" s="26">
        <f>INDEX(Comparison!$AM$3:$AS$33,R$14,$F$122)</f>
        <v>4502.260327638488</v>
      </c>
      <c r="O286" s="26">
        <f>INDEX(Comparison!$AM$3:$AS$33,S$14,$F$122)</f>
        <v>4239.8922301770135</v>
      </c>
      <c r="P286" s="26">
        <f>INDEX(Comparison!$AM$3:$AS$33,T$14,$F$122)</f>
        <v>3958.4879028609685</v>
      </c>
      <c r="Q286" s="26">
        <f>INDEX(Comparison!$AM$3:$AS$33,U$14,$F$122)</f>
        <v>3659.7650677599231</v>
      </c>
      <c r="R286" s="26">
        <f>INDEX(Comparison!$AM$3:$AS$33,V$14,$F$122)</f>
        <v>3268.126124643903</v>
      </c>
      <c r="S286" s="26">
        <f>INDEX(Comparison!$AM$3:$AS$33,W$14,$F$122)</f>
        <v>2768.9657420868534</v>
      </c>
      <c r="T286" s="26">
        <f>INDEX(Comparison!$AM$3:$AS$33,X$14,$F$122)</f>
        <v>2204.5974524100161</v>
      </c>
      <c r="U286" s="26">
        <f>INDEX(Comparison!$AM$3:$AS$33,Y$14,$F$122)</f>
        <v>1586.454168957242</v>
      </c>
      <c r="V286" s="26">
        <f>INDEX(Comparison!$AM$3:$AS$33,Z$14,$F$122)</f>
        <v>1000.0232976856266</v>
      </c>
      <c r="W286" s="26">
        <f>INDEX(Comparison!$AM$3:$AS$33,AA$14,$F$122)</f>
        <v>576.00660610456418</v>
      </c>
      <c r="X286" s="26">
        <f>INDEX(Comparison!$AM$3:$AS$33,AB$14,$F$122)</f>
        <v>321.80010935687142</v>
      </c>
      <c r="Y286" s="26">
        <f>INDEX(Comparison!$AM$3:$AS$33,AC$14,$F$122)</f>
        <v>187.89777287454069</v>
      </c>
      <c r="Z286" s="26">
        <f>INDEX(Comparison!$AM$3:$AS$33,AD$14,$F$122)</f>
        <v>146.32445551645827</v>
      </c>
      <c r="AA286" s="26">
        <f>INDEX(Comparison!$AM$3:$AS$33,AE$14,$F$122)</f>
        <v>132.67557886184474</v>
      </c>
      <c r="AB286" s="26">
        <f>INDEX(Comparison!$AM$3:$AS$33,AF$14,$F$122)</f>
        <v>124.09266721325585</v>
      </c>
      <c r="AC286" s="26">
        <f>INDEX(Comparison!$AM$3:$AS$33,AG$14,$F$122)</f>
        <v>123.97220489326934</v>
      </c>
      <c r="AD286" s="26">
        <f>INDEX(Comparison!$AM$3:$AS$33,AH$14,$F$122)</f>
        <v>123.97018586453261</v>
      </c>
      <c r="AE286" s="26">
        <f>INDEX(Comparison!$AM$3:$AS$33,AI$14,$F$122)</f>
        <v>123.96849358445334</v>
      </c>
      <c r="AF286" s="26">
        <f>INDEX(Comparison!$AM$3:$AS$33,AJ$14,$F$122)</f>
        <v>123.96695327212331</v>
      </c>
      <c r="AG286" s="26"/>
      <c r="AH286" s="26"/>
    </row>
    <row r="287" spans="1:34" x14ac:dyDescent="0.25">
      <c r="A287" s="71" t="s">
        <v>22</v>
      </c>
      <c r="B287" s="27">
        <f>($C$17+SUM(B288:B318))*$B$51</f>
        <v>5930.2794772544039</v>
      </c>
      <c r="C287" s="27">
        <f t="shared" ref="C287:AF287" si="269">($C$17+SUM(C288:C318))*$B$51</f>
        <v>5929.1248174590619</v>
      </c>
      <c r="D287" s="27">
        <f t="shared" si="269"/>
        <v>5917.690820662051</v>
      </c>
      <c r="E287" s="27">
        <f t="shared" si="269"/>
        <v>5813.9018099495779</v>
      </c>
      <c r="F287" s="27">
        <f t="shared" si="269"/>
        <v>5371.7669061873921</v>
      </c>
      <c r="G287" s="27">
        <f t="shared" si="269"/>
        <v>5282.5272916051599</v>
      </c>
      <c r="H287" s="27">
        <f t="shared" si="269"/>
        <v>5282.5068254436119</v>
      </c>
      <c r="I287" s="27">
        <f t="shared" si="269"/>
        <v>5282.3022288766124</v>
      </c>
      <c r="J287" s="27">
        <f t="shared" si="269"/>
        <v>5280.2611674466934</v>
      </c>
      <c r="K287" s="27">
        <f t="shared" si="269"/>
        <v>5260.3328152397326</v>
      </c>
      <c r="L287" s="27">
        <f t="shared" si="269"/>
        <v>5102.0548689318584</v>
      </c>
      <c r="M287" s="27">
        <f t="shared" si="269"/>
        <v>4767.8992028005487</v>
      </c>
      <c r="N287" s="27">
        <f t="shared" si="269"/>
        <v>4535.5512352861679</v>
      </c>
      <c r="O287" s="27">
        <f t="shared" si="269"/>
        <v>4259.1878557991049</v>
      </c>
      <c r="P287" s="27">
        <f t="shared" si="269"/>
        <v>3984.2595991447529</v>
      </c>
      <c r="Q287" s="27">
        <f t="shared" si="269"/>
        <v>3682.8604636927075</v>
      </c>
      <c r="R287" s="27">
        <f t="shared" si="269"/>
        <v>3323.7870504076004</v>
      </c>
      <c r="S287" s="27">
        <f t="shared" si="269"/>
        <v>2853.2679878605295</v>
      </c>
      <c r="T287" s="27">
        <f t="shared" si="269"/>
        <v>2299.5557684778346</v>
      </c>
      <c r="U287" s="27">
        <f t="shared" si="269"/>
        <v>1665.8329601561516</v>
      </c>
      <c r="V287" s="27">
        <f t="shared" si="269"/>
        <v>1020.6568249317804</v>
      </c>
      <c r="W287" s="27">
        <f t="shared" si="269"/>
        <v>595.58298567583859</v>
      </c>
      <c r="X287" s="27">
        <f t="shared" si="269"/>
        <v>326.21288855827419</v>
      </c>
      <c r="Y287" s="27">
        <f t="shared" si="269"/>
        <v>193.38700256035625</v>
      </c>
      <c r="Z287" s="27">
        <f t="shared" si="269"/>
        <v>150.85302392966824</v>
      </c>
      <c r="AA287" s="27">
        <f t="shared" si="269"/>
        <v>133.55574950624828</v>
      </c>
      <c r="AB287" s="27">
        <f t="shared" si="269"/>
        <v>126.24532288626466</v>
      </c>
      <c r="AC287" s="27">
        <f t="shared" si="269"/>
        <v>125.26187282373961</v>
      </c>
      <c r="AD287" s="27">
        <f t="shared" si="269"/>
        <v>125.14660528547985</v>
      </c>
      <c r="AE287" s="27">
        <f t="shared" si="269"/>
        <v>124.99381750271793</v>
      </c>
      <c r="AF287" s="27">
        <f t="shared" si="269"/>
        <v>124.85856659574854</v>
      </c>
      <c r="AG287" s="27"/>
      <c r="AH287" s="27"/>
    </row>
    <row r="288" spans="1:34" x14ac:dyDescent="0.25">
      <c r="B288" s="3">
        <f t="shared" ref="B288:AF288" si="270">$C18*EXP(-B$285/$A18/EXP(-$F$126))</f>
        <v>0.10922518725367242</v>
      </c>
      <c r="C288" s="3">
        <f t="shared" si="270"/>
        <v>0.10903048570697241</v>
      </c>
      <c r="D288" s="3">
        <f t="shared" si="270"/>
        <v>0.10710245732455743</v>
      </c>
      <c r="E288" s="3">
        <f t="shared" si="270"/>
        <v>8.9601301923870683E-2</v>
      </c>
      <c r="F288" s="3">
        <f t="shared" si="270"/>
        <v>1.5047458989881548E-2</v>
      </c>
      <c r="G288" s="3">
        <f t="shared" si="270"/>
        <v>2.6850455108264253E-10</v>
      </c>
      <c r="H288" s="3">
        <f t="shared" si="270"/>
        <v>8.7869161122762642E-88</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7.1825631802241871E-2</v>
      </c>
      <c r="C289" s="3">
        <f t="shared" si="271"/>
        <v>7.182563176941606E-2</v>
      </c>
      <c r="D289" s="3">
        <f t="shared" si="271"/>
        <v>7.1825631441158055E-2</v>
      </c>
      <c r="E289" s="3">
        <f t="shared" si="271"/>
        <v>7.1825628158578E-2</v>
      </c>
      <c r="F289" s="3">
        <f t="shared" si="271"/>
        <v>7.1825595332785819E-2</v>
      </c>
      <c r="G289" s="3">
        <f t="shared" si="271"/>
        <v>7.1825267075689023E-2</v>
      </c>
      <c r="H289" s="3">
        <f t="shared" si="271"/>
        <v>7.1821984587230922E-2</v>
      </c>
      <c r="I289" s="3">
        <f t="shared" si="271"/>
        <v>7.1789167952238928E-2</v>
      </c>
      <c r="J289" s="3">
        <f t="shared" si="271"/>
        <v>7.1461825167939141E-2</v>
      </c>
      <c r="K289" s="3">
        <f t="shared" si="271"/>
        <v>6.8269378117243762E-2</v>
      </c>
      <c r="L289" s="3">
        <f t="shared" si="271"/>
        <v>4.3225932764927193E-2</v>
      </c>
      <c r="M289" s="3">
        <f t="shared" si="271"/>
        <v>4.476397474084015E-4</v>
      </c>
      <c r="N289" s="3">
        <f t="shared" si="271"/>
        <v>6.3499649182980218E-24</v>
      </c>
      <c r="O289" s="3">
        <f t="shared" si="271"/>
        <v>2.0950682019333028E-222</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3.5967724091257633E-2</v>
      </c>
      <c r="C290" s="3">
        <f t="shared" si="272"/>
        <v>3.5967724089774784E-2</v>
      </c>
      <c r="D290" s="3">
        <f t="shared" si="272"/>
        <v>3.5967724074946347E-2</v>
      </c>
      <c r="E290" s="3">
        <f t="shared" si="272"/>
        <v>3.5967723926661962E-2</v>
      </c>
      <c r="F290" s="3">
        <f t="shared" si="272"/>
        <v>3.5967722443818108E-2</v>
      </c>
      <c r="G290" s="3">
        <f t="shared" si="272"/>
        <v>3.5967707615382975E-2</v>
      </c>
      <c r="H290" s="3">
        <f t="shared" si="272"/>
        <v>3.5967559331367846E-2</v>
      </c>
      <c r="I290" s="3">
        <f t="shared" si="272"/>
        <v>3.5966076524839317E-2</v>
      </c>
      <c r="J290" s="3">
        <f t="shared" si="272"/>
        <v>3.5951251821316241E-2</v>
      </c>
      <c r="K290" s="3">
        <f t="shared" si="272"/>
        <v>3.5803340450065432E-2</v>
      </c>
      <c r="L290" s="3">
        <f t="shared" si="272"/>
        <v>3.4357286710540329E-2</v>
      </c>
      <c r="M290" s="3">
        <f t="shared" si="272"/>
        <v>2.2749505870085642E-2</v>
      </c>
      <c r="N290" s="3">
        <f t="shared" si="272"/>
        <v>3.6855563640023482E-4</v>
      </c>
      <c r="O290" s="3">
        <f t="shared" si="272"/>
        <v>4.5900133706510273E-22</v>
      </c>
      <c r="P290" s="3">
        <f t="shared" si="272"/>
        <v>4.1202435056534374E-201</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4.9137716927073784E-2</v>
      </c>
      <c r="C291" s="3">
        <f t="shared" si="273"/>
        <v>4.9137716926891041E-2</v>
      </c>
      <c r="D291" s="3">
        <f t="shared" si="273"/>
        <v>4.9137716925063593E-2</v>
      </c>
      <c r="E291" s="3">
        <f t="shared" si="273"/>
        <v>4.9137716906789156E-2</v>
      </c>
      <c r="F291" s="3">
        <f t="shared" si="273"/>
        <v>4.9137716724044773E-2</v>
      </c>
      <c r="G291" s="3">
        <f t="shared" si="273"/>
        <v>4.913771489660098E-2</v>
      </c>
      <c r="H291" s="3">
        <f t="shared" si="273"/>
        <v>4.9137696622166785E-2</v>
      </c>
      <c r="I291" s="3">
        <f t="shared" si="273"/>
        <v>4.9137513878198612E-2</v>
      </c>
      <c r="J291" s="3">
        <f t="shared" si="273"/>
        <v>4.913568647589605E-2</v>
      </c>
      <c r="K291" s="3">
        <f t="shared" si="273"/>
        <v>4.9117416190268777E-2</v>
      </c>
      <c r="L291" s="3">
        <f t="shared" si="273"/>
        <v>4.8935086560064456E-2</v>
      </c>
      <c r="M291" s="3">
        <f t="shared" si="273"/>
        <v>4.7148604360108301E-2</v>
      </c>
      <c r="N291" s="3">
        <f t="shared" si="273"/>
        <v>3.2505260492142252E-2</v>
      </c>
      <c r="O291" s="3">
        <f t="shared" si="273"/>
        <v>7.8850007807652173E-4</v>
      </c>
      <c r="P291" s="3">
        <f t="shared" si="273"/>
        <v>5.562661586875115E-20</v>
      </c>
      <c r="Q291" s="3">
        <f t="shared" si="273"/>
        <v>1.6986019986574236E-181</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4.6762783367910461E-2</v>
      </c>
      <c r="C292" s="3">
        <f t="shared" si="274"/>
        <v>4.6762783367894772E-2</v>
      </c>
      <c r="D292" s="3">
        <f t="shared" si="274"/>
        <v>4.6762783367737884E-2</v>
      </c>
      <c r="E292" s="3">
        <f t="shared" si="274"/>
        <v>4.6762783366169063E-2</v>
      </c>
      <c r="F292" s="3">
        <f t="shared" si="274"/>
        <v>4.6762783350480758E-2</v>
      </c>
      <c r="G292" s="3">
        <f t="shared" si="274"/>
        <v>4.676278319359771E-2</v>
      </c>
      <c r="H292" s="3">
        <f t="shared" si="274"/>
        <v>4.6762781624767297E-2</v>
      </c>
      <c r="I292" s="3">
        <f t="shared" si="274"/>
        <v>4.6762765936466097E-2</v>
      </c>
      <c r="J292" s="3">
        <f t="shared" si="274"/>
        <v>4.6762609053743555E-2</v>
      </c>
      <c r="K292" s="3">
        <f t="shared" si="274"/>
        <v>4.6761040255465396E-2</v>
      </c>
      <c r="L292" s="3">
        <f t="shared" si="274"/>
        <v>4.6745355167056558E-2</v>
      </c>
      <c r="M292" s="3">
        <f t="shared" si="274"/>
        <v>4.6588793361282493E-2</v>
      </c>
      <c r="N292" s="3">
        <f t="shared" si="274"/>
        <v>4.5051727498883476E-2</v>
      </c>
      <c r="O292" s="3">
        <f t="shared" si="274"/>
        <v>3.2211526725351478E-2</v>
      </c>
      <c r="P292" s="3">
        <f t="shared" si="274"/>
        <v>1.1246306592579839E-3</v>
      </c>
      <c r="Q292" s="3">
        <f t="shared" si="274"/>
        <v>3.0268856395357867E-18</v>
      </c>
      <c r="R292" s="3">
        <f t="shared" si="274"/>
        <v>6.0374973522368433E-164</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5.0407962506303014E-2</v>
      </c>
      <c r="C293" s="3">
        <f t="shared" si="275"/>
        <v>5.0407962506301487E-2</v>
      </c>
      <c r="D293" s="3">
        <f t="shared" si="275"/>
        <v>5.0407962506286229E-2</v>
      </c>
      <c r="E293" s="3">
        <f t="shared" si="275"/>
        <v>5.0407962506133677E-2</v>
      </c>
      <c r="F293" s="3">
        <f t="shared" si="275"/>
        <v>5.0407962504608148E-2</v>
      </c>
      <c r="G293" s="3">
        <f t="shared" si="275"/>
        <v>5.0407962489352823E-2</v>
      </c>
      <c r="H293" s="3">
        <f t="shared" si="275"/>
        <v>5.0407962336799596E-2</v>
      </c>
      <c r="I293" s="3">
        <f t="shared" si="275"/>
        <v>5.0407960811267388E-2</v>
      </c>
      <c r="J293" s="3">
        <f t="shared" si="275"/>
        <v>5.0407945555947839E-2</v>
      </c>
      <c r="K293" s="3">
        <f t="shared" si="275"/>
        <v>5.0407793003006268E-2</v>
      </c>
      <c r="L293" s="3">
        <f t="shared" si="275"/>
        <v>5.0406267498982735E-2</v>
      </c>
      <c r="M293" s="3">
        <f t="shared" si="275"/>
        <v>5.0391014997686563E-2</v>
      </c>
      <c r="N293" s="3">
        <f t="shared" si="275"/>
        <v>5.0238743594570173E-2</v>
      </c>
      <c r="O293" s="3">
        <f t="shared" si="275"/>
        <v>4.8741108850626075E-2</v>
      </c>
      <c r="P293" s="3">
        <f t="shared" si="275"/>
        <v>3.6013203787036874E-2</v>
      </c>
      <c r="Q293" s="3">
        <f t="shared" si="275"/>
        <v>1.7463258930366934E-3</v>
      </c>
      <c r="R293" s="3">
        <f t="shared" si="275"/>
        <v>1.25533790285654E-16</v>
      </c>
      <c r="S293" s="3">
        <f t="shared" si="275"/>
        <v>4.6250254417739308E-148</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5.718231284277054E-2</v>
      </c>
      <c r="C294" s="3">
        <f t="shared" si="276"/>
        <v>5.7182312842770387E-2</v>
      </c>
      <c r="D294" s="3">
        <f t="shared" si="276"/>
        <v>5.7182312842768826E-2</v>
      </c>
      <c r="E294" s="3">
        <f t="shared" si="276"/>
        <v>5.7182312842753213E-2</v>
      </c>
      <c r="F294" s="3">
        <f t="shared" si="276"/>
        <v>5.7182312842597109E-2</v>
      </c>
      <c r="G294" s="3">
        <f t="shared" si="276"/>
        <v>5.7182312841036011E-2</v>
      </c>
      <c r="H294" s="3">
        <f t="shared" si="276"/>
        <v>5.7182312825425012E-2</v>
      </c>
      <c r="I294" s="3">
        <f t="shared" si="276"/>
        <v>5.7182312669315075E-2</v>
      </c>
      <c r="J294" s="3">
        <f t="shared" si="276"/>
        <v>5.7182311108215714E-2</v>
      </c>
      <c r="K294" s="3">
        <f t="shared" si="276"/>
        <v>5.7182295497224415E-2</v>
      </c>
      <c r="L294" s="3">
        <f t="shared" si="276"/>
        <v>5.7182139387545856E-2</v>
      </c>
      <c r="M294" s="3">
        <f t="shared" si="276"/>
        <v>5.7180578314200273E-2</v>
      </c>
      <c r="N294" s="3">
        <f t="shared" si="276"/>
        <v>5.7164969924505489E-2</v>
      </c>
      <c r="O294" s="3">
        <f t="shared" si="276"/>
        <v>5.7009120167091872E-2</v>
      </c>
      <c r="P294" s="3">
        <f t="shared" si="276"/>
        <v>5.547380175582238E-2</v>
      </c>
      <c r="Q294" s="3">
        <f t="shared" si="276"/>
        <v>4.222054613981719E-2</v>
      </c>
      <c r="R294" s="3">
        <f t="shared" si="276"/>
        <v>2.7534868894027171E-3</v>
      </c>
      <c r="S294" s="3">
        <f t="shared" si="276"/>
        <v>3.8324339135450533E-15</v>
      </c>
      <c r="T294" s="3">
        <f t="shared" si="276"/>
        <v>1.0456619170706172E-133</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8.0089931313285845E-2</v>
      </c>
      <c r="C295" s="3">
        <f t="shared" si="277"/>
        <v>8.0089931313285831E-2</v>
      </c>
      <c r="D295" s="3">
        <f t="shared" si="277"/>
        <v>8.0089931313285623E-2</v>
      </c>
      <c r="E295" s="3">
        <f t="shared" si="277"/>
        <v>8.0089931313283652E-2</v>
      </c>
      <c r="F295" s="3">
        <f t="shared" si="277"/>
        <v>8.0089931313263932E-2</v>
      </c>
      <c r="G295" s="3">
        <f t="shared" si="277"/>
        <v>8.0089931313066687E-2</v>
      </c>
      <c r="H295" s="3">
        <f t="shared" si="277"/>
        <v>8.0089931311094306E-2</v>
      </c>
      <c r="I295" s="3">
        <f t="shared" si="277"/>
        <v>8.0089931291370375E-2</v>
      </c>
      <c r="J295" s="3">
        <f t="shared" si="277"/>
        <v>8.0089931094131123E-2</v>
      </c>
      <c r="K295" s="3">
        <f t="shared" si="277"/>
        <v>8.0089929121738623E-2</v>
      </c>
      <c r="L295" s="3">
        <f t="shared" si="277"/>
        <v>8.0089909397816295E-2</v>
      </c>
      <c r="M295" s="3">
        <f t="shared" si="277"/>
        <v>8.0089712158860196E-2</v>
      </c>
      <c r="N295" s="3">
        <f t="shared" si="277"/>
        <v>8.0087739796014856E-2</v>
      </c>
      <c r="O295" s="3">
        <f t="shared" si="277"/>
        <v>8.0068018838891267E-2</v>
      </c>
      <c r="P295" s="3">
        <f t="shared" si="277"/>
        <v>7.9871076157374682E-2</v>
      </c>
      <c r="Q295" s="3">
        <f t="shared" si="277"/>
        <v>7.7928096716005327E-2</v>
      </c>
      <c r="R295" s="3">
        <f t="shared" si="277"/>
        <v>6.0917125566810726E-2</v>
      </c>
      <c r="S295" s="3">
        <f t="shared" si="277"/>
        <v>5.1903032717508365E-3</v>
      </c>
      <c r="T295" s="3">
        <f t="shared" si="277"/>
        <v>1.0464682475066521E-13</v>
      </c>
      <c r="U295" s="3">
        <f t="shared" si="277"/>
        <v>1.1616071110068302E-120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9.4725402978259585E-2</v>
      </c>
      <c r="C296" s="3">
        <f t="shared" si="278"/>
        <v>9.4725402978259585E-2</v>
      </c>
      <c r="D296" s="3">
        <f t="shared" si="278"/>
        <v>9.4725402978259557E-2</v>
      </c>
      <c r="E296" s="3">
        <f t="shared" si="278"/>
        <v>9.4725402978259349E-2</v>
      </c>
      <c r="F296" s="3">
        <f t="shared" si="278"/>
        <v>9.4725402978257253E-2</v>
      </c>
      <c r="G296" s="3">
        <f t="shared" si="278"/>
        <v>9.4725402978236201E-2</v>
      </c>
      <c r="H296" s="3">
        <f t="shared" si="278"/>
        <v>9.4725402978025758E-2</v>
      </c>
      <c r="I296" s="3">
        <f t="shared" si="278"/>
        <v>9.4725402975921358E-2</v>
      </c>
      <c r="J296" s="3">
        <f t="shared" si="278"/>
        <v>9.4725402954877358E-2</v>
      </c>
      <c r="K296" s="3">
        <f t="shared" si="278"/>
        <v>9.4725402744437262E-2</v>
      </c>
      <c r="L296" s="3">
        <f t="shared" si="278"/>
        <v>9.4725400640036386E-2</v>
      </c>
      <c r="M296" s="3">
        <f t="shared" si="278"/>
        <v>9.4725379596030168E-2</v>
      </c>
      <c r="N296" s="3">
        <f t="shared" si="278"/>
        <v>9.4725169156225239E-2</v>
      </c>
      <c r="O296" s="3">
        <f t="shared" si="278"/>
        <v>9.4723064783888547E-2</v>
      </c>
      <c r="P296" s="3">
        <f t="shared" si="278"/>
        <v>9.4702023631589485E-2</v>
      </c>
      <c r="Q296" s="3">
        <f t="shared" si="278"/>
        <v>9.4491869004163523E-2</v>
      </c>
      <c r="R296" s="3">
        <f t="shared" si="278"/>
        <v>9.2415802371105665E-2</v>
      </c>
      <c r="S296" s="3">
        <f t="shared" si="278"/>
        <v>7.4005539890970182E-2</v>
      </c>
      <c r="T296" s="3">
        <f t="shared" si="278"/>
        <v>8.0249837023498322E-3</v>
      </c>
      <c r="U296" s="3">
        <f t="shared" si="278"/>
        <v>1.8040286785361866E-12</v>
      </c>
      <c r="V296" s="3">
        <f t="shared" si="278"/>
        <v>5.9461548989951493E-109</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0.11171287761739628</v>
      </c>
      <c r="C297" s="3">
        <f t="shared" si="279"/>
        <v>0.11171287761739628</v>
      </c>
      <c r="D297" s="3">
        <f t="shared" si="279"/>
        <v>0.11171287761739628</v>
      </c>
      <c r="E297" s="3">
        <f t="shared" si="279"/>
        <v>0.11171287761739625</v>
      </c>
      <c r="F297" s="3">
        <f t="shared" si="279"/>
        <v>0.11171287761739603</v>
      </c>
      <c r="G297" s="3">
        <f t="shared" si="279"/>
        <v>0.11171287761739378</v>
      </c>
      <c r="H297" s="3">
        <f t="shared" si="279"/>
        <v>0.11171287761737139</v>
      </c>
      <c r="I297" s="3">
        <f t="shared" si="279"/>
        <v>0.11171287761714752</v>
      </c>
      <c r="J297" s="3">
        <f t="shared" si="279"/>
        <v>0.11171287761490874</v>
      </c>
      <c r="K297" s="3">
        <f t="shared" si="279"/>
        <v>0.11171287759252092</v>
      </c>
      <c r="L297" s="3">
        <f t="shared" si="279"/>
        <v>0.1117128773686427</v>
      </c>
      <c r="M297" s="3">
        <f t="shared" si="279"/>
        <v>0.11171287512986051</v>
      </c>
      <c r="N297" s="3">
        <f t="shared" si="279"/>
        <v>0.11171285274204108</v>
      </c>
      <c r="O297" s="3">
        <f t="shared" si="279"/>
        <v>0.11171262886409357</v>
      </c>
      <c r="P297" s="3">
        <f t="shared" si="279"/>
        <v>0.11171039010929465</v>
      </c>
      <c r="Q297" s="3">
        <f t="shared" si="279"/>
        <v>0.11168800502874993</v>
      </c>
      <c r="R297" s="3">
        <f t="shared" si="279"/>
        <v>0.1114644007848755</v>
      </c>
      <c r="S297" s="3">
        <f t="shared" si="279"/>
        <v>0.10925283265426769</v>
      </c>
      <c r="T297" s="3">
        <f t="shared" si="279"/>
        <v>8.9412432238945669E-2</v>
      </c>
      <c r="U297" s="3">
        <f t="shared" si="279"/>
        <v>1.2051745126193177E-2</v>
      </c>
      <c r="V297" s="3">
        <f t="shared" si="279"/>
        <v>2.3854495408296354E-11</v>
      </c>
      <c r="W297" s="3">
        <f t="shared" si="279"/>
        <v>2.2017763034565666E-98</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0.12486929252202905</v>
      </c>
      <c r="C298" s="3">
        <f t="shared" si="280"/>
        <v>0.12486929252202905</v>
      </c>
      <c r="D298" s="3">
        <f t="shared" si="280"/>
        <v>0.12486929252202905</v>
      </c>
      <c r="E298" s="3">
        <f t="shared" si="280"/>
        <v>0.12486929252202905</v>
      </c>
      <c r="F298" s="3">
        <f t="shared" si="280"/>
        <v>0.12486929252202902</v>
      </c>
      <c r="G298" s="3">
        <f t="shared" si="280"/>
        <v>0.1248692925220288</v>
      </c>
      <c r="H298" s="3">
        <f t="shared" si="280"/>
        <v>0.12486929252202654</v>
      </c>
      <c r="I298" s="3">
        <f t="shared" si="280"/>
        <v>0.12486929252200397</v>
      </c>
      <c r="J298" s="3">
        <f t="shared" si="280"/>
        <v>0.12486929252177822</v>
      </c>
      <c r="K298" s="3">
        <f t="shared" si="280"/>
        <v>0.12486929251952081</v>
      </c>
      <c r="L298" s="3">
        <f t="shared" si="280"/>
        <v>0.1248692924969467</v>
      </c>
      <c r="M298" s="3">
        <f t="shared" si="280"/>
        <v>0.12486929227120548</v>
      </c>
      <c r="N298" s="3">
        <f t="shared" si="280"/>
        <v>0.12486929001379339</v>
      </c>
      <c r="O298" s="3">
        <f t="shared" si="280"/>
        <v>0.12486926743967473</v>
      </c>
      <c r="P298" s="3">
        <f t="shared" si="280"/>
        <v>0.12486904169871252</v>
      </c>
      <c r="Q298" s="3">
        <f t="shared" si="280"/>
        <v>0.12486678431153578</v>
      </c>
      <c r="R298" s="3">
        <f t="shared" si="280"/>
        <v>0.12484421268414873</v>
      </c>
      <c r="S298" s="3">
        <f t="shared" si="280"/>
        <v>0.12461872069826435</v>
      </c>
      <c r="T298" s="3">
        <f t="shared" si="280"/>
        <v>0.12238608033598444</v>
      </c>
      <c r="U298" s="3">
        <f t="shared" si="280"/>
        <v>0.10214553755655063</v>
      </c>
      <c r="V298" s="3">
        <f t="shared" si="280"/>
        <v>1.6753020619642994E-2</v>
      </c>
      <c r="W298" s="3">
        <f t="shared" si="280"/>
        <v>2.3595564407563747E-10</v>
      </c>
      <c r="X298" s="3">
        <f t="shared" si="280"/>
        <v>7.2477439400673644E-89</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7.1899142973036512E-2</v>
      </c>
      <c r="C299" s="3">
        <f t="shared" si="281"/>
        <v>7.1899142973036512E-2</v>
      </c>
      <c r="D299" s="3">
        <f t="shared" si="281"/>
        <v>7.1899142973036512E-2</v>
      </c>
      <c r="E299" s="3">
        <f t="shared" si="281"/>
        <v>7.1899142973036512E-2</v>
      </c>
      <c r="F299" s="3">
        <f t="shared" si="281"/>
        <v>7.1899142973036512E-2</v>
      </c>
      <c r="G299" s="3">
        <f t="shared" si="281"/>
        <v>7.1899142973036498E-2</v>
      </c>
      <c r="H299" s="3">
        <f t="shared" si="281"/>
        <v>7.1899142973036387E-2</v>
      </c>
      <c r="I299" s="3">
        <f t="shared" si="281"/>
        <v>7.1899142973035207E-2</v>
      </c>
      <c r="J299" s="3">
        <f t="shared" si="281"/>
        <v>7.189914297302348E-2</v>
      </c>
      <c r="K299" s="3">
        <f t="shared" si="281"/>
        <v>7.1899142972906227E-2</v>
      </c>
      <c r="L299" s="3">
        <f t="shared" si="281"/>
        <v>7.1899142971733693E-2</v>
      </c>
      <c r="M299" s="3">
        <f t="shared" si="281"/>
        <v>7.189914296000835E-2</v>
      </c>
      <c r="N299" s="3">
        <f t="shared" si="281"/>
        <v>7.1899142842754935E-2</v>
      </c>
      <c r="O299" s="3">
        <f t="shared" si="281"/>
        <v>7.1899141670220781E-2</v>
      </c>
      <c r="P299" s="3">
        <f t="shared" si="281"/>
        <v>7.1899129944880333E-2</v>
      </c>
      <c r="Q299" s="3">
        <f t="shared" si="281"/>
        <v>7.1899012691580888E-2</v>
      </c>
      <c r="R299" s="3">
        <f t="shared" si="281"/>
        <v>7.1897840169103416E-2</v>
      </c>
      <c r="S299" s="3">
        <f t="shared" si="281"/>
        <v>7.1886115995953612E-2</v>
      </c>
      <c r="T299" s="3">
        <f t="shared" si="281"/>
        <v>7.1768979363520641E-2</v>
      </c>
      <c r="U299" s="3">
        <f t="shared" si="281"/>
        <v>7.0608059804869061E-2</v>
      </c>
      <c r="V299" s="3">
        <f t="shared" si="281"/>
        <v>5.998316207272647E-2</v>
      </c>
      <c r="W299" s="3">
        <f t="shared" si="281"/>
        <v>1.1743029172505521E-2</v>
      </c>
      <c r="X299" s="3">
        <f t="shared" si="281"/>
        <v>9.7115371212505293E-10</v>
      </c>
      <c r="Y299" s="3">
        <f t="shared" si="281"/>
        <v>1.4533369733120427E-80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4.7675556768581172E-2</v>
      </c>
      <c r="C300" s="3">
        <f t="shared" si="282"/>
        <v>4.7675556768581172E-2</v>
      </c>
      <c r="D300" s="3">
        <f t="shared" si="282"/>
        <v>4.7675556768581172E-2</v>
      </c>
      <c r="E300" s="3">
        <f t="shared" si="282"/>
        <v>4.7675556768581172E-2</v>
      </c>
      <c r="F300" s="3">
        <f t="shared" si="282"/>
        <v>4.7675556768581172E-2</v>
      </c>
      <c r="G300" s="3">
        <f t="shared" si="282"/>
        <v>4.7675556768581172E-2</v>
      </c>
      <c r="H300" s="3">
        <f t="shared" si="282"/>
        <v>4.7675556768581165E-2</v>
      </c>
      <c r="I300" s="3">
        <f t="shared" si="282"/>
        <v>4.7675556768581095E-2</v>
      </c>
      <c r="J300" s="3">
        <f t="shared" si="282"/>
        <v>4.7675556768580395E-2</v>
      </c>
      <c r="K300" s="3">
        <f t="shared" si="282"/>
        <v>4.7675556768573379E-2</v>
      </c>
      <c r="L300" s="3">
        <f t="shared" si="282"/>
        <v>4.7675556768503241E-2</v>
      </c>
      <c r="M300" s="3">
        <f t="shared" si="282"/>
        <v>4.7675556767801879E-2</v>
      </c>
      <c r="N300" s="3">
        <f t="shared" si="282"/>
        <v>4.7675556760788225E-2</v>
      </c>
      <c r="O300" s="3">
        <f t="shared" si="282"/>
        <v>4.7675556690651717E-2</v>
      </c>
      <c r="P300" s="3">
        <f t="shared" si="282"/>
        <v>4.7675555989286612E-2</v>
      </c>
      <c r="Q300" s="3">
        <f t="shared" si="282"/>
        <v>4.7675548975636174E-2</v>
      </c>
      <c r="R300" s="3">
        <f t="shared" si="282"/>
        <v>4.7675478839188518E-2</v>
      </c>
      <c r="S300" s="3">
        <f t="shared" si="282"/>
        <v>4.7674777480386753E-2</v>
      </c>
      <c r="T300" s="3">
        <f t="shared" si="282"/>
        <v>4.7667764459820933E-2</v>
      </c>
      <c r="U300" s="3">
        <f t="shared" si="282"/>
        <v>4.759769096846559E-2</v>
      </c>
      <c r="V300" s="3">
        <f t="shared" si="282"/>
        <v>4.6902596735868676E-2</v>
      </c>
      <c r="W300" s="3">
        <f t="shared" si="282"/>
        <v>4.0486190703834468E-2</v>
      </c>
      <c r="X300" s="3">
        <f t="shared" si="282"/>
        <v>9.2983781121282073E-3</v>
      </c>
      <c r="Y300" s="3">
        <f t="shared" si="282"/>
        <v>3.7967330508103005E-9</v>
      </c>
      <c r="Z300" s="3">
        <f t="shared" si="282"/>
        <v>4.8914618042347737E-73</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1.9951380582978136E-2</v>
      </c>
      <c r="C301" s="3">
        <f t="shared" si="283"/>
        <v>1.9951380582978136E-2</v>
      </c>
      <c r="D301" s="3">
        <f t="shared" si="283"/>
        <v>1.9951380582978136E-2</v>
      </c>
      <c r="E301" s="3">
        <f t="shared" si="283"/>
        <v>1.9951380582978136E-2</v>
      </c>
      <c r="F301" s="3">
        <f t="shared" si="283"/>
        <v>1.9951380582978136E-2</v>
      </c>
      <c r="G301" s="3">
        <f t="shared" si="283"/>
        <v>1.9951380582978136E-2</v>
      </c>
      <c r="H301" s="3">
        <f t="shared" si="283"/>
        <v>1.9951380582978136E-2</v>
      </c>
      <c r="I301" s="3">
        <f t="shared" si="283"/>
        <v>1.9951380582978132E-2</v>
      </c>
      <c r="J301" s="3">
        <f t="shared" si="283"/>
        <v>1.9951380582978108E-2</v>
      </c>
      <c r="K301" s="3">
        <f t="shared" si="283"/>
        <v>1.9951380582977841E-2</v>
      </c>
      <c r="L301" s="3">
        <f t="shared" si="283"/>
        <v>1.9951380582975194E-2</v>
      </c>
      <c r="M301" s="3">
        <f t="shared" si="283"/>
        <v>1.9951380582948718E-2</v>
      </c>
      <c r="N301" s="3">
        <f t="shared" si="283"/>
        <v>1.9951380582683947E-2</v>
      </c>
      <c r="O301" s="3">
        <f t="shared" si="283"/>
        <v>1.9951380580036253E-2</v>
      </c>
      <c r="P301" s="3">
        <f t="shared" si="283"/>
        <v>1.9951380553559304E-2</v>
      </c>
      <c r="Q301" s="3">
        <f t="shared" si="283"/>
        <v>1.9951380288789823E-2</v>
      </c>
      <c r="R301" s="3">
        <f t="shared" si="283"/>
        <v>1.9951377641095214E-2</v>
      </c>
      <c r="S301" s="3">
        <f t="shared" si="283"/>
        <v>1.9951351164168445E-2</v>
      </c>
      <c r="T301" s="3">
        <f t="shared" si="283"/>
        <v>1.9951086396833292E-2</v>
      </c>
      <c r="U301" s="3">
        <f t="shared" si="283"/>
        <v>1.9948438916723918E-2</v>
      </c>
      <c r="V301" s="3">
        <f t="shared" si="283"/>
        <v>1.9921983430361542E-2</v>
      </c>
      <c r="W301" s="3">
        <f t="shared" si="283"/>
        <v>1.9659350589583301E-2</v>
      </c>
      <c r="X301" s="3">
        <f t="shared" si="283"/>
        <v>1.7216112751969787E-2</v>
      </c>
      <c r="Y301" s="3">
        <f t="shared" si="283"/>
        <v>4.566615064074961E-3</v>
      </c>
      <c r="Z301" s="3">
        <f t="shared" si="283"/>
        <v>7.8738560663729578E-9</v>
      </c>
      <c r="AA301" s="3">
        <f t="shared" si="283"/>
        <v>1.8285975713363694E-66</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3.7229726854135226E-3</v>
      </c>
      <c r="C302" s="3">
        <f t="shared" si="284"/>
        <v>3.7229726854135226E-3</v>
      </c>
      <c r="D302" s="3">
        <f t="shared" si="284"/>
        <v>3.7229726854135226E-3</v>
      </c>
      <c r="E302" s="3">
        <f t="shared" si="284"/>
        <v>3.7229726854135226E-3</v>
      </c>
      <c r="F302" s="3">
        <f t="shared" si="284"/>
        <v>3.7229726854135226E-3</v>
      </c>
      <c r="G302" s="3">
        <f t="shared" si="284"/>
        <v>3.7229726854135226E-3</v>
      </c>
      <c r="H302" s="3">
        <f t="shared" si="284"/>
        <v>3.7229726854135226E-3</v>
      </c>
      <c r="I302" s="3">
        <f t="shared" si="284"/>
        <v>3.7229726854135226E-3</v>
      </c>
      <c r="J302" s="3">
        <f t="shared" si="284"/>
        <v>3.7229726854135221E-3</v>
      </c>
      <c r="K302" s="3">
        <f t="shared" si="284"/>
        <v>3.7229726854135178E-3</v>
      </c>
      <c r="L302" s="3">
        <f t="shared" si="284"/>
        <v>3.7229726854134731E-3</v>
      </c>
      <c r="M302" s="3">
        <f t="shared" si="284"/>
        <v>3.7229726854130273E-3</v>
      </c>
      <c r="N302" s="3">
        <f t="shared" si="284"/>
        <v>3.7229726854085704E-3</v>
      </c>
      <c r="O302" s="3">
        <f t="shared" si="284"/>
        <v>3.7229726853640014E-3</v>
      </c>
      <c r="P302" s="3">
        <f t="shared" si="284"/>
        <v>3.7229726849183132E-3</v>
      </c>
      <c r="Q302" s="3">
        <f t="shared" si="284"/>
        <v>3.7229726804614283E-3</v>
      </c>
      <c r="R302" s="3">
        <f t="shared" si="284"/>
        <v>3.7229726358925801E-3</v>
      </c>
      <c r="S302" s="3">
        <f t="shared" si="284"/>
        <v>3.7229721902041269E-3</v>
      </c>
      <c r="T302" s="3">
        <f t="shared" si="284"/>
        <v>3.7229677333225322E-3</v>
      </c>
      <c r="U302" s="3">
        <f t="shared" si="284"/>
        <v>3.7229231648000303E-3</v>
      </c>
      <c r="V302" s="3">
        <f t="shared" si="284"/>
        <v>3.7224775089186755E-3</v>
      </c>
      <c r="W302" s="3">
        <f t="shared" si="284"/>
        <v>3.7180238831718815E-3</v>
      </c>
      <c r="X302" s="3">
        <f t="shared" si="284"/>
        <v>3.6737796373614612E-3</v>
      </c>
      <c r="Y302" s="3">
        <f t="shared" si="284"/>
        <v>3.2592852965610043E-3</v>
      </c>
      <c r="Z302" s="3">
        <f t="shared" si="284"/>
        <v>9.8449865040113474E-4</v>
      </c>
      <c r="AA302" s="3">
        <f t="shared" si="284"/>
        <v>6.2250465305438446E-9</v>
      </c>
      <c r="AB302" s="3">
        <f t="shared" si="284"/>
        <v>6.3594179874379646E-61</v>
      </c>
      <c r="AC302" s="3">
        <f t="shared" si="284"/>
        <v>0</v>
      </c>
      <c r="AD302" s="3">
        <f t="shared" si="284"/>
        <v>0</v>
      </c>
      <c r="AE302" s="3">
        <f t="shared" si="284"/>
        <v>0</v>
      </c>
      <c r="AF302" s="3">
        <f t="shared" si="284"/>
        <v>0</v>
      </c>
      <c r="AG302" s="3"/>
      <c r="AH302" s="3"/>
    </row>
    <row r="303" spans="2:34" x14ac:dyDescent="0.25">
      <c r="B303" s="3">
        <f t="shared" ref="B303:AF303" si="285">$C33*EXP(-B$285/$A33/EXP(-$F$126))</f>
        <v>3.2258116785225384E-3</v>
      </c>
      <c r="C303" s="3">
        <f t="shared" si="285"/>
        <v>3.2258116785225384E-3</v>
      </c>
      <c r="D303" s="3">
        <f t="shared" si="285"/>
        <v>3.2258116785225384E-3</v>
      </c>
      <c r="E303" s="3">
        <f t="shared" si="285"/>
        <v>3.2258116785225384E-3</v>
      </c>
      <c r="F303" s="3">
        <f t="shared" si="285"/>
        <v>3.2258116785225384E-3</v>
      </c>
      <c r="G303" s="3">
        <f t="shared" si="285"/>
        <v>3.2258116785225384E-3</v>
      </c>
      <c r="H303" s="3">
        <f t="shared" si="285"/>
        <v>3.2258116785225384E-3</v>
      </c>
      <c r="I303" s="3">
        <f t="shared" si="285"/>
        <v>3.2258116785225384E-3</v>
      </c>
      <c r="J303" s="3">
        <f t="shared" si="285"/>
        <v>3.2258116785225384E-3</v>
      </c>
      <c r="K303" s="3">
        <f t="shared" si="285"/>
        <v>3.2258116785225379E-3</v>
      </c>
      <c r="L303" s="3">
        <f t="shared" si="285"/>
        <v>3.2258116785225345E-3</v>
      </c>
      <c r="M303" s="3">
        <f t="shared" si="285"/>
        <v>3.2258116785224998E-3</v>
      </c>
      <c r="N303" s="3">
        <f t="shared" si="285"/>
        <v>3.2258116785221511E-3</v>
      </c>
      <c r="O303" s="3">
        <f t="shared" si="285"/>
        <v>3.2258116785186678E-3</v>
      </c>
      <c r="P303" s="3">
        <f t="shared" si="285"/>
        <v>3.2258116784838315E-3</v>
      </c>
      <c r="Q303" s="3">
        <f t="shared" si="285"/>
        <v>3.225811678135473E-3</v>
      </c>
      <c r="R303" s="3">
        <f t="shared" si="285"/>
        <v>3.2258116746518815E-3</v>
      </c>
      <c r="S303" s="3">
        <f t="shared" si="285"/>
        <v>3.2258116398159713E-3</v>
      </c>
      <c r="T303" s="3">
        <f t="shared" si="285"/>
        <v>3.2258112914568902E-3</v>
      </c>
      <c r="U303" s="3">
        <f t="shared" si="285"/>
        <v>3.2258078078681476E-3</v>
      </c>
      <c r="V303" s="3">
        <f t="shared" si="285"/>
        <v>3.2257729721876286E-3</v>
      </c>
      <c r="W303" s="3">
        <f t="shared" si="285"/>
        <v>3.2254246360723547E-3</v>
      </c>
      <c r="X303" s="3">
        <f t="shared" si="285"/>
        <v>3.2219433430847612E-3</v>
      </c>
      <c r="Y303" s="3">
        <f t="shared" si="285"/>
        <v>3.1873364057338543E-3</v>
      </c>
      <c r="Z303" s="3">
        <f t="shared" si="285"/>
        <v>2.8610664449229281E-3</v>
      </c>
      <c r="AA303" s="3">
        <f t="shared" si="285"/>
        <v>9.7169138030940745E-4</v>
      </c>
      <c r="AB303" s="3">
        <f t="shared" si="285"/>
        <v>1.9839577222653968E-8</v>
      </c>
      <c r="AC303" s="3">
        <f t="shared" si="285"/>
        <v>2.4978884683589189E-55</v>
      </c>
      <c r="AD303" s="3">
        <f t="shared" si="285"/>
        <v>0</v>
      </c>
      <c r="AE303" s="3">
        <f t="shared" si="285"/>
        <v>0</v>
      </c>
      <c r="AF303" s="3">
        <f t="shared" si="285"/>
        <v>0</v>
      </c>
      <c r="AG303" s="3"/>
      <c r="AH303" s="3"/>
    </row>
    <row r="304" spans="2:34" x14ac:dyDescent="0.25">
      <c r="B304" s="3">
        <f t="shared" ref="B304:AF304" si="286">$C34*EXP(-B$285/$A34/EXP(-$F$126))</f>
        <v>4.6514491459037388E-4</v>
      </c>
      <c r="C304" s="3">
        <f t="shared" si="286"/>
        <v>4.6514491459037388E-4</v>
      </c>
      <c r="D304" s="3">
        <f t="shared" si="286"/>
        <v>4.6514491459037388E-4</v>
      </c>
      <c r="E304" s="3">
        <f t="shared" si="286"/>
        <v>4.6514491459037388E-4</v>
      </c>
      <c r="F304" s="3">
        <f t="shared" si="286"/>
        <v>4.6514491459037388E-4</v>
      </c>
      <c r="G304" s="3">
        <f t="shared" si="286"/>
        <v>4.6514491459037388E-4</v>
      </c>
      <c r="H304" s="3">
        <f t="shared" si="286"/>
        <v>4.6514491459037388E-4</v>
      </c>
      <c r="I304" s="3">
        <f t="shared" si="286"/>
        <v>4.6514491459037388E-4</v>
      </c>
      <c r="J304" s="3">
        <f t="shared" si="286"/>
        <v>4.6514491459037388E-4</v>
      </c>
      <c r="K304" s="3">
        <f t="shared" si="286"/>
        <v>4.6514491459037388E-4</v>
      </c>
      <c r="L304" s="3">
        <f t="shared" si="286"/>
        <v>4.6514491459037383E-4</v>
      </c>
      <c r="M304" s="3">
        <f t="shared" si="286"/>
        <v>4.6514491459037334E-4</v>
      </c>
      <c r="N304" s="3">
        <f t="shared" si="286"/>
        <v>4.651449145903689E-4</v>
      </c>
      <c r="O304" s="3">
        <f t="shared" si="286"/>
        <v>4.6514491459032352E-4</v>
      </c>
      <c r="P304" s="3">
        <f t="shared" si="286"/>
        <v>4.6514491458987044E-4</v>
      </c>
      <c r="Q304" s="3">
        <f t="shared" si="286"/>
        <v>4.6514491458533912E-4</v>
      </c>
      <c r="R304" s="3">
        <f t="shared" si="286"/>
        <v>4.6514491454002608E-4</v>
      </c>
      <c r="S304" s="3">
        <f t="shared" si="286"/>
        <v>4.6514491408689587E-4</v>
      </c>
      <c r="T304" s="3">
        <f t="shared" si="286"/>
        <v>4.6514490955559373E-4</v>
      </c>
      <c r="U304" s="3">
        <f t="shared" si="286"/>
        <v>4.6514486424257482E-4</v>
      </c>
      <c r="V304" s="3">
        <f t="shared" si="286"/>
        <v>4.6514441111262839E-4</v>
      </c>
      <c r="W304" s="3">
        <f t="shared" si="286"/>
        <v>4.6513987983744242E-4</v>
      </c>
      <c r="X304" s="3">
        <f t="shared" si="286"/>
        <v>4.6509456951332787E-4</v>
      </c>
      <c r="Y304" s="3">
        <f t="shared" si="286"/>
        <v>4.6464170895919713E-4</v>
      </c>
      <c r="Z304" s="3">
        <f t="shared" si="286"/>
        <v>4.6013728487206474E-4</v>
      </c>
      <c r="AA304" s="3">
        <f t="shared" si="286"/>
        <v>4.1742625395771205E-4</v>
      </c>
      <c r="AB304" s="3">
        <f t="shared" si="286"/>
        <v>1.5758073069205796E-4</v>
      </c>
      <c r="AC304" s="3">
        <f t="shared" si="286"/>
        <v>9.2626788066090723E-9</v>
      </c>
      <c r="AD304" s="3">
        <f t="shared" si="286"/>
        <v>4.5611205637006374E-51</v>
      </c>
      <c r="AE304" s="3">
        <f t="shared" si="286"/>
        <v>0</v>
      </c>
      <c r="AF304" s="3">
        <f t="shared" si="286"/>
        <v>0</v>
      </c>
      <c r="AG304" s="3"/>
      <c r="AH304" s="3"/>
    </row>
    <row r="305" spans="1:34" x14ac:dyDescent="0.25">
      <c r="B305" s="3">
        <f t="shared" ref="B305:AF305" si="287">$C35*EXP(-B$285/$A35/EXP(-$F$126))</f>
        <v>1.1429544870574336E-5</v>
      </c>
      <c r="C305" s="3">
        <f t="shared" si="287"/>
        <v>1.1429544870574336E-5</v>
      </c>
      <c r="D305" s="3">
        <f t="shared" si="287"/>
        <v>1.1429544870574336E-5</v>
      </c>
      <c r="E305" s="3">
        <f t="shared" si="287"/>
        <v>1.1429544870574336E-5</v>
      </c>
      <c r="F305" s="3">
        <f t="shared" si="287"/>
        <v>1.1429544870574336E-5</v>
      </c>
      <c r="G305" s="3">
        <f t="shared" si="287"/>
        <v>1.1429544870574336E-5</v>
      </c>
      <c r="H305" s="3">
        <f t="shared" si="287"/>
        <v>1.1429544870574336E-5</v>
      </c>
      <c r="I305" s="3">
        <f t="shared" si="287"/>
        <v>1.1429544870574336E-5</v>
      </c>
      <c r="J305" s="3">
        <f t="shared" si="287"/>
        <v>1.1429544870574336E-5</v>
      </c>
      <c r="K305" s="3">
        <f t="shared" si="287"/>
        <v>1.1429544870574336E-5</v>
      </c>
      <c r="L305" s="3">
        <f t="shared" si="287"/>
        <v>1.1429544870574336E-5</v>
      </c>
      <c r="M305" s="3">
        <f t="shared" si="287"/>
        <v>1.1429544870574334E-5</v>
      </c>
      <c r="N305" s="3">
        <f t="shared" si="287"/>
        <v>1.1429544870574324E-5</v>
      </c>
      <c r="O305" s="3">
        <f t="shared" si="287"/>
        <v>1.1429544870574224E-5</v>
      </c>
      <c r="P305" s="3">
        <f t="shared" si="287"/>
        <v>1.1429544870573221E-5</v>
      </c>
      <c r="Q305" s="3">
        <f t="shared" si="287"/>
        <v>1.1429544870563175E-5</v>
      </c>
      <c r="R305" s="3">
        <f t="shared" si="287"/>
        <v>1.1429544870462734E-5</v>
      </c>
      <c r="S305" s="3">
        <f t="shared" si="287"/>
        <v>1.1429544869458327E-5</v>
      </c>
      <c r="T305" s="3">
        <f t="shared" si="287"/>
        <v>1.1429544859414245E-5</v>
      </c>
      <c r="U305" s="3">
        <f t="shared" si="287"/>
        <v>1.142954475897342E-5</v>
      </c>
      <c r="V305" s="3">
        <f t="shared" si="287"/>
        <v>1.1429543754565217E-5</v>
      </c>
      <c r="W305" s="3">
        <f t="shared" si="287"/>
        <v>1.1429533710488048E-5</v>
      </c>
      <c r="X305" s="3">
        <f t="shared" si="287"/>
        <v>1.1429433270201816E-5</v>
      </c>
      <c r="Y305" s="3">
        <f t="shared" si="287"/>
        <v>1.1428428915883851E-5</v>
      </c>
      <c r="Z305" s="3">
        <f t="shared" si="287"/>
        <v>1.1418390225560273E-5</v>
      </c>
      <c r="AA305" s="3">
        <f t="shared" si="287"/>
        <v>1.1318487033729392E-5</v>
      </c>
      <c r="AB305" s="3">
        <f t="shared" si="287"/>
        <v>1.0366289759839499E-5</v>
      </c>
      <c r="AC305" s="3">
        <f t="shared" si="287"/>
        <v>4.3049985426079285E-6</v>
      </c>
      <c r="AD305" s="3">
        <f t="shared" si="287"/>
        <v>6.5685521935007794E-10</v>
      </c>
      <c r="AE305" s="3">
        <f t="shared" si="287"/>
        <v>4.49196246893867E-48</v>
      </c>
      <c r="AF305" s="3">
        <f t="shared" si="287"/>
        <v>0</v>
      </c>
      <c r="AG305" s="3"/>
      <c r="AH305" s="3"/>
    </row>
    <row r="306" spans="1:34" x14ac:dyDescent="0.25">
      <c r="B306" s="3">
        <f t="shared" ref="B306:AF306" si="288">$C36*EXP(-B$285/$A36/EXP(-$F$126))</f>
        <v>2.5915484418969715E-5</v>
      </c>
      <c r="C306" s="3">
        <f t="shared" si="288"/>
        <v>2.5915484418969715E-5</v>
      </c>
      <c r="D306" s="3">
        <f t="shared" si="288"/>
        <v>2.5915484418969715E-5</v>
      </c>
      <c r="E306" s="3">
        <f t="shared" si="288"/>
        <v>2.5915484418969715E-5</v>
      </c>
      <c r="F306" s="3">
        <f t="shared" si="288"/>
        <v>2.5915484418969715E-5</v>
      </c>
      <c r="G306" s="3">
        <f t="shared" si="288"/>
        <v>2.5915484418969715E-5</v>
      </c>
      <c r="H306" s="3">
        <f t="shared" si="288"/>
        <v>2.5915484418969715E-5</v>
      </c>
      <c r="I306" s="3">
        <f t="shared" si="288"/>
        <v>2.5915484418969715E-5</v>
      </c>
      <c r="J306" s="3">
        <f t="shared" si="288"/>
        <v>2.5915484418969715E-5</v>
      </c>
      <c r="K306" s="3">
        <f t="shared" si="288"/>
        <v>2.5915484418969715E-5</v>
      </c>
      <c r="L306" s="3">
        <f t="shared" si="288"/>
        <v>2.5915484418969715E-5</v>
      </c>
      <c r="M306" s="3">
        <f t="shared" si="288"/>
        <v>2.5915484418969715E-5</v>
      </c>
      <c r="N306" s="3">
        <f t="shared" si="288"/>
        <v>2.5915484418969712E-5</v>
      </c>
      <c r="O306" s="3">
        <f t="shared" si="288"/>
        <v>2.5915484418969691E-5</v>
      </c>
      <c r="P306" s="3">
        <f t="shared" si="288"/>
        <v>2.5915484418969488E-5</v>
      </c>
      <c r="Q306" s="3">
        <f t="shared" si="288"/>
        <v>2.5915484418967435E-5</v>
      </c>
      <c r="R306" s="3">
        <f t="shared" si="288"/>
        <v>2.5915484418946886E-5</v>
      </c>
      <c r="S306" s="3">
        <f t="shared" si="288"/>
        <v>2.5915484418741446E-5</v>
      </c>
      <c r="T306" s="3">
        <f t="shared" si="288"/>
        <v>2.5915484416687036E-5</v>
      </c>
      <c r="U306" s="3">
        <f t="shared" si="288"/>
        <v>2.5915484396142929E-5</v>
      </c>
      <c r="V306" s="3">
        <f t="shared" si="288"/>
        <v>2.5915484190701864E-5</v>
      </c>
      <c r="W306" s="3">
        <f t="shared" si="288"/>
        <v>2.5915482136291308E-5</v>
      </c>
      <c r="X306" s="3">
        <f t="shared" si="288"/>
        <v>2.5915461592194696E-5</v>
      </c>
      <c r="Y306" s="3">
        <f t="shared" si="288"/>
        <v>2.5915256152124287E-5</v>
      </c>
      <c r="Z306" s="3">
        <f t="shared" si="288"/>
        <v>2.5913201840990445E-5</v>
      </c>
      <c r="AA306" s="3">
        <f t="shared" si="288"/>
        <v>2.5892667684049104E-5</v>
      </c>
      <c r="AB306" s="3">
        <f t="shared" si="288"/>
        <v>2.5688218933469493E-5</v>
      </c>
      <c r="AC306" s="3">
        <f t="shared" si="288"/>
        <v>2.3730449172585626E-5</v>
      </c>
      <c r="AD306" s="3">
        <f t="shared" si="288"/>
        <v>1.0740527364293896E-5</v>
      </c>
      <c r="AE306" s="3">
        <f t="shared" si="288"/>
        <v>3.8745572152907937E-9</v>
      </c>
      <c r="AF306" s="3">
        <f t="shared" si="288"/>
        <v>1.4460616342893996E-43</v>
      </c>
      <c r="AG306" s="3"/>
      <c r="AH306" s="3"/>
    </row>
    <row r="307" spans="1:34" x14ac:dyDescent="0.25">
      <c r="B307" s="3">
        <f t="shared" ref="B307:AF307" si="289">$C37*EXP(-B$285/$A37/EXP(-$F$126))</f>
        <v>2.9552981931303355E-5</v>
      </c>
      <c r="C307" s="3">
        <f t="shared" si="289"/>
        <v>2.9552981931303355E-5</v>
      </c>
      <c r="D307" s="3">
        <f t="shared" si="289"/>
        <v>2.9552981931303355E-5</v>
      </c>
      <c r="E307" s="3">
        <f t="shared" si="289"/>
        <v>2.9552981931303355E-5</v>
      </c>
      <c r="F307" s="3">
        <f t="shared" si="289"/>
        <v>2.9552981931303355E-5</v>
      </c>
      <c r="G307" s="3">
        <f t="shared" si="289"/>
        <v>2.9552981931303355E-5</v>
      </c>
      <c r="H307" s="3">
        <f t="shared" si="289"/>
        <v>2.9552981931303355E-5</v>
      </c>
      <c r="I307" s="3">
        <f t="shared" si="289"/>
        <v>2.9552981931303355E-5</v>
      </c>
      <c r="J307" s="3">
        <f t="shared" si="289"/>
        <v>2.9552981931303355E-5</v>
      </c>
      <c r="K307" s="3">
        <f t="shared" si="289"/>
        <v>2.9552981931303355E-5</v>
      </c>
      <c r="L307" s="3">
        <f t="shared" si="289"/>
        <v>2.9552981931303355E-5</v>
      </c>
      <c r="M307" s="3">
        <f t="shared" si="289"/>
        <v>2.9552981931303355E-5</v>
      </c>
      <c r="N307" s="3">
        <f t="shared" si="289"/>
        <v>2.9552981931303355E-5</v>
      </c>
      <c r="O307" s="3">
        <f t="shared" si="289"/>
        <v>2.9552981931303352E-5</v>
      </c>
      <c r="P307" s="3">
        <f t="shared" si="289"/>
        <v>2.9552981931303331E-5</v>
      </c>
      <c r="Q307" s="3">
        <f t="shared" si="289"/>
        <v>2.9552981931303118E-5</v>
      </c>
      <c r="R307" s="3">
        <f t="shared" si="289"/>
        <v>2.9552981931301007E-5</v>
      </c>
      <c r="S307" s="3">
        <f t="shared" si="289"/>
        <v>2.9552981931279872E-5</v>
      </c>
      <c r="T307" s="3">
        <f t="shared" si="289"/>
        <v>2.9552981931068537E-5</v>
      </c>
      <c r="U307" s="3">
        <f t="shared" si="289"/>
        <v>2.9552981928955163E-5</v>
      </c>
      <c r="V307" s="3">
        <f t="shared" si="289"/>
        <v>2.955298190782145E-5</v>
      </c>
      <c r="W307" s="3">
        <f t="shared" si="289"/>
        <v>2.9552981696484311E-5</v>
      </c>
      <c r="X307" s="3">
        <f t="shared" si="289"/>
        <v>2.9552979583112994E-5</v>
      </c>
      <c r="Y307" s="3">
        <f t="shared" si="289"/>
        <v>2.9552958449408168E-5</v>
      </c>
      <c r="Z307" s="3">
        <f t="shared" si="289"/>
        <v>2.9552747113191114E-5</v>
      </c>
      <c r="AA307" s="3">
        <f t="shared" si="289"/>
        <v>2.9550633834139545E-5</v>
      </c>
      <c r="AB307" s="3">
        <f t="shared" si="289"/>
        <v>2.952950935332425E-5</v>
      </c>
      <c r="AC307" s="3">
        <f t="shared" si="289"/>
        <v>2.9319093320728849E-5</v>
      </c>
      <c r="AD307" s="3">
        <f t="shared" si="289"/>
        <v>2.7295658994581342E-5</v>
      </c>
      <c r="AE307" s="3">
        <f t="shared" si="289"/>
        <v>1.3351315673634888E-5</v>
      </c>
      <c r="AF307" s="3">
        <f t="shared" si="289"/>
        <v>1.0467160146941461E-8</v>
      </c>
      <c r="AG307" s="3"/>
      <c r="AH307" s="3"/>
    </row>
    <row r="308" spans="1:34" x14ac:dyDescent="0.25">
      <c r="B308" s="3">
        <f t="shared" ref="B308:AF308" si="290">$C38*EXP(-B$285/$A38/EXP(-$F$126))</f>
        <v>3.2731039559542382E-6</v>
      </c>
      <c r="C308" s="3">
        <f t="shared" si="290"/>
        <v>3.2731039559542382E-6</v>
      </c>
      <c r="D308" s="3">
        <f t="shared" si="290"/>
        <v>3.2731039559542382E-6</v>
      </c>
      <c r="E308" s="3">
        <f t="shared" si="290"/>
        <v>3.2731039559542382E-6</v>
      </c>
      <c r="F308" s="3">
        <f t="shared" si="290"/>
        <v>3.2731039559542382E-6</v>
      </c>
      <c r="G308" s="3">
        <f t="shared" si="290"/>
        <v>3.2731039559542382E-6</v>
      </c>
      <c r="H308" s="3">
        <f t="shared" si="290"/>
        <v>3.2731039559542382E-6</v>
      </c>
      <c r="I308" s="3">
        <f t="shared" si="290"/>
        <v>3.2731039559542382E-6</v>
      </c>
      <c r="J308" s="3">
        <f t="shared" si="290"/>
        <v>3.2731039559542382E-6</v>
      </c>
      <c r="K308" s="3">
        <f t="shared" si="290"/>
        <v>3.2731039559542382E-6</v>
      </c>
      <c r="L308" s="3">
        <f t="shared" si="290"/>
        <v>3.2731039559542382E-6</v>
      </c>
      <c r="M308" s="3">
        <f t="shared" si="290"/>
        <v>3.2731039559542382E-6</v>
      </c>
      <c r="N308" s="3">
        <f t="shared" si="290"/>
        <v>3.2731039559542382E-6</v>
      </c>
      <c r="O308" s="3">
        <f t="shared" si="290"/>
        <v>3.2731039559542382E-6</v>
      </c>
      <c r="P308" s="3">
        <f t="shared" si="290"/>
        <v>3.2731039559542378E-6</v>
      </c>
      <c r="Q308" s="3">
        <f t="shared" si="290"/>
        <v>3.2731039559542361E-6</v>
      </c>
      <c r="R308" s="3">
        <f t="shared" si="290"/>
        <v>3.2731039559542145E-6</v>
      </c>
      <c r="S308" s="3">
        <f t="shared" si="290"/>
        <v>3.2731039559540036E-6</v>
      </c>
      <c r="T308" s="3">
        <f t="shared" si="290"/>
        <v>3.2731039559518923E-6</v>
      </c>
      <c r="U308" s="3">
        <f t="shared" si="290"/>
        <v>3.2731039559307775E-6</v>
      </c>
      <c r="V308" s="3">
        <f t="shared" si="290"/>
        <v>3.2731039557196325E-6</v>
      </c>
      <c r="W308" s="3">
        <f t="shared" si="290"/>
        <v>3.2731039536081822E-6</v>
      </c>
      <c r="X308" s="3">
        <f t="shared" si="290"/>
        <v>3.273103932493677E-6</v>
      </c>
      <c r="Y308" s="3">
        <f t="shared" si="290"/>
        <v>3.2731037213486331E-6</v>
      </c>
      <c r="Z308" s="3">
        <f t="shared" si="290"/>
        <v>3.2731016098989445E-6</v>
      </c>
      <c r="AA308" s="3">
        <f t="shared" si="290"/>
        <v>3.2730804954769695E-6</v>
      </c>
      <c r="AB308" s="3">
        <f t="shared" si="290"/>
        <v>3.2728693587484519E-6</v>
      </c>
      <c r="AC308" s="3">
        <f t="shared" si="290"/>
        <v>3.2707587404076053E-6</v>
      </c>
      <c r="AD308" s="3">
        <f t="shared" si="290"/>
        <v>3.2497272729793207E-6</v>
      </c>
      <c r="AE308" s="3">
        <f t="shared" si="290"/>
        <v>3.0467088972894104E-6</v>
      </c>
      <c r="AF308" s="3">
        <f t="shared" si="290"/>
        <v>1.5983482773628381E-6</v>
      </c>
      <c r="AG308" s="3"/>
      <c r="AH308" s="3"/>
    </row>
    <row r="309" spans="1:34" x14ac:dyDescent="0.25">
      <c r="B309" s="3">
        <f t="shared" ref="B309:AF309" si="291">$C39*EXP(-B$285/$A39/EXP(-$F$126))</f>
        <v>4.7316671387144988E-5</v>
      </c>
      <c r="C309" s="3">
        <f t="shared" si="291"/>
        <v>4.7316671387144988E-5</v>
      </c>
      <c r="D309" s="3">
        <f t="shared" si="291"/>
        <v>4.7316671387144988E-5</v>
      </c>
      <c r="E309" s="3">
        <f t="shared" si="291"/>
        <v>4.7316671387144988E-5</v>
      </c>
      <c r="F309" s="3">
        <f t="shared" si="291"/>
        <v>4.7316671387144988E-5</v>
      </c>
      <c r="G309" s="3">
        <f t="shared" si="291"/>
        <v>4.7316671387144988E-5</v>
      </c>
      <c r="H309" s="3">
        <f t="shared" si="291"/>
        <v>4.7316671387144988E-5</v>
      </c>
      <c r="I309" s="3">
        <f t="shared" si="291"/>
        <v>4.7316671387144988E-5</v>
      </c>
      <c r="J309" s="3">
        <f t="shared" si="291"/>
        <v>4.7316671387144988E-5</v>
      </c>
      <c r="K309" s="3">
        <f t="shared" si="291"/>
        <v>4.7316671387144988E-5</v>
      </c>
      <c r="L309" s="3">
        <f t="shared" si="291"/>
        <v>4.7316671387144988E-5</v>
      </c>
      <c r="M309" s="3">
        <f t="shared" si="291"/>
        <v>4.7316671387144988E-5</v>
      </c>
      <c r="N309" s="3">
        <f t="shared" si="291"/>
        <v>4.7316671387144988E-5</v>
      </c>
      <c r="O309" s="3">
        <f t="shared" si="291"/>
        <v>4.7316671387144988E-5</v>
      </c>
      <c r="P309" s="3">
        <f t="shared" si="291"/>
        <v>4.7316671387144988E-5</v>
      </c>
      <c r="Q309" s="3">
        <f t="shared" si="291"/>
        <v>4.7316671387144975E-5</v>
      </c>
      <c r="R309" s="3">
        <f t="shared" si="291"/>
        <v>4.7316671387144894E-5</v>
      </c>
      <c r="S309" s="3">
        <f t="shared" si="291"/>
        <v>4.7316671387144047E-5</v>
      </c>
      <c r="T309" s="3">
        <f t="shared" si="291"/>
        <v>4.7316671387135603E-5</v>
      </c>
      <c r="U309" s="3">
        <f t="shared" si="291"/>
        <v>4.7316671387051185E-5</v>
      </c>
      <c r="V309" s="3">
        <f t="shared" si="291"/>
        <v>4.7316671386206984E-5</v>
      </c>
      <c r="W309" s="3">
        <f t="shared" si="291"/>
        <v>4.7316671377764925E-5</v>
      </c>
      <c r="X309" s="3">
        <f t="shared" si="291"/>
        <v>4.7316671293344384E-5</v>
      </c>
      <c r="Y309" s="3">
        <f t="shared" si="291"/>
        <v>4.7316670449138934E-5</v>
      </c>
      <c r="Z309" s="3">
        <f t="shared" si="291"/>
        <v>4.7316662007085244E-5</v>
      </c>
      <c r="AA309" s="3">
        <f t="shared" si="291"/>
        <v>4.7316577586631212E-5</v>
      </c>
      <c r="AB309" s="3">
        <f t="shared" si="291"/>
        <v>4.7315733390374949E-5</v>
      </c>
      <c r="AC309" s="3">
        <f t="shared" si="291"/>
        <v>4.7307292256160597E-5</v>
      </c>
      <c r="AD309" s="3">
        <f t="shared" si="291"/>
        <v>4.7222963694186405E-5</v>
      </c>
      <c r="AE309" s="3">
        <f t="shared" si="291"/>
        <v>4.6387901704745764E-5</v>
      </c>
      <c r="AF309" s="3">
        <f t="shared" si="291"/>
        <v>3.880785268694988E-5</v>
      </c>
      <c r="AG309" s="3"/>
      <c r="AH309" s="3"/>
    </row>
    <row r="310" spans="1:34" x14ac:dyDescent="0.25">
      <c r="B310" s="3">
        <f t="shared" ref="B310:AF310" si="292">$C40*EXP(-B$285/$A40/EXP(-$F$126))</f>
        <v>2.2741722122049058E-5</v>
      </c>
      <c r="C310" s="3">
        <f t="shared" si="292"/>
        <v>2.2741722122049058E-5</v>
      </c>
      <c r="D310" s="3">
        <f t="shared" si="292"/>
        <v>2.2741722122049058E-5</v>
      </c>
      <c r="E310" s="3">
        <f t="shared" si="292"/>
        <v>2.2741722122049058E-5</v>
      </c>
      <c r="F310" s="3">
        <f t="shared" si="292"/>
        <v>2.2741722122049058E-5</v>
      </c>
      <c r="G310" s="3">
        <f t="shared" si="292"/>
        <v>2.2741722122049058E-5</v>
      </c>
      <c r="H310" s="3">
        <f t="shared" si="292"/>
        <v>2.2741722122049058E-5</v>
      </c>
      <c r="I310" s="3">
        <f t="shared" si="292"/>
        <v>2.2741722122049058E-5</v>
      </c>
      <c r="J310" s="3">
        <f t="shared" si="292"/>
        <v>2.2741722122049058E-5</v>
      </c>
      <c r="K310" s="3">
        <f t="shared" si="292"/>
        <v>2.2741722122049058E-5</v>
      </c>
      <c r="L310" s="3">
        <f t="shared" si="292"/>
        <v>2.2741722122049058E-5</v>
      </c>
      <c r="M310" s="3">
        <f t="shared" si="292"/>
        <v>2.2741722122049058E-5</v>
      </c>
      <c r="N310" s="3">
        <f t="shared" si="292"/>
        <v>2.2741722122049058E-5</v>
      </c>
      <c r="O310" s="3">
        <f t="shared" si="292"/>
        <v>2.2741722122049058E-5</v>
      </c>
      <c r="P310" s="3">
        <f t="shared" si="292"/>
        <v>2.2741722122049058E-5</v>
      </c>
      <c r="Q310" s="3">
        <f t="shared" si="292"/>
        <v>2.2741722122049058E-5</v>
      </c>
      <c r="R310" s="3">
        <f t="shared" si="292"/>
        <v>2.2741722122049055E-5</v>
      </c>
      <c r="S310" s="3">
        <f t="shared" si="292"/>
        <v>2.2741722122049014E-5</v>
      </c>
      <c r="T310" s="3">
        <f t="shared" si="292"/>
        <v>2.2741722122048608E-5</v>
      </c>
      <c r="U310" s="3">
        <f t="shared" si="292"/>
        <v>2.2741722122044549E-5</v>
      </c>
      <c r="V310" s="3">
        <f t="shared" si="292"/>
        <v>2.2741722122003976E-5</v>
      </c>
      <c r="W310" s="3">
        <f t="shared" si="292"/>
        <v>2.2741722121598227E-5</v>
      </c>
      <c r="X310" s="3">
        <f t="shared" si="292"/>
        <v>2.2741722117540736E-5</v>
      </c>
      <c r="Y310" s="3">
        <f t="shared" si="292"/>
        <v>2.2741722076965852E-5</v>
      </c>
      <c r="Z310" s="3">
        <f t="shared" si="292"/>
        <v>2.2741721671216985E-5</v>
      </c>
      <c r="AA310" s="3">
        <f t="shared" si="292"/>
        <v>2.2741717613728716E-5</v>
      </c>
      <c r="AB310" s="3">
        <f t="shared" si="292"/>
        <v>2.2741677038885839E-5</v>
      </c>
      <c r="AC310" s="3">
        <f t="shared" si="292"/>
        <v>2.2741271294438616E-5</v>
      </c>
      <c r="AD310" s="3">
        <f t="shared" si="292"/>
        <v>2.2737214248093848E-5</v>
      </c>
      <c r="AE310" s="3">
        <f t="shared" si="292"/>
        <v>2.2696683571122135E-5</v>
      </c>
      <c r="AF310" s="3">
        <f t="shared" si="292"/>
        <v>2.2295329309256119E-5</v>
      </c>
      <c r="AG310" s="3"/>
      <c r="AH310" s="3"/>
    </row>
    <row r="311" spans="1:34" x14ac:dyDescent="0.25">
      <c r="B311" s="3">
        <f t="shared" ref="B311:AF311" si="293">$C41*EXP(-B$285/$A41/EXP(-$F$126))</f>
        <v>1.7857506760164985E-5</v>
      </c>
      <c r="C311" s="3">
        <f t="shared" si="293"/>
        <v>1.7857506760164985E-5</v>
      </c>
      <c r="D311" s="3">
        <f t="shared" si="293"/>
        <v>1.7857506760164985E-5</v>
      </c>
      <c r="E311" s="3">
        <f t="shared" si="293"/>
        <v>1.7857506760164985E-5</v>
      </c>
      <c r="F311" s="3">
        <f t="shared" si="293"/>
        <v>1.7857506760164985E-5</v>
      </c>
      <c r="G311" s="3">
        <f t="shared" si="293"/>
        <v>1.7857506760164985E-5</v>
      </c>
      <c r="H311" s="3">
        <f t="shared" si="293"/>
        <v>1.7857506760164985E-5</v>
      </c>
      <c r="I311" s="3">
        <f t="shared" si="293"/>
        <v>1.7857506760164985E-5</v>
      </c>
      <c r="J311" s="3">
        <f t="shared" si="293"/>
        <v>1.7857506760164985E-5</v>
      </c>
      <c r="K311" s="3">
        <f t="shared" si="293"/>
        <v>1.7857506760164985E-5</v>
      </c>
      <c r="L311" s="3">
        <f t="shared" si="293"/>
        <v>1.7857506760164985E-5</v>
      </c>
      <c r="M311" s="3">
        <f t="shared" si="293"/>
        <v>1.7857506760164985E-5</v>
      </c>
      <c r="N311" s="3">
        <f t="shared" si="293"/>
        <v>1.7857506760164985E-5</v>
      </c>
      <c r="O311" s="3">
        <f t="shared" si="293"/>
        <v>1.7857506760164985E-5</v>
      </c>
      <c r="P311" s="3">
        <f t="shared" si="293"/>
        <v>1.7857506760164985E-5</v>
      </c>
      <c r="Q311" s="3">
        <f t="shared" si="293"/>
        <v>1.7857506760164985E-5</v>
      </c>
      <c r="R311" s="3">
        <f t="shared" si="293"/>
        <v>1.7857506760164985E-5</v>
      </c>
      <c r="S311" s="3">
        <f t="shared" si="293"/>
        <v>1.7857506760164981E-5</v>
      </c>
      <c r="T311" s="3">
        <f t="shared" si="293"/>
        <v>1.7857506760164947E-5</v>
      </c>
      <c r="U311" s="3">
        <f t="shared" si="293"/>
        <v>1.7857506760164629E-5</v>
      </c>
      <c r="V311" s="3">
        <f t="shared" si="293"/>
        <v>1.7857506760161444E-5</v>
      </c>
      <c r="W311" s="3">
        <f t="shared" si="293"/>
        <v>1.7857506760129582E-5</v>
      </c>
      <c r="X311" s="3">
        <f t="shared" si="293"/>
        <v>1.7857506759810976E-5</v>
      </c>
      <c r="Y311" s="3">
        <f t="shared" si="293"/>
        <v>1.7857506756624912E-5</v>
      </c>
      <c r="Z311" s="3">
        <f t="shared" si="293"/>
        <v>1.7857506724764249E-5</v>
      </c>
      <c r="AA311" s="3">
        <f t="shared" si="293"/>
        <v>1.7857506406157634E-5</v>
      </c>
      <c r="AB311" s="3">
        <f t="shared" si="293"/>
        <v>1.7857503220091785E-5</v>
      </c>
      <c r="AC311" s="3">
        <f t="shared" si="293"/>
        <v>1.7857471359464561E-5</v>
      </c>
      <c r="AD311" s="3">
        <f t="shared" si="293"/>
        <v>1.7857152756318752E-5</v>
      </c>
      <c r="AE311" s="3">
        <f t="shared" si="293"/>
        <v>1.7853967037482721E-5</v>
      </c>
      <c r="AF311" s="3">
        <f t="shared" si="293"/>
        <v>1.7822141090699443E-5</v>
      </c>
      <c r="AG311" s="3"/>
      <c r="AH311" s="3"/>
    </row>
    <row r="312" spans="1:34" x14ac:dyDescent="0.25">
      <c r="B312" s="3">
        <f t="shared" ref="B312:AF312" si="294">$C42*EXP(-B$285/$A42/EXP(-$F$126))</f>
        <v>0</v>
      </c>
      <c r="C312" s="3">
        <f t="shared" si="294"/>
        <v>0</v>
      </c>
      <c r="D312" s="3">
        <f t="shared" si="294"/>
        <v>0</v>
      </c>
      <c r="E312" s="3">
        <f t="shared" si="294"/>
        <v>0</v>
      </c>
      <c r="F312" s="3">
        <f t="shared" si="294"/>
        <v>0</v>
      </c>
      <c r="G312" s="3">
        <f t="shared" si="294"/>
        <v>0</v>
      </c>
      <c r="H312" s="3">
        <f t="shared" si="294"/>
        <v>0</v>
      </c>
      <c r="I312" s="3">
        <f t="shared" si="294"/>
        <v>0</v>
      </c>
      <c r="J312" s="3">
        <f t="shared" si="294"/>
        <v>0</v>
      </c>
      <c r="K312" s="3">
        <f t="shared" si="294"/>
        <v>0</v>
      </c>
      <c r="L312" s="3">
        <f t="shared" si="294"/>
        <v>0</v>
      </c>
      <c r="M312" s="3">
        <f t="shared" si="294"/>
        <v>0</v>
      </c>
      <c r="N312" s="3">
        <f t="shared" si="294"/>
        <v>0</v>
      </c>
      <c r="O312" s="3">
        <f t="shared" si="294"/>
        <v>0</v>
      </c>
      <c r="P312" s="3">
        <f t="shared" si="294"/>
        <v>0</v>
      </c>
      <c r="Q312" s="3">
        <f t="shared" si="294"/>
        <v>0</v>
      </c>
      <c r="R312" s="3">
        <f t="shared" si="294"/>
        <v>0</v>
      </c>
      <c r="S312" s="3">
        <f t="shared" si="294"/>
        <v>0</v>
      </c>
      <c r="T312" s="3">
        <f t="shared" si="294"/>
        <v>0</v>
      </c>
      <c r="U312" s="3">
        <f t="shared" si="294"/>
        <v>0</v>
      </c>
      <c r="V312" s="3">
        <f t="shared" si="294"/>
        <v>0</v>
      </c>
      <c r="W312" s="3">
        <f t="shared" si="294"/>
        <v>0</v>
      </c>
      <c r="X312" s="3">
        <f t="shared" si="294"/>
        <v>0</v>
      </c>
      <c r="Y312" s="3">
        <f t="shared" si="294"/>
        <v>0</v>
      </c>
      <c r="Z312" s="3">
        <f t="shared" si="294"/>
        <v>0</v>
      </c>
      <c r="AA312" s="3">
        <f t="shared" si="294"/>
        <v>0</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1.5759572914912317E-6</v>
      </c>
      <c r="C313" s="3">
        <f t="shared" si="295"/>
        <v>1.5759572914912317E-6</v>
      </c>
      <c r="D313" s="3">
        <f t="shared" si="295"/>
        <v>1.5759572914912317E-6</v>
      </c>
      <c r="E313" s="3">
        <f t="shared" si="295"/>
        <v>1.5759572914912317E-6</v>
      </c>
      <c r="F313" s="3">
        <f t="shared" si="295"/>
        <v>1.5759572914912317E-6</v>
      </c>
      <c r="G313" s="3">
        <f t="shared" si="295"/>
        <v>1.5759572914912317E-6</v>
      </c>
      <c r="H313" s="3">
        <f t="shared" si="295"/>
        <v>1.5759572914912317E-6</v>
      </c>
      <c r="I313" s="3">
        <f t="shared" si="295"/>
        <v>1.5759572914912317E-6</v>
      </c>
      <c r="J313" s="3">
        <f t="shared" si="295"/>
        <v>1.5759572914912317E-6</v>
      </c>
      <c r="K313" s="3">
        <f t="shared" si="295"/>
        <v>1.5759572914912317E-6</v>
      </c>
      <c r="L313" s="3">
        <f t="shared" si="295"/>
        <v>1.5759572914912317E-6</v>
      </c>
      <c r="M313" s="3">
        <f t="shared" si="295"/>
        <v>1.5759572914912317E-6</v>
      </c>
      <c r="N313" s="3">
        <f t="shared" si="295"/>
        <v>1.5759572914912317E-6</v>
      </c>
      <c r="O313" s="3">
        <f t="shared" si="295"/>
        <v>1.5759572914912317E-6</v>
      </c>
      <c r="P313" s="3">
        <f t="shared" si="295"/>
        <v>1.5759572914912317E-6</v>
      </c>
      <c r="Q313" s="3">
        <f t="shared" si="295"/>
        <v>1.5759572914912317E-6</v>
      </c>
      <c r="R313" s="3">
        <f t="shared" si="295"/>
        <v>1.5759572914912317E-6</v>
      </c>
      <c r="S313" s="3">
        <f t="shared" si="295"/>
        <v>1.5759572914912317E-6</v>
      </c>
      <c r="T313" s="3">
        <f t="shared" si="295"/>
        <v>1.5759572914912317E-6</v>
      </c>
      <c r="U313" s="3">
        <f t="shared" si="295"/>
        <v>1.5759572914912313E-6</v>
      </c>
      <c r="V313" s="3">
        <f t="shared" si="295"/>
        <v>1.5759572914912285E-6</v>
      </c>
      <c r="W313" s="3">
        <f t="shared" si="295"/>
        <v>1.5759572914912003E-6</v>
      </c>
      <c r="X313" s="3">
        <f t="shared" si="295"/>
        <v>1.5759572914909191E-6</v>
      </c>
      <c r="Y313" s="3">
        <f t="shared" si="295"/>
        <v>1.5759572914881074E-6</v>
      </c>
      <c r="Z313" s="3">
        <f t="shared" si="295"/>
        <v>1.5759572914599899E-6</v>
      </c>
      <c r="AA313" s="3">
        <f t="shared" si="295"/>
        <v>1.5759572911788137E-6</v>
      </c>
      <c r="AB313" s="3">
        <f t="shared" si="295"/>
        <v>1.5759572883670527E-6</v>
      </c>
      <c r="AC313" s="3">
        <f t="shared" si="295"/>
        <v>1.5759572602494423E-6</v>
      </c>
      <c r="AD313" s="3">
        <f t="shared" si="295"/>
        <v>1.5759569790733646E-6</v>
      </c>
      <c r="AE313" s="3">
        <f t="shared" si="295"/>
        <v>1.5759541673153484E-6</v>
      </c>
      <c r="AF313" s="3">
        <f t="shared" si="295"/>
        <v>1.5759260500110979E-6</v>
      </c>
      <c r="AG313" s="3"/>
      <c r="AH313" s="3"/>
    </row>
    <row r="314" spans="1:34" x14ac:dyDescent="0.25">
      <c r="B314" s="3">
        <f t="shared" ref="B314:AF314" si="296">$C44*EXP(-B$285/$A44/EXP(-$F$126))</f>
        <v>0</v>
      </c>
      <c r="C314" s="3">
        <f t="shared" si="296"/>
        <v>0</v>
      </c>
      <c r="D314" s="3">
        <f t="shared" si="296"/>
        <v>0</v>
      </c>
      <c r="E314" s="3">
        <f t="shared" si="296"/>
        <v>0</v>
      </c>
      <c r="F314" s="3">
        <f t="shared" si="296"/>
        <v>0</v>
      </c>
      <c r="G314" s="3">
        <f t="shared" si="296"/>
        <v>0</v>
      </c>
      <c r="H314" s="3">
        <f t="shared" si="296"/>
        <v>0</v>
      </c>
      <c r="I314" s="3">
        <f t="shared" si="296"/>
        <v>0</v>
      </c>
      <c r="J314" s="3">
        <f t="shared" si="296"/>
        <v>0</v>
      </c>
      <c r="K314" s="3">
        <f t="shared" si="296"/>
        <v>0</v>
      </c>
      <c r="L314" s="3">
        <f t="shared" si="296"/>
        <v>0</v>
      </c>
      <c r="M314" s="3">
        <f t="shared" si="296"/>
        <v>0</v>
      </c>
      <c r="N314" s="3">
        <f t="shared" si="296"/>
        <v>0</v>
      </c>
      <c r="O314" s="3">
        <f t="shared" si="296"/>
        <v>0</v>
      </c>
      <c r="P314" s="3">
        <f t="shared" si="296"/>
        <v>0</v>
      </c>
      <c r="Q314" s="3">
        <f t="shared" si="296"/>
        <v>0</v>
      </c>
      <c r="R314" s="3">
        <f t="shared" si="296"/>
        <v>0</v>
      </c>
      <c r="S314" s="3">
        <f t="shared" si="296"/>
        <v>0</v>
      </c>
      <c r="T314" s="3">
        <f t="shared" si="296"/>
        <v>0</v>
      </c>
      <c r="U314" s="3">
        <f t="shared" si="296"/>
        <v>0</v>
      </c>
      <c r="V314" s="3">
        <f t="shared" si="296"/>
        <v>0</v>
      </c>
      <c r="W314" s="3">
        <f t="shared" si="296"/>
        <v>0</v>
      </c>
      <c r="X314" s="3">
        <f t="shared" si="296"/>
        <v>0</v>
      </c>
      <c r="Y314" s="3">
        <f t="shared" si="296"/>
        <v>0</v>
      </c>
      <c r="Z314" s="3">
        <f t="shared" si="296"/>
        <v>0</v>
      </c>
      <c r="AA314" s="3">
        <f t="shared" si="296"/>
        <v>0</v>
      </c>
      <c r="AB314" s="3">
        <f t="shared" si="296"/>
        <v>0</v>
      </c>
      <c r="AC314" s="3">
        <f t="shared" si="296"/>
        <v>0</v>
      </c>
      <c r="AD314" s="3">
        <f t="shared" si="296"/>
        <v>0</v>
      </c>
      <c r="AE314" s="3">
        <f t="shared" si="296"/>
        <v>0</v>
      </c>
      <c r="AF314" s="3">
        <f t="shared" si="296"/>
        <v>0</v>
      </c>
      <c r="AG314" s="3"/>
      <c r="AH314" s="3"/>
    </row>
    <row r="315" spans="1:34" x14ac:dyDescent="0.25">
      <c r="B315" s="3">
        <f t="shared" ref="B315:AF315" si="297">$C45*EXP(-B$285/$A45/EXP(-$F$126))</f>
        <v>0</v>
      </c>
      <c r="C315" s="3">
        <f t="shared" si="297"/>
        <v>0</v>
      </c>
      <c r="D315" s="3">
        <f t="shared" si="297"/>
        <v>0</v>
      </c>
      <c r="E315" s="3">
        <f t="shared" si="297"/>
        <v>0</v>
      </c>
      <c r="F315" s="3">
        <f t="shared" si="297"/>
        <v>0</v>
      </c>
      <c r="G315" s="3">
        <f t="shared" si="297"/>
        <v>0</v>
      </c>
      <c r="H315" s="3">
        <f t="shared" si="297"/>
        <v>0</v>
      </c>
      <c r="I315" s="3">
        <f t="shared" si="297"/>
        <v>0</v>
      </c>
      <c r="J315" s="3">
        <f t="shared" si="297"/>
        <v>0</v>
      </c>
      <c r="K315" s="3">
        <f t="shared" si="297"/>
        <v>0</v>
      </c>
      <c r="L315" s="3">
        <f t="shared" si="297"/>
        <v>0</v>
      </c>
      <c r="M315" s="3">
        <f t="shared" si="297"/>
        <v>0</v>
      </c>
      <c r="N315" s="3">
        <f t="shared" si="297"/>
        <v>0</v>
      </c>
      <c r="O315" s="3">
        <f t="shared" si="297"/>
        <v>0</v>
      </c>
      <c r="P315" s="3">
        <f t="shared" si="297"/>
        <v>0</v>
      </c>
      <c r="Q315" s="3">
        <f t="shared" si="297"/>
        <v>0</v>
      </c>
      <c r="R315" s="3">
        <f t="shared" si="297"/>
        <v>0</v>
      </c>
      <c r="S315" s="3">
        <f t="shared" si="297"/>
        <v>0</v>
      </c>
      <c r="T315" s="3">
        <f t="shared" si="297"/>
        <v>0</v>
      </c>
      <c r="U315" s="3">
        <f t="shared" si="297"/>
        <v>0</v>
      </c>
      <c r="V315" s="3">
        <f t="shared" si="297"/>
        <v>0</v>
      </c>
      <c r="W315" s="3">
        <f t="shared" si="297"/>
        <v>0</v>
      </c>
      <c r="X315" s="3">
        <f t="shared" si="297"/>
        <v>0</v>
      </c>
      <c r="Y315" s="3">
        <f t="shared" si="297"/>
        <v>0</v>
      </c>
      <c r="Z315" s="3">
        <f t="shared" si="297"/>
        <v>0</v>
      </c>
      <c r="AA315" s="3">
        <f t="shared" si="297"/>
        <v>0</v>
      </c>
      <c r="AB315" s="3">
        <f t="shared" si="297"/>
        <v>0</v>
      </c>
      <c r="AC315" s="3">
        <f t="shared" si="297"/>
        <v>0</v>
      </c>
      <c r="AD315" s="3">
        <f t="shared" si="297"/>
        <v>0</v>
      </c>
      <c r="AE315" s="3">
        <f t="shared" si="297"/>
        <v>0</v>
      </c>
      <c r="AF315" s="3">
        <f t="shared" si="297"/>
        <v>0</v>
      </c>
      <c r="AG315" s="3"/>
      <c r="AH315" s="3"/>
    </row>
    <row r="316" spans="1:34" x14ac:dyDescent="0.25">
      <c r="B316" s="3">
        <f t="shared" ref="B316:AF316" si="298">$C46*EXP(-B$285/$A46/EXP(-$F$126))</f>
        <v>0</v>
      </c>
      <c r="C316" s="3">
        <f t="shared" si="298"/>
        <v>0</v>
      </c>
      <c r="D316" s="3">
        <f t="shared" si="298"/>
        <v>0</v>
      </c>
      <c r="E316" s="3">
        <f t="shared" si="298"/>
        <v>0</v>
      </c>
      <c r="F316" s="3">
        <f t="shared" si="298"/>
        <v>0</v>
      </c>
      <c r="G316" s="3">
        <f t="shared" si="298"/>
        <v>0</v>
      </c>
      <c r="H316" s="3">
        <f t="shared" si="298"/>
        <v>0</v>
      </c>
      <c r="I316" s="3">
        <f t="shared" si="298"/>
        <v>0</v>
      </c>
      <c r="J316" s="3">
        <f t="shared" si="298"/>
        <v>0</v>
      </c>
      <c r="K316" s="3">
        <f t="shared" si="298"/>
        <v>0</v>
      </c>
      <c r="L316" s="3">
        <f t="shared" si="298"/>
        <v>0</v>
      </c>
      <c r="M316" s="3">
        <f t="shared" si="298"/>
        <v>0</v>
      </c>
      <c r="N316" s="3">
        <f t="shared" si="298"/>
        <v>0</v>
      </c>
      <c r="O316" s="3">
        <f t="shared" si="298"/>
        <v>0</v>
      </c>
      <c r="P316" s="3">
        <f t="shared" si="298"/>
        <v>0</v>
      </c>
      <c r="Q316" s="3">
        <f t="shared" si="298"/>
        <v>0</v>
      </c>
      <c r="R316" s="3">
        <f t="shared" si="298"/>
        <v>0</v>
      </c>
      <c r="S316" s="3">
        <f t="shared" si="298"/>
        <v>0</v>
      </c>
      <c r="T316" s="3">
        <f t="shared" si="298"/>
        <v>0</v>
      </c>
      <c r="U316" s="3">
        <f t="shared" si="298"/>
        <v>0</v>
      </c>
      <c r="V316" s="3">
        <f t="shared" si="298"/>
        <v>0</v>
      </c>
      <c r="W316" s="3">
        <f t="shared" si="298"/>
        <v>0</v>
      </c>
      <c r="X316" s="3">
        <f t="shared" si="298"/>
        <v>0</v>
      </c>
      <c r="Y316" s="3">
        <f t="shared" si="298"/>
        <v>0</v>
      </c>
      <c r="Z316" s="3">
        <f t="shared" si="298"/>
        <v>0</v>
      </c>
      <c r="AA316" s="3">
        <f t="shared" si="298"/>
        <v>0</v>
      </c>
      <c r="AB316" s="3">
        <f t="shared" si="298"/>
        <v>0</v>
      </c>
      <c r="AC316" s="3">
        <f t="shared" si="298"/>
        <v>0</v>
      </c>
      <c r="AD316" s="3">
        <f t="shared" si="298"/>
        <v>0</v>
      </c>
      <c r="AE316" s="3">
        <f t="shared" si="298"/>
        <v>0</v>
      </c>
      <c r="AF316" s="3">
        <f t="shared" si="298"/>
        <v>0</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1.823122872957775E-3</v>
      </c>
      <c r="C318" s="3">
        <f t="shared" si="300"/>
        <v>1.823122872957775E-3</v>
      </c>
      <c r="D318" s="3">
        <f t="shared" si="300"/>
        <v>1.823122872957775E-3</v>
      </c>
      <c r="E318" s="3">
        <f t="shared" si="300"/>
        <v>1.823122872957775E-3</v>
      </c>
      <c r="F318" s="3">
        <f t="shared" si="300"/>
        <v>1.823122872957775E-3</v>
      </c>
      <c r="G318" s="3">
        <f t="shared" si="300"/>
        <v>1.823122872957775E-3</v>
      </c>
      <c r="H318" s="3">
        <f t="shared" si="300"/>
        <v>1.823122872957775E-3</v>
      </c>
      <c r="I318" s="3">
        <f t="shared" si="300"/>
        <v>1.823122872957775E-3</v>
      </c>
      <c r="J318" s="3">
        <f t="shared" si="300"/>
        <v>1.823122872957775E-3</v>
      </c>
      <c r="K318" s="3">
        <f t="shared" si="300"/>
        <v>1.823122872957775E-3</v>
      </c>
      <c r="L318" s="3">
        <f t="shared" si="300"/>
        <v>1.823122872957775E-3</v>
      </c>
      <c r="M318" s="3">
        <f t="shared" si="300"/>
        <v>1.823122872957775E-3</v>
      </c>
      <c r="N318" s="3">
        <f t="shared" si="300"/>
        <v>1.823122872957775E-3</v>
      </c>
      <c r="O318" s="3">
        <f t="shared" si="300"/>
        <v>1.823122872957775E-3</v>
      </c>
      <c r="P318" s="3">
        <f t="shared" si="300"/>
        <v>1.823122872957775E-3</v>
      </c>
      <c r="Q318" s="3">
        <f t="shared" si="300"/>
        <v>1.823122872957775E-3</v>
      </c>
      <c r="R318" s="3">
        <f t="shared" si="300"/>
        <v>1.823122872957775E-3</v>
      </c>
      <c r="S318" s="3">
        <f t="shared" si="300"/>
        <v>1.823122872957775E-3</v>
      </c>
      <c r="T318" s="3">
        <f t="shared" si="300"/>
        <v>1.823122872957775E-3</v>
      </c>
      <c r="U318" s="3">
        <f t="shared" si="300"/>
        <v>1.823122872957775E-3</v>
      </c>
      <c r="V318" s="3">
        <f t="shared" si="300"/>
        <v>1.823122872957775E-3</v>
      </c>
      <c r="W318" s="3">
        <f t="shared" si="300"/>
        <v>1.823122872957775E-3</v>
      </c>
      <c r="X318" s="3">
        <f t="shared" si="300"/>
        <v>1.823122872957775E-3</v>
      </c>
      <c r="Y318" s="3">
        <f t="shared" si="300"/>
        <v>1.823122872957775E-3</v>
      </c>
      <c r="Z318" s="3">
        <f t="shared" si="300"/>
        <v>1.8231228729577746E-3</v>
      </c>
      <c r="AA318" s="3">
        <f t="shared" si="300"/>
        <v>1.8231228729577713E-3</v>
      </c>
      <c r="AB318" s="3">
        <f t="shared" si="300"/>
        <v>1.8231228729577388E-3</v>
      </c>
      <c r="AC318" s="3">
        <f t="shared" si="300"/>
        <v>1.8231228729574135E-3</v>
      </c>
      <c r="AD318" s="3">
        <f t="shared" si="300"/>
        <v>1.8231228729541609E-3</v>
      </c>
      <c r="AE318" s="3">
        <f t="shared" si="300"/>
        <v>1.8231228729216334E-3</v>
      </c>
      <c r="AF318" s="3">
        <f t="shared" si="300"/>
        <v>1.823122872596359E-3</v>
      </c>
      <c r="AG318" s="3"/>
      <c r="AH318" s="3"/>
    </row>
    <row r="319" spans="1:34" x14ac:dyDescent="0.25">
      <c r="A319" s="80">
        <f>AVERAGE(B319:AF319)</f>
        <v>2.4037315611109604E-2</v>
      </c>
      <c r="B319" s="81">
        <f>IF($A$64&lt;=B285,IF($B$64&gt;=B285,ABS((B287-B286)/B286),0),0)</f>
        <v>2.2965381306264635E-3</v>
      </c>
      <c r="C319" s="81">
        <f t="shared" ref="C319:AF319" si="301">IF($A$64&lt;=C285,IF($B$64&gt;=C285,ABS((C287-C286)/C286),0),0)</f>
        <v>2.0961099567313288E-3</v>
      </c>
      <c r="D319" s="81">
        <f t="shared" si="301"/>
        <v>1.7681990385314496E-4</v>
      </c>
      <c r="E319" s="81">
        <f t="shared" si="301"/>
        <v>1.7271635576351752E-2</v>
      </c>
      <c r="F319" s="81">
        <f t="shared" si="301"/>
        <v>9.1167701229767639E-2</v>
      </c>
      <c r="G319" s="81">
        <f t="shared" si="301"/>
        <v>9.9319687845567023E-2</v>
      </c>
      <c r="H319" s="81">
        <f t="shared" si="301"/>
        <v>7.6884268631033301E-2</v>
      </c>
      <c r="I319" s="81">
        <f t="shared" si="301"/>
        <v>5.2835702845406181E-2</v>
      </c>
      <c r="J319" s="81">
        <f t="shared" si="301"/>
        <v>2.4084814793164887E-2</v>
      </c>
      <c r="K319" s="81">
        <f t="shared" si="301"/>
        <v>8.4746990177187072E-3</v>
      </c>
      <c r="L319" s="81">
        <f t="shared" si="301"/>
        <v>1.6654389095575785E-2</v>
      </c>
      <c r="M319" s="81">
        <f t="shared" si="301"/>
        <v>7.1129060762040056E-4</v>
      </c>
      <c r="N319" s="81">
        <f t="shared" si="301"/>
        <v>7.3942653745083494E-3</v>
      </c>
      <c r="O319" s="81">
        <f t="shared" si="301"/>
        <v>4.5509707734448261E-3</v>
      </c>
      <c r="P319" s="81">
        <f t="shared" si="301"/>
        <v>6.5104900952603932E-3</v>
      </c>
      <c r="Q319" s="81">
        <f t="shared" si="301"/>
        <v>6.3106225413864323E-3</v>
      </c>
      <c r="R319" s="81">
        <f t="shared" si="301"/>
        <v>1.7031449717921223E-2</v>
      </c>
      <c r="S319" s="81">
        <f t="shared" si="301"/>
        <v>3.0445391393734256E-2</v>
      </c>
      <c r="T319" s="81">
        <f t="shared" si="301"/>
        <v>4.3072859384833365E-2</v>
      </c>
      <c r="U319" s="81">
        <f t="shared" si="301"/>
        <v>5.0035351006127271E-2</v>
      </c>
      <c r="V319" s="81">
        <f t="shared" si="301"/>
        <v>2.0633046543921889E-2</v>
      </c>
      <c r="W319" s="81">
        <f t="shared" si="301"/>
        <v>3.3986380301549254E-2</v>
      </c>
      <c r="X319" s="81">
        <f t="shared" si="301"/>
        <v>1.3712795841560967E-2</v>
      </c>
      <c r="Y319" s="81">
        <f t="shared" si="301"/>
        <v>2.921391564061122E-2</v>
      </c>
      <c r="Z319" s="81">
        <f t="shared" si="301"/>
        <v>3.0948814381206453E-2</v>
      </c>
      <c r="AA319" s="81">
        <f t="shared" si="301"/>
        <v>6.6340064385176532E-3</v>
      </c>
      <c r="AB319" s="81">
        <f t="shared" si="301"/>
        <v>1.7347162578989658E-2</v>
      </c>
      <c r="AC319" s="81">
        <f t="shared" si="301"/>
        <v>1.0402879674363937E-2</v>
      </c>
      <c r="AD319" s="81">
        <f t="shared" si="301"/>
        <v>9.4895350260486289E-3</v>
      </c>
      <c r="AE319" s="81">
        <f t="shared" si="301"/>
        <v>8.2708427651102309E-3</v>
      </c>
      <c r="AF319" s="81">
        <f t="shared" si="301"/>
        <v>7.1923468318853588E-3</v>
      </c>
    </row>
    <row r="320" spans="1:34" x14ac:dyDescent="0.25">
      <c r="B320" s="21">
        <f>(B287-B286)^2</f>
        <v>184.63123828391366</v>
      </c>
      <c r="C320" s="21">
        <f t="shared" ref="C320:AF320" si="302">(C287-C286)^2</f>
        <v>153.8121190455318</v>
      </c>
      <c r="D320" s="21">
        <f t="shared" si="302"/>
        <v>1.0944937147427001</v>
      </c>
      <c r="E320" s="21">
        <f t="shared" si="302"/>
        <v>10440.837465158622</v>
      </c>
      <c r="F320" s="21">
        <f t="shared" si="302"/>
        <v>290368.04558585508</v>
      </c>
      <c r="G320" s="21">
        <f t="shared" si="302"/>
        <v>339322.6511076694</v>
      </c>
      <c r="H320" s="21">
        <f t="shared" si="302"/>
        <v>193572.11909260828</v>
      </c>
      <c r="I320" s="21">
        <f t="shared" si="302"/>
        <v>86826.207419209095</v>
      </c>
      <c r="J320" s="21">
        <f t="shared" si="302"/>
        <v>16981.391641965798</v>
      </c>
      <c r="K320" s="21">
        <f t="shared" si="302"/>
        <v>1954.0919552439088</v>
      </c>
      <c r="L320" s="21">
        <f t="shared" si="302"/>
        <v>6985.5560793419618</v>
      </c>
      <c r="M320" s="21">
        <f t="shared" si="302"/>
        <v>11.517714736851334</v>
      </c>
      <c r="N320" s="21">
        <f t="shared" si="302"/>
        <v>1108.2845320063511</v>
      </c>
      <c r="O320" s="21">
        <f t="shared" si="302"/>
        <v>372.32116814790987</v>
      </c>
      <c r="P320" s="21">
        <f t="shared" si="302"/>
        <v>664.18032934362782</v>
      </c>
      <c r="Q320" s="21">
        <f t="shared" si="302"/>
        <v>533.39731329207484</v>
      </c>
      <c r="R320" s="21">
        <f t="shared" si="302"/>
        <v>3098.1386568718303</v>
      </c>
      <c r="S320" s="21">
        <f t="shared" si="302"/>
        <v>7106.8686424852858</v>
      </c>
      <c r="T320" s="21">
        <f t="shared" si="302"/>
        <v>9017.0817904357154</v>
      </c>
      <c r="U320" s="21">
        <f t="shared" si="302"/>
        <v>6300.9924922000782</v>
      </c>
      <c r="V320" s="21">
        <f t="shared" si="302"/>
        <v>425.74244661777078</v>
      </c>
      <c r="W320" s="21">
        <f t="shared" si="302"/>
        <v>383.23463711860973</v>
      </c>
      <c r="X320" s="21">
        <f t="shared" si="302"/>
        <v>19.472620280332873</v>
      </c>
      <c r="Y320" s="21">
        <f t="shared" si="302"/>
        <v>30.13164254363878</v>
      </c>
      <c r="Z320" s="21">
        <f t="shared" si="302"/>
        <v>20.507931873123042</v>
      </c>
      <c r="AA320" s="21">
        <f t="shared" si="302"/>
        <v>0.77470036326973346</v>
      </c>
      <c r="AB320" s="21">
        <f t="shared" si="302"/>
        <v>4.633926446537008</v>
      </c>
      <c r="AC320" s="21">
        <f t="shared" si="302"/>
        <v>1.6632433708834768</v>
      </c>
      <c r="AD320" s="21">
        <f t="shared" si="302"/>
        <v>1.3839626539818413</v>
      </c>
      <c r="AE320" s="21">
        <f t="shared" si="302"/>
        <v>1.0512891373654514</v>
      </c>
      <c r="AF320" s="21">
        <f t="shared" si="302"/>
        <v>0.79497431886604053</v>
      </c>
      <c r="AG320" s="3"/>
      <c r="AH320" s="3"/>
    </row>
    <row r="321" spans="1:34" x14ac:dyDescent="0.25">
      <c r="A321" s="72">
        <f>SUM(B321:AF321)</f>
        <v>975892.61221234046</v>
      </c>
      <c r="B321" s="60">
        <f>IF($A$64&lt;=B285,IF($B$64&gt;=B285,ABS(B320),0),0)</f>
        <v>184.63123828391366</v>
      </c>
      <c r="C321" s="60">
        <f t="shared" ref="C321" si="303">IF($A$64&lt;=C285,IF($B$64&gt;=C285,ABS(C320),0),0)</f>
        <v>153.8121190455318</v>
      </c>
      <c r="D321" s="60">
        <f t="shared" ref="D321" si="304">IF($A$64&lt;=D285,IF($B$64&gt;=D285,ABS(D320),0),0)</f>
        <v>1.0944937147427001</v>
      </c>
      <c r="E321" s="60">
        <f t="shared" ref="E321" si="305">IF($A$64&lt;=E285,IF($B$64&gt;=E285,ABS(E320),0),0)</f>
        <v>10440.837465158622</v>
      </c>
      <c r="F321" s="60">
        <f t="shared" ref="F321" si="306">IF($A$64&lt;=F285,IF($B$64&gt;=F285,ABS(F320),0),0)</f>
        <v>290368.04558585508</v>
      </c>
      <c r="G321" s="60">
        <f t="shared" ref="G321" si="307">IF($A$64&lt;=G285,IF($B$64&gt;=G285,ABS(G320),0),0)</f>
        <v>339322.6511076694</v>
      </c>
      <c r="H321" s="60">
        <f t="shared" ref="H321" si="308">IF($A$64&lt;=H285,IF($B$64&gt;=H285,ABS(H320),0),0)</f>
        <v>193572.11909260828</v>
      </c>
      <c r="I321" s="60">
        <f t="shared" ref="I321" si="309">IF($A$64&lt;=I285,IF($B$64&gt;=I285,ABS(I320),0),0)</f>
        <v>86826.207419209095</v>
      </c>
      <c r="J321" s="60">
        <f t="shared" ref="J321" si="310">IF($A$64&lt;=J285,IF($B$64&gt;=J285,ABS(J320),0),0)</f>
        <v>16981.391641965798</v>
      </c>
      <c r="K321" s="60">
        <f t="shared" ref="K321" si="311">IF($A$64&lt;=K285,IF($B$64&gt;=K285,ABS(K320),0),0)</f>
        <v>1954.0919552439088</v>
      </c>
      <c r="L321" s="60">
        <f t="shared" ref="L321" si="312">IF($A$64&lt;=L285,IF($B$64&gt;=L285,ABS(L320),0),0)</f>
        <v>6985.5560793419618</v>
      </c>
      <c r="M321" s="60">
        <f t="shared" ref="M321" si="313">IF($A$64&lt;=M285,IF($B$64&gt;=M285,ABS(M320),0),0)</f>
        <v>11.517714736851334</v>
      </c>
      <c r="N321" s="60">
        <f t="shared" ref="N321" si="314">IF($A$64&lt;=N285,IF($B$64&gt;=N285,ABS(N320),0),0)</f>
        <v>1108.2845320063511</v>
      </c>
      <c r="O321" s="60">
        <f t="shared" ref="O321" si="315">IF($A$64&lt;=O285,IF($B$64&gt;=O285,ABS(O320),0),0)</f>
        <v>372.32116814790987</v>
      </c>
      <c r="P321" s="60">
        <f t="shared" ref="P321" si="316">IF($A$64&lt;=P285,IF($B$64&gt;=P285,ABS(P320),0),0)</f>
        <v>664.18032934362782</v>
      </c>
      <c r="Q321" s="60">
        <f t="shared" ref="Q321" si="317">IF($A$64&lt;=Q285,IF($B$64&gt;=Q285,ABS(Q320),0),0)</f>
        <v>533.39731329207484</v>
      </c>
      <c r="R321" s="60">
        <f t="shared" ref="R321" si="318">IF($A$64&lt;=R285,IF($B$64&gt;=R285,ABS(R320),0),0)</f>
        <v>3098.1386568718303</v>
      </c>
      <c r="S321" s="60">
        <f t="shared" ref="S321" si="319">IF($A$64&lt;=S285,IF($B$64&gt;=S285,ABS(S320),0),0)</f>
        <v>7106.8686424852858</v>
      </c>
      <c r="T321" s="60">
        <f t="shared" ref="T321" si="320">IF($A$64&lt;=T285,IF($B$64&gt;=T285,ABS(T320),0),0)</f>
        <v>9017.0817904357154</v>
      </c>
      <c r="U321" s="60">
        <f t="shared" ref="U321" si="321">IF($A$64&lt;=U285,IF($B$64&gt;=U285,ABS(U320),0),0)</f>
        <v>6300.9924922000782</v>
      </c>
      <c r="V321" s="60">
        <f t="shared" ref="V321" si="322">IF($A$64&lt;=V285,IF($B$64&gt;=V285,ABS(V320),0),0)</f>
        <v>425.74244661777078</v>
      </c>
      <c r="W321" s="60">
        <f t="shared" ref="W321" si="323">IF($A$64&lt;=W285,IF($B$64&gt;=W285,ABS(W320),0),0)</f>
        <v>383.23463711860973</v>
      </c>
      <c r="X321" s="60">
        <f t="shared" ref="X321" si="324">IF($A$64&lt;=X285,IF($B$64&gt;=X285,ABS(X320),0),0)</f>
        <v>19.472620280332873</v>
      </c>
      <c r="Y321" s="60">
        <f t="shared" ref="Y321" si="325">IF($A$64&lt;=Y285,IF($B$64&gt;=Y285,ABS(Y320),0),0)</f>
        <v>30.13164254363878</v>
      </c>
      <c r="Z321" s="60">
        <f t="shared" ref="Z321" si="326">IF($A$64&lt;=Z285,IF($B$64&gt;=Z285,ABS(Z320),0),0)</f>
        <v>20.507931873123042</v>
      </c>
      <c r="AA321" s="60">
        <f t="shared" ref="AA321" si="327">IF($A$64&lt;=AA285,IF($B$64&gt;=AA285,ABS(AA320),0),0)</f>
        <v>0.77470036326973346</v>
      </c>
      <c r="AB321" s="60">
        <f t="shared" ref="AB321" si="328">IF($A$64&lt;=AB285,IF($B$64&gt;=AB285,ABS(AB320),0),0)</f>
        <v>4.633926446537008</v>
      </c>
      <c r="AC321" s="60">
        <f t="shared" ref="AC321" si="329">IF($A$64&lt;=AC285,IF($B$64&gt;=AC285,ABS(AC320),0),0)</f>
        <v>1.6632433708834768</v>
      </c>
      <c r="AD321" s="60">
        <f t="shared" ref="AD321" si="330">IF($A$64&lt;=AD285,IF($B$64&gt;=AD285,ABS(AD320),0),0)</f>
        <v>1.3839626539818413</v>
      </c>
      <c r="AE321" s="60">
        <f t="shared" ref="AE321" si="331">IF($A$64&lt;=AE285,IF($B$64&gt;=AE285,ABS(AE320),0),0)</f>
        <v>1.0512891373654514</v>
      </c>
      <c r="AF321" s="60">
        <f t="shared" ref="AF321" si="332">IF($A$64&lt;=AF285,IF($B$64&gt;=AF285,ABS(AF320),0),0)</f>
        <v>0.79497431886604053</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7" t="s">
        <v>27</v>
      </c>
      <c r="B323" s="11">
        <f>INDEX($D$1:$M$1,1,G122)</f>
        <v>125</v>
      </c>
    </row>
    <row r="324" spans="1:34" x14ac:dyDescent="0.25">
      <c r="A324" s="77"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5339.3938402799959</v>
      </c>
      <c r="C325" s="26">
        <f>INDEX(Comparison!$AM$3:$AS$33,G$14,$G$122)</f>
        <v>5092.5436233397832</v>
      </c>
      <c r="D325" s="26">
        <f>INDEX(Comparison!$AM$3:$AS$33,H$14,$G$122)</f>
        <v>4862.2074038193541</v>
      </c>
      <c r="E325" s="26">
        <f>INDEX(Comparison!$AM$3:$AS$33,I$14,$G$122)</f>
        <v>4600.0447702643005</v>
      </c>
      <c r="F325" s="26">
        <f>INDEX(Comparison!$AM$3:$AS$33,J$14,$G$122)</f>
        <v>4335.4686548713016</v>
      </c>
      <c r="G325" s="26">
        <f>INDEX(Comparison!$AM$3:$AS$33,K$14,$G$122)</f>
        <v>4064.2446060274551</v>
      </c>
      <c r="H325" s="26">
        <f>INDEX(Comparison!$AM$3:$AS$33,L$14,$G$122)</f>
        <v>3775.0165221687416</v>
      </c>
      <c r="I325" s="26">
        <f>INDEX(Comparison!$AM$3:$AS$33,M$14,$G$122)</f>
        <v>3440.8792936987693</v>
      </c>
      <c r="J325" s="26">
        <f>INDEX(Comparison!$AM$3:$AS$33,N$14,$G$122)</f>
        <v>3007.0276986600152</v>
      </c>
      <c r="K325" s="26">
        <f>INDEX(Comparison!$AM$3:$AS$33,O$14,$G$122)</f>
        <v>2483.1842311274095</v>
      </c>
      <c r="L325" s="26">
        <f>INDEX(Comparison!$AM$3:$AS$33,P$14,$G$122)</f>
        <v>1877.3036191571002</v>
      </c>
      <c r="M325" s="26">
        <f>INDEX(Comparison!$AM$3:$AS$33,Q$14,$G$122)</f>
        <v>1225.8372848665197</v>
      </c>
      <c r="N325" s="26">
        <f>INDEX(Comparison!$AM$3:$AS$33,R$14,$G$122)</f>
        <v>718.17933085631228</v>
      </c>
      <c r="O325" s="26">
        <f>INDEX(Comparison!$AM$3:$AS$33,S$14,$G$122)</f>
        <v>402.8254128419544</v>
      </c>
      <c r="P325" s="26">
        <f>INDEX(Comparison!$AM$3:$AS$33,T$14,$G$122)</f>
        <v>224.17774389747507</v>
      </c>
      <c r="Q325" s="26">
        <f>INDEX(Comparison!$AM$3:$AS$33,U$14,$G$122)</f>
        <v>157.32573154577258</v>
      </c>
      <c r="R325" s="26">
        <f>INDEX(Comparison!$AM$3:$AS$33,V$14,$G$122)</f>
        <v>138.47466281617423</v>
      </c>
      <c r="S325" s="26">
        <f>INDEX(Comparison!$AM$3:$AS$33,W$14,$G$122)</f>
        <v>126.92176045152465</v>
      </c>
      <c r="T325" s="26">
        <f>INDEX(Comparison!$AM$3:$AS$33,X$14,$G$122)</f>
        <v>125.32043450442224</v>
      </c>
      <c r="U325" s="26">
        <f>INDEX(Comparison!$AM$3:$AS$33,Y$14,$G$122)</f>
        <v>125.18975547765271</v>
      </c>
      <c r="V325" s="26">
        <f>INDEX(Comparison!$AM$3:$AS$33,Z$14,$G$122)</f>
        <v>125.05583743141311</v>
      </c>
      <c r="W325" s="26">
        <f>INDEX(Comparison!$AM$3:$AS$33,AA$14,$G$122)</f>
        <v>124.89217701523481</v>
      </c>
      <c r="X325" s="26">
        <f>INDEX(Comparison!$AM$3:$AS$33,AB$14,$G$122)</f>
        <v>124.70815441395035</v>
      </c>
      <c r="Y325" s="26">
        <f>INDEX(Comparison!$AM$3:$AS$33,AC$14,$G$122)</f>
        <v>124.51586541667818</v>
      </c>
      <c r="Z325" s="26">
        <f>INDEX(Comparison!$AM$3:$AS$33,AD$14,$G$122)</f>
        <v>124.45612407089325</v>
      </c>
      <c r="AA325" s="26">
        <f>INDEX(Comparison!$AM$3:$AS$33,AE$14,$G$122)</f>
        <v>124.36413594438419</v>
      </c>
      <c r="AB325" s="26">
        <f>INDEX(Comparison!$AM$3:$AS$33,AF$14,$G$122)</f>
        <v>124.24957869452857</v>
      </c>
      <c r="AC325" s="26">
        <f>INDEX(Comparison!$AM$3:$AS$33,AG$14,$G$122)</f>
        <v>124.12464463468883</v>
      </c>
      <c r="AD325" s="26">
        <f>INDEX(Comparison!$AM$3:$AS$33,AH$14,$G$122)</f>
        <v>124.11696893794122</v>
      </c>
      <c r="AE325" s="26">
        <f>INDEX(Comparison!$AM$3:$AS$33,AI$14,$G$122)</f>
        <v>124.11273578228328</v>
      </c>
      <c r="AF325" s="26">
        <f>INDEX(Comparison!$AM$3:$AS$33,AJ$14,$G$122)</f>
        <v>124.10930475258213</v>
      </c>
      <c r="AG325" s="26"/>
      <c r="AH325" s="26"/>
    </row>
    <row r="326" spans="1:34" x14ac:dyDescent="0.25">
      <c r="A326" s="78" t="s">
        <v>22</v>
      </c>
      <c r="B326" s="27">
        <f>($C$17+SUM(B327:B357))*$B$51</f>
        <v>5271.0944637613584</v>
      </c>
      <c r="C326" s="27">
        <f t="shared" ref="C326:AF326" si="333">($C$17+SUM(C327:C357))*$B$51</f>
        <v>5179.9031836540671</v>
      </c>
      <c r="D326" s="27">
        <f t="shared" si="333"/>
        <v>4837.6597531943098</v>
      </c>
      <c r="E326" s="27">
        <f t="shared" si="333"/>
        <v>4602.9085889396019</v>
      </c>
      <c r="F326" s="27">
        <f t="shared" si="333"/>
        <v>4333.804404311054</v>
      </c>
      <c r="G326" s="27">
        <f t="shared" si="333"/>
        <v>4063.1383481656298</v>
      </c>
      <c r="H326" s="27">
        <f t="shared" si="333"/>
        <v>3773.6765056456388</v>
      </c>
      <c r="I326" s="27">
        <f t="shared" si="333"/>
        <v>3439.2598249315365</v>
      </c>
      <c r="J326" s="27">
        <f t="shared" si="333"/>
        <v>3004.8466398791111</v>
      </c>
      <c r="K326" s="27">
        <f t="shared" si="333"/>
        <v>2480.6749588244325</v>
      </c>
      <c r="L326" s="27">
        <f t="shared" si="333"/>
        <v>1874.3421829857284</v>
      </c>
      <c r="M326" s="27">
        <f t="shared" si="333"/>
        <v>1223.0525760629184</v>
      </c>
      <c r="N326" s="27">
        <f t="shared" si="333"/>
        <v>716.38762627952508</v>
      </c>
      <c r="O326" s="27">
        <f t="shared" si="333"/>
        <v>401.94667725058912</v>
      </c>
      <c r="P326" s="27">
        <f t="shared" si="333"/>
        <v>223.6420289760988</v>
      </c>
      <c r="Q326" s="27">
        <f t="shared" si="333"/>
        <v>157.34030737381255</v>
      </c>
      <c r="R326" s="27">
        <f t="shared" si="333"/>
        <v>138.33922125419721</v>
      </c>
      <c r="S326" s="27">
        <f t="shared" si="333"/>
        <v>126.94677182147673</v>
      </c>
      <c r="T326" s="27">
        <f t="shared" si="333"/>
        <v>125.29560445746016</v>
      </c>
      <c r="U326" s="27">
        <f t="shared" si="333"/>
        <v>125.18831883941127</v>
      </c>
      <c r="V326" s="27">
        <f t="shared" si="333"/>
        <v>125.03677879056697</v>
      </c>
      <c r="W326" s="27">
        <f t="shared" si="333"/>
        <v>124.89048764722735</v>
      </c>
      <c r="X326" s="27">
        <f t="shared" si="333"/>
        <v>124.71050621659744</v>
      </c>
      <c r="Y326" s="27">
        <f t="shared" si="333"/>
        <v>124.5258611690717</v>
      </c>
      <c r="Z326" s="27">
        <f t="shared" si="333"/>
        <v>124.41947678164087</v>
      </c>
      <c r="AA326" s="27">
        <f t="shared" si="333"/>
        <v>124.38006272693775</v>
      </c>
      <c r="AB326" s="27">
        <f t="shared" si="333"/>
        <v>124.37491779080841</v>
      </c>
      <c r="AC326" s="27">
        <f t="shared" si="333"/>
        <v>124.37052965127529</v>
      </c>
      <c r="AD326" s="27">
        <f t="shared" si="333"/>
        <v>124.36071379917145</v>
      </c>
      <c r="AE326" s="27">
        <f t="shared" si="333"/>
        <v>124.26304796144359</v>
      </c>
      <c r="AF326" s="27">
        <f t="shared" si="333"/>
        <v>123.3336674880258</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6.9992521933820745E-2</v>
      </c>
      <c r="C328" s="3">
        <f t="shared" si="335"/>
        <v>5.5462740705252568E-2</v>
      </c>
      <c r="D328" s="3">
        <f t="shared" si="335"/>
        <v>5.413749683027793E-3</v>
      </c>
      <c r="E328" s="3">
        <f t="shared" si="335"/>
        <v>4.2507603308590043E-13</v>
      </c>
      <c r="F328" s="3">
        <f t="shared" si="335"/>
        <v>3.7857427185746078E-114</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3.5883939514778716E-2</v>
      </c>
      <c r="C329" s="3">
        <f t="shared" si="336"/>
        <v>3.5138606683386364E-2</v>
      </c>
      <c r="D329" s="3">
        <f t="shared" si="336"/>
        <v>2.8485821310975681E-2</v>
      </c>
      <c r="E329" s="3">
        <f t="shared" si="336"/>
        <v>3.4919726527472355E-3</v>
      </c>
      <c r="F329" s="3">
        <f t="shared" si="336"/>
        <v>2.6760345486453193E-12</v>
      </c>
      <c r="G329" s="3">
        <f t="shared" si="336"/>
        <v>1.8693926792322409E-103</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4.9127380431436121E-2</v>
      </c>
      <c r="C330" s="3">
        <f t="shared" si="337"/>
        <v>4.9034449761898934E-2</v>
      </c>
      <c r="D330" s="3">
        <f t="shared" si="337"/>
        <v>4.8114756864200144E-2</v>
      </c>
      <c r="E330" s="3">
        <f t="shared" si="337"/>
        <v>3.9815134619488976E-2</v>
      </c>
      <c r="F330" s="3">
        <f t="shared" si="337"/>
        <v>5.994419297897278E-3</v>
      </c>
      <c r="G330" s="3">
        <f t="shared" si="337"/>
        <v>3.5870415747785583E-11</v>
      </c>
      <c r="H330" s="3">
        <f t="shared" si="337"/>
        <v>2.1116859775266094E-93</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4.6761895911855256E-2</v>
      </c>
      <c r="C331" s="3">
        <f t="shared" si="338"/>
        <v>4.6753909565193826E-2</v>
      </c>
      <c r="D331" s="3">
        <f t="shared" si="338"/>
        <v>4.6674121078400077E-2</v>
      </c>
      <c r="E331" s="3">
        <f t="shared" si="338"/>
        <v>4.5883687023406013E-2</v>
      </c>
      <c r="F331" s="3">
        <f t="shared" si="338"/>
        <v>3.8679416266782243E-2</v>
      </c>
      <c r="G331" s="3">
        <f t="shared" si="338"/>
        <v>7.0096435911142785E-3</v>
      </c>
      <c r="H331" s="3">
        <f t="shared" si="338"/>
        <v>2.6782813053939299E-10</v>
      </c>
      <c r="I331" s="3">
        <f t="shared" si="338"/>
        <v>1.7760644563859259E-84</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5.0407876209245479E-2</v>
      </c>
      <c r="C332" s="3">
        <f t="shared" si="339"/>
        <v>5.040709954237433E-2</v>
      </c>
      <c r="D332" s="3">
        <f t="shared" si="339"/>
        <v>5.0399333531795987E-2</v>
      </c>
      <c r="E332" s="3">
        <f t="shared" si="339"/>
        <v>5.03217392018252E-2</v>
      </c>
      <c r="F332" s="3">
        <f t="shared" si="339"/>
        <v>4.9552336139459106E-2</v>
      </c>
      <c r="G332" s="3">
        <f t="shared" si="339"/>
        <v>4.2476531706070721E-2</v>
      </c>
      <c r="H332" s="3">
        <f t="shared" si="339"/>
        <v>9.0990948643264735E-3</v>
      </c>
      <c r="I332" s="3">
        <f t="shared" si="339"/>
        <v>1.8513547152543142E-9</v>
      </c>
      <c r="J332" s="3">
        <f t="shared" si="339"/>
        <v>2.2511481289865676E-76</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5.7182304011859891E-2</v>
      </c>
      <c r="C333" s="3">
        <f t="shared" si="340"/>
        <v>5.7182224533725262E-2</v>
      </c>
      <c r="D333" s="3">
        <f t="shared" si="340"/>
        <v>5.7181429758454624E-2</v>
      </c>
      <c r="E333" s="3">
        <f t="shared" si="340"/>
        <v>5.7173482613284511E-2</v>
      </c>
      <c r="F333" s="3">
        <f t="shared" si="340"/>
        <v>5.7094071883980586E-2</v>
      </c>
      <c r="G333" s="3">
        <f t="shared" si="340"/>
        <v>5.6306005718938942E-2</v>
      </c>
      <c r="H333" s="3">
        <f t="shared" si="340"/>
        <v>4.899951102229317E-2</v>
      </c>
      <c r="I333" s="3">
        <f t="shared" si="340"/>
        <v>1.2205680747933731E-2</v>
      </c>
      <c r="J333" s="3">
        <f t="shared" si="340"/>
        <v>1.1227022904261409E-8</v>
      </c>
      <c r="K333" s="3">
        <f t="shared" si="340"/>
        <v>4.8673282031578063E-69</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8.0089930197532189E-2</v>
      </c>
      <c r="C334" s="3">
        <f t="shared" si="341"/>
        <v>8.0089920155750019E-2</v>
      </c>
      <c r="D334" s="3">
        <f t="shared" si="341"/>
        <v>8.0089819737997614E-2</v>
      </c>
      <c r="E334" s="3">
        <f t="shared" si="341"/>
        <v>8.0088815567398206E-2</v>
      </c>
      <c r="F334" s="3">
        <f t="shared" si="341"/>
        <v>8.007877455384721E-2</v>
      </c>
      <c r="G334" s="3">
        <f t="shared" si="341"/>
        <v>7.997843363052673E-2</v>
      </c>
      <c r="H334" s="3">
        <f t="shared" si="341"/>
        <v>7.8981913615379762E-2</v>
      </c>
      <c r="I334" s="3">
        <f t="shared" si="341"/>
        <v>6.9674719277983577E-2</v>
      </c>
      <c r="J334" s="3">
        <f t="shared" si="341"/>
        <v>1.9886162556566729E-2</v>
      </c>
      <c r="K334" s="3">
        <f t="shared" si="341"/>
        <v>7.1335968338008419E-8</v>
      </c>
      <c r="L334" s="3">
        <f t="shared" si="341"/>
        <v>2.5170063889129332E-62</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9.4725402859216698E-2</v>
      </c>
      <c r="C335" s="3">
        <f t="shared" si="342"/>
        <v>9.4725401787830718E-2</v>
      </c>
      <c r="D335" s="3">
        <f t="shared" si="342"/>
        <v>9.4725391073971613E-2</v>
      </c>
      <c r="E335" s="3">
        <f t="shared" si="342"/>
        <v>9.4725283935447255E-2</v>
      </c>
      <c r="F335" s="3">
        <f t="shared" si="342"/>
        <v>9.4724212556868484E-2</v>
      </c>
      <c r="G335" s="3">
        <f t="shared" si="342"/>
        <v>9.471349943753124E-2</v>
      </c>
      <c r="H335" s="3">
        <f t="shared" si="342"/>
        <v>9.4606434861336061E-2</v>
      </c>
      <c r="I335" s="3">
        <f t="shared" si="342"/>
        <v>9.3542423022871218E-2</v>
      </c>
      <c r="J335" s="3">
        <f t="shared" si="342"/>
        <v>8.3538754994770009E-2</v>
      </c>
      <c r="K335" s="3">
        <f t="shared" si="342"/>
        <v>2.6957637672138806E-2</v>
      </c>
      <c r="L335" s="3">
        <f t="shared" si="342"/>
        <v>3.3008072503464432E-7</v>
      </c>
      <c r="M335" s="3">
        <f t="shared" si="342"/>
        <v>2.5003654667443784E-56</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0.11171287760473181</v>
      </c>
      <c r="C336" s="3">
        <f t="shared" si="343"/>
        <v>0.11171287749075164</v>
      </c>
      <c r="D336" s="3">
        <f t="shared" si="343"/>
        <v>0.11171287635094986</v>
      </c>
      <c r="E336" s="3">
        <f t="shared" si="343"/>
        <v>0.11171286495293282</v>
      </c>
      <c r="F336" s="3">
        <f t="shared" si="343"/>
        <v>0.11171275097282639</v>
      </c>
      <c r="G336" s="3">
        <f t="shared" si="343"/>
        <v>0.11171161117815806</v>
      </c>
      <c r="H336" s="3">
        <f t="shared" si="343"/>
        <v>0.11170021387106224</v>
      </c>
      <c r="I336" s="3">
        <f t="shared" si="343"/>
        <v>0.1115863047347045</v>
      </c>
      <c r="J336" s="3">
        <f t="shared" si="343"/>
        <v>0.11045358276098846</v>
      </c>
      <c r="K336" s="3">
        <f t="shared" si="343"/>
        <v>9.9739899178798969E-2</v>
      </c>
      <c r="L336" s="3">
        <f t="shared" si="343"/>
        <v>3.595506664459349E-2</v>
      </c>
      <c r="M336" s="3">
        <f t="shared" si="343"/>
        <v>1.3325141516833696E-6</v>
      </c>
      <c r="N336" s="3">
        <f t="shared" si="343"/>
        <v>6.5131210496698765E-51</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0.12486929252075206</v>
      </c>
      <c r="C337" s="3">
        <f t="shared" si="344"/>
        <v>0.1248692925092592</v>
      </c>
      <c r="D337" s="3">
        <f t="shared" si="344"/>
        <v>0.12486929239433055</v>
      </c>
      <c r="E337" s="3">
        <f t="shared" si="344"/>
        <v>0.12486929124504398</v>
      </c>
      <c r="F337" s="3">
        <f t="shared" si="344"/>
        <v>0.12486927975217892</v>
      </c>
      <c r="G337" s="3">
        <f t="shared" si="344"/>
        <v>0.12486916482358648</v>
      </c>
      <c r="H337" s="3">
        <f t="shared" si="344"/>
        <v>0.12486801554347994</v>
      </c>
      <c r="I337" s="3">
        <f t="shared" si="344"/>
        <v>0.12485652332417915</v>
      </c>
      <c r="J337" s="3">
        <f t="shared" si="344"/>
        <v>0.12474165928782151</v>
      </c>
      <c r="K337" s="3">
        <f t="shared" si="344"/>
        <v>0.12359881483298846</v>
      </c>
      <c r="L337" s="3">
        <f t="shared" si="344"/>
        <v>0.11273070004048656</v>
      </c>
      <c r="M337" s="3">
        <f t="shared" si="344"/>
        <v>4.4907737876558489E-2</v>
      </c>
      <c r="N337" s="3">
        <f t="shared" si="344"/>
        <v>4.5197137502014331E-6</v>
      </c>
      <c r="O337" s="3">
        <f t="shared" si="344"/>
        <v>4.8195716640857509E-46</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7.189914297297019E-2</v>
      </c>
      <c r="C338" s="3">
        <f t="shared" si="345"/>
        <v>7.1899142972373223E-2</v>
      </c>
      <c r="D338" s="3">
        <f t="shared" si="345"/>
        <v>7.1899142966403651E-2</v>
      </c>
      <c r="E338" s="3">
        <f t="shared" si="345"/>
        <v>7.1899142906707972E-2</v>
      </c>
      <c r="F338" s="3">
        <f t="shared" si="345"/>
        <v>7.1899142309751057E-2</v>
      </c>
      <c r="G338" s="3">
        <f t="shared" si="345"/>
        <v>7.1899136340182232E-2</v>
      </c>
      <c r="H338" s="3">
        <f t="shared" si="345"/>
        <v>7.1899076644521262E-2</v>
      </c>
      <c r="I338" s="3">
        <f t="shared" si="345"/>
        <v>7.1898479690637521E-2</v>
      </c>
      <c r="J338" s="3">
        <f t="shared" si="345"/>
        <v>7.1892510424390307E-2</v>
      </c>
      <c r="K338" s="3">
        <f t="shared" si="345"/>
        <v>7.1832845012558794E-2</v>
      </c>
      <c r="L338" s="3">
        <f t="shared" si="345"/>
        <v>7.1238907605477603E-2</v>
      </c>
      <c r="M338" s="3">
        <f t="shared" si="345"/>
        <v>6.5563041043302614E-2</v>
      </c>
      <c r="N338" s="3">
        <f t="shared" si="345"/>
        <v>2.8581003389203059E-2</v>
      </c>
      <c r="O338" s="3">
        <f t="shared" si="345"/>
        <v>7.0837184468861606E-6</v>
      </c>
      <c r="P338" s="3">
        <f t="shared" si="345"/>
        <v>6.1958299334126602E-42</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4.7675556768577203E-2</v>
      </c>
      <c r="C339" s="3">
        <f t="shared" si="346"/>
        <v>4.7675556768541495E-2</v>
      </c>
      <c r="D339" s="3">
        <f t="shared" si="346"/>
        <v>4.767555676818442E-2</v>
      </c>
      <c r="E339" s="3">
        <f t="shared" si="346"/>
        <v>4.7675556764613651E-2</v>
      </c>
      <c r="F339" s="3">
        <f t="shared" si="346"/>
        <v>4.7675556728905971E-2</v>
      </c>
      <c r="G339" s="3">
        <f t="shared" si="346"/>
        <v>4.7675556371829172E-2</v>
      </c>
      <c r="H339" s="3">
        <f t="shared" si="346"/>
        <v>4.7675552801061317E-2</v>
      </c>
      <c r="I339" s="3">
        <f t="shared" si="346"/>
        <v>4.7675517093397478E-2</v>
      </c>
      <c r="J339" s="3">
        <f t="shared" si="346"/>
        <v>4.7675160018229974E-2</v>
      </c>
      <c r="K339" s="3">
        <f t="shared" si="346"/>
        <v>4.7671589413642787E-2</v>
      </c>
      <c r="L339" s="3">
        <f t="shared" si="346"/>
        <v>4.7635898072481239E-2</v>
      </c>
      <c r="M339" s="3">
        <f t="shared" si="346"/>
        <v>4.7280451065078173E-2</v>
      </c>
      <c r="N339" s="3">
        <f t="shared" si="346"/>
        <v>4.3868637846827228E-2</v>
      </c>
      <c r="O339" s="3">
        <f t="shared" si="346"/>
        <v>2.0743380438894295E-2</v>
      </c>
      <c r="P339" s="3">
        <f t="shared" si="346"/>
        <v>1.1591332474334432E-5</v>
      </c>
      <c r="Q339" s="3">
        <f t="shared" si="346"/>
        <v>3.4408969536840253E-38</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1.9951380582977987E-2</v>
      </c>
      <c r="C340" s="3">
        <f t="shared" si="347"/>
        <v>1.9951380582976637E-2</v>
      </c>
      <c r="D340" s="3">
        <f t="shared" si="347"/>
        <v>1.9951380582963158E-2</v>
      </c>
      <c r="E340" s="3">
        <f t="shared" si="347"/>
        <v>1.995138058282836E-2</v>
      </c>
      <c r="F340" s="3">
        <f t="shared" si="347"/>
        <v>1.9951380581480372E-2</v>
      </c>
      <c r="G340" s="3">
        <f t="shared" si="347"/>
        <v>1.9951380568000512E-2</v>
      </c>
      <c r="H340" s="3">
        <f t="shared" si="347"/>
        <v>1.9951380433201906E-2</v>
      </c>
      <c r="I340" s="3">
        <f t="shared" si="347"/>
        <v>1.9951379085215885E-2</v>
      </c>
      <c r="J340" s="3">
        <f t="shared" si="347"/>
        <v>1.995136560536067E-2</v>
      </c>
      <c r="K340" s="3">
        <f t="shared" si="347"/>
        <v>1.9951230807309428E-2</v>
      </c>
      <c r="L340" s="3">
        <f t="shared" si="347"/>
        <v>1.9949882876886746E-2</v>
      </c>
      <c r="M340" s="3">
        <f t="shared" si="347"/>
        <v>1.9936408580378637E-2</v>
      </c>
      <c r="N340" s="3">
        <f t="shared" si="347"/>
        <v>1.9802165137572571E-2</v>
      </c>
      <c r="O340" s="3">
        <f t="shared" si="347"/>
        <v>1.850845645250165E-2</v>
      </c>
      <c r="P340" s="3">
        <f t="shared" si="347"/>
        <v>9.4177126815112571E-3</v>
      </c>
      <c r="Q340" s="3">
        <f t="shared" si="347"/>
        <v>1.0957154598594508E-5</v>
      </c>
      <c r="R340" s="3">
        <f t="shared" si="347"/>
        <v>4.9799079508261427E-35</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3.72297268541352E-3</v>
      </c>
      <c r="C341" s="3">
        <f t="shared" si="348"/>
        <v>3.7229726854134974E-3</v>
      </c>
      <c r="D341" s="3">
        <f t="shared" si="348"/>
        <v>3.7229726854132706E-3</v>
      </c>
      <c r="E341" s="3">
        <f t="shared" si="348"/>
        <v>3.7229726854110011E-3</v>
      </c>
      <c r="F341" s="3">
        <f t="shared" si="348"/>
        <v>3.7229726853883105E-3</v>
      </c>
      <c r="G341" s="3">
        <f t="shared" si="348"/>
        <v>3.722972685161403E-3</v>
      </c>
      <c r="H341" s="3">
        <f t="shared" si="348"/>
        <v>3.7229726828923275E-3</v>
      </c>
      <c r="I341" s="3">
        <f t="shared" si="348"/>
        <v>3.7229726602015754E-3</v>
      </c>
      <c r="J341" s="3">
        <f t="shared" si="348"/>
        <v>3.7229724332940614E-3</v>
      </c>
      <c r="K341" s="3">
        <f t="shared" si="348"/>
        <v>3.7229701642196781E-3</v>
      </c>
      <c r="L341" s="3">
        <f t="shared" si="348"/>
        <v>3.7229474735519094E-3</v>
      </c>
      <c r="M341" s="3">
        <f t="shared" si="348"/>
        <v>3.7227205744802842E-3</v>
      </c>
      <c r="N341" s="3">
        <f t="shared" si="348"/>
        <v>3.7204523441985351E-3</v>
      </c>
      <c r="O341" s="3">
        <f t="shared" si="348"/>
        <v>3.6978459136272298E-3</v>
      </c>
      <c r="P341" s="3">
        <f t="shared" si="348"/>
        <v>3.4792004886005112E-3</v>
      </c>
      <c r="Q341" s="3">
        <f t="shared" si="348"/>
        <v>1.8914109860670195E-3</v>
      </c>
      <c r="R341" s="3">
        <f t="shared" si="348"/>
        <v>4.2643262464706883E-6</v>
      </c>
      <c r="S341" s="3">
        <f t="shared" si="348"/>
        <v>1.4470901418515636E-32</v>
      </c>
      <c r="T341" s="3">
        <f t="shared" si="348"/>
        <v>2.9305369409555021E-297</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3.2258116785225379E-3</v>
      </c>
      <c r="C342" s="3">
        <f t="shared" si="349"/>
        <v>3.2258116785225362E-3</v>
      </c>
      <c r="D342" s="3">
        <f t="shared" si="349"/>
        <v>3.2258116785225189E-3</v>
      </c>
      <c r="E342" s="3">
        <f t="shared" si="349"/>
        <v>3.2258116785223415E-3</v>
      </c>
      <c r="F342" s="3">
        <f t="shared" si="349"/>
        <v>3.2258116785205677E-3</v>
      </c>
      <c r="G342" s="3">
        <f t="shared" si="349"/>
        <v>3.2258116785028323E-3</v>
      </c>
      <c r="H342" s="3">
        <f t="shared" si="349"/>
        <v>3.2258116783254768E-3</v>
      </c>
      <c r="I342" s="3">
        <f t="shared" si="349"/>
        <v>3.225811676551922E-3</v>
      </c>
      <c r="J342" s="3">
        <f t="shared" si="349"/>
        <v>3.2258116588163724E-3</v>
      </c>
      <c r="K342" s="3">
        <f t="shared" si="349"/>
        <v>3.2258114814608849E-3</v>
      </c>
      <c r="L342" s="3">
        <f t="shared" si="349"/>
        <v>3.2258097079065442E-3</v>
      </c>
      <c r="M342" s="3">
        <f t="shared" si="349"/>
        <v>3.2257919724167673E-3</v>
      </c>
      <c r="N342" s="3">
        <f t="shared" si="349"/>
        <v>3.2256146228819412E-3</v>
      </c>
      <c r="O342" s="3">
        <f t="shared" si="349"/>
        <v>3.2238416637188675E-3</v>
      </c>
      <c r="P342" s="3">
        <f t="shared" si="349"/>
        <v>3.206165581692779E-3</v>
      </c>
      <c r="Q342" s="3">
        <f t="shared" si="349"/>
        <v>3.0346484515254564E-3</v>
      </c>
      <c r="R342" s="3">
        <f t="shared" si="349"/>
        <v>1.751188056204084E-3</v>
      </c>
      <c r="S342" s="3">
        <f t="shared" si="349"/>
        <v>7.1709513522977441E-6</v>
      </c>
      <c r="T342" s="3">
        <f t="shared" si="349"/>
        <v>9.506412906946219E-30</v>
      </c>
      <c r="U342" s="3">
        <f t="shared" si="349"/>
        <v>1.593733306436973E-268</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4.6514491459037388E-4</v>
      </c>
      <c r="C343" s="3">
        <f t="shared" si="350"/>
        <v>4.6514491459037388E-4</v>
      </c>
      <c r="D343" s="3">
        <f t="shared" si="350"/>
        <v>4.6514491459037361E-4</v>
      </c>
      <c r="E343" s="3">
        <f t="shared" si="350"/>
        <v>4.6514491459037128E-4</v>
      </c>
      <c r="F343" s="3">
        <f t="shared" si="350"/>
        <v>4.651449145903483E-4</v>
      </c>
      <c r="G343" s="3">
        <f t="shared" si="350"/>
        <v>4.6514491459011752E-4</v>
      </c>
      <c r="H343" s="3">
        <f t="shared" si="350"/>
        <v>4.6514491458781061E-4</v>
      </c>
      <c r="I343" s="3">
        <f t="shared" si="350"/>
        <v>4.6514491456474096E-4</v>
      </c>
      <c r="J343" s="3">
        <f t="shared" si="350"/>
        <v>4.6514491433404475E-4</v>
      </c>
      <c r="K343" s="3">
        <f t="shared" si="350"/>
        <v>4.651449120270824E-4</v>
      </c>
      <c r="L343" s="3">
        <f t="shared" si="350"/>
        <v>4.651448889574598E-4</v>
      </c>
      <c r="M343" s="3">
        <f t="shared" si="350"/>
        <v>4.6514465826129635E-4</v>
      </c>
      <c r="N343" s="3">
        <f t="shared" si="350"/>
        <v>4.6514235130595496E-4</v>
      </c>
      <c r="O343" s="3">
        <f t="shared" si="350"/>
        <v>4.651192823818248E-4</v>
      </c>
      <c r="P343" s="3">
        <f t="shared" si="350"/>
        <v>4.6488865605735856E-4</v>
      </c>
      <c r="Q343" s="3">
        <f t="shared" si="350"/>
        <v>4.6258867296584207E-4</v>
      </c>
      <c r="R343" s="3">
        <f t="shared" si="350"/>
        <v>4.4020548410200592E-4</v>
      </c>
      <c r="S343" s="3">
        <f t="shared" si="350"/>
        <v>2.6807727013425018E-4</v>
      </c>
      <c r="T343" s="3">
        <f t="shared" si="350"/>
        <v>1.880638960408955E-6</v>
      </c>
      <c r="U343" s="3">
        <f t="shared" si="350"/>
        <v>5.4294994673971308E-28</v>
      </c>
      <c r="V343" s="3">
        <f t="shared" si="350"/>
        <v>2.1842555800174891E-243</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1.1429544870574336E-5</v>
      </c>
      <c r="C344" s="3">
        <f t="shared" si="351"/>
        <v>1.1429544870574336E-5</v>
      </c>
      <c r="D344" s="3">
        <f t="shared" si="351"/>
        <v>1.1429544870574336E-5</v>
      </c>
      <c r="E344" s="3">
        <f t="shared" si="351"/>
        <v>1.1429544870574331E-5</v>
      </c>
      <c r="F344" s="3">
        <f t="shared" si="351"/>
        <v>1.1429544870574278E-5</v>
      </c>
      <c r="G344" s="3">
        <f t="shared" si="351"/>
        <v>1.1429544870573766E-5</v>
      </c>
      <c r="H344" s="3">
        <f t="shared" si="351"/>
        <v>1.1429544870568654E-5</v>
      </c>
      <c r="I344" s="3">
        <f t="shared" si="351"/>
        <v>1.1429544870517518E-5</v>
      </c>
      <c r="J344" s="3">
        <f t="shared" si="351"/>
        <v>1.1429544870006156E-5</v>
      </c>
      <c r="K344" s="3">
        <f t="shared" si="351"/>
        <v>1.1429544864892545E-5</v>
      </c>
      <c r="L344" s="3">
        <f t="shared" si="351"/>
        <v>1.1429544813756426E-5</v>
      </c>
      <c r="M344" s="3">
        <f t="shared" si="351"/>
        <v>1.1429544302395262E-5</v>
      </c>
      <c r="N344" s="3">
        <f t="shared" si="351"/>
        <v>1.1429539188784873E-5</v>
      </c>
      <c r="O344" s="3">
        <f t="shared" si="351"/>
        <v>1.1429488052806811E-5</v>
      </c>
      <c r="P344" s="3">
        <f t="shared" si="351"/>
        <v>1.1428976705609092E-5</v>
      </c>
      <c r="Q344" s="3">
        <f t="shared" si="351"/>
        <v>1.1423864491715176E-5</v>
      </c>
      <c r="R344" s="3">
        <f t="shared" si="351"/>
        <v>1.1372867953088954E-5</v>
      </c>
      <c r="S344" s="3">
        <f t="shared" si="351"/>
        <v>1.0875257145294328E-5</v>
      </c>
      <c r="T344" s="3">
        <f t="shared" si="351"/>
        <v>6.9524026084644399E-6</v>
      </c>
      <c r="U344" s="3">
        <f t="shared" si="351"/>
        <v>7.9266321766777373E-8</v>
      </c>
      <c r="V344" s="3">
        <f t="shared" si="351"/>
        <v>2.9418913299004478E-27</v>
      </c>
      <c r="W344" s="3">
        <f t="shared" si="351"/>
        <v>1.458833846851478E-221</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2.5915484418969715E-5</v>
      </c>
      <c r="C345" s="3">
        <f t="shared" si="352"/>
        <v>2.5915484418969715E-5</v>
      </c>
      <c r="D345" s="3">
        <f t="shared" si="352"/>
        <v>2.5915484418969715E-5</v>
      </c>
      <c r="E345" s="3">
        <f t="shared" si="352"/>
        <v>2.5915484418969715E-5</v>
      </c>
      <c r="F345" s="3">
        <f t="shared" si="352"/>
        <v>2.5915484418969705E-5</v>
      </c>
      <c r="G345" s="3">
        <f t="shared" si="352"/>
        <v>2.59154844189696E-5</v>
      </c>
      <c r="H345" s="3">
        <f t="shared" si="352"/>
        <v>2.5915484418968553E-5</v>
      </c>
      <c r="I345" s="3">
        <f t="shared" si="352"/>
        <v>2.5915484418958094E-5</v>
      </c>
      <c r="J345" s="3">
        <f t="shared" si="352"/>
        <v>2.5915484418853499E-5</v>
      </c>
      <c r="K345" s="3">
        <f t="shared" si="352"/>
        <v>2.5915484417807565E-5</v>
      </c>
      <c r="L345" s="3">
        <f t="shared" si="352"/>
        <v>2.5915484407348213E-5</v>
      </c>
      <c r="M345" s="3">
        <f t="shared" si="352"/>
        <v>2.5915484302754704E-5</v>
      </c>
      <c r="N345" s="3">
        <f t="shared" si="352"/>
        <v>2.5915483256819627E-5</v>
      </c>
      <c r="O345" s="3">
        <f t="shared" si="352"/>
        <v>2.5915472797471155E-5</v>
      </c>
      <c r="P345" s="3">
        <f t="shared" si="352"/>
        <v>2.5915368204218622E-5</v>
      </c>
      <c r="Q345" s="3">
        <f t="shared" si="352"/>
        <v>2.5914322294910293E-5</v>
      </c>
      <c r="R345" s="3">
        <f t="shared" si="352"/>
        <v>2.590386552317782E-5</v>
      </c>
      <c r="S345" s="3">
        <f t="shared" si="352"/>
        <v>2.5799529594662325E-5</v>
      </c>
      <c r="T345" s="3">
        <f t="shared" si="352"/>
        <v>2.4779006765048948E-5</v>
      </c>
      <c r="U345" s="3">
        <f t="shared" si="352"/>
        <v>1.6550265369138216E-5</v>
      </c>
      <c r="V345" s="3">
        <f t="shared" si="352"/>
        <v>2.9242576603591528E-7</v>
      </c>
      <c r="W345" s="3">
        <f t="shared" si="352"/>
        <v>8.6720621523973161E-25</v>
      </c>
      <c r="X345" s="3">
        <f t="shared" si="352"/>
        <v>4.5623630052255185E-200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2.9552981931303355E-5</v>
      </c>
      <c r="C346" s="3">
        <f t="shared" si="353"/>
        <v>2.9552981931303355E-5</v>
      </c>
      <c r="D346" s="3">
        <f t="shared" si="353"/>
        <v>2.9552981931303355E-5</v>
      </c>
      <c r="E346" s="3">
        <f t="shared" si="353"/>
        <v>2.9552981931303355E-5</v>
      </c>
      <c r="F346" s="3">
        <f t="shared" si="353"/>
        <v>2.9552981931303355E-5</v>
      </c>
      <c r="G346" s="3">
        <f t="shared" si="353"/>
        <v>2.9552981931303342E-5</v>
      </c>
      <c r="H346" s="3">
        <f t="shared" si="353"/>
        <v>2.9552981931303237E-5</v>
      </c>
      <c r="I346" s="3">
        <f t="shared" si="353"/>
        <v>2.9552981931302162E-5</v>
      </c>
      <c r="J346" s="3">
        <f t="shared" si="353"/>
        <v>2.9552981931291398E-5</v>
      </c>
      <c r="K346" s="3">
        <f t="shared" si="353"/>
        <v>2.9552981931183805E-5</v>
      </c>
      <c r="L346" s="3">
        <f t="shared" si="353"/>
        <v>2.9552981930107853E-5</v>
      </c>
      <c r="M346" s="3">
        <f t="shared" si="353"/>
        <v>2.9552981919348322E-5</v>
      </c>
      <c r="N346" s="3">
        <f t="shared" si="353"/>
        <v>2.955298181175302E-5</v>
      </c>
      <c r="O346" s="3">
        <f t="shared" si="353"/>
        <v>2.9552980735800027E-5</v>
      </c>
      <c r="P346" s="3">
        <f t="shared" si="353"/>
        <v>2.9552969976272253E-5</v>
      </c>
      <c r="Q346" s="3">
        <f t="shared" si="353"/>
        <v>2.9552862381209965E-5</v>
      </c>
      <c r="R346" s="3">
        <f t="shared" si="353"/>
        <v>2.9551786452131817E-5</v>
      </c>
      <c r="S346" s="3">
        <f t="shared" si="353"/>
        <v>2.9541029315535368E-5</v>
      </c>
      <c r="T346" s="3">
        <f t="shared" si="353"/>
        <v>2.9433673078165757E-5</v>
      </c>
      <c r="U346" s="3">
        <f t="shared" si="353"/>
        <v>2.8381336568837672E-5</v>
      </c>
      <c r="V346" s="3">
        <f t="shared" si="353"/>
        <v>1.972044292145292E-5</v>
      </c>
      <c r="W346" s="3">
        <f t="shared" si="353"/>
        <v>5.1731476660080809E-7</v>
      </c>
      <c r="X346" s="3">
        <f t="shared" si="353"/>
        <v>7.9824642023969284E-23</v>
      </c>
      <c r="Y346" s="3">
        <f t="shared" si="353"/>
        <v>6.1088297499916956E-181</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3.2731039559542382E-6</v>
      </c>
      <c r="C347" s="3">
        <f t="shared" si="354"/>
        <v>3.2731039559542382E-6</v>
      </c>
      <c r="D347" s="3">
        <f t="shared" si="354"/>
        <v>3.2731039559542382E-6</v>
      </c>
      <c r="E347" s="3">
        <f t="shared" si="354"/>
        <v>3.2731039559542382E-6</v>
      </c>
      <c r="F347" s="3">
        <f t="shared" si="354"/>
        <v>3.2731039559542382E-6</v>
      </c>
      <c r="G347" s="3">
        <f t="shared" si="354"/>
        <v>3.2731039559542382E-6</v>
      </c>
      <c r="H347" s="3">
        <f t="shared" si="354"/>
        <v>3.2731039559542369E-6</v>
      </c>
      <c r="I347" s="3">
        <f t="shared" si="354"/>
        <v>3.2731039559542263E-6</v>
      </c>
      <c r="J347" s="3">
        <f t="shared" si="354"/>
        <v>3.2731039559541188E-6</v>
      </c>
      <c r="K347" s="3">
        <f t="shared" si="354"/>
        <v>3.2731039559530439E-6</v>
      </c>
      <c r="L347" s="3">
        <f t="shared" si="354"/>
        <v>3.2731039559422942E-6</v>
      </c>
      <c r="M347" s="3">
        <f t="shared" si="354"/>
        <v>3.2731039558347964E-6</v>
      </c>
      <c r="N347" s="3">
        <f t="shared" si="354"/>
        <v>3.2731039547598214E-6</v>
      </c>
      <c r="O347" s="3">
        <f t="shared" si="354"/>
        <v>3.2731039440100712E-6</v>
      </c>
      <c r="P347" s="3">
        <f t="shared" si="354"/>
        <v>3.2731038365125672E-6</v>
      </c>
      <c r="Q347" s="3">
        <f t="shared" si="354"/>
        <v>3.2731027615377205E-6</v>
      </c>
      <c r="R347" s="3">
        <f t="shared" si="354"/>
        <v>3.2730920118086776E-6</v>
      </c>
      <c r="S347" s="3">
        <f t="shared" si="354"/>
        <v>3.2729845164599961E-6</v>
      </c>
      <c r="T347" s="3">
        <f t="shared" si="354"/>
        <v>3.2719097571248108E-6</v>
      </c>
      <c r="U347" s="3">
        <f t="shared" si="354"/>
        <v>3.2611815553633677E-6</v>
      </c>
      <c r="V347" s="3">
        <f t="shared" si="354"/>
        <v>3.1558153381117324E-6</v>
      </c>
      <c r="W347" s="3">
        <f t="shared" si="354"/>
        <v>2.27236261277781E-6</v>
      </c>
      <c r="X347" s="3">
        <f t="shared" si="354"/>
        <v>8.5140885169647174E-8</v>
      </c>
      <c r="Y347" s="3">
        <f t="shared" si="354"/>
        <v>4.6424092097451145E-22</v>
      </c>
      <c r="Z347" s="3">
        <f t="shared" si="354"/>
        <v>1.0784400308448253E-164</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4.7316671387144988E-5</v>
      </c>
      <c r="C348" s="3">
        <f t="shared" si="355"/>
        <v>4.7316671387144988E-5</v>
      </c>
      <c r="D348" s="3">
        <f t="shared" si="355"/>
        <v>4.7316671387144988E-5</v>
      </c>
      <c r="E348" s="3">
        <f t="shared" si="355"/>
        <v>4.7316671387144988E-5</v>
      </c>
      <c r="F348" s="3">
        <f t="shared" si="355"/>
        <v>4.7316671387144988E-5</v>
      </c>
      <c r="G348" s="3">
        <f t="shared" si="355"/>
        <v>4.7316671387144988E-5</v>
      </c>
      <c r="H348" s="3">
        <f t="shared" si="355"/>
        <v>4.7316671387144982E-5</v>
      </c>
      <c r="I348" s="3">
        <f t="shared" si="355"/>
        <v>4.7316671387144941E-5</v>
      </c>
      <c r="J348" s="3">
        <f t="shared" si="355"/>
        <v>4.7316671387144507E-5</v>
      </c>
      <c r="K348" s="3">
        <f t="shared" si="355"/>
        <v>4.7316671387140211E-5</v>
      </c>
      <c r="L348" s="3">
        <f t="shared" si="355"/>
        <v>4.7316671387097229E-5</v>
      </c>
      <c r="M348" s="3">
        <f t="shared" si="355"/>
        <v>4.7316671386667438E-5</v>
      </c>
      <c r="N348" s="3">
        <f t="shared" si="355"/>
        <v>4.7316671382369444E-5</v>
      </c>
      <c r="O348" s="3">
        <f t="shared" si="355"/>
        <v>4.7316671339389515E-5</v>
      </c>
      <c r="P348" s="3">
        <f t="shared" si="355"/>
        <v>4.7316670909590286E-5</v>
      </c>
      <c r="Q348" s="3">
        <f t="shared" si="355"/>
        <v>4.7316666611598182E-5</v>
      </c>
      <c r="R348" s="3">
        <f t="shared" si="355"/>
        <v>4.7316623631698602E-5</v>
      </c>
      <c r="S348" s="3">
        <f t="shared" si="355"/>
        <v>4.7316193834850079E-5</v>
      </c>
      <c r="T348" s="3">
        <f t="shared" si="355"/>
        <v>4.7311896081080365E-5</v>
      </c>
      <c r="U348" s="3">
        <f t="shared" si="355"/>
        <v>4.7268940007726824E-5</v>
      </c>
      <c r="V348" s="3">
        <f t="shared" si="355"/>
        <v>4.6841518512130111E-5</v>
      </c>
      <c r="W348" s="3">
        <f t="shared" si="355"/>
        <v>4.2774208988471284E-5</v>
      </c>
      <c r="X348" s="3">
        <f t="shared" si="355"/>
        <v>1.7246151655418787E-5</v>
      </c>
      <c r="Y348" s="3">
        <f t="shared" si="355"/>
        <v>1.957917276707114E-9</v>
      </c>
      <c r="Z348" s="3">
        <f t="shared" si="355"/>
        <v>6.9633097925918219E-49</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2.2741722122049058E-5</v>
      </c>
      <c r="C349" s="3">
        <f t="shared" si="356"/>
        <v>2.2741722122049058E-5</v>
      </c>
      <c r="D349" s="3">
        <f t="shared" si="356"/>
        <v>2.2741722122049058E-5</v>
      </c>
      <c r="E349" s="3">
        <f t="shared" si="356"/>
        <v>2.2741722122049058E-5</v>
      </c>
      <c r="F349" s="3">
        <f t="shared" si="356"/>
        <v>2.2741722122049058E-5</v>
      </c>
      <c r="G349" s="3">
        <f t="shared" si="356"/>
        <v>2.2741722122049058E-5</v>
      </c>
      <c r="H349" s="3">
        <f t="shared" si="356"/>
        <v>2.2741722122049058E-5</v>
      </c>
      <c r="I349" s="3">
        <f t="shared" si="356"/>
        <v>2.2741722122049055E-5</v>
      </c>
      <c r="J349" s="3">
        <f t="shared" si="356"/>
        <v>2.2741722122049035E-5</v>
      </c>
      <c r="K349" s="3">
        <f t="shared" si="356"/>
        <v>2.2741722122048828E-5</v>
      </c>
      <c r="L349" s="3">
        <f t="shared" si="356"/>
        <v>2.2741722122046765E-5</v>
      </c>
      <c r="M349" s="3">
        <f t="shared" si="356"/>
        <v>2.2741722122026104E-5</v>
      </c>
      <c r="N349" s="3">
        <f t="shared" si="356"/>
        <v>2.2741722121819533E-5</v>
      </c>
      <c r="O349" s="3">
        <f t="shared" si="356"/>
        <v>2.2741722119753796E-5</v>
      </c>
      <c r="P349" s="3">
        <f t="shared" si="356"/>
        <v>2.2741722099096437E-5</v>
      </c>
      <c r="Q349" s="3">
        <f t="shared" si="356"/>
        <v>2.2741721892522845E-5</v>
      </c>
      <c r="R349" s="3">
        <f t="shared" si="356"/>
        <v>2.2741719826787045E-5</v>
      </c>
      <c r="S349" s="3">
        <f t="shared" si="356"/>
        <v>2.2741699169439339E-5</v>
      </c>
      <c r="T349" s="3">
        <f t="shared" si="356"/>
        <v>2.2741492596994331E-5</v>
      </c>
      <c r="U349" s="3">
        <f t="shared" si="356"/>
        <v>2.2739426975742574E-5</v>
      </c>
      <c r="V349" s="3">
        <f t="shared" si="356"/>
        <v>2.2718781079591771E-5</v>
      </c>
      <c r="W349" s="3">
        <f t="shared" si="356"/>
        <v>2.2513350295961206E-5</v>
      </c>
      <c r="X349" s="3">
        <f t="shared" si="356"/>
        <v>2.0558487025580304E-5</v>
      </c>
      <c r="Y349" s="3">
        <f t="shared" si="356"/>
        <v>8.2889851953703875E-6</v>
      </c>
      <c r="Z349" s="3">
        <f t="shared" si="356"/>
        <v>9.410300712093026E-10</v>
      </c>
      <c r="AA349" s="3">
        <f t="shared" si="356"/>
        <v>3.3467623928400201E-49</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1.7857506760164985E-5</v>
      </c>
      <c r="C350" s="3">
        <f t="shared" si="357"/>
        <v>1.7857506760164985E-5</v>
      </c>
      <c r="D350" s="3">
        <f t="shared" si="357"/>
        <v>1.7857506760164985E-5</v>
      </c>
      <c r="E350" s="3">
        <f t="shared" si="357"/>
        <v>1.7857506760164985E-5</v>
      </c>
      <c r="F350" s="3">
        <f t="shared" si="357"/>
        <v>1.7857506760164985E-5</v>
      </c>
      <c r="G350" s="3">
        <f t="shared" si="357"/>
        <v>1.7857506760164985E-5</v>
      </c>
      <c r="H350" s="3">
        <f t="shared" si="357"/>
        <v>1.7857506760164985E-5</v>
      </c>
      <c r="I350" s="3">
        <f t="shared" si="357"/>
        <v>1.7857506760164985E-5</v>
      </c>
      <c r="J350" s="3">
        <f t="shared" si="357"/>
        <v>1.7857506760164981E-5</v>
      </c>
      <c r="K350" s="3">
        <f t="shared" si="357"/>
        <v>1.7857506760164968E-5</v>
      </c>
      <c r="L350" s="3">
        <f t="shared" si="357"/>
        <v>1.7857506760164805E-5</v>
      </c>
      <c r="M350" s="3">
        <f t="shared" si="357"/>
        <v>1.7857506760163182E-5</v>
      </c>
      <c r="N350" s="3">
        <f t="shared" si="357"/>
        <v>1.785750676014696E-5</v>
      </c>
      <c r="O350" s="3">
        <f t="shared" si="357"/>
        <v>1.7857506759984753E-5</v>
      </c>
      <c r="P350" s="3">
        <f t="shared" si="357"/>
        <v>1.7857506758362675E-5</v>
      </c>
      <c r="Q350" s="3">
        <f t="shared" si="357"/>
        <v>1.7857506742141872E-5</v>
      </c>
      <c r="R350" s="3">
        <f t="shared" si="357"/>
        <v>1.7857506579933873E-5</v>
      </c>
      <c r="S350" s="3">
        <f t="shared" si="357"/>
        <v>1.7857504957853941E-5</v>
      </c>
      <c r="T350" s="3">
        <f t="shared" si="357"/>
        <v>1.7857488737062731E-5</v>
      </c>
      <c r="U350" s="3">
        <f t="shared" si="357"/>
        <v>1.7857326529961028E-5</v>
      </c>
      <c r="V350" s="3">
        <f t="shared" si="357"/>
        <v>1.7855704539978506E-5</v>
      </c>
      <c r="W350" s="3">
        <f t="shared" si="357"/>
        <v>1.783949274088502E-5</v>
      </c>
      <c r="X350" s="3">
        <f t="shared" si="357"/>
        <v>1.7678182107163393E-5</v>
      </c>
      <c r="Y350" s="3">
        <f t="shared" si="357"/>
        <v>1.6143162732699248E-5</v>
      </c>
      <c r="Z350" s="3">
        <f t="shared" si="357"/>
        <v>6.5087687012815064E-6</v>
      </c>
      <c r="AA350" s="3">
        <f t="shared" si="357"/>
        <v>7.3892604825410455E-10</v>
      </c>
      <c r="AB350" s="3">
        <f t="shared" si="357"/>
        <v>2.6279818095597111E-49</v>
      </c>
      <c r="AC350" s="3">
        <f t="shared" si="357"/>
        <v>0</v>
      </c>
      <c r="AD350" s="3">
        <f t="shared" si="357"/>
        <v>0</v>
      </c>
      <c r="AE350" s="3">
        <f t="shared" si="357"/>
        <v>0</v>
      </c>
      <c r="AF350" s="3">
        <f t="shared" si="357"/>
        <v>0</v>
      </c>
      <c r="AG350" s="3"/>
      <c r="AH350" s="3"/>
    </row>
    <row r="351" spans="2:34" x14ac:dyDescent="0.25">
      <c r="B351" s="3">
        <f t="shared" ref="B351:AF351" si="358">$C42*EXP(-B$363/$A42/EXP(-$G$126))</f>
        <v>0</v>
      </c>
      <c r="C351" s="3">
        <f t="shared" si="358"/>
        <v>0</v>
      </c>
      <c r="D351" s="3">
        <f t="shared" si="358"/>
        <v>0</v>
      </c>
      <c r="E351" s="3">
        <f t="shared" si="358"/>
        <v>0</v>
      </c>
      <c r="F351" s="3">
        <f t="shared" si="358"/>
        <v>0</v>
      </c>
      <c r="G351" s="3">
        <f t="shared" si="358"/>
        <v>0</v>
      </c>
      <c r="H351" s="3">
        <f t="shared" si="358"/>
        <v>0</v>
      </c>
      <c r="I351" s="3">
        <f t="shared" si="358"/>
        <v>0</v>
      </c>
      <c r="J351" s="3">
        <f t="shared" si="358"/>
        <v>0</v>
      </c>
      <c r="K351" s="3">
        <f t="shared" si="358"/>
        <v>0</v>
      </c>
      <c r="L351" s="3">
        <f t="shared" si="358"/>
        <v>0</v>
      </c>
      <c r="M351" s="3">
        <f t="shared" si="358"/>
        <v>0</v>
      </c>
      <c r="N351" s="3">
        <f t="shared" si="358"/>
        <v>0</v>
      </c>
      <c r="O351" s="3">
        <f t="shared" si="358"/>
        <v>0</v>
      </c>
      <c r="P351" s="3">
        <f t="shared" si="358"/>
        <v>0</v>
      </c>
      <c r="Q351" s="3">
        <f t="shared" si="358"/>
        <v>0</v>
      </c>
      <c r="R351" s="3">
        <f t="shared" si="358"/>
        <v>0</v>
      </c>
      <c r="S351" s="3">
        <f t="shared" si="358"/>
        <v>0</v>
      </c>
      <c r="T351" s="3">
        <f t="shared" si="358"/>
        <v>0</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1.5759572914912317E-6</v>
      </c>
      <c r="C352" s="3">
        <f t="shared" si="359"/>
        <v>1.5759572914912317E-6</v>
      </c>
      <c r="D352" s="3">
        <f t="shared" si="359"/>
        <v>1.5759572914912317E-6</v>
      </c>
      <c r="E352" s="3">
        <f t="shared" si="359"/>
        <v>1.5759572914912317E-6</v>
      </c>
      <c r="F352" s="3">
        <f t="shared" si="359"/>
        <v>1.5759572914912317E-6</v>
      </c>
      <c r="G352" s="3">
        <f t="shared" si="359"/>
        <v>1.5759572914912317E-6</v>
      </c>
      <c r="H352" s="3">
        <f t="shared" si="359"/>
        <v>1.5759572914912317E-6</v>
      </c>
      <c r="I352" s="3">
        <f t="shared" si="359"/>
        <v>1.5759572914912317E-6</v>
      </c>
      <c r="J352" s="3">
        <f t="shared" si="359"/>
        <v>1.5759572914912317E-6</v>
      </c>
      <c r="K352" s="3">
        <f t="shared" si="359"/>
        <v>1.5759572914912317E-6</v>
      </c>
      <c r="L352" s="3">
        <f t="shared" si="359"/>
        <v>1.5759572914912315E-6</v>
      </c>
      <c r="M352" s="3">
        <f t="shared" si="359"/>
        <v>1.5759572914912302E-6</v>
      </c>
      <c r="N352" s="3">
        <f t="shared" si="359"/>
        <v>1.5759572914912158E-6</v>
      </c>
      <c r="O352" s="3">
        <f t="shared" si="359"/>
        <v>1.5759572914910726E-6</v>
      </c>
      <c r="P352" s="3">
        <f t="shared" si="359"/>
        <v>1.5759572914896412E-6</v>
      </c>
      <c r="Q352" s="3">
        <f t="shared" si="359"/>
        <v>1.5759572914753261E-6</v>
      </c>
      <c r="R352" s="3">
        <f t="shared" si="359"/>
        <v>1.5759572913321744E-6</v>
      </c>
      <c r="S352" s="3">
        <f t="shared" si="359"/>
        <v>1.5759572899006594E-6</v>
      </c>
      <c r="T352" s="3">
        <f t="shared" si="359"/>
        <v>1.5759572755855098E-6</v>
      </c>
      <c r="U352" s="3">
        <f t="shared" si="359"/>
        <v>1.5759571324340201E-6</v>
      </c>
      <c r="V352" s="3">
        <f t="shared" si="359"/>
        <v>1.5759557009198382E-6</v>
      </c>
      <c r="W352" s="3">
        <f t="shared" si="359"/>
        <v>1.5759413858495377E-6</v>
      </c>
      <c r="X352" s="3">
        <f t="shared" si="359"/>
        <v>1.5757982422979764E-6</v>
      </c>
      <c r="Y352" s="3">
        <f t="shared" si="359"/>
        <v>1.5743675216865995E-6</v>
      </c>
      <c r="Z352" s="3">
        <f t="shared" si="359"/>
        <v>1.5601315663081165E-6</v>
      </c>
      <c r="AA352" s="3">
        <f t="shared" si="359"/>
        <v>1.4246633283140276E-6</v>
      </c>
      <c r="AB352" s="3">
        <f t="shared" si="359"/>
        <v>5.7441061796466235E-7</v>
      </c>
      <c r="AC352" s="3">
        <f t="shared" si="359"/>
        <v>6.5211561124342465E-11</v>
      </c>
      <c r="AD352" s="3">
        <f t="shared" si="359"/>
        <v>2.319241510198193E-50</v>
      </c>
      <c r="AE352" s="3">
        <f t="shared" si="359"/>
        <v>0</v>
      </c>
      <c r="AF352" s="3">
        <f t="shared" si="359"/>
        <v>0</v>
      </c>
      <c r="AG352" s="3"/>
      <c r="AH352" s="3"/>
    </row>
    <row r="353" spans="1:34" x14ac:dyDescent="0.25">
      <c r="B353" s="3">
        <f t="shared" ref="B353:AF353" si="360">$C44*EXP(-B$363/$A44/EXP(-$G$126))</f>
        <v>0</v>
      </c>
      <c r="C353" s="3">
        <f t="shared" si="360"/>
        <v>0</v>
      </c>
      <c r="D353" s="3">
        <f t="shared" si="360"/>
        <v>0</v>
      </c>
      <c r="E353" s="3">
        <f t="shared" si="360"/>
        <v>0</v>
      </c>
      <c r="F353" s="3">
        <f t="shared" si="360"/>
        <v>0</v>
      </c>
      <c r="G353" s="3">
        <f t="shared" si="360"/>
        <v>0</v>
      </c>
      <c r="H353" s="3">
        <f t="shared" si="360"/>
        <v>0</v>
      </c>
      <c r="I353" s="3">
        <f t="shared" si="360"/>
        <v>0</v>
      </c>
      <c r="J353" s="3">
        <f t="shared" si="360"/>
        <v>0</v>
      </c>
      <c r="K353" s="3">
        <f t="shared" si="360"/>
        <v>0</v>
      </c>
      <c r="L353" s="3">
        <f t="shared" si="360"/>
        <v>0</v>
      </c>
      <c r="M353" s="3">
        <f t="shared" si="360"/>
        <v>0</v>
      </c>
      <c r="N353" s="3">
        <f t="shared" si="360"/>
        <v>0</v>
      </c>
      <c r="O353" s="3">
        <f t="shared" si="360"/>
        <v>0</v>
      </c>
      <c r="P353" s="3">
        <f t="shared" si="360"/>
        <v>0</v>
      </c>
      <c r="Q353" s="3">
        <f t="shared" si="360"/>
        <v>0</v>
      </c>
      <c r="R353" s="3">
        <f t="shared" si="360"/>
        <v>0</v>
      </c>
      <c r="S353" s="3">
        <f t="shared" si="360"/>
        <v>0</v>
      </c>
      <c r="T353" s="3">
        <f t="shared" si="360"/>
        <v>0</v>
      </c>
      <c r="U353" s="3">
        <f t="shared" si="360"/>
        <v>0</v>
      </c>
      <c r="V353" s="3">
        <f t="shared" si="360"/>
        <v>0</v>
      </c>
      <c r="W353" s="3">
        <f t="shared" si="360"/>
        <v>0</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0</v>
      </c>
      <c r="C354" s="3">
        <f t="shared" si="361"/>
        <v>0</v>
      </c>
      <c r="D354" s="3">
        <f t="shared" si="361"/>
        <v>0</v>
      </c>
      <c r="E354" s="3">
        <f t="shared" si="361"/>
        <v>0</v>
      </c>
      <c r="F354" s="3">
        <f t="shared" si="361"/>
        <v>0</v>
      </c>
      <c r="G354" s="3">
        <f t="shared" si="361"/>
        <v>0</v>
      </c>
      <c r="H354" s="3">
        <f t="shared" si="361"/>
        <v>0</v>
      </c>
      <c r="I354" s="3">
        <f t="shared" si="361"/>
        <v>0</v>
      </c>
      <c r="J354" s="3">
        <f t="shared" si="361"/>
        <v>0</v>
      </c>
      <c r="K354" s="3">
        <f t="shared" si="361"/>
        <v>0</v>
      </c>
      <c r="L354" s="3">
        <f t="shared" si="361"/>
        <v>0</v>
      </c>
      <c r="M354" s="3">
        <f t="shared" si="361"/>
        <v>0</v>
      </c>
      <c r="N354" s="3">
        <f t="shared" si="361"/>
        <v>0</v>
      </c>
      <c r="O354" s="3">
        <f t="shared" si="361"/>
        <v>0</v>
      </c>
      <c r="P354" s="3">
        <f t="shared" si="361"/>
        <v>0</v>
      </c>
      <c r="Q354" s="3">
        <f t="shared" si="361"/>
        <v>0</v>
      </c>
      <c r="R354" s="3">
        <f t="shared" si="361"/>
        <v>0</v>
      </c>
      <c r="S354" s="3">
        <f t="shared" si="361"/>
        <v>0</v>
      </c>
      <c r="T354" s="3">
        <f t="shared" si="361"/>
        <v>0</v>
      </c>
      <c r="U354" s="3">
        <f t="shared" si="361"/>
        <v>0</v>
      </c>
      <c r="V354" s="3">
        <f t="shared" si="361"/>
        <v>0</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0</v>
      </c>
      <c r="C355" s="3">
        <f t="shared" si="362"/>
        <v>0</v>
      </c>
      <c r="D355" s="3">
        <f t="shared" si="362"/>
        <v>0</v>
      </c>
      <c r="E355" s="3">
        <f t="shared" si="362"/>
        <v>0</v>
      </c>
      <c r="F355" s="3">
        <f t="shared" si="362"/>
        <v>0</v>
      </c>
      <c r="G355" s="3">
        <f t="shared" si="362"/>
        <v>0</v>
      </c>
      <c r="H355" s="3">
        <f t="shared" si="362"/>
        <v>0</v>
      </c>
      <c r="I355" s="3">
        <f t="shared" si="362"/>
        <v>0</v>
      </c>
      <c r="J355" s="3">
        <f t="shared" si="362"/>
        <v>0</v>
      </c>
      <c r="K355" s="3">
        <f t="shared" si="362"/>
        <v>0</v>
      </c>
      <c r="L355" s="3">
        <f t="shared" si="362"/>
        <v>0</v>
      </c>
      <c r="M355" s="3">
        <f t="shared" si="362"/>
        <v>0</v>
      </c>
      <c r="N355" s="3">
        <f t="shared" si="362"/>
        <v>0</v>
      </c>
      <c r="O355" s="3">
        <f t="shared" si="362"/>
        <v>0</v>
      </c>
      <c r="P355" s="3">
        <f t="shared" si="362"/>
        <v>0</v>
      </c>
      <c r="Q355" s="3">
        <f t="shared" si="362"/>
        <v>0</v>
      </c>
      <c r="R355" s="3">
        <f t="shared" si="362"/>
        <v>0</v>
      </c>
      <c r="S355" s="3">
        <f t="shared" si="362"/>
        <v>0</v>
      </c>
      <c r="T355" s="3">
        <f t="shared" si="362"/>
        <v>0</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1.823122872957775E-3</v>
      </c>
      <c r="C357" s="3">
        <f t="shared" si="364"/>
        <v>1.823122872957775E-3</v>
      </c>
      <c r="D357" s="3">
        <f t="shared" si="364"/>
        <v>1.823122872957775E-3</v>
      </c>
      <c r="E357" s="3">
        <f t="shared" si="364"/>
        <v>1.823122872957775E-3</v>
      </c>
      <c r="F357" s="3">
        <f t="shared" si="364"/>
        <v>1.823122872957775E-3</v>
      </c>
      <c r="G357" s="3">
        <f t="shared" si="364"/>
        <v>1.823122872957775E-3</v>
      </c>
      <c r="H357" s="3">
        <f t="shared" si="364"/>
        <v>1.823122872957775E-3</v>
      </c>
      <c r="I357" s="3">
        <f t="shared" si="364"/>
        <v>1.823122872957775E-3</v>
      </c>
      <c r="J357" s="3">
        <f t="shared" si="364"/>
        <v>1.823122872957775E-3</v>
      </c>
      <c r="K357" s="3">
        <f t="shared" si="364"/>
        <v>1.823122872957775E-3</v>
      </c>
      <c r="L357" s="3">
        <f t="shared" si="364"/>
        <v>1.823122872957775E-3</v>
      </c>
      <c r="M357" s="3">
        <f t="shared" si="364"/>
        <v>1.823122872957775E-3</v>
      </c>
      <c r="N357" s="3">
        <f t="shared" si="364"/>
        <v>1.823122872957775E-3</v>
      </c>
      <c r="O357" s="3">
        <f t="shared" si="364"/>
        <v>1.823122872957775E-3</v>
      </c>
      <c r="P357" s="3">
        <f t="shared" si="364"/>
        <v>1.823122872957775E-3</v>
      </c>
      <c r="Q357" s="3">
        <f t="shared" si="364"/>
        <v>1.8231228729577748E-3</v>
      </c>
      <c r="R357" s="3">
        <f t="shared" si="364"/>
        <v>1.8231228729577733E-3</v>
      </c>
      <c r="S357" s="3">
        <f t="shared" si="364"/>
        <v>1.8231228729577566E-3</v>
      </c>
      <c r="T357" s="3">
        <f t="shared" si="364"/>
        <v>1.8231228729575911E-3</v>
      </c>
      <c r="U357" s="3">
        <f t="shared" si="364"/>
        <v>1.8231228729559349E-3</v>
      </c>
      <c r="V357" s="3">
        <f t="shared" si="364"/>
        <v>1.8231228729393748E-3</v>
      </c>
      <c r="W357" s="3">
        <f t="shared" si="364"/>
        <v>1.823122872773772E-3</v>
      </c>
      <c r="X357" s="3">
        <f t="shared" si="364"/>
        <v>1.8231228711177451E-3</v>
      </c>
      <c r="Y357" s="3">
        <f t="shared" si="364"/>
        <v>1.8231228545574759E-3</v>
      </c>
      <c r="Z357" s="3">
        <f t="shared" si="364"/>
        <v>1.8231226889547933E-3</v>
      </c>
      <c r="AA357" s="3">
        <f t="shared" si="364"/>
        <v>1.8231210329287945E-3</v>
      </c>
      <c r="AB357" s="3">
        <f t="shared" si="364"/>
        <v>1.8231044727515398E-3</v>
      </c>
      <c r="AC357" s="3">
        <f t="shared" si="364"/>
        <v>1.8229388792520354E-3</v>
      </c>
      <c r="AD357" s="3">
        <f t="shared" si="364"/>
        <v>1.8212837712833761E-3</v>
      </c>
      <c r="AE357" s="3">
        <f t="shared" si="364"/>
        <v>1.8048151169555932E-3</v>
      </c>
      <c r="AF357" s="3">
        <f t="shared" si="364"/>
        <v>1.6481006903783261E-3</v>
      </c>
      <c r="AG357" s="3"/>
      <c r="AH357" s="3"/>
    </row>
    <row r="358" spans="1:34" x14ac:dyDescent="0.25">
      <c r="A358" s="80">
        <f>AVERAGE(B358:AF358)</f>
        <v>2.0751323053064632E-3</v>
      </c>
      <c r="B358" s="81">
        <f>IF($A$64&lt;=B324,IF($B$64&gt;=B324,ABS((B326-B325)/B325),0),0)</f>
        <v>1.2791597428792757E-2</v>
      </c>
      <c r="C358" s="81">
        <f t="shared" ref="C358:AF358" si="365">IF($A$64&lt;=C324,IF($B$64&gt;=C324,ABS((C326-C325)/C325),0),0)</f>
        <v>1.715440588744372E-2</v>
      </c>
      <c r="D358" s="81">
        <f t="shared" si="365"/>
        <v>5.0486638241226947E-3</v>
      </c>
      <c r="E358" s="81">
        <f t="shared" si="365"/>
        <v>6.2256321803948471E-4</v>
      </c>
      <c r="F358" s="81">
        <f t="shared" si="365"/>
        <v>3.8386866397423897E-4</v>
      </c>
      <c r="G358" s="81">
        <f t="shared" si="365"/>
        <v>2.7219273667353596E-4</v>
      </c>
      <c r="H358" s="81">
        <f t="shared" si="365"/>
        <v>3.5496971079028986E-4</v>
      </c>
      <c r="I358" s="81">
        <f t="shared" si="365"/>
        <v>4.7065550081878298E-4</v>
      </c>
      <c r="J358" s="81">
        <f t="shared" si="365"/>
        <v>7.2532048237401129E-4</v>
      </c>
      <c r="K358" s="81">
        <f t="shared" si="365"/>
        <v>1.0105058946181251E-3</v>
      </c>
      <c r="L358" s="81">
        <f t="shared" si="365"/>
        <v>1.5774945198803192E-3</v>
      </c>
      <c r="M358" s="81">
        <f t="shared" si="365"/>
        <v>2.2716789887040011E-3</v>
      </c>
      <c r="N358" s="81">
        <f t="shared" si="365"/>
        <v>2.4947871649980235E-3</v>
      </c>
      <c r="O358" s="81">
        <f t="shared" si="365"/>
        <v>2.1814303749253527E-3</v>
      </c>
      <c r="P358" s="81">
        <f t="shared" si="365"/>
        <v>2.3896882538940655E-3</v>
      </c>
      <c r="Q358" s="81">
        <f t="shared" si="365"/>
        <v>9.2647451225900959E-5</v>
      </c>
      <c r="R358" s="81">
        <f t="shared" si="365"/>
        <v>9.7809634789880126E-4</v>
      </c>
      <c r="S358" s="81">
        <f t="shared" si="365"/>
        <v>1.9706132236981566E-4</v>
      </c>
      <c r="T358" s="81">
        <f t="shared" si="365"/>
        <v>1.9813246786344285E-4</v>
      </c>
      <c r="U358" s="81">
        <f t="shared" si="365"/>
        <v>1.1475685338327375E-5</v>
      </c>
      <c r="V358" s="81">
        <f t="shared" si="365"/>
        <v>1.5240104930401723E-4</v>
      </c>
      <c r="W358" s="81">
        <f t="shared" si="365"/>
        <v>1.3526611897041329E-5</v>
      </c>
      <c r="X358" s="81">
        <f t="shared" si="365"/>
        <v>1.885845122266374E-5</v>
      </c>
      <c r="Y358" s="81">
        <f t="shared" si="365"/>
        <v>8.0276937883152761E-5</v>
      </c>
      <c r="Z358" s="81">
        <f t="shared" si="365"/>
        <v>2.9445950953374317E-4</v>
      </c>
      <c r="AA358" s="81">
        <f t="shared" si="365"/>
        <v>1.2806571953095941E-4</v>
      </c>
      <c r="AB358" s="81">
        <f t="shared" si="365"/>
        <v>1.0087687829348291E-3</v>
      </c>
      <c r="AC358" s="81">
        <f t="shared" si="365"/>
        <v>1.9809524314057065E-3</v>
      </c>
      <c r="AD358" s="81">
        <f t="shared" si="365"/>
        <v>1.9638318862918672E-3</v>
      </c>
      <c r="AE358" s="81">
        <f t="shared" si="365"/>
        <v>1.2110939156476628E-3</v>
      </c>
      <c r="AF358" s="81">
        <f t="shared" si="365"/>
        <v>6.2496302441030311E-3</v>
      </c>
    </row>
    <row r="359" spans="1:34" x14ac:dyDescent="0.25">
      <c r="B359" s="21">
        <f>(B326-B325)^2</f>
        <v>4664.8048328346076</v>
      </c>
      <c r="C359" s="21">
        <f t="shared" ref="C359:AF359" si="366">(C326-C325)^2</f>
        <v>7631.692778305016</v>
      </c>
      <c r="D359" s="21">
        <f t="shared" si="366"/>
        <v>602.58715120923773</v>
      </c>
      <c r="E359" s="21">
        <f t="shared" si="366"/>
        <v>8.2014574050053248</v>
      </c>
      <c r="F359" s="21">
        <f t="shared" si="366"/>
        <v>2.7697299272845757</v>
      </c>
      <c r="G359" s="21">
        <f t="shared" si="366"/>
        <v>1.2238064568502183</v>
      </c>
      <c r="H359" s="21">
        <f t="shared" si="366"/>
        <v>1.7956442821885279</v>
      </c>
      <c r="I359" s="21">
        <f t="shared" si="366"/>
        <v>2.6226790880424424</v>
      </c>
      <c r="J359" s="21">
        <f t="shared" si="366"/>
        <v>4.7570174057588588</v>
      </c>
      <c r="K359" s="21">
        <f t="shared" si="366"/>
        <v>6.2964474904876182</v>
      </c>
      <c r="L359" s="21">
        <f t="shared" si="366"/>
        <v>8.7701041971093563</v>
      </c>
      <c r="M359" s="21">
        <f t="shared" si="366"/>
        <v>7.754603120854215</v>
      </c>
      <c r="N359" s="21">
        <f t="shared" si="366"/>
        <v>3.2102052904801881</v>
      </c>
      <c r="O359" s="21">
        <f t="shared" si="366"/>
        <v>0.77217623953209635</v>
      </c>
      <c r="P359" s="21">
        <f t="shared" si="366"/>
        <v>0.28699047698518121</v>
      </c>
      <c r="Q359" s="21">
        <f t="shared" si="366"/>
        <v>2.1245476305066358E-4</v>
      </c>
      <c r="R359" s="21">
        <f t="shared" si="366"/>
        <v>1.8344416710774396E-2</v>
      </c>
      <c r="S359" s="21">
        <f t="shared" si="366"/>
        <v>6.2556862687993128E-4</v>
      </c>
      <c r="T359" s="21">
        <f t="shared" si="366"/>
        <v>6.1653123213910484E-4</v>
      </c>
      <c r="U359" s="21">
        <f t="shared" si="366"/>
        <v>2.0639294367784139E-6</v>
      </c>
      <c r="V359" s="21">
        <f t="shared" si="366"/>
        <v>3.6323179090215414E-4</v>
      </c>
      <c r="W359" s="21">
        <f t="shared" si="366"/>
        <v>2.8539642646350025E-6</v>
      </c>
      <c r="X359" s="21">
        <f t="shared" si="366"/>
        <v>5.5309756908308408E-6</v>
      </c>
      <c r="Y359" s="21">
        <f t="shared" si="366"/>
        <v>9.9915065912594482E-5</v>
      </c>
      <c r="Z359" s="21">
        <f t="shared" si="366"/>
        <v>1.3430238095480404E-3</v>
      </c>
      <c r="AA359" s="21">
        <f t="shared" si="366"/>
        <v>2.5366240250849825E-4</v>
      </c>
      <c r="AB359" s="21">
        <f t="shared" si="366"/>
        <v>1.5709889056248219E-2</v>
      </c>
      <c r="AC359" s="21">
        <f t="shared" si="366"/>
        <v>6.0459441381721803E-2</v>
      </c>
      <c r="AD359" s="21">
        <f t="shared" si="366"/>
        <v>5.9411557376142232E-2</v>
      </c>
      <c r="AE359" s="21">
        <f t="shared" si="366"/>
        <v>2.2593751203920907E-2</v>
      </c>
      <c r="AF359" s="21">
        <f t="shared" si="366"/>
        <v>0.60161316616843774</v>
      </c>
      <c r="AG359" s="3"/>
      <c r="AH359" s="3"/>
    </row>
    <row r="360" spans="1:34" x14ac:dyDescent="0.25">
      <c r="A360" s="72">
        <f>SUM(B360:AF360)</f>
        <v>12948.327280787895</v>
      </c>
      <c r="B360" s="60">
        <f>IF($A$64&lt;=B324,IF($B$64&gt;=B324,ABS(B359),0),0)</f>
        <v>4664.8048328346076</v>
      </c>
      <c r="C360" s="60">
        <f t="shared" ref="C360:AF360" si="367">IF($A$64&lt;=C324,IF($B$64&gt;=C324,ABS(C359),0),0)</f>
        <v>7631.692778305016</v>
      </c>
      <c r="D360" s="60">
        <f t="shared" si="367"/>
        <v>602.58715120923773</v>
      </c>
      <c r="E360" s="60">
        <f t="shared" si="367"/>
        <v>8.2014574050053248</v>
      </c>
      <c r="F360" s="60">
        <f t="shared" si="367"/>
        <v>2.7697299272845757</v>
      </c>
      <c r="G360" s="60">
        <f t="shared" si="367"/>
        <v>1.2238064568502183</v>
      </c>
      <c r="H360" s="60">
        <f t="shared" si="367"/>
        <v>1.7956442821885279</v>
      </c>
      <c r="I360" s="60">
        <f t="shared" si="367"/>
        <v>2.6226790880424424</v>
      </c>
      <c r="J360" s="60">
        <f t="shared" si="367"/>
        <v>4.7570174057588588</v>
      </c>
      <c r="K360" s="60">
        <f t="shared" si="367"/>
        <v>6.2964474904876182</v>
      </c>
      <c r="L360" s="60">
        <f t="shared" si="367"/>
        <v>8.7701041971093563</v>
      </c>
      <c r="M360" s="60">
        <f t="shared" si="367"/>
        <v>7.754603120854215</v>
      </c>
      <c r="N360" s="60">
        <f t="shared" si="367"/>
        <v>3.2102052904801881</v>
      </c>
      <c r="O360" s="60">
        <f t="shared" si="367"/>
        <v>0.77217623953209635</v>
      </c>
      <c r="P360" s="60">
        <f t="shared" si="367"/>
        <v>0.28699047698518121</v>
      </c>
      <c r="Q360" s="60">
        <f t="shared" si="367"/>
        <v>2.1245476305066358E-4</v>
      </c>
      <c r="R360" s="60">
        <f t="shared" si="367"/>
        <v>1.8344416710774396E-2</v>
      </c>
      <c r="S360" s="60">
        <f t="shared" si="367"/>
        <v>6.2556862687993128E-4</v>
      </c>
      <c r="T360" s="60">
        <f t="shared" si="367"/>
        <v>6.1653123213910484E-4</v>
      </c>
      <c r="U360" s="60">
        <f t="shared" si="367"/>
        <v>2.0639294367784139E-6</v>
      </c>
      <c r="V360" s="60">
        <f t="shared" si="367"/>
        <v>3.6323179090215414E-4</v>
      </c>
      <c r="W360" s="60">
        <f t="shared" si="367"/>
        <v>2.8539642646350025E-6</v>
      </c>
      <c r="X360" s="60">
        <f t="shared" si="367"/>
        <v>5.5309756908308408E-6</v>
      </c>
      <c r="Y360" s="60">
        <f t="shared" si="367"/>
        <v>9.9915065912594482E-5</v>
      </c>
      <c r="Z360" s="60">
        <f t="shared" si="367"/>
        <v>1.3430238095480404E-3</v>
      </c>
      <c r="AA360" s="60">
        <f t="shared" si="367"/>
        <v>2.5366240250849825E-4</v>
      </c>
      <c r="AB360" s="60">
        <f t="shared" si="367"/>
        <v>1.5709889056248219E-2</v>
      </c>
      <c r="AC360" s="60">
        <f t="shared" si="367"/>
        <v>6.0459441381721803E-2</v>
      </c>
      <c r="AD360" s="60">
        <f t="shared" si="367"/>
        <v>5.9411557376142232E-2</v>
      </c>
      <c r="AE360" s="60">
        <f t="shared" si="367"/>
        <v>2.2593751203920907E-2</v>
      </c>
      <c r="AF360" s="60">
        <f t="shared" si="367"/>
        <v>0.60161316616843774</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70" t="s">
        <v>27</v>
      </c>
      <c r="B362" s="11">
        <f>INDEX($D$1:$M$1,1,$H$122)</f>
        <v>160</v>
      </c>
    </row>
    <row r="363" spans="1:34" x14ac:dyDescent="0.25">
      <c r="A363" s="70"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4973.1641667493986</v>
      </c>
      <c r="C364" s="26">
        <f>INDEX(Comparison!$AM$3:$AS$33,G$14,$H$122)</f>
        <v>4659.596505568883</v>
      </c>
      <c r="D364" s="26">
        <f>INDEX(Comparison!$AM$3:$AS$33,H$14,$H$122)</f>
        <v>4385.9516115251872</v>
      </c>
      <c r="E364" s="26">
        <f>INDEX(Comparison!$AM$3:$AS$33,I$14,$H$122)</f>
        <v>4118.3569666620651</v>
      </c>
      <c r="F364" s="26">
        <f>INDEX(Comparison!$AM$3:$AS$33,J$14,$H$122)</f>
        <v>3829.8022738739742</v>
      </c>
      <c r="G364" s="26">
        <f>INDEX(Comparison!$AM$3:$AS$33,K$14,$H$122)</f>
        <v>3513.4556215320054</v>
      </c>
      <c r="H364" s="26">
        <f>INDEX(Comparison!$AM$3:$AS$33,L$14,$H$122)</f>
        <v>3097.9149297690292</v>
      </c>
      <c r="I364" s="26">
        <f>INDEX(Comparison!$AM$3:$AS$33,M$14,$H$122)</f>
        <v>2591.2184022941196</v>
      </c>
      <c r="J364" s="26">
        <f>INDEX(Comparison!$AM$3:$AS$33,N$14,$H$122)</f>
        <v>2005.3525724949279</v>
      </c>
      <c r="K364" s="26">
        <f>INDEX(Comparison!$AM$3:$AS$33,O$14,$H$122)</f>
        <v>1355.6696144527521</v>
      </c>
      <c r="L364" s="26">
        <f>INDEX(Comparison!$AM$3:$AS$33,P$14,$H$122)</f>
        <v>816.95203291347548</v>
      </c>
      <c r="M364" s="26">
        <f>INDEX(Comparison!$AM$3:$AS$33,Q$14,$H$122)</f>
        <v>463.37163713330017</v>
      </c>
      <c r="N364" s="26">
        <f>INDEX(Comparison!$AM$3:$AS$33,R$14,$H$122)</f>
        <v>256.97131232473913</v>
      </c>
      <c r="O364" s="26">
        <f>INDEX(Comparison!$AM$3:$AS$33,S$14,$H$122)</f>
        <v>167.49490825050054</v>
      </c>
      <c r="P364" s="26">
        <f>INDEX(Comparison!$AM$3:$AS$33,T$14,$H$122)</f>
        <v>141.80358734877336</v>
      </c>
      <c r="Q364" s="26">
        <f>INDEX(Comparison!$AM$3:$AS$33,U$14,$H$122)</f>
        <v>129.19132461504012</v>
      </c>
      <c r="R364" s="26">
        <f>INDEX(Comparison!$AM$3:$AS$33,V$14,$H$122)</f>
        <v>125.45582042457461</v>
      </c>
      <c r="S364" s="26">
        <f>INDEX(Comparison!$AM$3:$AS$33,W$14,$H$122)</f>
        <v>125.37751528072498</v>
      </c>
      <c r="T364" s="26">
        <f>INDEX(Comparison!$AM$3:$AS$33,X$14,$H$122)</f>
        <v>125.26241312398497</v>
      </c>
      <c r="U364" s="26">
        <f>INDEX(Comparison!$AM$3:$AS$33,Y$14,$H$122)</f>
        <v>125.1369355609138</v>
      </c>
      <c r="V364" s="26">
        <f>INDEX(Comparison!$AM$3:$AS$33,Z$14,$H$122)</f>
        <v>124.97859027478171</v>
      </c>
      <c r="W364" s="26">
        <f>INDEX(Comparison!$AM$3:$AS$33,AA$14,$H$122)</f>
        <v>124.79521194858673</v>
      </c>
      <c r="X364" s="26">
        <f>INDEX(Comparison!$AM$3:$AS$33,AB$14,$H$122)</f>
        <v>124.60066288549459</v>
      </c>
      <c r="Y364" s="26">
        <f>INDEX(Comparison!$AM$3:$AS$33,AC$14,$H$122)</f>
        <v>124.40326066206676</v>
      </c>
      <c r="Z364" s="26">
        <f>INDEX(Comparison!$AM$3:$AS$33,AD$14,$H$122)</f>
        <v>124.39897169961779</v>
      </c>
      <c r="AA364" s="26">
        <f>INDEX(Comparison!$AM$3:$AS$33,AE$14,$H$122)</f>
        <v>124.30647199515475</v>
      </c>
      <c r="AB364" s="26">
        <f>INDEX(Comparison!$AM$3:$AS$33,AF$14,$H$122)</f>
        <v>124.18164826003697</v>
      </c>
      <c r="AC364" s="26">
        <f>INDEX(Comparison!$AM$3:$AS$33,AG$14,$H$122)</f>
        <v>124.05329261398603</v>
      </c>
      <c r="AD364" s="26">
        <f>INDEX(Comparison!$AM$3:$AS$33,AH$14,$H$122)</f>
        <v>124.04585962671396</v>
      </c>
      <c r="AE364" s="26">
        <f>INDEX(Comparison!$AM$3:$AS$33,AI$14,$H$122)</f>
        <v>124.04225732695286</v>
      </c>
      <c r="AF364" s="26">
        <f>INDEX(Comparison!$AM$3:$AS$33,AJ$14,$H$122)</f>
        <v>124.03970146521578</v>
      </c>
      <c r="AG364" s="26"/>
      <c r="AH364" s="26"/>
    </row>
    <row r="365" spans="1:34" x14ac:dyDescent="0.25">
      <c r="A365" s="71" t="s">
        <v>22</v>
      </c>
      <c r="B365" s="27">
        <f>($C$17+SUM(B366:B396))*$B$51</f>
        <v>4908.0778194722152</v>
      </c>
      <c r="C365" s="27">
        <f t="shared" ref="C365:AF365" si="368">($C$17+SUM(C366:C396))*$B$51</f>
        <v>4653.3671844059081</v>
      </c>
      <c r="D365" s="27">
        <f t="shared" si="368"/>
        <v>4395.5010126918041</v>
      </c>
      <c r="E365" s="27">
        <f t="shared" si="368"/>
        <v>4125.1481889523384</v>
      </c>
      <c r="F365" s="27">
        <f t="shared" si="368"/>
        <v>3842.2945900178315</v>
      </c>
      <c r="G365" s="27">
        <f t="shared" si="368"/>
        <v>3521.0993903054691</v>
      </c>
      <c r="H365" s="27">
        <f t="shared" si="368"/>
        <v>3112.7221628181678</v>
      </c>
      <c r="I365" s="27">
        <f t="shared" si="368"/>
        <v>2605.5942301614655</v>
      </c>
      <c r="J365" s="27">
        <f t="shared" si="368"/>
        <v>2015.1406450337438</v>
      </c>
      <c r="K365" s="27">
        <f t="shared" si="368"/>
        <v>1362.603342663215</v>
      </c>
      <c r="L365" s="27">
        <f t="shared" si="368"/>
        <v>796.20108225746196</v>
      </c>
      <c r="M365" s="27">
        <f t="shared" si="368"/>
        <v>451.4635715667651</v>
      </c>
      <c r="N365" s="27">
        <f t="shared" si="368"/>
        <v>243.85366784380787</v>
      </c>
      <c r="O365" s="27">
        <f t="shared" si="368"/>
        <v>162.02269000045166</v>
      </c>
      <c r="P365" s="27">
        <f t="shared" si="368"/>
        <v>141.36106944802688</v>
      </c>
      <c r="Q365" s="27">
        <f t="shared" si="368"/>
        <v>127.69039707979312</v>
      </c>
      <c r="R365" s="27">
        <f t="shared" si="368"/>
        <v>125.38366575223333</v>
      </c>
      <c r="S365" s="27">
        <f t="shared" si="368"/>
        <v>125.21155405514878</v>
      </c>
      <c r="T365" s="27">
        <f t="shared" si="368"/>
        <v>125.06487220096032</v>
      </c>
      <c r="U365" s="27">
        <f t="shared" si="368"/>
        <v>124.91369722727623</v>
      </c>
      <c r="V365" s="27">
        <f t="shared" si="368"/>
        <v>124.76411134412278</v>
      </c>
      <c r="W365" s="27">
        <f t="shared" si="368"/>
        <v>124.55265802373184</v>
      </c>
      <c r="X365" s="27">
        <f t="shared" si="368"/>
        <v>124.43750083114479</v>
      </c>
      <c r="Y365" s="27">
        <f t="shared" si="368"/>
        <v>124.38058079701989</v>
      </c>
      <c r="Z365" s="27">
        <f t="shared" si="368"/>
        <v>124.37652506240521</v>
      </c>
      <c r="AA365" s="27">
        <f t="shared" si="368"/>
        <v>124.3709552554771</v>
      </c>
      <c r="AB365" s="27">
        <f t="shared" si="368"/>
        <v>124.3648007099948</v>
      </c>
      <c r="AC365" s="27">
        <f t="shared" si="368"/>
        <v>124.30361654698189</v>
      </c>
      <c r="AD365" s="27">
        <f t="shared" si="368"/>
        <v>123.71051008251905</v>
      </c>
      <c r="AE365" s="27">
        <f t="shared" si="368"/>
        <v>119.31253597433971</v>
      </c>
      <c r="AF365" s="27">
        <f t="shared" si="368"/>
        <v>113.57942211634797</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1.4267818856648495E-2</v>
      </c>
      <c r="C367" s="3">
        <f t="shared" si="370"/>
        <v>6.8716459504206551E-9</v>
      </c>
      <c r="D367" s="3">
        <f t="shared" si="370"/>
        <v>4.614160076831823E-72</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3.1088070359932399E-2</v>
      </c>
      <c r="C368" s="3">
        <f t="shared" si="371"/>
        <v>8.3699148328781336E-3</v>
      </c>
      <c r="D368" s="3">
        <f t="shared" si="371"/>
        <v>1.6749188342995418E-8</v>
      </c>
      <c r="E368" s="3">
        <f t="shared" si="371"/>
        <v>1.7247296886075181E-65</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4.849568032339583E-2</v>
      </c>
      <c r="C369" s="3">
        <f t="shared" si="372"/>
        <v>4.3081993943979539E-2</v>
      </c>
      <c r="D369" s="3">
        <f t="shared" si="372"/>
        <v>1.3189343725863526E-2</v>
      </c>
      <c r="E369" s="3">
        <f t="shared" si="372"/>
        <v>9.5388736902370831E-8</v>
      </c>
      <c r="F369" s="3">
        <f t="shared" si="372"/>
        <v>3.7345322473606248E-59</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4.6707335228034469E-2</v>
      </c>
      <c r="C370" s="3">
        <f t="shared" si="373"/>
        <v>4.6211251232688696E-2</v>
      </c>
      <c r="D370" s="3">
        <f t="shared" si="373"/>
        <v>4.1531163855470482E-2</v>
      </c>
      <c r="E370" s="3">
        <f t="shared" si="373"/>
        <v>1.4277029007685913E-2</v>
      </c>
      <c r="F370" s="3">
        <f t="shared" si="373"/>
        <v>3.2906011332749041E-7</v>
      </c>
      <c r="G370" s="3">
        <f t="shared" si="373"/>
        <v>1.3920321100183769E-53</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5.0402567813383335E-2</v>
      </c>
      <c r="C371" s="3">
        <f t="shared" si="374"/>
        <v>5.0354041550151059E-2</v>
      </c>
      <c r="D371" s="3">
        <f t="shared" si="374"/>
        <v>4.9871341099667552E-2</v>
      </c>
      <c r="E371" s="3">
        <f t="shared" si="374"/>
        <v>4.5291653749466823E-2</v>
      </c>
      <c r="F371" s="3">
        <f t="shared" si="374"/>
        <v>1.7285800363120937E-2</v>
      </c>
      <c r="G371" s="3">
        <f t="shared" si="374"/>
        <v>1.1334507058811201E-6</v>
      </c>
      <c r="H371" s="3">
        <f t="shared" si="374"/>
        <v>1.665459516830393E-48</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5.7181760769097992E-2</v>
      </c>
      <c r="C372" s="3">
        <f t="shared" si="375"/>
        <v>5.7176792345891542E-2</v>
      </c>
      <c r="D372" s="3">
        <f t="shared" si="375"/>
        <v>5.7127131851007353E-2</v>
      </c>
      <c r="E372" s="3">
        <f t="shared" si="375"/>
        <v>5.6632893006383335E-2</v>
      </c>
      <c r="F372" s="3">
        <f t="shared" si="375"/>
        <v>5.1919681529406708E-2</v>
      </c>
      <c r="G372" s="3">
        <f t="shared" si="375"/>
        <v>2.1775329926876027E-2</v>
      </c>
      <c r="H372" s="3">
        <f t="shared" si="375"/>
        <v>3.666840201831992E-6</v>
      </c>
      <c r="I372" s="3">
        <f t="shared" si="375"/>
        <v>6.7230197419596416E-44</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8.0089861560470821E-2</v>
      </c>
      <c r="C373" s="3">
        <f t="shared" si="376"/>
        <v>8.0089233787869363E-2</v>
      </c>
      <c r="D373" s="3">
        <f t="shared" si="376"/>
        <v>8.0082956332487021E-2</v>
      </c>
      <c r="E373" s="3">
        <f t="shared" si="376"/>
        <v>8.0020208834047771E-2</v>
      </c>
      <c r="F373" s="3">
        <f t="shared" si="376"/>
        <v>7.9395431557876164E-2</v>
      </c>
      <c r="G373" s="3">
        <f t="shared" si="376"/>
        <v>7.3409767060557754E-2</v>
      </c>
      <c r="H373" s="3">
        <f t="shared" si="376"/>
        <v>3.3522559410774838E-2</v>
      </c>
      <c r="I373" s="3">
        <f t="shared" si="376"/>
        <v>1.3218141616376255E-5</v>
      </c>
      <c r="J373" s="3">
        <f t="shared" si="376"/>
        <v>1.2008885780281112E-39</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9.4725395536133183E-2</v>
      </c>
      <c r="C374" s="3">
        <f t="shared" si="377"/>
        <v>9.4725328557021815E-2</v>
      </c>
      <c r="D374" s="3">
        <f t="shared" si="377"/>
        <v>9.4724658768512951E-2</v>
      </c>
      <c r="E374" s="3">
        <f t="shared" si="377"/>
        <v>9.4717961143897425E-2</v>
      </c>
      <c r="F374" s="3">
        <f t="shared" si="377"/>
        <v>9.4651010938230556E-2</v>
      </c>
      <c r="G374" s="3">
        <f t="shared" si="377"/>
        <v>9.398410613050423E-2</v>
      </c>
      <c r="H374" s="3">
        <f t="shared" si="377"/>
        <v>8.7568114571793615E-2</v>
      </c>
      <c r="I374" s="3">
        <f t="shared" si="377"/>
        <v>4.3177931852344142E-2</v>
      </c>
      <c r="J374" s="3">
        <f t="shared" si="377"/>
        <v>3.6679230153015772E-5</v>
      </c>
      <c r="K374" s="3">
        <f t="shared" si="377"/>
        <v>7.1780084428255285E-36</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0.11171287682566021</v>
      </c>
      <c r="C375" s="3">
        <f t="shared" si="378"/>
        <v>0.11171286970003591</v>
      </c>
      <c r="D375" s="3">
        <f t="shared" si="378"/>
        <v>0.11171279844381789</v>
      </c>
      <c r="E375" s="3">
        <f t="shared" si="378"/>
        <v>0.11171208588413754</v>
      </c>
      <c r="F375" s="3">
        <f t="shared" si="378"/>
        <v>0.11170496053730758</v>
      </c>
      <c r="G375" s="3">
        <f t="shared" si="378"/>
        <v>0.11163373206045739</v>
      </c>
      <c r="H375" s="3">
        <f t="shared" si="378"/>
        <v>0.11092394054884933</v>
      </c>
      <c r="I375" s="3">
        <f t="shared" si="378"/>
        <v>0.10406956595571318</v>
      </c>
      <c r="J375" s="3">
        <f t="shared" si="378"/>
        <v>5.4993110117294131E-2</v>
      </c>
      <c r="K375" s="3">
        <f t="shared" si="378"/>
        <v>9.3358457355216168E-5</v>
      </c>
      <c r="L375" s="3">
        <f t="shared" si="378"/>
        <v>1.8561262721254249E-32</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0.12486929244219661</v>
      </c>
      <c r="C376" s="3">
        <f t="shared" si="379"/>
        <v>0.1248692917237046</v>
      </c>
      <c r="D376" s="3">
        <f t="shared" si="379"/>
        <v>0.12486928453878479</v>
      </c>
      <c r="E376" s="3">
        <f t="shared" si="379"/>
        <v>0.12486921268960947</v>
      </c>
      <c r="F376" s="3">
        <f t="shared" si="379"/>
        <v>0.12486849420013002</v>
      </c>
      <c r="G376" s="3">
        <f t="shared" si="379"/>
        <v>0.12486130953270934</v>
      </c>
      <c r="H376" s="3">
        <f t="shared" si="379"/>
        <v>0.12478948559105454</v>
      </c>
      <c r="I376" s="3">
        <f t="shared" si="379"/>
        <v>0.12407351459745845</v>
      </c>
      <c r="J376" s="3">
        <f t="shared" si="379"/>
        <v>0.11713589099829298</v>
      </c>
      <c r="K376" s="3">
        <f t="shared" si="379"/>
        <v>6.5886887758715082E-2</v>
      </c>
      <c r="L376" s="3">
        <f t="shared" si="379"/>
        <v>2.0887625694520514E-4</v>
      </c>
      <c r="M376" s="3">
        <f t="shared" si="379"/>
        <v>2.1418541954425764E-29</v>
      </c>
      <c r="N376" s="3">
        <f t="shared" si="379"/>
        <v>2.7529490472105259E-279</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7.1899142968889884E-2</v>
      </c>
      <c r="C377" s="3">
        <f t="shared" si="380"/>
        <v>7.189914293157032E-2</v>
      </c>
      <c r="D377" s="3">
        <f t="shared" si="380"/>
        <v>7.1899142558374665E-2</v>
      </c>
      <c r="E377" s="3">
        <f t="shared" si="380"/>
        <v>7.1899138826418088E-2</v>
      </c>
      <c r="F377" s="3">
        <f t="shared" si="380"/>
        <v>7.1899101506863128E-2</v>
      </c>
      <c r="G377" s="3">
        <f t="shared" si="380"/>
        <v>7.1898728312378854E-2</v>
      </c>
      <c r="H377" s="3">
        <f t="shared" si="380"/>
        <v>7.1894996474073741E-2</v>
      </c>
      <c r="I377" s="3">
        <f t="shared" si="380"/>
        <v>7.1857688742736459E-2</v>
      </c>
      <c r="J377" s="3">
        <f t="shared" si="380"/>
        <v>7.1485674557929285E-2</v>
      </c>
      <c r="K377" s="3">
        <f t="shared" si="380"/>
        <v>6.7869831864255784E-2</v>
      </c>
      <c r="L377" s="3">
        <f t="shared" si="380"/>
        <v>4.0388182483160624E-2</v>
      </c>
      <c r="M377" s="3">
        <f t="shared" si="380"/>
        <v>2.2492082880016089E-4</v>
      </c>
      <c r="N377" s="3">
        <f t="shared" si="380"/>
        <v>6.4533218925845062E-27</v>
      </c>
      <c r="O377" s="3">
        <f t="shared" si="380"/>
        <v>2.4396069390221189E-252</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4.7675556768333141E-2</v>
      </c>
      <c r="C378" s="3">
        <f t="shared" si="381"/>
        <v>4.7675556766100823E-2</v>
      </c>
      <c r="D378" s="3">
        <f t="shared" si="381"/>
        <v>4.7675556743777686E-2</v>
      </c>
      <c r="E378" s="3">
        <f t="shared" si="381"/>
        <v>4.7675556520546301E-2</v>
      </c>
      <c r="F378" s="3">
        <f t="shared" si="381"/>
        <v>4.7675554288232565E-2</v>
      </c>
      <c r="G378" s="3">
        <f t="shared" si="381"/>
        <v>4.7675531965100916E-2</v>
      </c>
      <c r="H378" s="3">
        <f t="shared" si="381"/>
        <v>4.7675308734359323E-2</v>
      </c>
      <c r="I378" s="3">
        <f t="shared" si="381"/>
        <v>4.7673076484430241E-2</v>
      </c>
      <c r="J378" s="3">
        <f t="shared" si="381"/>
        <v>4.7650759732835751E-2</v>
      </c>
      <c r="K378" s="3">
        <f t="shared" si="381"/>
        <v>4.742816599200126E-2</v>
      </c>
      <c r="L378" s="3">
        <f t="shared" si="381"/>
        <v>4.525862438392176E-2</v>
      </c>
      <c r="M378" s="3">
        <f t="shared" si="381"/>
        <v>2.833684758444004E-2</v>
      </c>
      <c r="N378" s="3">
        <f t="shared" si="381"/>
        <v>2.6233327455334047E-4</v>
      </c>
      <c r="O378" s="3">
        <f t="shared" si="381"/>
        <v>1.2130308365461537E-24</v>
      </c>
      <c r="P378" s="3">
        <f t="shared" si="381"/>
        <v>5.4207134518410063E-228</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1.9951380582968772E-2</v>
      </c>
      <c r="C379" s="3">
        <f t="shared" si="382"/>
        <v>1.9951380582884502E-2</v>
      </c>
      <c r="D379" s="3">
        <f t="shared" si="382"/>
        <v>1.9951380582041787E-2</v>
      </c>
      <c r="E379" s="3">
        <f t="shared" si="382"/>
        <v>1.9951380573614674E-2</v>
      </c>
      <c r="F379" s="3">
        <f t="shared" si="382"/>
        <v>1.9951380489343504E-2</v>
      </c>
      <c r="G379" s="3">
        <f t="shared" si="382"/>
        <v>1.9951379646631844E-2</v>
      </c>
      <c r="H379" s="3">
        <f t="shared" si="382"/>
        <v>1.9951371219517181E-2</v>
      </c>
      <c r="I379" s="3">
        <f t="shared" si="382"/>
        <v>1.9951286948566335E-2</v>
      </c>
      <c r="J379" s="3">
        <f t="shared" si="382"/>
        <v>1.9950444258634601E-2</v>
      </c>
      <c r="K379" s="3">
        <f t="shared" si="382"/>
        <v>1.9942019316684712E-2</v>
      </c>
      <c r="L379" s="3">
        <f t="shared" si="382"/>
        <v>1.9857965328372779E-2</v>
      </c>
      <c r="M379" s="3">
        <f t="shared" si="382"/>
        <v>1.9036666561009878E-2</v>
      </c>
      <c r="N379" s="3">
        <f t="shared" si="382"/>
        <v>1.2478214661305149E-2</v>
      </c>
      <c r="O379" s="3">
        <f t="shared" si="382"/>
        <v>1.8271236828823516E-4</v>
      </c>
      <c r="P379" s="3">
        <f t="shared" si="382"/>
        <v>8.2779517587125541E-23</v>
      </c>
      <c r="Q379" s="3">
        <f t="shared" si="382"/>
        <v>3.0162847165058973E-206</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3.7229726854133651E-3</v>
      </c>
      <c r="C380" s="3">
        <f t="shared" si="383"/>
        <v>3.7229726854119466E-3</v>
      </c>
      <c r="D380" s="3">
        <f t="shared" si="383"/>
        <v>3.7229726853977609E-3</v>
      </c>
      <c r="E380" s="3">
        <f t="shared" si="383"/>
        <v>3.7229726852559069E-3</v>
      </c>
      <c r="F380" s="3">
        <f t="shared" si="383"/>
        <v>3.7229726838373636E-3</v>
      </c>
      <c r="G380" s="3">
        <f t="shared" si="383"/>
        <v>3.7229726696519339E-3</v>
      </c>
      <c r="H380" s="3">
        <f t="shared" si="383"/>
        <v>3.7229725277976378E-3</v>
      </c>
      <c r="I380" s="3">
        <f t="shared" si="383"/>
        <v>3.7229711092549747E-3</v>
      </c>
      <c r="J380" s="3">
        <f t="shared" si="383"/>
        <v>3.7229569238580733E-3</v>
      </c>
      <c r="K380" s="3">
        <f t="shared" si="383"/>
        <v>3.7228150728617535E-3</v>
      </c>
      <c r="L380" s="3">
        <f t="shared" si="383"/>
        <v>3.7213968601266297E-3</v>
      </c>
      <c r="M380" s="3">
        <f t="shared" si="383"/>
        <v>3.7072444137219197E-3</v>
      </c>
      <c r="N380" s="3">
        <f t="shared" si="383"/>
        <v>3.5686466234739773E-3</v>
      </c>
      <c r="O380" s="3">
        <f t="shared" si="383"/>
        <v>2.437961270469551E-3</v>
      </c>
      <c r="P380" s="3">
        <f t="shared" si="383"/>
        <v>5.3983292857746932E-5</v>
      </c>
      <c r="Q380" s="3">
        <f t="shared" si="383"/>
        <v>1.5296253443152132E-21</v>
      </c>
      <c r="R380" s="3">
        <f t="shared" si="383"/>
        <v>5.1031937684802037E-187</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3.2258116785225262E-3</v>
      </c>
      <c r="C381" s="3">
        <f t="shared" si="384"/>
        <v>3.2258116785224152E-3</v>
      </c>
      <c r="D381" s="3">
        <f t="shared" si="384"/>
        <v>3.2258116785213063E-3</v>
      </c>
      <c r="E381" s="3">
        <f t="shared" si="384"/>
        <v>3.2258116785102188E-3</v>
      </c>
      <c r="F381" s="3">
        <f t="shared" si="384"/>
        <v>3.2258116783993426E-3</v>
      </c>
      <c r="G381" s="3">
        <f t="shared" si="384"/>
        <v>3.2258116772905811E-3</v>
      </c>
      <c r="H381" s="3">
        <f t="shared" si="384"/>
        <v>3.2258116662029629E-3</v>
      </c>
      <c r="I381" s="3">
        <f t="shared" si="384"/>
        <v>3.2258115553267853E-3</v>
      </c>
      <c r="J381" s="3">
        <f t="shared" si="384"/>
        <v>3.225810446565221E-3</v>
      </c>
      <c r="K381" s="3">
        <f t="shared" si="384"/>
        <v>3.2257993589705361E-3</v>
      </c>
      <c r="L381" s="3">
        <f t="shared" si="384"/>
        <v>3.2256884851197031E-3</v>
      </c>
      <c r="M381" s="3">
        <f t="shared" si="384"/>
        <v>3.2245799561860552E-3</v>
      </c>
      <c r="N381" s="3">
        <f t="shared" si="384"/>
        <v>3.2135155976898886E-3</v>
      </c>
      <c r="O381" s="3">
        <f t="shared" si="384"/>
        <v>3.1049387209686509E-3</v>
      </c>
      <c r="P381" s="3">
        <f t="shared" si="384"/>
        <v>2.2018069834196376E-3</v>
      </c>
      <c r="Q381" s="3">
        <f t="shared" si="384"/>
        <v>7.0801320789691118E-5</v>
      </c>
      <c r="R381" s="3">
        <f t="shared" si="384"/>
        <v>8.3687868351377249E-20</v>
      </c>
      <c r="S381" s="3">
        <f t="shared" si="384"/>
        <v>4.4552694023791085E-169</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4.6514491459037372E-4</v>
      </c>
      <c r="C382" s="3">
        <f t="shared" si="385"/>
        <v>4.6514491459037226E-4</v>
      </c>
      <c r="D382" s="3">
        <f t="shared" si="385"/>
        <v>4.6514491459035789E-4</v>
      </c>
      <c r="E382" s="3">
        <f t="shared" si="385"/>
        <v>4.6514491459021364E-4</v>
      </c>
      <c r="F382" s="3">
        <f t="shared" si="385"/>
        <v>4.6514491458877138E-4</v>
      </c>
      <c r="G382" s="3">
        <f t="shared" si="385"/>
        <v>4.6514491457434911E-4</v>
      </c>
      <c r="H382" s="3">
        <f t="shared" si="385"/>
        <v>4.6514491443012626E-4</v>
      </c>
      <c r="I382" s="3">
        <f t="shared" si="385"/>
        <v>4.6514491298789759E-4</v>
      </c>
      <c r="J382" s="3">
        <f t="shared" si="385"/>
        <v>4.6514489856561164E-4</v>
      </c>
      <c r="K382" s="3">
        <f t="shared" si="385"/>
        <v>4.6514475434277614E-4</v>
      </c>
      <c r="L382" s="3">
        <f t="shared" si="385"/>
        <v>4.6514331211688057E-4</v>
      </c>
      <c r="M382" s="3">
        <f t="shared" si="385"/>
        <v>4.6512889010386939E-4</v>
      </c>
      <c r="N382" s="3">
        <f t="shared" si="385"/>
        <v>4.649846945653855E-4</v>
      </c>
      <c r="O382" s="3">
        <f t="shared" si="385"/>
        <v>4.6354519552446722E-4</v>
      </c>
      <c r="P382" s="3">
        <f t="shared" si="385"/>
        <v>4.4939304475365231E-4</v>
      </c>
      <c r="Q382" s="3">
        <f t="shared" si="385"/>
        <v>3.2958616336674948E-4</v>
      </c>
      <c r="R382" s="3">
        <f t="shared" si="385"/>
        <v>1.483867812926621E-5</v>
      </c>
      <c r="S382" s="3">
        <f t="shared" si="385"/>
        <v>5.0775902373447721E-19</v>
      </c>
      <c r="T382" s="3">
        <f t="shared" si="385"/>
        <v>1.1175887159418829E-153</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1.1429544870574336E-5</v>
      </c>
      <c r="C383" s="3">
        <f t="shared" si="386"/>
        <v>1.1429544870574332E-5</v>
      </c>
      <c r="D383" s="3">
        <f t="shared" si="386"/>
        <v>1.14295448705743E-5</v>
      </c>
      <c r="E383" s="3">
        <f t="shared" si="386"/>
        <v>1.142954487057398E-5</v>
      </c>
      <c r="F383" s="3">
        <f t="shared" si="386"/>
        <v>1.1429544870570783E-5</v>
      </c>
      <c r="G383" s="3">
        <f t="shared" si="386"/>
        <v>1.1429544870538816E-5</v>
      </c>
      <c r="H383" s="3">
        <f t="shared" si="386"/>
        <v>1.1429544870219131E-5</v>
      </c>
      <c r="I383" s="3">
        <f t="shared" si="386"/>
        <v>1.1429544867022288E-5</v>
      </c>
      <c r="J383" s="3">
        <f t="shared" si="386"/>
        <v>1.1429544835053853E-5</v>
      </c>
      <c r="K383" s="3">
        <f t="shared" si="386"/>
        <v>1.1429544515369519E-5</v>
      </c>
      <c r="L383" s="3">
        <f t="shared" si="386"/>
        <v>1.1429541318526664E-5</v>
      </c>
      <c r="M383" s="3">
        <f t="shared" si="386"/>
        <v>1.1429509350147289E-5</v>
      </c>
      <c r="N383" s="3">
        <f t="shared" si="386"/>
        <v>1.1429189671271351E-5</v>
      </c>
      <c r="O383" s="3">
        <f t="shared" si="386"/>
        <v>1.1425993374241785E-5</v>
      </c>
      <c r="P383" s="3">
        <f t="shared" si="386"/>
        <v>1.139407952607693E-5</v>
      </c>
      <c r="Q383" s="3">
        <f t="shared" si="386"/>
        <v>1.1079802799605308E-5</v>
      </c>
      <c r="R383" s="3">
        <f t="shared" si="386"/>
        <v>8.3764475905953676E-6</v>
      </c>
      <c r="S383" s="3">
        <f t="shared" si="386"/>
        <v>5.1090284739555211E-7</v>
      </c>
      <c r="T383" s="3">
        <f t="shared" si="386"/>
        <v>3.6401794931859063E-19</v>
      </c>
      <c r="U383" s="3">
        <f t="shared" si="386"/>
        <v>1.2273475358855207E-140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2.5915484418969715E-5</v>
      </c>
      <c r="C384" s="3">
        <f t="shared" si="387"/>
        <v>2.5915484418969715E-5</v>
      </c>
      <c r="D384" s="3">
        <f t="shared" si="387"/>
        <v>2.5915484418969705E-5</v>
      </c>
      <c r="E384" s="3">
        <f t="shared" si="387"/>
        <v>2.5915484418969644E-5</v>
      </c>
      <c r="F384" s="3">
        <f t="shared" si="387"/>
        <v>2.5915484418968987E-5</v>
      </c>
      <c r="G384" s="3">
        <f t="shared" si="387"/>
        <v>2.5915484418962451E-5</v>
      </c>
      <c r="H384" s="3">
        <f t="shared" si="387"/>
        <v>2.5915484418897063E-5</v>
      </c>
      <c r="I384" s="3">
        <f t="shared" si="387"/>
        <v>2.5915484418243181E-5</v>
      </c>
      <c r="J384" s="3">
        <f t="shared" si="387"/>
        <v>2.5915484411704375E-5</v>
      </c>
      <c r="K384" s="3">
        <f t="shared" si="387"/>
        <v>2.5915484346316335E-5</v>
      </c>
      <c r="L384" s="3">
        <f t="shared" si="387"/>
        <v>2.5915483692435898E-5</v>
      </c>
      <c r="M384" s="3">
        <f t="shared" si="387"/>
        <v>2.5915477153632481E-5</v>
      </c>
      <c r="N384" s="3">
        <f t="shared" si="387"/>
        <v>2.5915411765689042E-5</v>
      </c>
      <c r="O384" s="3">
        <f t="shared" si="387"/>
        <v>2.5914757895328571E-5</v>
      </c>
      <c r="P384" s="3">
        <f t="shared" si="387"/>
        <v>2.5908220099032414E-5</v>
      </c>
      <c r="Q384" s="3">
        <f t="shared" si="387"/>
        <v>2.5842932782281185E-5</v>
      </c>
      <c r="R384" s="3">
        <f t="shared" si="387"/>
        <v>2.5199040180506797E-5</v>
      </c>
      <c r="S384" s="3">
        <f t="shared" si="387"/>
        <v>1.9579698928098357E-5</v>
      </c>
      <c r="T384" s="3">
        <f t="shared" si="387"/>
        <v>1.5704572329500124E-6</v>
      </c>
      <c r="U384" s="3">
        <f t="shared" si="387"/>
        <v>1.7307213858544925E-17</v>
      </c>
      <c r="V384" s="3">
        <f t="shared" si="387"/>
        <v>4.5733834985055118E-127</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2.9552981931303355E-5</v>
      </c>
      <c r="C385" s="3">
        <f t="shared" si="388"/>
        <v>2.9552981931303355E-5</v>
      </c>
      <c r="D385" s="3">
        <f t="shared" si="388"/>
        <v>2.9552981931303355E-5</v>
      </c>
      <c r="E385" s="3">
        <f t="shared" si="388"/>
        <v>2.9552981931303348E-5</v>
      </c>
      <c r="F385" s="3">
        <f t="shared" si="388"/>
        <v>2.9552981931303281E-5</v>
      </c>
      <c r="G385" s="3">
        <f t="shared" si="388"/>
        <v>2.9552981931302606E-5</v>
      </c>
      <c r="H385" s="3">
        <f t="shared" si="388"/>
        <v>2.9552981931295881E-5</v>
      </c>
      <c r="I385" s="3">
        <f t="shared" si="388"/>
        <v>2.9552981931228616E-5</v>
      </c>
      <c r="J385" s="3">
        <f t="shared" si="388"/>
        <v>2.955298193055597E-5</v>
      </c>
      <c r="K385" s="3">
        <f t="shared" si="388"/>
        <v>2.9552981923829502E-5</v>
      </c>
      <c r="L385" s="3">
        <f t="shared" si="388"/>
        <v>2.9552981856564851E-5</v>
      </c>
      <c r="M385" s="3">
        <f t="shared" si="388"/>
        <v>2.9552981183918315E-5</v>
      </c>
      <c r="N385" s="3">
        <f t="shared" si="388"/>
        <v>2.9552974457453799E-5</v>
      </c>
      <c r="O385" s="3">
        <f t="shared" si="388"/>
        <v>2.955290719289284E-5</v>
      </c>
      <c r="P385" s="3">
        <f t="shared" si="388"/>
        <v>2.9552234555703633E-5</v>
      </c>
      <c r="Q385" s="3">
        <f t="shared" si="388"/>
        <v>2.9545509025777623E-5</v>
      </c>
      <c r="R385" s="3">
        <f t="shared" si="388"/>
        <v>2.9478337852259052E-5</v>
      </c>
      <c r="S385" s="3">
        <f t="shared" si="388"/>
        <v>2.8814968274338637E-5</v>
      </c>
      <c r="T385" s="3">
        <f t="shared" si="388"/>
        <v>2.2949312680237313E-5</v>
      </c>
      <c r="U385" s="3">
        <f t="shared" si="388"/>
        <v>2.3565955725958826E-6</v>
      </c>
      <c r="V385" s="3">
        <f t="shared" si="388"/>
        <v>3.0721244156919178E-16</v>
      </c>
      <c r="W385" s="3">
        <f t="shared" si="388"/>
        <v>4.3548803219627973E-115</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3.2731039559542382E-6</v>
      </c>
      <c r="C386" s="3">
        <f t="shared" si="389"/>
        <v>3.2731039559542382E-6</v>
      </c>
      <c r="D386" s="3">
        <f t="shared" si="389"/>
        <v>3.2731039559542382E-6</v>
      </c>
      <c r="E386" s="3">
        <f t="shared" si="389"/>
        <v>3.2731039559542382E-6</v>
      </c>
      <c r="F386" s="3">
        <f t="shared" si="389"/>
        <v>3.2731039559542374E-6</v>
      </c>
      <c r="G386" s="3">
        <f t="shared" si="389"/>
        <v>3.2731039559542306E-6</v>
      </c>
      <c r="H386" s="3">
        <f t="shared" si="389"/>
        <v>3.2731039559541637E-6</v>
      </c>
      <c r="I386" s="3">
        <f t="shared" si="389"/>
        <v>3.2731039559534915E-6</v>
      </c>
      <c r="J386" s="3">
        <f t="shared" si="389"/>
        <v>3.2731039559467712E-6</v>
      </c>
      <c r="K386" s="3">
        <f t="shared" si="389"/>
        <v>3.2731039558795676E-6</v>
      </c>
      <c r="L386" s="3">
        <f t="shared" si="389"/>
        <v>3.2731039552075325E-6</v>
      </c>
      <c r="M386" s="3">
        <f t="shared" si="389"/>
        <v>3.2731039484871811E-6</v>
      </c>
      <c r="N386" s="3">
        <f t="shared" si="389"/>
        <v>3.2731038812836655E-6</v>
      </c>
      <c r="O386" s="3">
        <f t="shared" si="389"/>
        <v>3.2731032092485865E-6</v>
      </c>
      <c r="P386" s="3">
        <f t="shared" si="389"/>
        <v>3.2730964889053838E-6</v>
      </c>
      <c r="Q386" s="3">
        <f t="shared" si="389"/>
        <v>3.2730292862322581E-6</v>
      </c>
      <c r="R386" s="3">
        <f t="shared" si="389"/>
        <v>3.2723573353850007E-6</v>
      </c>
      <c r="S386" s="3">
        <f t="shared" si="389"/>
        <v>3.2656454095510106E-6</v>
      </c>
      <c r="T386" s="3">
        <f t="shared" si="389"/>
        <v>3.1992786861473854E-6</v>
      </c>
      <c r="U386" s="3">
        <f t="shared" si="389"/>
        <v>2.6054487571652674E-6</v>
      </c>
      <c r="V386" s="3">
        <f t="shared" si="389"/>
        <v>3.3433910044966844E-7</v>
      </c>
      <c r="W386" s="3">
        <f t="shared" si="389"/>
        <v>4.0479347686317821E-16</v>
      </c>
      <c r="X386" s="3">
        <f t="shared" si="389"/>
        <v>2.7396612207403833E-105</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4.7316671387144988E-5</v>
      </c>
      <c r="C387" s="3">
        <f t="shared" si="390"/>
        <v>4.7316671387144988E-5</v>
      </c>
      <c r="D387" s="3">
        <f t="shared" si="390"/>
        <v>4.7316671387144988E-5</v>
      </c>
      <c r="E387" s="3">
        <f t="shared" si="390"/>
        <v>4.7316671387144988E-5</v>
      </c>
      <c r="F387" s="3">
        <f t="shared" si="390"/>
        <v>4.7316671387144982E-5</v>
      </c>
      <c r="G387" s="3">
        <f t="shared" si="390"/>
        <v>4.7316671387144955E-5</v>
      </c>
      <c r="H387" s="3">
        <f t="shared" si="390"/>
        <v>4.731667138714469E-5</v>
      </c>
      <c r="I387" s="3">
        <f t="shared" si="390"/>
        <v>4.7316671387142007E-5</v>
      </c>
      <c r="J387" s="3">
        <f t="shared" si="390"/>
        <v>4.7316671387115132E-5</v>
      </c>
      <c r="K387" s="3">
        <f t="shared" si="390"/>
        <v>4.731667138684644E-5</v>
      </c>
      <c r="L387" s="3">
        <f t="shared" si="390"/>
        <v>4.7316671384159489E-5</v>
      </c>
      <c r="M387" s="3">
        <f t="shared" si="390"/>
        <v>4.7316671357290011E-5</v>
      </c>
      <c r="N387" s="3">
        <f t="shared" si="390"/>
        <v>4.7316671088595223E-5</v>
      </c>
      <c r="O387" s="3">
        <f t="shared" si="390"/>
        <v>4.7316668401647411E-5</v>
      </c>
      <c r="P387" s="3">
        <f t="shared" si="390"/>
        <v>4.7316641532177722E-5</v>
      </c>
      <c r="Q387" s="3">
        <f t="shared" si="390"/>
        <v>4.7316372838319977E-5</v>
      </c>
      <c r="R387" s="3">
        <f t="shared" si="390"/>
        <v>4.7313685983660886E-5</v>
      </c>
      <c r="S387" s="3">
        <f t="shared" si="390"/>
        <v>4.7286825827140505E-5</v>
      </c>
      <c r="T387" s="3">
        <f t="shared" si="390"/>
        <v>4.7019061508826012E-5</v>
      </c>
      <c r="U387" s="3">
        <f t="shared" si="390"/>
        <v>4.4423410276148543E-5</v>
      </c>
      <c r="V387" s="3">
        <f t="shared" si="390"/>
        <v>2.5176263938739484E-5</v>
      </c>
      <c r="W387" s="3">
        <f t="shared" si="390"/>
        <v>8.6056793460156701E-8</v>
      </c>
      <c r="X387" s="3">
        <f t="shared" si="390"/>
        <v>1.873802999958225E-32</v>
      </c>
      <c r="Y387" s="3">
        <f t="shared" si="390"/>
        <v>4.4886074916096983E-279</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2.2741722122049058E-5</v>
      </c>
      <c r="C388" s="3">
        <f t="shared" si="391"/>
        <v>2.2741722122049058E-5</v>
      </c>
      <c r="D388" s="3">
        <f t="shared" si="391"/>
        <v>2.2741722122049058E-5</v>
      </c>
      <c r="E388" s="3">
        <f t="shared" si="391"/>
        <v>2.2741722122049058E-5</v>
      </c>
      <c r="F388" s="3">
        <f t="shared" si="391"/>
        <v>2.2741722122049058E-5</v>
      </c>
      <c r="G388" s="3">
        <f t="shared" si="391"/>
        <v>2.2741722122049055E-5</v>
      </c>
      <c r="H388" s="3">
        <f t="shared" si="391"/>
        <v>2.2741722122049045E-5</v>
      </c>
      <c r="I388" s="3">
        <f t="shared" si="391"/>
        <v>2.2741722122048916E-5</v>
      </c>
      <c r="J388" s="3">
        <f t="shared" si="391"/>
        <v>2.2741722122047625E-5</v>
      </c>
      <c r="K388" s="3">
        <f t="shared" si="391"/>
        <v>2.274172212203471E-5</v>
      </c>
      <c r="L388" s="3">
        <f t="shared" si="391"/>
        <v>2.2741722121905568E-5</v>
      </c>
      <c r="M388" s="3">
        <f t="shared" si="391"/>
        <v>2.2741722120614144E-5</v>
      </c>
      <c r="N388" s="3">
        <f t="shared" si="391"/>
        <v>2.2741722107699917E-5</v>
      </c>
      <c r="O388" s="3">
        <f t="shared" si="391"/>
        <v>2.2741721978557649E-5</v>
      </c>
      <c r="P388" s="3">
        <f t="shared" si="391"/>
        <v>2.2741720687135015E-5</v>
      </c>
      <c r="Q388" s="3">
        <f t="shared" si="391"/>
        <v>2.2741707772912704E-5</v>
      </c>
      <c r="R388" s="3">
        <f t="shared" si="391"/>
        <v>2.2741578631092928E-5</v>
      </c>
      <c r="S388" s="3">
        <f t="shared" si="391"/>
        <v>2.2740287253228676E-5</v>
      </c>
      <c r="T388" s="3">
        <f t="shared" si="391"/>
        <v>2.2727377507089873E-5</v>
      </c>
      <c r="U388" s="3">
        <f t="shared" si="391"/>
        <v>2.2598682450087987E-5</v>
      </c>
      <c r="V388" s="3">
        <f t="shared" si="391"/>
        <v>2.1351139515879341E-5</v>
      </c>
      <c r="W388" s="3">
        <f t="shared" si="391"/>
        <v>1.2100420037613398E-5</v>
      </c>
      <c r="X388" s="3">
        <f t="shared" si="391"/>
        <v>4.1361313596483301E-8</v>
      </c>
      <c r="Y388" s="3">
        <f t="shared" si="391"/>
        <v>9.0060238573943947E-33</v>
      </c>
      <c r="Z388" s="3">
        <f t="shared" si="391"/>
        <v>2.1573509145207575E-279</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1.7857506760164985E-5</v>
      </c>
      <c r="C389" s="3">
        <f t="shared" si="392"/>
        <v>1.7857506760164985E-5</v>
      </c>
      <c r="D389" s="3">
        <f t="shared" si="392"/>
        <v>1.7857506760164985E-5</v>
      </c>
      <c r="E389" s="3">
        <f t="shared" si="392"/>
        <v>1.7857506760164985E-5</v>
      </c>
      <c r="F389" s="3">
        <f t="shared" si="392"/>
        <v>1.7857506760164985E-5</v>
      </c>
      <c r="G389" s="3">
        <f t="shared" si="392"/>
        <v>1.7857506760164985E-5</v>
      </c>
      <c r="H389" s="3">
        <f t="shared" si="392"/>
        <v>1.7857506760164981E-5</v>
      </c>
      <c r="I389" s="3">
        <f t="shared" si="392"/>
        <v>1.7857506760164971E-5</v>
      </c>
      <c r="J389" s="3">
        <f t="shared" si="392"/>
        <v>1.7857506760164873E-5</v>
      </c>
      <c r="K389" s="3">
        <f t="shared" si="392"/>
        <v>1.785750676016386E-5</v>
      </c>
      <c r="L389" s="3">
        <f t="shared" si="392"/>
        <v>1.7857506760153719E-5</v>
      </c>
      <c r="M389" s="3">
        <f t="shared" si="392"/>
        <v>1.7857506760052309E-5</v>
      </c>
      <c r="N389" s="3">
        <f t="shared" si="392"/>
        <v>1.7857506759038245E-5</v>
      </c>
      <c r="O389" s="3">
        <f t="shared" si="392"/>
        <v>1.7857506748897593E-5</v>
      </c>
      <c r="P389" s="3">
        <f t="shared" si="392"/>
        <v>1.7857506647491073E-5</v>
      </c>
      <c r="Q389" s="3">
        <f t="shared" si="392"/>
        <v>1.7857505633425895E-5</v>
      </c>
      <c r="R389" s="3">
        <f t="shared" si="392"/>
        <v>1.7857495492777314E-5</v>
      </c>
      <c r="S389" s="3">
        <f t="shared" si="392"/>
        <v>1.785739408660819E-5</v>
      </c>
      <c r="T389" s="3">
        <f t="shared" si="392"/>
        <v>1.7856380056588078E-5</v>
      </c>
      <c r="U389" s="3">
        <f t="shared" si="392"/>
        <v>1.7846242922834156E-5</v>
      </c>
      <c r="V389" s="3">
        <f t="shared" si="392"/>
        <v>1.7745187565721039E-5</v>
      </c>
      <c r="W389" s="3">
        <f t="shared" si="392"/>
        <v>1.676557809456197E-5</v>
      </c>
      <c r="X389" s="3">
        <f t="shared" si="392"/>
        <v>9.5016257547626607E-6</v>
      </c>
      <c r="Y389" s="3">
        <f t="shared" si="392"/>
        <v>3.2478188467635483E-8</v>
      </c>
      <c r="Z389" s="3">
        <f t="shared" si="392"/>
        <v>7.0718097359786491E-33</v>
      </c>
      <c r="AA389" s="3">
        <f t="shared" si="392"/>
        <v>1.6940189636188993E-279</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0</v>
      </c>
      <c r="C390" s="3">
        <f t="shared" si="393"/>
        <v>0</v>
      </c>
      <c r="D390" s="3">
        <f t="shared" si="393"/>
        <v>0</v>
      </c>
      <c r="E390" s="3">
        <f t="shared" si="393"/>
        <v>0</v>
      </c>
      <c r="F390" s="3">
        <f t="shared" si="393"/>
        <v>0</v>
      </c>
      <c r="G390" s="3">
        <f t="shared" si="393"/>
        <v>0</v>
      </c>
      <c r="H390" s="3">
        <f t="shared" si="393"/>
        <v>0</v>
      </c>
      <c r="I390" s="3">
        <f t="shared" si="393"/>
        <v>0</v>
      </c>
      <c r="J390" s="3">
        <f t="shared" si="393"/>
        <v>0</v>
      </c>
      <c r="K390" s="3">
        <f t="shared" si="393"/>
        <v>0</v>
      </c>
      <c r="L390" s="3">
        <f t="shared" si="393"/>
        <v>0</v>
      </c>
      <c r="M390" s="3">
        <f t="shared" si="393"/>
        <v>0</v>
      </c>
      <c r="N390" s="3">
        <f t="shared" si="393"/>
        <v>0</v>
      </c>
      <c r="O390" s="3">
        <f t="shared" si="393"/>
        <v>0</v>
      </c>
      <c r="P390" s="3">
        <f t="shared" si="393"/>
        <v>0</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1.5759572914912317E-6</v>
      </c>
      <c r="C391" s="3">
        <f t="shared" si="394"/>
        <v>1.5759572914912317E-6</v>
      </c>
      <c r="D391" s="3">
        <f t="shared" si="394"/>
        <v>1.5759572914912317E-6</v>
      </c>
      <c r="E391" s="3">
        <f t="shared" si="394"/>
        <v>1.5759572914912317E-6</v>
      </c>
      <c r="F391" s="3">
        <f t="shared" si="394"/>
        <v>1.5759572914912317E-6</v>
      </c>
      <c r="G391" s="3">
        <f t="shared" si="394"/>
        <v>1.5759572914912317E-6</v>
      </c>
      <c r="H391" s="3">
        <f t="shared" si="394"/>
        <v>1.5759572914912317E-6</v>
      </c>
      <c r="I391" s="3">
        <f t="shared" si="394"/>
        <v>1.5759572914912317E-6</v>
      </c>
      <c r="J391" s="3">
        <f t="shared" si="394"/>
        <v>1.5759572914912315E-6</v>
      </c>
      <c r="K391" s="3">
        <f t="shared" si="394"/>
        <v>1.5759572914912306E-6</v>
      </c>
      <c r="L391" s="3">
        <f t="shared" si="394"/>
        <v>1.5759572914912217E-6</v>
      </c>
      <c r="M391" s="3">
        <f t="shared" si="394"/>
        <v>1.5759572914911324E-6</v>
      </c>
      <c r="N391" s="3">
        <f t="shared" si="394"/>
        <v>1.5759572914902373E-6</v>
      </c>
      <c r="O391" s="3">
        <f t="shared" si="394"/>
        <v>1.5759572914812879E-6</v>
      </c>
      <c r="P391" s="3">
        <f t="shared" si="394"/>
        <v>1.5759572913917949E-6</v>
      </c>
      <c r="Q391" s="3">
        <f t="shared" si="394"/>
        <v>1.5759572904968639E-6</v>
      </c>
      <c r="R391" s="3">
        <f t="shared" si="394"/>
        <v>1.5759572815475551E-6</v>
      </c>
      <c r="S391" s="3">
        <f t="shared" si="394"/>
        <v>1.575957192054468E-6</v>
      </c>
      <c r="T391" s="3">
        <f t="shared" si="394"/>
        <v>1.5759562971238771E-6</v>
      </c>
      <c r="U391" s="3">
        <f t="shared" si="394"/>
        <v>1.575947347845919E-6</v>
      </c>
      <c r="V391" s="3">
        <f t="shared" si="394"/>
        <v>1.5758578578613738E-6</v>
      </c>
      <c r="W391" s="3">
        <f t="shared" si="394"/>
        <v>1.574963237460616E-6</v>
      </c>
      <c r="X391" s="3">
        <f t="shared" si="394"/>
        <v>1.5660449192975268E-6</v>
      </c>
      <c r="Y391" s="3">
        <f t="shared" si="394"/>
        <v>1.4795926104942154E-6</v>
      </c>
      <c r="Z391" s="3">
        <f t="shared" si="394"/>
        <v>8.3853566964018592E-7</v>
      </c>
      <c r="AA391" s="3">
        <f t="shared" si="394"/>
        <v>2.8662589138240753E-9</v>
      </c>
      <c r="AB391" s="3">
        <f t="shared" si="394"/>
        <v>6.2410000831220553E-34</v>
      </c>
      <c r="AC391" s="3">
        <f t="shared" si="394"/>
        <v>1.4950023950683689E-280</v>
      </c>
      <c r="AD391" s="3">
        <f t="shared" si="394"/>
        <v>0</v>
      </c>
      <c r="AE391" s="3">
        <f t="shared" si="394"/>
        <v>0</v>
      </c>
      <c r="AF391" s="3">
        <f t="shared" si="394"/>
        <v>0</v>
      </c>
      <c r="AG391" s="3"/>
      <c r="AH391" s="3"/>
    </row>
    <row r="392" spans="1:34" x14ac:dyDescent="0.25">
      <c r="B392" s="3">
        <f t="shared" ref="B392:AF392" si="395">$C44*EXP(-B$363/$A44/EXP(-$H$126))</f>
        <v>0</v>
      </c>
      <c r="C392" s="3">
        <f t="shared" si="395"/>
        <v>0</v>
      </c>
      <c r="D392" s="3">
        <f t="shared" si="395"/>
        <v>0</v>
      </c>
      <c r="E392" s="3">
        <f t="shared" si="395"/>
        <v>0</v>
      </c>
      <c r="F392" s="3">
        <f t="shared" si="395"/>
        <v>0</v>
      </c>
      <c r="G392" s="3">
        <f t="shared" si="395"/>
        <v>0</v>
      </c>
      <c r="H392" s="3">
        <f t="shared" si="395"/>
        <v>0</v>
      </c>
      <c r="I392" s="3">
        <f t="shared" si="395"/>
        <v>0</v>
      </c>
      <c r="J392" s="3">
        <f t="shared" si="395"/>
        <v>0</v>
      </c>
      <c r="K392" s="3">
        <f t="shared" si="395"/>
        <v>0</v>
      </c>
      <c r="L392" s="3">
        <f t="shared" si="395"/>
        <v>0</v>
      </c>
      <c r="M392" s="3">
        <f t="shared" si="395"/>
        <v>0</v>
      </c>
      <c r="N392" s="3">
        <f t="shared" si="395"/>
        <v>0</v>
      </c>
      <c r="O392" s="3">
        <f t="shared" si="395"/>
        <v>0</v>
      </c>
      <c r="P392" s="3">
        <f t="shared" si="395"/>
        <v>0</v>
      </c>
      <c r="Q392" s="3">
        <f t="shared" si="395"/>
        <v>0</v>
      </c>
      <c r="R392" s="3">
        <f t="shared" si="395"/>
        <v>0</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0</v>
      </c>
      <c r="C393" s="3">
        <f t="shared" si="396"/>
        <v>0</v>
      </c>
      <c r="D393" s="3">
        <f t="shared" si="396"/>
        <v>0</v>
      </c>
      <c r="E393" s="3">
        <f t="shared" si="396"/>
        <v>0</v>
      </c>
      <c r="F393" s="3">
        <f t="shared" si="396"/>
        <v>0</v>
      </c>
      <c r="G393" s="3">
        <f t="shared" si="396"/>
        <v>0</v>
      </c>
      <c r="H393" s="3">
        <f t="shared" si="396"/>
        <v>0</v>
      </c>
      <c r="I393" s="3">
        <f t="shared" si="396"/>
        <v>0</v>
      </c>
      <c r="J393" s="3">
        <f t="shared" si="396"/>
        <v>0</v>
      </c>
      <c r="K393" s="3">
        <f t="shared" si="396"/>
        <v>0</v>
      </c>
      <c r="L393" s="3">
        <f t="shared" si="396"/>
        <v>0</v>
      </c>
      <c r="M393" s="3">
        <f t="shared" si="396"/>
        <v>0</v>
      </c>
      <c r="N393" s="3">
        <f t="shared" si="396"/>
        <v>0</v>
      </c>
      <c r="O393" s="3">
        <f t="shared" si="396"/>
        <v>0</v>
      </c>
      <c r="P393" s="3">
        <f t="shared" si="396"/>
        <v>0</v>
      </c>
      <c r="Q393" s="3">
        <f t="shared" si="396"/>
        <v>0</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0</v>
      </c>
      <c r="C394" s="3">
        <f t="shared" si="397"/>
        <v>0</v>
      </c>
      <c r="D394" s="3">
        <f t="shared" si="397"/>
        <v>0</v>
      </c>
      <c r="E394" s="3">
        <f t="shared" si="397"/>
        <v>0</v>
      </c>
      <c r="F394" s="3">
        <f t="shared" si="397"/>
        <v>0</v>
      </c>
      <c r="G394" s="3">
        <f t="shared" si="397"/>
        <v>0</v>
      </c>
      <c r="H394" s="3">
        <f t="shared" si="397"/>
        <v>0</v>
      </c>
      <c r="I394" s="3">
        <f t="shared" si="397"/>
        <v>0</v>
      </c>
      <c r="J394" s="3">
        <f t="shared" si="397"/>
        <v>0</v>
      </c>
      <c r="K394" s="3">
        <f t="shared" si="397"/>
        <v>0</v>
      </c>
      <c r="L394" s="3">
        <f t="shared" si="397"/>
        <v>0</v>
      </c>
      <c r="M394" s="3">
        <f t="shared" si="397"/>
        <v>0</v>
      </c>
      <c r="N394" s="3">
        <f t="shared" si="397"/>
        <v>0</v>
      </c>
      <c r="O394" s="3">
        <f t="shared" si="397"/>
        <v>0</v>
      </c>
      <c r="P394" s="3">
        <f t="shared" si="397"/>
        <v>0</v>
      </c>
      <c r="Q394" s="3">
        <f t="shared" si="397"/>
        <v>0</v>
      </c>
      <c r="R394" s="3">
        <f t="shared" si="397"/>
        <v>0</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1.823122872957775E-3</v>
      </c>
      <c r="C396" s="3">
        <f t="shared" si="399"/>
        <v>1.823122872957775E-3</v>
      </c>
      <c r="D396" s="3">
        <f t="shared" si="399"/>
        <v>1.823122872957775E-3</v>
      </c>
      <c r="E396" s="3">
        <f t="shared" si="399"/>
        <v>1.823122872957775E-3</v>
      </c>
      <c r="F396" s="3">
        <f t="shared" si="399"/>
        <v>1.823122872957775E-3</v>
      </c>
      <c r="G396" s="3">
        <f t="shared" si="399"/>
        <v>1.823122872957775E-3</v>
      </c>
      <c r="H396" s="3">
        <f t="shared" si="399"/>
        <v>1.823122872957775E-3</v>
      </c>
      <c r="I396" s="3">
        <f t="shared" si="399"/>
        <v>1.823122872957775E-3</v>
      </c>
      <c r="J396" s="3">
        <f t="shared" si="399"/>
        <v>1.823122872957775E-3</v>
      </c>
      <c r="K396" s="3">
        <f t="shared" si="399"/>
        <v>1.823122872957775E-3</v>
      </c>
      <c r="L396" s="3">
        <f t="shared" si="399"/>
        <v>1.823122872957775E-3</v>
      </c>
      <c r="M396" s="3">
        <f t="shared" si="399"/>
        <v>1.823122872957775E-3</v>
      </c>
      <c r="N396" s="3">
        <f t="shared" si="399"/>
        <v>1.823122872957775E-3</v>
      </c>
      <c r="O396" s="3">
        <f t="shared" si="399"/>
        <v>1.8231228729577748E-3</v>
      </c>
      <c r="P396" s="3">
        <f t="shared" si="399"/>
        <v>1.8231228729577737E-3</v>
      </c>
      <c r="Q396" s="3">
        <f t="shared" si="399"/>
        <v>1.8231228729577635E-3</v>
      </c>
      <c r="R396" s="3">
        <f t="shared" si="399"/>
        <v>1.8231228729576601E-3</v>
      </c>
      <c r="S396" s="3">
        <f t="shared" si="399"/>
        <v>1.8231228729566247E-3</v>
      </c>
      <c r="T396" s="3">
        <f t="shared" si="399"/>
        <v>1.8231228729462718E-3</v>
      </c>
      <c r="U396" s="3">
        <f t="shared" si="399"/>
        <v>1.8231228728427431E-3</v>
      </c>
      <c r="V396" s="3">
        <f t="shared" si="399"/>
        <v>1.8231228718074554E-3</v>
      </c>
      <c r="W396" s="3">
        <f t="shared" si="399"/>
        <v>1.8231228614545797E-3</v>
      </c>
      <c r="X396" s="3">
        <f t="shared" si="399"/>
        <v>1.8231227579258262E-3</v>
      </c>
      <c r="Y396" s="3">
        <f t="shared" si="399"/>
        <v>1.8231217226386148E-3</v>
      </c>
      <c r="Z396" s="3">
        <f t="shared" si="399"/>
        <v>1.8231113697988329E-3</v>
      </c>
      <c r="AA396" s="3">
        <f t="shared" si="399"/>
        <v>1.8230078446344099E-3</v>
      </c>
      <c r="AB396" s="3">
        <f t="shared" si="399"/>
        <v>1.8219729162616413E-3</v>
      </c>
      <c r="AC396" s="3">
        <f t="shared" si="399"/>
        <v>1.8116558918605183E-3</v>
      </c>
      <c r="AD396" s="3">
        <f t="shared" si="399"/>
        <v>1.7116448176706929E-3</v>
      </c>
      <c r="AE396" s="3">
        <f t="shared" si="399"/>
        <v>9.7004758147057506E-4</v>
      </c>
      <c r="AF396" s="3">
        <f t="shared" si="399"/>
        <v>3.315789211944424E-6</v>
      </c>
      <c r="AG396" s="3"/>
      <c r="AH396" s="3"/>
    </row>
    <row r="397" spans="1:34" x14ac:dyDescent="0.25">
      <c r="A397" s="80">
        <f>AVERAGE(B397:AF397)</f>
        <v>1.0752703869233233E-2</v>
      </c>
      <c r="B397" s="81">
        <f>IF($A$64&lt;=B363,IF($B$64&gt;=B363,ABS((B365-B364)/B364),0),0)</f>
        <v>1.3087512315067157E-2</v>
      </c>
      <c r="C397" s="81">
        <f t="shared" ref="C397:AF397" si="400">IF($A$64&lt;=C363,IF($B$64&gt;=C363,ABS((C365-C364)/C364),0),0)</f>
        <v>1.3368799542041797E-3</v>
      </c>
      <c r="D397" s="81">
        <f t="shared" si="400"/>
        <v>2.1772700687174643E-3</v>
      </c>
      <c r="E397" s="81">
        <f t="shared" si="400"/>
        <v>1.6490125419549415E-3</v>
      </c>
      <c r="F397" s="81">
        <f t="shared" si="400"/>
        <v>3.261869739092549E-3</v>
      </c>
      <c r="G397" s="81">
        <f t="shared" si="400"/>
        <v>2.1755700361260795E-3</v>
      </c>
      <c r="H397" s="81">
        <f t="shared" si="400"/>
        <v>4.7797416600599205E-3</v>
      </c>
      <c r="I397" s="81">
        <f t="shared" si="400"/>
        <v>5.5479028146057782E-3</v>
      </c>
      <c r="J397" s="81">
        <f t="shared" si="400"/>
        <v>4.8809733874568455E-3</v>
      </c>
      <c r="K397" s="81">
        <f t="shared" si="400"/>
        <v>5.1146150481966223E-3</v>
      </c>
      <c r="L397" s="81">
        <f t="shared" si="400"/>
        <v>2.5400451703400408E-2</v>
      </c>
      <c r="M397" s="81">
        <f t="shared" si="400"/>
        <v>2.5698736418581065E-2</v>
      </c>
      <c r="N397" s="81">
        <f t="shared" si="400"/>
        <v>5.1047116358086952E-2</v>
      </c>
      <c r="O397" s="81">
        <f t="shared" si="400"/>
        <v>3.2670952849890765E-2</v>
      </c>
      <c r="P397" s="81">
        <f t="shared" si="400"/>
        <v>3.1206396750604382E-3</v>
      </c>
      <c r="Q397" s="81">
        <f t="shared" si="400"/>
        <v>1.161786629032107E-2</v>
      </c>
      <c r="R397" s="81">
        <f t="shared" si="400"/>
        <v>5.7514009391588508E-4</v>
      </c>
      <c r="S397" s="81">
        <f t="shared" si="400"/>
        <v>1.3236920926739029E-3</v>
      </c>
      <c r="T397" s="81">
        <f t="shared" si="400"/>
        <v>1.5770167450719684E-3</v>
      </c>
      <c r="U397" s="81">
        <f t="shared" si="400"/>
        <v>1.7839523769454966E-3</v>
      </c>
      <c r="V397" s="81">
        <f t="shared" si="400"/>
        <v>1.7161253794539333E-3</v>
      </c>
      <c r="W397" s="81">
        <f t="shared" si="400"/>
        <v>1.9436156329043805E-3</v>
      </c>
      <c r="X397" s="81">
        <f t="shared" si="400"/>
        <v>1.3094798259599941E-3</v>
      </c>
      <c r="Y397" s="81">
        <f t="shared" si="400"/>
        <v>1.8230924918018337E-4</v>
      </c>
      <c r="Z397" s="81">
        <f t="shared" si="400"/>
        <v>1.8044069742620503E-4</v>
      </c>
      <c r="AA397" s="81">
        <f t="shared" si="400"/>
        <v>5.1874419157243231E-4</v>
      </c>
      <c r="AB397" s="81">
        <f t="shared" si="400"/>
        <v>1.4748753340292976E-3</v>
      </c>
      <c r="AC397" s="81">
        <f t="shared" si="400"/>
        <v>2.017874154898752E-3</v>
      </c>
      <c r="AD397" s="81">
        <f t="shared" si="400"/>
        <v>2.70343198236576E-3</v>
      </c>
      <c r="AE397" s="81">
        <f t="shared" si="400"/>
        <v>3.8129920033190524E-2</v>
      </c>
      <c r="AF397" s="81">
        <f t="shared" si="400"/>
        <v>8.4330091295819268E-2</v>
      </c>
    </row>
    <row r="398" spans="1:34" x14ac:dyDescent="0.25">
      <c r="B398" s="21">
        <f>(B365-B364)^2</f>
        <v>4236.2326018861258</v>
      </c>
      <c r="C398" s="21">
        <f t="shared" ref="C398:AF398" si="401">(C365-C364)^2</f>
        <v>38.804442151486761</v>
      </c>
      <c r="D398" s="21">
        <f t="shared" si="401"/>
        <v>91.191062640984541</v>
      </c>
      <c r="E398" s="21">
        <f t="shared" si="401"/>
        <v>46.120700195904298</v>
      </c>
      <c r="F398" s="21">
        <f t="shared" si="401"/>
        <v>156.057962638079</v>
      </c>
      <c r="G398" s="21">
        <f t="shared" si="401"/>
        <v>58.427201062179705</v>
      </c>
      <c r="H398" s="21">
        <f t="shared" si="401"/>
        <v>219.25415057150332</v>
      </c>
      <c r="I398" s="21">
        <f t="shared" si="401"/>
        <v>206.66442687155705</v>
      </c>
      <c r="J398" s="21">
        <f t="shared" si="401"/>
        <v>95.806364025121312</v>
      </c>
      <c r="K398" s="21">
        <f t="shared" si="401"/>
        <v>48.076586896569871</v>
      </c>
      <c r="L398" s="21">
        <f t="shared" si="401"/>
        <v>430.60195312830774</v>
      </c>
      <c r="M398" s="21">
        <f t="shared" si="401"/>
        <v>141.80202553689824</v>
      </c>
      <c r="N398" s="21">
        <f t="shared" si="401"/>
        <v>172.07259672810639</v>
      </c>
      <c r="O398" s="21">
        <f t="shared" si="401"/>
        <v>29.945172576168055</v>
      </c>
      <c r="P398" s="21">
        <f t="shared" si="401"/>
        <v>0.19582209248107202</v>
      </c>
      <c r="Q398" s="21">
        <f t="shared" si="401"/>
        <v>2.2527834660626382</v>
      </c>
      <c r="R398" s="21">
        <f t="shared" si="401"/>
        <v>5.2062967406780909E-3</v>
      </c>
      <c r="S398" s="21">
        <f t="shared" si="401"/>
        <v>2.7543128394753372E-2</v>
      </c>
      <c r="T398" s="21">
        <f t="shared" si="401"/>
        <v>3.9022416269429504E-2</v>
      </c>
      <c r="U398" s="21">
        <f t="shared" si="401"/>
        <v>4.9835353605277952E-2</v>
      </c>
      <c r="V398" s="21">
        <f t="shared" si="401"/>
        <v>4.6001211696596996E-2</v>
      </c>
      <c r="W398" s="21">
        <f t="shared" si="401"/>
        <v>5.8832406462510992E-2</v>
      </c>
      <c r="X398" s="21">
        <f t="shared" si="401"/>
        <v>2.6621855979646229E-2</v>
      </c>
      <c r="Y398" s="21">
        <f t="shared" si="401"/>
        <v>5.1437627854414617E-4</v>
      </c>
      <c r="Z398" s="21">
        <f t="shared" si="401"/>
        <v>5.0385152215326099E-4</v>
      </c>
      <c r="AA398" s="21">
        <f t="shared" si="401"/>
        <v>4.1580908617996669E-3</v>
      </c>
      <c r="AB398" s="21">
        <f t="shared" si="401"/>
        <v>3.3544819925555698E-2</v>
      </c>
      <c r="AC398" s="21">
        <f t="shared" si="401"/>
        <v>6.2662071430513125E-2</v>
      </c>
      <c r="AD398" s="21">
        <f t="shared" si="401"/>
        <v>0.11245931679173533</v>
      </c>
      <c r="AE398" s="21">
        <f t="shared" si="401"/>
        <v>22.370264073364805</v>
      </c>
      <c r="AF398" s="21">
        <f t="shared" si="401"/>
        <v>109.41744405635048</v>
      </c>
      <c r="AG398" s="3"/>
      <c r="AH398" s="3"/>
    </row>
    <row r="399" spans="1:34" x14ac:dyDescent="0.25">
      <c r="A399" s="72">
        <f>SUM(B399:AF399)</f>
        <v>6105.7604657932088</v>
      </c>
      <c r="B399" s="60">
        <f>IF($A$64&lt;=B363,IF($B$64&gt;=B363,ABS(B398),0),0)</f>
        <v>4236.2326018861258</v>
      </c>
      <c r="C399" s="60">
        <f t="shared" ref="C399" si="402">IF($A$64&lt;=C363,IF($B$64&gt;=C363,ABS(C398),0),0)</f>
        <v>38.804442151486761</v>
      </c>
      <c r="D399" s="60">
        <f t="shared" ref="D399" si="403">IF($A$64&lt;=D363,IF($B$64&gt;=D363,ABS(D398),0),0)</f>
        <v>91.191062640984541</v>
      </c>
      <c r="E399" s="60">
        <f t="shared" ref="E399" si="404">IF($A$64&lt;=E363,IF($B$64&gt;=E363,ABS(E398),0),0)</f>
        <v>46.120700195904298</v>
      </c>
      <c r="F399" s="60">
        <f t="shared" ref="F399" si="405">IF($A$64&lt;=F363,IF($B$64&gt;=F363,ABS(F398),0),0)</f>
        <v>156.057962638079</v>
      </c>
      <c r="G399" s="60">
        <f t="shared" ref="G399" si="406">IF($A$64&lt;=G363,IF($B$64&gt;=G363,ABS(G398),0),0)</f>
        <v>58.427201062179705</v>
      </c>
      <c r="H399" s="60">
        <f t="shared" ref="H399" si="407">IF($A$64&lt;=H363,IF($B$64&gt;=H363,ABS(H398),0),0)</f>
        <v>219.25415057150332</v>
      </c>
      <c r="I399" s="60">
        <f t="shared" ref="I399" si="408">IF($A$64&lt;=I363,IF($B$64&gt;=I363,ABS(I398),0),0)</f>
        <v>206.66442687155705</v>
      </c>
      <c r="J399" s="60">
        <f t="shared" ref="J399" si="409">IF($A$64&lt;=J363,IF($B$64&gt;=J363,ABS(J398),0),0)</f>
        <v>95.806364025121312</v>
      </c>
      <c r="K399" s="60">
        <f t="shared" ref="K399" si="410">IF($A$64&lt;=K363,IF($B$64&gt;=K363,ABS(K398),0),0)</f>
        <v>48.076586896569871</v>
      </c>
      <c r="L399" s="60">
        <f t="shared" ref="L399" si="411">IF($A$64&lt;=L363,IF($B$64&gt;=L363,ABS(L398),0),0)</f>
        <v>430.60195312830774</v>
      </c>
      <c r="M399" s="60">
        <f t="shared" ref="M399" si="412">IF($A$64&lt;=M363,IF($B$64&gt;=M363,ABS(M398),0),0)</f>
        <v>141.80202553689824</v>
      </c>
      <c r="N399" s="60">
        <f t="shared" ref="N399" si="413">IF($A$64&lt;=N363,IF($B$64&gt;=N363,ABS(N398),0),0)</f>
        <v>172.07259672810639</v>
      </c>
      <c r="O399" s="60">
        <f t="shared" ref="O399" si="414">IF($A$64&lt;=O363,IF($B$64&gt;=O363,ABS(O398),0),0)</f>
        <v>29.945172576168055</v>
      </c>
      <c r="P399" s="60">
        <f t="shared" ref="P399" si="415">IF($A$64&lt;=P363,IF($B$64&gt;=P363,ABS(P398),0),0)</f>
        <v>0.19582209248107202</v>
      </c>
      <c r="Q399" s="60">
        <f t="shared" ref="Q399" si="416">IF($A$64&lt;=Q363,IF($B$64&gt;=Q363,ABS(Q398),0),0)</f>
        <v>2.2527834660626382</v>
      </c>
      <c r="R399" s="60">
        <f t="shared" ref="R399" si="417">IF($A$64&lt;=R363,IF($B$64&gt;=R363,ABS(R398),0),0)</f>
        <v>5.2062967406780909E-3</v>
      </c>
      <c r="S399" s="60">
        <f t="shared" ref="S399" si="418">IF($A$64&lt;=S363,IF($B$64&gt;=S363,ABS(S398),0),0)</f>
        <v>2.7543128394753372E-2</v>
      </c>
      <c r="T399" s="60">
        <f t="shared" ref="T399" si="419">IF($A$64&lt;=T363,IF($B$64&gt;=T363,ABS(T398),0),0)</f>
        <v>3.9022416269429504E-2</v>
      </c>
      <c r="U399" s="60">
        <f t="shared" ref="U399" si="420">IF($A$64&lt;=U363,IF($B$64&gt;=U363,ABS(U398),0),0)</f>
        <v>4.9835353605277952E-2</v>
      </c>
      <c r="V399" s="60">
        <f t="shared" ref="V399" si="421">IF($A$64&lt;=V363,IF($B$64&gt;=V363,ABS(V398),0),0)</f>
        <v>4.6001211696596996E-2</v>
      </c>
      <c r="W399" s="60">
        <f t="shared" ref="W399" si="422">IF($A$64&lt;=W363,IF($B$64&gt;=W363,ABS(W398),0),0)</f>
        <v>5.8832406462510992E-2</v>
      </c>
      <c r="X399" s="60">
        <f t="shared" ref="X399" si="423">IF($A$64&lt;=X363,IF($B$64&gt;=X363,ABS(X398),0),0)</f>
        <v>2.6621855979646229E-2</v>
      </c>
      <c r="Y399" s="60">
        <f t="shared" ref="Y399" si="424">IF($A$64&lt;=Y363,IF($B$64&gt;=Y363,ABS(Y398),0),0)</f>
        <v>5.1437627854414617E-4</v>
      </c>
      <c r="Z399" s="60">
        <f t="shared" ref="Z399" si="425">IF($A$64&lt;=Z363,IF($B$64&gt;=Z363,ABS(Z398),0),0)</f>
        <v>5.0385152215326099E-4</v>
      </c>
      <c r="AA399" s="60">
        <f t="shared" ref="AA399" si="426">IF($A$64&lt;=AA363,IF($B$64&gt;=AA363,ABS(AA398),0),0)</f>
        <v>4.1580908617996669E-3</v>
      </c>
      <c r="AB399" s="60">
        <f t="shared" ref="AB399" si="427">IF($A$64&lt;=AB363,IF($B$64&gt;=AB363,ABS(AB398),0),0)</f>
        <v>3.3544819925555698E-2</v>
      </c>
      <c r="AC399" s="60">
        <f t="shared" ref="AC399" si="428">IF($A$64&lt;=AC363,IF($B$64&gt;=AC363,ABS(AC398),0),0)</f>
        <v>6.2662071430513125E-2</v>
      </c>
      <c r="AD399" s="60">
        <f t="shared" ref="AD399" si="429">IF($A$64&lt;=AD363,IF($B$64&gt;=AD363,ABS(AD398),0),0)</f>
        <v>0.11245931679173533</v>
      </c>
      <c r="AE399" s="60">
        <f t="shared" ref="AE399" si="430">IF($A$64&lt;=AE363,IF($B$64&gt;=AE363,ABS(AE398),0),0)</f>
        <v>22.370264073364805</v>
      </c>
      <c r="AF399" s="60">
        <f t="shared" ref="AF399" si="431">IF($A$64&lt;=AF363,IF($B$64&gt;=AF363,ABS(AF398),0),0)</f>
        <v>109.41744405635048</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8"/>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8"/>
      <c r="B402" s="22"/>
      <c r="C402" s="22"/>
      <c r="D402" s="22"/>
      <c r="E402" s="22"/>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c r="AD402" s="22"/>
      <c r="AE402" s="22"/>
      <c r="AF402" s="22"/>
      <c r="AG402" s="22"/>
      <c r="AH402" s="22"/>
    </row>
    <row r="403" spans="1:34" x14ac:dyDescent="0.25">
      <c r="A403" s="88"/>
      <c r="B403" s="22"/>
      <c r="C403" s="22"/>
      <c r="D403" s="22"/>
      <c r="E403" s="22"/>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c r="AD403" s="22"/>
      <c r="AE403" s="22"/>
      <c r="AF403" s="22"/>
      <c r="AG403" s="26"/>
      <c r="AH403" s="26"/>
    </row>
    <row r="404" spans="1:34" x14ac:dyDescent="0.25">
      <c r="A404" s="88"/>
      <c r="B404" s="22"/>
      <c r="C404" s="22"/>
      <c r="D404" s="22"/>
      <c r="E404" s="22"/>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c r="AD404" s="22"/>
      <c r="AE404" s="22"/>
      <c r="AF404" s="22"/>
      <c r="AG404" s="27"/>
      <c r="AH404" s="27"/>
    </row>
    <row r="405" spans="1:34" x14ac:dyDescent="0.25">
      <c r="A405" s="15"/>
      <c r="B405" s="42"/>
      <c r="C405" s="42"/>
      <c r="D405" s="42"/>
      <c r="E405" s="42"/>
      <c r="F405" s="42"/>
      <c r="G405" s="42"/>
      <c r="H405" s="42"/>
      <c r="I405" s="42"/>
      <c r="J405" s="42"/>
      <c r="K405" s="42"/>
      <c r="L405" s="42"/>
      <c r="M405" s="42"/>
      <c r="N405" s="42"/>
      <c r="O405" s="42"/>
      <c r="P405" s="42"/>
      <c r="Q405" s="42"/>
      <c r="R405" s="42"/>
      <c r="S405" s="42"/>
      <c r="T405" s="42"/>
      <c r="U405" s="42"/>
      <c r="V405" s="42"/>
      <c r="W405" s="42"/>
      <c r="X405" s="42"/>
      <c r="Y405" s="42"/>
      <c r="Z405" s="42"/>
      <c r="AA405" s="42"/>
      <c r="AB405" s="42"/>
      <c r="AC405" s="42"/>
      <c r="AD405" s="42"/>
      <c r="AE405" s="42"/>
      <c r="AF405" s="42"/>
      <c r="AG405" s="3"/>
      <c r="AH405" s="3"/>
    </row>
    <row r="406" spans="1:34" x14ac:dyDescent="0.25">
      <c r="A406" s="15"/>
      <c r="B406" s="42"/>
      <c r="C406" s="42"/>
      <c r="D406" s="42"/>
      <c r="E406" s="42"/>
      <c r="F406" s="42"/>
      <c r="G406" s="42"/>
      <c r="H406" s="42"/>
      <c r="I406" s="42"/>
      <c r="J406" s="42"/>
      <c r="K406" s="42"/>
      <c r="L406" s="42"/>
      <c r="M406" s="42"/>
      <c r="N406" s="42"/>
      <c r="O406" s="42"/>
      <c r="P406" s="42"/>
      <c r="Q406" s="42"/>
      <c r="R406" s="42"/>
      <c r="S406" s="42"/>
      <c r="T406" s="42"/>
      <c r="U406" s="42"/>
      <c r="V406" s="42"/>
      <c r="W406" s="42"/>
      <c r="X406" s="42"/>
      <c r="Y406" s="42"/>
      <c r="Z406" s="42"/>
      <c r="AA406" s="42"/>
      <c r="AB406" s="42"/>
      <c r="AC406" s="42"/>
      <c r="AD406" s="42"/>
      <c r="AE406" s="42"/>
      <c r="AF406" s="42"/>
      <c r="AG406" s="3"/>
      <c r="AH406" s="3"/>
    </row>
    <row r="407" spans="1:34" x14ac:dyDescent="0.25">
      <c r="A407" s="15"/>
      <c r="B407" s="42"/>
      <c r="C407" s="42"/>
      <c r="D407" s="42"/>
      <c r="E407" s="42"/>
      <c r="F407" s="42"/>
      <c r="G407" s="42"/>
      <c r="H407" s="42"/>
      <c r="I407" s="42"/>
      <c r="J407" s="42"/>
      <c r="K407" s="42"/>
      <c r="L407" s="42"/>
      <c r="M407" s="42"/>
      <c r="N407" s="42"/>
      <c r="O407" s="42"/>
      <c r="P407" s="42"/>
      <c r="Q407" s="42"/>
      <c r="R407" s="42"/>
      <c r="S407" s="42"/>
      <c r="T407" s="42"/>
      <c r="U407" s="42"/>
      <c r="V407" s="42"/>
      <c r="W407" s="42"/>
      <c r="X407" s="42"/>
      <c r="Y407" s="42"/>
      <c r="Z407" s="42"/>
      <c r="AA407" s="42"/>
      <c r="AB407" s="42"/>
      <c r="AC407" s="42"/>
      <c r="AD407" s="42"/>
      <c r="AE407" s="42"/>
      <c r="AF407" s="42"/>
      <c r="AG407" s="3"/>
      <c r="AH407" s="3"/>
    </row>
    <row r="408" spans="1:34" x14ac:dyDescent="0.25">
      <c r="A408" s="15"/>
      <c r="B408" s="42"/>
      <c r="C408" s="42"/>
      <c r="D408" s="42"/>
      <c r="E408" s="42"/>
      <c r="F408" s="42"/>
      <c r="G408" s="42"/>
      <c r="H408" s="42"/>
      <c r="I408" s="42"/>
      <c r="J408" s="42"/>
      <c r="K408" s="42"/>
      <c r="L408" s="42"/>
      <c r="M408" s="42"/>
      <c r="N408" s="42"/>
      <c r="O408" s="42"/>
      <c r="P408" s="42"/>
      <c r="Q408" s="42"/>
      <c r="R408" s="42"/>
      <c r="S408" s="42"/>
      <c r="T408" s="42"/>
      <c r="U408" s="42"/>
      <c r="V408" s="42"/>
      <c r="W408" s="42"/>
      <c r="X408" s="42"/>
      <c r="Y408" s="42"/>
      <c r="Z408" s="42"/>
      <c r="AA408" s="42"/>
      <c r="AB408" s="42"/>
      <c r="AC408" s="42"/>
      <c r="AD408" s="42"/>
      <c r="AE408" s="42"/>
      <c r="AF408" s="42"/>
      <c r="AG408" s="3"/>
      <c r="AH408" s="3"/>
    </row>
    <row r="409" spans="1:34" x14ac:dyDescent="0.25">
      <c r="A409" s="15"/>
      <c r="B409" s="42"/>
      <c r="C409" s="42"/>
      <c r="D409" s="42"/>
      <c r="E409" s="42"/>
      <c r="F409" s="42"/>
      <c r="G409" s="42"/>
      <c r="H409" s="42"/>
      <c r="I409" s="42"/>
      <c r="J409" s="42"/>
      <c r="K409" s="42"/>
      <c r="L409" s="42"/>
      <c r="M409" s="42"/>
      <c r="N409" s="42"/>
      <c r="O409" s="42"/>
      <c r="P409" s="42"/>
      <c r="Q409" s="42"/>
      <c r="R409" s="42"/>
      <c r="S409" s="42"/>
      <c r="T409" s="42"/>
      <c r="U409" s="42"/>
      <c r="V409" s="42"/>
      <c r="W409" s="42"/>
      <c r="X409" s="42"/>
      <c r="Y409" s="42"/>
      <c r="Z409" s="42"/>
      <c r="AA409" s="42"/>
      <c r="AB409" s="42"/>
      <c r="AC409" s="42"/>
      <c r="AD409" s="42"/>
      <c r="AE409" s="42"/>
      <c r="AF409" s="42"/>
      <c r="AG409" s="3"/>
      <c r="AH409" s="3"/>
    </row>
    <row r="410" spans="1:34" x14ac:dyDescent="0.25">
      <c r="A410" s="15"/>
      <c r="B410" s="42"/>
      <c r="C410" s="42"/>
      <c r="D410" s="42"/>
      <c r="E410" s="42"/>
      <c r="F410" s="42"/>
      <c r="G410" s="42"/>
      <c r="H410" s="42"/>
      <c r="I410" s="42"/>
      <c r="J410" s="42"/>
      <c r="K410" s="42"/>
      <c r="L410" s="42"/>
      <c r="M410" s="42"/>
      <c r="N410" s="42"/>
      <c r="O410" s="42"/>
      <c r="P410" s="42"/>
      <c r="Q410" s="42"/>
      <c r="R410" s="42"/>
      <c r="S410" s="42"/>
      <c r="T410" s="42"/>
      <c r="U410" s="42"/>
      <c r="V410" s="42"/>
      <c r="W410" s="42"/>
      <c r="X410" s="42"/>
      <c r="Y410" s="42"/>
      <c r="Z410" s="42"/>
      <c r="AA410" s="42"/>
      <c r="AB410" s="42"/>
      <c r="AC410" s="42"/>
      <c r="AD410" s="42"/>
      <c r="AE410" s="42"/>
      <c r="AF410" s="42"/>
      <c r="AG410" s="3"/>
      <c r="AH410" s="3"/>
    </row>
    <row r="411" spans="1:34" x14ac:dyDescent="0.25">
      <c r="A411" s="15"/>
      <c r="B411" s="42"/>
      <c r="C411" s="42"/>
      <c r="D411" s="42"/>
      <c r="E411" s="42"/>
      <c r="F411" s="42"/>
      <c r="G411" s="42"/>
      <c r="H411" s="42"/>
      <c r="I411" s="42"/>
      <c r="J411" s="42"/>
      <c r="K411" s="42"/>
      <c r="L411" s="42"/>
      <c r="M411" s="42"/>
      <c r="N411" s="42"/>
      <c r="O411" s="42"/>
      <c r="P411" s="42"/>
      <c r="Q411" s="42"/>
      <c r="R411" s="42"/>
      <c r="S411" s="42"/>
      <c r="T411" s="42"/>
      <c r="U411" s="42"/>
      <c r="V411" s="42"/>
      <c r="W411" s="42"/>
      <c r="X411" s="42"/>
      <c r="Y411" s="42"/>
      <c r="Z411" s="42"/>
      <c r="AA411" s="42"/>
      <c r="AB411" s="42"/>
      <c r="AC411" s="42"/>
      <c r="AD411" s="42"/>
      <c r="AE411" s="42"/>
      <c r="AF411" s="42"/>
      <c r="AG411" s="3"/>
      <c r="AH411" s="3"/>
    </row>
    <row r="412" spans="1:34" x14ac:dyDescent="0.25">
      <c r="A412" s="15"/>
      <c r="B412" s="42"/>
      <c r="C412" s="42"/>
      <c r="D412" s="42"/>
      <c r="E412" s="42"/>
      <c r="F412" s="42"/>
      <c r="G412" s="42"/>
      <c r="H412" s="42"/>
      <c r="I412" s="42"/>
      <c r="J412" s="42"/>
      <c r="K412" s="42"/>
      <c r="L412" s="42"/>
      <c r="M412" s="42"/>
      <c r="N412" s="42"/>
      <c r="O412" s="42"/>
      <c r="P412" s="42"/>
      <c r="Q412" s="42"/>
      <c r="R412" s="42"/>
      <c r="S412" s="42"/>
      <c r="T412" s="42"/>
      <c r="U412" s="42"/>
      <c r="V412" s="42"/>
      <c r="W412" s="42"/>
      <c r="X412" s="42"/>
      <c r="Y412" s="42"/>
      <c r="Z412" s="42"/>
      <c r="AA412" s="42"/>
      <c r="AB412" s="42"/>
      <c r="AC412" s="42"/>
      <c r="AD412" s="42"/>
      <c r="AE412" s="42"/>
      <c r="AF412" s="42"/>
      <c r="AG412" s="3"/>
      <c r="AH412" s="3"/>
    </row>
    <row r="413" spans="1:34" x14ac:dyDescent="0.25">
      <c r="A413" s="15"/>
      <c r="B413" s="42"/>
      <c r="C413" s="42"/>
      <c r="D413" s="42"/>
      <c r="E413" s="42"/>
      <c r="F413" s="42"/>
      <c r="G413" s="42"/>
      <c r="H413" s="42"/>
      <c r="I413" s="42"/>
      <c r="J413" s="42"/>
      <c r="K413" s="42"/>
      <c r="L413" s="42"/>
      <c r="M413" s="42"/>
      <c r="N413" s="42"/>
      <c r="O413" s="42"/>
      <c r="P413" s="42"/>
      <c r="Q413" s="42"/>
      <c r="R413" s="42"/>
      <c r="S413" s="42"/>
      <c r="T413" s="42"/>
      <c r="U413" s="42"/>
      <c r="V413" s="42"/>
      <c r="W413" s="42"/>
      <c r="X413" s="42"/>
      <c r="Y413" s="42"/>
      <c r="Z413" s="42"/>
      <c r="AA413" s="42"/>
      <c r="AB413" s="42"/>
      <c r="AC413" s="42"/>
      <c r="AD413" s="42"/>
      <c r="AE413" s="42"/>
      <c r="AF413" s="42"/>
      <c r="AG413" s="3"/>
      <c r="AH413" s="3"/>
    </row>
    <row r="414" spans="1:34" x14ac:dyDescent="0.25">
      <c r="A414" s="15"/>
      <c r="B414" s="42"/>
      <c r="C414" s="42"/>
      <c r="D414" s="42"/>
      <c r="E414" s="42"/>
      <c r="F414" s="42"/>
      <c r="G414" s="42"/>
      <c r="H414" s="42"/>
      <c r="I414" s="42"/>
      <c r="J414" s="42"/>
      <c r="K414" s="42"/>
      <c r="L414" s="42"/>
      <c r="M414" s="42"/>
      <c r="N414" s="42"/>
      <c r="O414" s="42"/>
      <c r="P414" s="42"/>
      <c r="Q414" s="42"/>
      <c r="R414" s="42"/>
      <c r="S414" s="42"/>
      <c r="T414" s="42"/>
      <c r="U414" s="42"/>
      <c r="V414" s="42"/>
      <c r="W414" s="42"/>
      <c r="X414" s="42"/>
      <c r="Y414" s="42"/>
      <c r="Z414" s="42"/>
      <c r="AA414" s="42"/>
      <c r="AB414" s="42"/>
      <c r="AC414" s="42"/>
      <c r="AD414" s="42"/>
      <c r="AE414" s="42"/>
      <c r="AF414" s="42"/>
      <c r="AG414" s="3"/>
      <c r="AH414" s="3"/>
    </row>
    <row r="415" spans="1:34" x14ac:dyDescent="0.25">
      <c r="A415" s="15"/>
      <c r="B415" s="42"/>
      <c r="C415" s="42"/>
      <c r="D415" s="42"/>
      <c r="E415" s="42"/>
      <c r="F415" s="42"/>
      <c r="G415" s="42"/>
      <c r="H415" s="42"/>
      <c r="I415" s="42"/>
      <c r="J415" s="42"/>
      <c r="K415" s="42"/>
      <c r="L415" s="42"/>
      <c r="M415" s="42"/>
      <c r="N415" s="42"/>
      <c r="O415" s="42"/>
      <c r="P415" s="42"/>
      <c r="Q415" s="42"/>
      <c r="R415" s="42"/>
      <c r="S415" s="42"/>
      <c r="T415" s="42"/>
      <c r="U415" s="42"/>
      <c r="V415" s="42"/>
      <c r="W415" s="42"/>
      <c r="X415" s="42"/>
      <c r="Y415" s="42"/>
      <c r="Z415" s="42"/>
      <c r="AA415" s="42"/>
      <c r="AB415" s="42"/>
      <c r="AC415" s="42"/>
      <c r="AD415" s="42"/>
      <c r="AE415" s="42"/>
      <c r="AF415" s="42"/>
      <c r="AG415" s="3"/>
      <c r="AH415" s="3"/>
    </row>
    <row r="416" spans="1:34" x14ac:dyDescent="0.25">
      <c r="A416" s="15"/>
      <c r="B416" s="42"/>
      <c r="C416" s="42"/>
      <c r="D416" s="42"/>
      <c r="E416" s="42"/>
      <c r="F416" s="42"/>
      <c r="G416" s="42"/>
      <c r="H416" s="42"/>
      <c r="I416" s="42"/>
      <c r="J416" s="42"/>
      <c r="K416" s="42"/>
      <c r="L416" s="42"/>
      <c r="M416" s="42"/>
      <c r="N416" s="42"/>
      <c r="O416" s="42"/>
      <c r="P416" s="42"/>
      <c r="Q416" s="42"/>
      <c r="R416" s="42"/>
      <c r="S416" s="42"/>
      <c r="T416" s="42"/>
      <c r="U416" s="42"/>
      <c r="V416" s="42"/>
      <c r="W416" s="42"/>
      <c r="X416" s="42"/>
      <c r="Y416" s="42"/>
      <c r="Z416" s="42"/>
      <c r="AA416" s="42"/>
      <c r="AB416" s="42"/>
      <c r="AC416" s="42"/>
      <c r="AD416" s="42"/>
      <c r="AE416" s="42"/>
      <c r="AF416" s="42"/>
      <c r="AG416" s="3"/>
      <c r="AH416" s="3"/>
    </row>
    <row r="417" spans="1:34" x14ac:dyDescent="0.25">
      <c r="A417" s="15"/>
      <c r="B417" s="42"/>
      <c r="C417" s="42"/>
      <c r="D417" s="42"/>
      <c r="E417" s="42"/>
      <c r="F417" s="42"/>
      <c r="G417" s="42"/>
      <c r="H417" s="42"/>
      <c r="I417" s="42"/>
      <c r="J417" s="42"/>
      <c r="K417" s="42"/>
      <c r="L417" s="42"/>
      <c r="M417" s="42"/>
      <c r="N417" s="42"/>
      <c r="O417" s="42"/>
      <c r="P417" s="42"/>
      <c r="Q417" s="42"/>
      <c r="R417" s="42"/>
      <c r="S417" s="42"/>
      <c r="T417" s="42"/>
      <c r="U417" s="42"/>
      <c r="V417" s="42"/>
      <c r="W417" s="42"/>
      <c r="X417" s="42"/>
      <c r="Y417" s="42"/>
      <c r="Z417" s="42"/>
      <c r="AA417" s="42"/>
      <c r="AB417" s="42"/>
      <c r="AC417" s="42"/>
      <c r="AD417" s="42"/>
      <c r="AE417" s="42"/>
      <c r="AF417" s="42"/>
      <c r="AG417" s="3"/>
      <c r="AH417" s="3"/>
    </row>
    <row r="418" spans="1:34" x14ac:dyDescent="0.25">
      <c r="A418" s="15"/>
      <c r="B418" s="42"/>
      <c r="C418" s="42"/>
      <c r="D418" s="42"/>
      <c r="E418" s="42"/>
      <c r="F418" s="42"/>
      <c r="G418" s="42"/>
      <c r="H418" s="42"/>
      <c r="I418" s="42"/>
      <c r="J418" s="42"/>
      <c r="K418" s="42"/>
      <c r="L418" s="42"/>
      <c r="M418" s="42"/>
      <c r="N418" s="42"/>
      <c r="O418" s="42"/>
      <c r="P418" s="42"/>
      <c r="Q418" s="42"/>
      <c r="R418" s="42"/>
      <c r="S418" s="42"/>
      <c r="T418" s="42"/>
      <c r="U418" s="42"/>
      <c r="V418" s="42"/>
      <c r="W418" s="42"/>
      <c r="X418" s="42"/>
      <c r="Y418" s="42"/>
      <c r="Z418" s="42"/>
      <c r="AA418" s="42"/>
      <c r="AB418" s="42"/>
      <c r="AC418" s="42"/>
      <c r="AD418" s="42"/>
      <c r="AE418" s="42"/>
      <c r="AF418" s="42"/>
      <c r="AG418" s="3"/>
      <c r="AH418" s="3"/>
    </row>
    <row r="419" spans="1:34" x14ac:dyDescent="0.25">
      <c r="A419" s="15"/>
      <c r="B419" s="42"/>
      <c r="C419" s="42"/>
      <c r="D419" s="42"/>
      <c r="E419" s="42"/>
      <c r="F419" s="42"/>
      <c r="G419" s="42"/>
      <c r="H419" s="42"/>
      <c r="I419" s="42"/>
      <c r="J419" s="42"/>
      <c r="K419" s="42"/>
      <c r="L419" s="42"/>
      <c r="M419" s="42"/>
      <c r="N419" s="42"/>
      <c r="O419" s="42"/>
      <c r="P419" s="42"/>
      <c r="Q419" s="42"/>
      <c r="R419" s="42"/>
      <c r="S419" s="42"/>
      <c r="T419" s="42"/>
      <c r="U419" s="42"/>
      <c r="V419" s="42"/>
      <c r="W419" s="42"/>
      <c r="X419" s="42"/>
      <c r="Y419" s="42"/>
      <c r="Z419" s="42"/>
      <c r="AA419" s="42"/>
      <c r="AB419" s="42"/>
      <c r="AC419" s="42"/>
      <c r="AD419" s="42"/>
      <c r="AE419" s="42"/>
      <c r="AF419" s="42"/>
      <c r="AG419" s="3"/>
      <c r="AH419" s="3"/>
    </row>
    <row r="420" spans="1:34" x14ac:dyDescent="0.25">
      <c r="A420" s="15"/>
      <c r="B420" s="42"/>
      <c r="C420" s="42"/>
      <c r="D420" s="42"/>
      <c r="E420" s="42"/>
      <c r="F420" s="42"/>
      <c r="G420" s="42"/>
      <c r="H420" s="42"/>
      <c r="I420" s="42"/>
      <c r="J420" s="42"/>
      <c r="K420" s="42"/>
      <c r="L420" s="42"/>
      <c r="M420" s="42"/>
      <c r="N420" s="42"/>
      <c r="O420" s="42"/>
      <c r="P420" s="42"/>
      <c r="Q420" s="42"/>
      <c r="R420" s="42"/>
      <c r="S420" s="42"/>
      <c r="T420" s="42"/>
      <c r="U420" s="42"/>
      <c r="V420" s="42"/>
      <c r="W420" s="42"/>
      <c r="X420" s="42"/>
      <c r="Y420" s="42"/>
      <c r="Z420" s="42"/>
      <c r="AA420" s="42"/>
      <c r="AB420" s="42"/>
      <c r="AC420" s="42"/>
      <c r="AD420" s="42"/>
      <c r="AE420" s="42"/>
      <c r="AF420" s="42"/>
      <c r="AG420" s="3"/>
      <c r="AH420" s="3"/>
    </row>
    <row r="421" spans="1:34" x14ac:dyDescent="0.25">
      <c r="A421" s="15"/>
      <c r="B421" s="42"/>
      <c r="C421" s="42"/>
      <c r="D421" s="42"/>
      <c r="E421" s="42"/>
      <c r="F421" s="42"/>
      <c r="G421" s="42"/>
      <c r="H421" s="42"/>
      <c r="I421" s="42"/>
      <c r="J421" s="42"/>
      <c r="K421" s="42"/>
      <c r="L421" s="42"/>
      <c r="M421" s="42"/>
      <c r="N421" s="42"/>
      <c r="O421" s="42"/>
      <c r="P421" s="42"/>
      <c r="Q421" s="42"/>
      <c r="R421" s="42"/>
      <c r="S421" s="42"/>
      <c r="T421" s="42"/>
      <c r="U421" s="42"/>
      <c r="V421" s="42"/>
      <c r="W421" s="42"/>
      <c r="X421" s="42"/>
      <c r="Y421" s="42"/>
      <c r="Z421" s="42"/>
      <c r="AA421" s="42"/>
      <c r="AB421" s="42"/>
      <c r="AC421" s="42"/>
      <c r="AD421" s="42"/>
      <c r="AE421" s="42"/>
      <c r="AF421" s="42"/>
      <c r="AG421" s="3"/>
      <c r="AH421" s="3"/>
    </row>
    <row r="422" spans="1:34" x14ac:dyDescent="0.25">
      <c r="A422" s="15"/>
      <c r="B422" s="42"/>
      <c r="C422" s="42"/>
      <c r="D422" s="42"/>
      <c r="E422" s="42"/>
      <c r="F422" s="42"/>
      <c r="G422" s="42"/>
      <c r="H422" s="42"/>
      <c r="I422" s="42"/>
      <c r="J422" s="42"/>
      <c r="K422" s="42"/>
      <c r="L422" s="42"/>
      <c r="M422" s="42"/>
      <c r="N422" s="42"/>
      <c r="O422" s="42"/>
      <c r="P422" s="42"/>
      <c r="Q422" s="42"/>
      <c r="R422" s="42"/>
      <c r="S422" s="42"/>
      <c r="T422" s="42"/>
      <c r="U422" s="42"/>
      <c r="V422" s="42"/>
      <c r="W422" s="42"/>
      <c r="X422" s="42"/>
      <c r="Y422" s="42"/>
      <c r="Z422" s="42"/>
      <c r="AA422" s="42"/>
      <c r="AB422" s="42"/>
      <c r="AC422" s="42"/>
      <c r="AD422" s="42"/>
      <c r="AE422" s="42"/>
      <c r="AF422" s="42"/>
      <c r="AG422" s="3"/>
      <c r="AH422" s="3"/>
    </row>
    <row r="423" spans="1:34" x14ac:dyDescent="0.25">
      <c r="A423" s="15"/>
      <c r="B423" s="42"/>
      <c r="C423" s="42"/>
      <c r="D423" s="42"/>
      <c r="E423" s="42"/>
      <c r="F423" s="42"/>
      <c r="G423" s="42"/>
      <c r="H423" s="42"/>
      <c r="I423" s="42"/>
      <c r="J423" s="42"/>
      <c r="K423" s="42"/>
      <c r="L423" s="42"/>
      <c r="M423" s="42"/>
      <c r="N423" s="42"/>
      <c r="O423" s="42"/>
      <c r="P423" s="42"/>
      <c r="Q423" s="42"/>
      <c r="R423" s="42"/>
      <c r="S423" s="42"/>
      <c r="T423" s="42"/>
      <c r="U423" s="42"/>
      <c r="V423" s="42"/>
      <c r="W423" s="42"/>
      <c r="X423" s="42"/>
      <c r="Y423" s="42"/>
      <c r="Z423" s="42"/>
      <c r="AA423" s="42"/>
      <c r="AB423" s="42"/>
      <c r="AC423" s="42"/>
      <c r="AD423" s="42"/>
      <c r="AE423" s="42"/>
      <c r="AF423" s="42"/>
      <c r="AG423" s="3"/>
      <c r="AH423" s="3"/>
    </row>
    <row r="424" spans="1:34" x14ac:dyDescent="0.25">
      <c r="A424" s="15"/>
      <c r="B424" s="42"/>
      <c r="C424" s="42"/>
      <c r="D424" s="42"/>
      <c r="E424" s="42"/>
      <c r="F424" s="42"/>
      <c r="G424" s="42"/>
      <c r="H424" s="42"/>
      <c r="I424" s="42"/>
      <c r="J424" s="42"/>
      <c r="K424" s="42"/>
      <c r="L424" s="42"/>
      <c r="M424" s="42"/>
      <c r="N424" s="42"/>
      <c r="O424" s="42"/>
      <c r="P424" s="42"/>
      <c r="Q424" s="42"/>
      <c r="R424" s="42"/>
      <c r="S424" s="42"/>
      <c r="T424" s="42"/>
      <c r="U424" s="42"/>
      <c r="V424" s="42"/>
      <c r="W424" s="42"/>
      <c r="X424" s="42"/>
      <c r="Y424" s="42"/>
      <c r="Z424" s="42"/>
      <c r="AA424" s="42"/>
      <c r="AB424" s="42"/>
      <c r="AC424" s="42"/>
      <c r="AD424" s="42"/>
      <c r="AE424" s="42"/>
      <c r="AF424" s="42"/>
      <c r="AG424" s="3"/>
      <c r="AH424" s="3"/>
    </row>
    <row r="425" spans="1:34" x14ac:dyDescent="0.25">
      <c r="A425" s="15"/>
      <c r="B425" s="42"/>
      <c r="C425" s="42"/>
      <c r="D425" s="42"/>
      <c r="E425" s="42"/>
      <c r="F425" s="42"/>
      <c r="G425" s="42"/>
      <c r="H425" s="42"/>
      <c r="I425" s="42"/>
      <c r="J425" s="42"/>
      <c r="K425" s="42"/>
      <c r="L425" s="42"/>
      <c r="M425" s="42"/>
      <c r="N425" s="42"/>
      <c r="O425" s="42"/>
      <c r="P425" s="42"/>
      <c r="Q425" s="42"/>
      <c r="R425" s="42"/>
      <c r="S425" s="42"/>
      <c r="T425" s="42"/>
      <c r="U425" s="42"/>
      <c r="V425" s="42"/>
      <c r="W425" s="42"/>
      <c r="X425" s="42"/>
      <c r="Y425" s="42"/>
      <c r="Z425" s="42"/>
      <c r="AA425" s="42"/>
      <c r="AB425" s="42"/>
      <c r="AC425" s="42"/>
      <c r="AD425" s="42"/>
      <c r="AE425" s="42"/>
      <c r="AF425" s="42"/>
      <c r="AG425" s="3"/>
      <c r="AH425" s="3"/>
    </row>
    <row r="426" spans="1:34" x14ac:dyDescent="0.25">
      <c r="A426" s="15"/>
      <c r="B426" s="42"/>
      <c r="C426" s="42"/>
      <c r="D426" s="42"/>
      <c r="E426" s="42"/>
      <c r="F426" s="42"/>
      <c r="G426" s="42"/>
      <c r="H426" s="42"/>
      <c r="I426" s="42"/>
      <c r="J426" s="42"/>
      <c r="K426" s="42"/>
      <c r="L426" s="42"/>
      <c r="M426" s="42"/>
      <c r="N426" s="42"/>
      <c r="O426" s="42"/>
      <c r="P426" s="42"/>
      <c r="Q426" s="42"/>
      <c r="R426" s="42"/>
      <c r="S426" s="42"/>
      <c r="T426" s="42"/>
      <c r="U426" s="42"/>
      <c r="V426" s="42"/>
      <c r="W426" s="42"/>
      <c r="X426" s="42"/>
      <c r="Y426" s="42"/>
      <c r="Z426" s="42"/>
      <c r="AA426" s="42"/>
      <c r="AB426" s="42"/>
      <c r="AC426" s="42"/>
      <c r="AD426" s="42"/>
      <c r="AE426" s="42"/>
      <c r="AF426" s="42"/>
      <c r="AG426" s="3"/>
      <c r="AH426" s="3"/>
    </row>
    <row r="427" spans="1:34" x14ac:dyDescent="0.25">
      <c r="A427" s="15"/>
      <c r="B427" s="42"/>
      <c r="C427" s="42"/>
      <c r="D427" s="42"/>
      <c r="E427" s="42"/>
      <c r="F427" s="42"/>
      <c r="G427" s="42"/>
      <c r="H427" s="42"/>
      <c r="I427" s="42"/>
      <c r="J427" s="42"/>
      <c r="K427" s="42"/>
      <c r="L427" s="42"/>
      <c r="M427" s="42"/>
      <c r="N427" s="42"/>
      <c r="O427" s="42"/>
      <c r="P427" s="42"/>
      <c r="Q427" s="42"/>
      <c r="R427" s="42"/>
      <c r="S427" s="42"/>
      <c r="T427" s="42"/>
      <c r="U427" s="42"/>
      <c r="V427" s="42"/>
      <c r="W427" s="42"/>
      <c r="X427" s="42"/>
      <c r="Y427" s="42"/>
      <c r="Z427" s="42"/>
      <c r="AA427" s="42"/>
      <c r="AB427" s="42"/>
      <c r="AC427" s="42"/>
      <c r="AD427" s="42"/>
      <c r="AE427" s="42"/>
      <c r="AF427" s="42"/>
      <c r="AG427" s="3"/>
      <c r="AH427" s="3"/>
    </row>
    <row r="428" spans="1:34" x14ac:dyDescent="0.25">
      <c r="A428" s="15"/>
      <c r="B428" s="42"/>
      <c r="C428" s="42"/>
      <c r="D428" s="42"/>
      <c r="E428" s="42"/>
      <c r="F428" s="42"/>
      <c r="G428" s="42"/>
      <c r="H428" s="42"/>
      <c r="I428" s="42"/>
      <c r="J428" s="42"/>
      <c r="K428" s="42"/>
      <c r="L428" s="42"/>
      <c r="M428" s="42"/>
      <c r="N428" s="42"/>
      <c r="O428" s="42"/>
      <c r="P428" s="42"/>
      <c r="Q428" s="42"/>
      <c r="R428" s="42"/>
      <c r="S428" s="42"/>
      <c r="T428" s="42"/>
      <c r="U428" s="42"/>
      <c r="V428" s="42"/>
      <c r="W428" s="42"/>
      <c r="X428" s="42"/>
      <c r="Y428" s="42"/>
      <c r="Z428" s="42"/>
      <c r="AA428" s="42"/>
      <c r="AB428" s="42"/>
      <c r="AC428" s="42"/>
      <c r="AD428" s="42"/>
      <c r="AE428" s="42"/>
      <c r="AF428" s="42"/>
      <c r="AG428" s="3"/>
      <c r="AH428" s="3"/>
    </row>
    <row r="429" spans="1:34" x14ac:dyDescent="0.25">
      <c r="A429" s="15"/>
      <c r="B429" s="42"/>
      <c r="C429" s="42"/>
      <c r="D429" s="42"/>
      <c r="E429" s="42"/>
      <c r="F429" s="42"/>
      <c r="G429" s="42"/>
      <c r="H429" s="42"/>
      <c r="I429" s="42"/>
      <c r="J429" s="42"/>
      <c r="K429" s="42"/>
      <c r="L429" s="42"/>
      <c r="M429" s="42"/>
      <c r="N429" s="42"/>
      <c r="O429" s="42"/>
      <c r="P429" s="42"/>
      <c r="Q429" s="42"/>
      <c r="R429" s="42"/>
      <c r="S429" s="42"/>
      <c r="T429" s="42"/>
      <c r="U429" s="42"/>
      <c r="V429" s="42"/>
      <c r="W429" s="42"/>
      <c r="X429" s="42"/>
      <c r="Y429" s="42"/>
      <c r="Z429" s="42"/>
      <c r="AA429" s="42"/>
      <c r="AB429" s="42"/>
      <c r="AC429" s="42"/>
      <c r="AD429" s="42"/>
      <c r="AE429" s="42"/>
      <c r="AF429" s="42"/>
      <c r="AG429" s="3"/>
      <c r="AH429" s="3"/>
    </row>
    <row r="430" spans="1:34" x14ac:dyDescent="0.25">
      <c r="A430" s="15"/>
      <c r="B430" s="42"/>
      <c r="C430" s="42"/>
      <c r="D430" s="42"/>
      <c r="E430" s="42"/>
      <c r="F430" s="42"/>
      <c r="G430" s="42"/>
      <c r="H430" s="42"/>
      <c r="I430" s="42"/>
      <c r="J430" s="42"/>
      <c r="K430" s="42"/>
      <c r="L430" s="42"/>
      <c r="M430" s="42"/>
      <c r="N430" s="42"/>
      <c r="O430" s="42"/>
      <c r="P430" s="42"/>
      <c r="Q430" s="42"/>
      <c r="R430" s="42"/>
      <c r="S430" s="42"/>
      <c r="T430" s="42"/>
      <c r="U430" s="42"/>
      <c r="V430" s="42"/>
      <c r="W430" s="42"/>
      <c r="X430" s="42"/>
      <c r="Y430" s="42"/>
      <c r="Z430" s="42"/>
      <c r="AA430" s="42"/>
      <c r="AB430" s="42"/>
      <c r="AC430" s="42"/>
      <c r="AD430" s="42"/>
      <c r="AE430" s="42"/>
      <c r="AF430" s="42"/>
      <c r="AG430" s="3"/>
      <c r="AH430" s="3"/>
    </row>
    <row r="431" spans="1:34" x14ac:dyDescent="0.25">
      <c r="A431" s="15"/>
      <c r="B431" s="42"/>
      <c r="C431" s="42"/>
      <c r="D431" s="42"/>
      <c r="E431" s="42"/>
      <c r="F431" s="42"/>
      <c r="G431" s="42"/>
      <c r="H431" s="42"/>
      <c r="I431" s="42"/>
      <c r="J431" s="42"/>
      <c r="K431" s="42"/>
      <c r="L431" s="42"/>
      <c r="M431" s="42"/>
      <c r="N431" s="42"/>
      <c r="O431" s="42"/>
      <c r="P431" s="42"/>
      <c r="Q431" s="42"/>
      <c r="R431" s="42"/>
      <c r="S431" s="42"/>
      <c r="T431" s="42"/>
      <c r="U431" s="42"/>
      <c r="V431" s="42"/>
      <c r="W431" s="42"/>
      <c r="X431" s="42"/>
      <c r="Y431" s="42"/>
      <c r="Z431" s="42"/>
      <c r="AA431" s="42"/>
      <c r="AB431" s="42"/>
      <c r="AC431" s="42"/>
      <c r="AD431" s="42"/>
      <c r="AE431" s="42"/>
      <c r="AF431" s="42"/>
      <c r="AG431" s="3"/>
      <c r="AH431" s="3"/>
    </row>
    <row r="432" spans="1:34" x14ac:dyDescent="0.25">
      <c r="A432" s="15"/>
      <c r="B432" s="42"/>
      <c r="C432" s="42"/>
      <c r="D432" s="42"/>
      <c r="E432" s="42"/>
      <c r="F432" s="42"/>
      <c r="G432" s="42"/>
      <c r="H432" s="42"/>
      <c r="I432" s="42"/>
      <c r="J432" s="42"/>
      <c r="K432" s="42"/>
      <c r="L432" s="42"/>
      <c r="M432" s="42"/>
      <c r="N432" s="42"/>
      <c r="O432" s="42"/>
      <c r="P432" s="42"/>
      <c r="Q432" s="42"/>
      <c r="R432" s="42"/>
      <c r="S432" s="42"/>
      <c r="T432" s="42"/>
      <c r="U432" s="42"/>
      <c r="V432" s="42"/>
      <c r="W432" s="42"/>
      <c r="X432" s="42"/>
      <c r="Y432" s="42"/>
      <c r="Z432" s="42"/>
      <c r="AA432" s="42"/>
      <c r="AB432" s="42"/>
      <c r="AC432" s="42"/>
      <c r="AD432" s="42"/>
      <c r="AE432" s="42"/>
      <c r="AF432" s="42"/>
      <c r="AG432" s="3"/>
      <c r="AH432" s="3"/>
    </row>
    <row r="433" spans="1:34" x14ac:dyDescent="0.25">
      <c r="A433" s="15"/>
      <c r="B433" s="42"/>
      <c r="C433" s="42"/>
      <c r="D433" s="42"/>
      <c r="E433" s="42"/>
      <c r="F433" s="42"/>
      <c r="G433" s="42"/>
      <c r="H433" s="42"/>
      <c r="I433" s="42"/>
      <c r="J433" s="42"/>
      <c r="K433" s="42"/>
      <c r="L433" s="42"/>
      <c r="M433" s="42"/>
      <c r="N433" s="42"/>
      <c r="O433" s="42"/>
      <c r="P433" s="42"/>
      <c r="Q433" s="42"/>
      <c r="R433" s="42"/>
      <c r="S433" s="42"/>
      <c r="T433" s="42"/>
      <c r="U433" s="42"/>
      <c r="V433" s="42"/>
      <c r="W433" s="42"/>
      <c r="X433" s="42"/>
      <c r="Y433" s="42"/>
      <c r="Z433" s="42"/>
      <c r="AA433" s="42"/>
      <c r="AB433" s="42"/>
      <c r="AC433" s="42"/>
      <c r="AD433" s="42"/>
      <c r="AE433" s="42"/>
      <c r="AF433" s="42"/>
      <c r="AG433" s="3"/>
      <c r="AH433" s="3"/>
    </row>
    <row r="434" spans="1:34" x14ac:dyDescent="0.25">
      <c r="A434" s="15"/>
      <c r="B434" s="42"/>
      <c r="C434" s="42"/>
      <c r="D434" s="42"/>
      <c r="E434" s="42"/>
      <c r="F434" s="42"/>
      <c r="G434" s="42"/>
      <c r="H434" s="42"/>
      <c r="I434" s="42"/>
      <c r="J434" s="42"/>
      <c r="K434" s="42"/>
      <c r="L434" s="42"/>
      <c r="M434" s="42"/>
      <c r="N434" s="42"/>
      <c r="O434" s="42"/>
      <c r="P434" s="42"/>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1"/>
      <c r="B436" s="74"/>
      <c r="C436" s="74"/>
      <c r="D436" s="74"/>
      <c r="E436" s="74"/>
      <c r="F436" s="74"/>
      <c r="G436" s="74"/>
      <c r="H436" s="74"/>
      <c r="I436" s="74"/>
      <c r="J436" s="74"/>
      <c r="K436" s="74"/>
      <c r="L436" s="74"/>
      <c r="M436" s="74"/>
      <c r="N436" s="74"/>
      <c r="O436" s="74"/>
      <c r="P436" s="74"/>
      <c r="Q436" s="74"/>
      <c r="R436" s="74"/>
      <c r="S436" s="74"/>
      <c r="T436" s="74"/>
      <c r="U436" s="74"/>
      <c r="V436" s="74"/>
      <c r="W436" s="74"/>
      <c r="X436" s="74"/>
      <c r="Y436" s="74"/>
      <c r="Z436" s="74"/>
      <c r="AA436" s="74"/>
      <c r="AB436" s="74"/>
      <c r="AC436" s="74"/>
      <c r="AD436" s="74"/>
      <c r="AE436" s="74"/>
      <c r="AF436" s="74"/>
    </row>
    <row r="437" spans="1:34" x14ac:dyDescent="0.25">
      <c r="A437" s="15"/>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3"/>
      <c r="AH437" s="3"/>
    </row>
    <row r="438" spans="1:34" x14ac:dyDescent="0.25">
      <c r="A438" s="93"/>
      <c r="B438" s="73"/>
      <c r="C438" s="73"/>
      <c r="D438" s="73"/>
      <c r="E438" s="73"/>
      <c r="F438" s="73"/>
      <c r="G438" s="73"/>
      <c r="H438" s="73"/>
      <c r="I438" s="73"/>
      <c r="J438" s="73"/>
      <c r="K438" s="73"/>
      <c r="L438" s="73"/>
      <c r="M438" s="73"/>
      <c r="N438" s="73"/>
      <c r="O438" s="73"/>
      <c r="P438" s="73"/>
      <c r="Q438" s="73"/>
      <c r="R438" s="73"/>
      <c r="S438" s="73"/>
      <c r="T438" s="73"/>
      <c r="U438" s="73"/>
      <c r="V438" s="73"/>
      <c r="W438" s="73"/>
      <c r="X438" s="73"/>
      <c r="Y438" s="73"/>
      <c r="Z438" s="73"/>
      <c r="AA438" s="73"/>
      <c r="AB438" s="73"/>
      <c r="AC438" s="73"/>
      <c r="AD438" s="73"/>
      <c r="AE438" s="73"/>
      <c r="AF438" s="73"/>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8"/>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8"/>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8"/>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8"/>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1"/>
      <c r="B475" s="74"/>
      <c r="C475" s="74"/>
      <c r="D475" s="74"/>
      <c r="E475" s="74"/>
      <c r="F475" s="74"/>
      <c r="G475" s="74"/>
      <c r="H475" s="74"/>
      <c r="I475" s="74"/>
      <c r="J475" s="74"/>
      <c r="K475" s="74"/>
      <c r="L475" s="74"/>
      <c r="M475" s="74"/>
      <c r="N475" s="74"/>
      <c r="O475" s="74"/>
      <c r="P475" s="74"/>
      <c r="Q475" s="74"/>
      <c r="R475" s="74"/>
      <c r="S475" s="74"/>
      <c r="T475" s="74"/>
      <c r="U475" s="74"/>
      <c r="V475" s="74"/>
      <c r="W475" s="74"/>
      <c r="X475" s="74"/>
      <c r="Y475" s="74"/>
      <c r="Z475" s="74"/>
      <c r="AA475" s="74"/>
      <c r="AB475" s="74"/>
      <c r="AC475" s="74"/>
      <c r="AD475" s="74"/>
      <c r="AE475" s="74"/>
      <c r="AF475" s="74"/>
    </row>
    <row r="476" spans="1:34" x14ac:dyDescent="0.25">
      <c r="A476" s="15"/>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3"/>
      <c r="AH476" s="3"/>
    </row>
    <row r="477" spans="1:34" x14ac:dyDescent="0.25">
      <c r="A477" s="93"/>
      <c r="B477" s="73"/>
      <c r="C477" s="73"/>
      <c r="D477" s="73"/>
      <c r="E477" s="73"/>
      <c r="F477" s="73"/>
      <c r="G477" s="73"/>
      <c r="H477" s="73"/>
      <c r="I477" s="73"/>
      <c r="J477" s="73"/>
      <c r="K477" s="73"/>
      <c r="L477" s="73"/>
      <c r="M477" s="73"/>
      <c r="N477" s="73"/>
      <c r="O477" s="73"/>
      <c r="P477" s="73"/>
      <c r="Q477" s="73"/>
      <c r="R477" s="73"/>
      <c r="S477" s="73"/>
      <c r="T477" s="73"/>
      <c r="U477" s="73"/>
      <c r="V477" s="73"/>
      <c r="W477" s="73"/>
      <c r="X477" s="73"/>
      <c r="Y477" s="73"/>
      <c r="Z477" s="73"/>
      <c r="AA477" s="73"/>
      <c r="AB477" s="73"/>
      <c r="AC477" s="73"/>
      <c r="AD477" s="73"/>
      <c r="AE477" s="73"/>
      <c r="AF477" s="73"/>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8"/>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8"/>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8"/>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8"/>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1"/>
      <c r="B514" s="74"/>
      <c r="C514" s="74"/>
      <c r="D514" s="74"/>
      <c r="E514" s="74"/>
      <c r="F514" s="74"/>
      <c r="G514" s="74"/>
      <c r="H514" s="74"/>
      <c r="I514" s="74"/>
      <c r="J514" s="74"/>
      <c r="K514" s="74"/>
      <c r="L514" s="74"/>
      <c r="M514" s="74"/>
      <c r="N514" s="74"/>
      <c r="O514" s="74"/>
      <c r="P514" s="74"/>
      <c r="Q514" s="74"/>
      <c r="R514" s="74"/>
      <c r="S514" s="74"/>
      <c r="T514" s="74"/>
      <c r="U514" s="74"/>
      <c r="V514" s="74"/>
      <c r="W514" s="74"/>
      <c r="X514" s="74"/>
      <c r="Y514" s="74"/>
      <c r="Z514" s="74"/>
      <c r="AA514" s="74"/>
      <c r="AB514" s="74"/>
      <c r="AC514" s="74"/>
      <c r="AD514" s="74"/>
      <c r="AE514" s="74"/>
      <c r="AF514" s="74"/>
    </row>
    <row r="515" spans="1:34" x14ac:dyDescent="0.25">
      <c r="A515" s="15"/>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3"/>
      <c r="AH515" s="3"/>
    </row>
    <row r="516" spans="1:34" x14ac:dyDescent="0.25">
      <c r="A516" s="93"/>
      <c r="B516" s="73"/>
      <c r="C516" s="73"/>
      <c r="D516" s="73"/>
      <c r="E516" s="73"/>
      <c r="F516" s="73"/>
      <c r="G516" s="73"/>
      <c r="H516" s="73"/>
      <c r="I516" s="73"/>
      <c r="J516" s="73"/>
      <c r="K516" s="73"/>
      <c r="L516" s="73"/>
      <c r="M516" s="73"/>
      <c r="N516" s="73"/>
      <c r="O516" s="73"/>
      <c r="P516" s="73"/>
      <c r="Q516" s="73"/>
      <c r="R516" s="73"/>
      <c r="S516" s="73"/>
      <c r="T516" s="73"/>
      <c r="U516" s="73"/>
      <c r="V516" s="73"/>
      <c r="W516" s="73"/>
      <c r="X516" s="73"/>
      <c r="Y516" s="73"/>
      <c r="Z516" s="73"/>
      <c r="AA516" s="73"/>
      <c r="AB516" s="73"/>
      <c r="AC516" s="73"/>
      <c r="AD516" s="73"/>
      <c r="AE516" s="73"/>
      <c r="AF516" s="73"/>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11"/>
      <c r="B532" s="11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06"/>
      <c r="B534" s="10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8"/>
      <c r="C539" s="15"/>
      <c r="D539" s="88"/>
      <c r="E539" s="88"/>
      <c r="F539" s="88"/>
      <c r="G539" s="88"/>
      <c r="H539" s="88"/>
      <c r="I539" s="88"/>
      <c r="J539" s="88"/>
      <c r="K539" s="88"/>
      <c r="L539" s="88"/>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7"/>
      <c r="D550" s="15"/>
      <c r="E550" s="94"/>
      <c r="F550" s="94"/>
      <c r="G550" s="94"/>
      <c r="H550" s="94"/>
      <c r="I550" s="94"/>
      <c r="J550" s="94"/>
      <c r="K550" s="94"/>
      <c r="L550" s="94"/>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2">AF570+10</f>
        <v>10</v>
      </c>
      <c r="AH570" s="11">
        <f t="shared" si="432"/>
        <v>20</v>
      </c>
      <c r="AI570" s="11">
        <f t="shared" si="432"/>
        <v>30</v>
      </c>
      <c r="AJ570" s="11">
        <f t="shared" si="432"/>
        <v>40</v>
      </c>
      <c r="AK570" s="11">
        <f t="shared" si="432"/>
        <v>50</v>
      </c>
      <c r="AL570" s="11">
        <f t="shared" si="432"/>
        <v>60</v>
      </c>
      <c r="AM570" s="11">
        <f t="shared" si="432"/>
        <v>70</v>
      </c>
      <c r="AN570" s="11">
        <f t="shared" si="432"/>
        <v>80</v>
      </c>
      <c r="AO570" s="11">
        <f t="shared" si="432"/>
        <v>90</v>
      </c>
      <c r="AP570" s="11">
        <f t="shared" si="432"/>
        <v>100</v>
      </c>
      <c r="AQ570" s="11">
        <f t="shared" si="432"/>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3">AG570-$B$521</f>
        <v>10</v>
      </c>
      <c r="AH571" s="40">
        <f t="shared" si="433"/>
        <v>20</v>
      </c>
      <c r="AI571" s="40">
        <f t="shared" si="433"/>
        <v>30</v>
      </c>
      <c r="AJ571" s="40">
        <f t="shared" si="433"/>
        <v>40</v>
      </c>
      <c r="AK571" s="40">
        <f t="shared" si="433"/>
        <v>50</v>
      </c>
      <c r="AL571" s="40">
        <f t="shared" si="433"/>
        <v>60</v>
      </c>
      <c r="AM571" s="40">
        <f t="shared" si="433"/>
        <v>70</v>
      </c>
      <c r="AN571" s="40">
        <f t="shared" si="433"/>
        <v>80</v>
      </c>
      <c r="AO571" s="40">
        <f t="shared" si="433"/>
        <v>90</v>
      </c>
      <c r="AP571" s="40">
        <f t="shared" si="433"/>
        <v>100</v>
      </c>
      <c r="AQ571" s="40">
        <f t="shared" si="433"/>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4">$B572*AG$571^$A572</f>
        <v>0</v>
      </c>
      <c r="AH572" s="41">
        <f t="shared" si="434"/>
        <v>0</v>
      </c>
      <c r="AI572" s="41">
        <f t="shared" si="434"/>
        <v>0</v>
      </c>
      <c r="AJ572" s="41">
        <f t="shared" si="434"/>
        <v>0</v>
      </c>
      <c r="AK572" s="41">
        <f t="shared" si="434"/>
        <v>0</v>
      </c>
      <c r="AL572" s="41">
        <f t="shared" si="434"/>
        <v>0</v>
      </c>
      <c r="AM572" s="41">
        <f t="shared" si="434"/>
        <v>0</v>
      </c>
      <c r="AN572" s="41">
        <f t="shared" si="434"/>
        <v>0</v>
      </c>
      <c r="AO572" s="41">
        <f t="shared" si="434"/>
        <v>0</v>
      </c>
      <c r="AP572" s="41">
        <f t="shared" si="434"/>
        <v>0</v>
      </c>
      <c r="AQ572" s="41">
        <f t="shared" si="434"/>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4"/>
        <v>0</v>
      </c>
      <c r="AH573" s="41">
        <f t="shared" si="434"/>
        <v>0</v>
      </c>
      <c r="AI573" s="41">
        <f t="shared" si="434"/>
        <v>0</v>
      </c>
      <c r="AJ573" s="41">
        <f t="shared" si="434"/>
        <v>0</v>
      </c>
      <c r="AK573" s="41">
        <f t="shared" si="434"/>
        <v>0</v>
      </c>
      <c r="AL573" s="41">
        <f t="shared" si="434"/>
        <v>0</v>
      </c>
      <c r="AM573" s="41">
        <f t="shared" si="434"/>
        <v>0</v>
      </c>
      <c r="AN573" s="41">
        <f t="shared" si="434"/>
        <v>0</v>
      </c>
      <c r="AO573" s="41">
        <f t="shared" si="434"/>
        <v>0</v>
      </c>
      <c r="AP573" s="41">
        <f t="shared" si="434"/>
        <v>0</v>
      </c>
      <c r="AQ573" s="41">
        <f t="shared" si="434"/>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4"/>
        <v>0</v>
      </c>
      <c r="AH574" s="41">
        <f t="shared" si="434"/>
        <v>0</v>
      </c>
      <c r="AI574" s="41">
        <f t="shared" si="434"/>
        <v>0</v>
      </c>
      <c r="AJ574" s="41">
        <f t="shared" si="434"/>
        <v>0</v>
      </c>
      <c r="AK574" s="41">
        <f t="shared" si="434"/>
        <v>0</v>
      </c>
      <c r="AL574" s="41">
        <f t="shared" si="434"/>
        <v>0</v>
      </c>
      <c r="AM574" s="41">
        <f t="shared" si="434"/>
        <v>0</v>
      </c>
      <c r="AN574" s="41">
        <f t="shared" si="434"/>
        <v>0</v>
      </c>
      <c r="AO574" s="41">
        <f t="shared" si="434"/>
        <v>0</v>
      </c>
      <c r="AP574" s="41">
        <f t="shared" si="434"/>
        <v>0</v>
      </c>
      <c r="AQ574" s="41">
        <f t="shared" si="434"/>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4"/>
        <v>0</v>
      </c>
      <c r="AH575" s="41">
        <f t="shared" si="434"/>
        <v>0</v>
      </c>
      <c r="AI575" s="41">
        <f t="shared" si="434"/>
        <v>0</v>
      </c>
      <c r="AJ575" s="41">
        <f t="shared" si="434"/>
        <v>0</v>
      </c>
      <c r="AK575" s="41">
        <f t="shared" si="434"/>
        <v>0</v>
      </c>
      <c r="AL575" s="41">
        <f t="shared" si="434"/>
        <v>0</v>
      </c>
      <c r="AM575" s="41">
        <f t="shared" si="434"/>
        <v>0</v>
      </c>
      <c r="AN575" s="41">
        <f t="shared" si="434"/>
        <v>0</v>
      </c>
      <c r="AO575" s="41">
        <f t="shared" si="434"/>
        <v>0</v>
      </c>
      <c r="AP575" s="41">
        <f t="shared" si="434"/>
        <v>0</v>
      </c>
      <c r="AQ575" s="41">
        <f t="shared" si="434"/>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4"/>
        <v>0</v>
      </c>
      <c r="AH576" s="41">
        <f t="shared" si="434"/>
        <v>0</v>
      </c>
      <c r="AI576" s="41">
        <f t="shared" si="434"/>
        <v>0</v>
      </c>
      <c r="AJ576" s="41">
        <f t="shared" si="434"/>
        <v>0</v>
      </c>
      <c r="AK576" s="41">
        <f t="shared" si="434"/>
        <v>0</v>
      </c>
      <c r="AL576" s="41">
        <f t="shared" si="434"/>
        <v>0</v>
      </c>
      <c r="AM576" s="41">
        <f t="shared" si="434"/>
        <v>0</v>
      </c>
      <c r="AN576" s="41">
        <f t="shared" si="434"/>
        <v>0</v>
      </c>
      <c r="AO576" s="41">
        <f t="shared" si="434"/>
        <v>0</v>
      </c>
      <c r="AP576" s="41">
        <f t="shared" si="434"/>
        <v>0</v>
      </c>
      <c r="AQ576" s="41">
        <f t="shared" si="434"/>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4"/>
        <v>0</v>
      </c>
      <c r="AH577" s="41">
        <f t="shared" si="434"/>
        <v>0</v>
      </c>
      <c r="AI577" s="41">
        <f t="shared" si="434"/>
        <v>0</v>
      </c>
      <c r="AJ577" s="41">
        <f t="shared" si="434"/>
        <v>0</v>
      </c>
      <c r="AK577" s="41">
        <f t="shared" si="434"/>
        <v>0</v>
      </c>
      <c r="AL577" s="41">
        <f t="shared" si="434"/>
        <v>0</v>
      </c>
      <c r="AM577" s="41">
        <f t="shared" si="434"/>
        <v>0</v>
      </c>
      <c r="AN577" s="41">
        <f t="shared" si="434"/>
        <v>0</v>
      </c>
      <c r="AO577" s="41">
        <f t="shared" si="434"/>
        <v>0</v>
      </c>
      <c r="AP577" s="41">
        <f t="shared" si="434"/>
        <v>0</v>
      </c>
      <c r="AQ577" s="41">
        <f t="shared" si="434"/>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4"/>
        <v>0</v>
      </c>
      <c r="AH578" s="41">
        <f t="shared" si="434"/>
        <v>0</v>
      </c>
      <c r="AI578" s="41">
        <f t="shared" si="434"/>
        <v>0</v>
      </c>
      <c r="AJ578" s="41">
        <f t="shared" si="434"/>
        <v>0</v>
      </c>
      <c r="AK578" s="41">
        <f t="shared" si="434"/>
        <v>0</v>
      </c>
      <c r="AL578" s="41">
        <f t="shared" si="434"/>
        <v>0</v>
      </c>
      <c r="AM578" s="41">
        <f t="shared" si="434"/>
        <v>0</v>
      </c>
      <c r="AN578" s="41">
        <f t="shared" si="434"/>
        <v>0</v>
      </c>
      <c r="AO578" s="41">
        <f t="shared" si="434"/>
        <v>0</v>
      </c>
      <c r="AP578" s="41">
        <f t="shared" si="434"/>
        <v>0</v>
      </c>
      <c r="AQ578" s="41">
        <f t="shared" si="434"/>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4"/>
        <v>0</v>
      </c>
      <c r="AH579" s="41">
        <f t="shared" si="434"/>
        <v>0</v>
      </c>
      <c r="AI579" s="41">
        <f t="shared" si="434"/>
        <v>0</v>
      </c>
      <c r="AJ579" s="41">
        <f t="shared" si="434"/>
        <v>0</v>
      </c>
      <c r="AK579" s="41">
        <f t="shared" si="434"/>
        <v>0</v>
      </c>
      <c r="AL579" s="41">
        <f t="shared" si="434"/>
        <v>0</v>
      </c>
      <c r="AM579" s="41">
        <f t="shared" si="434"/>
        <v>0</v>
      </c>
      <c r="AN579" s="41">
        <f t="shared" si="434"/>
        <v>0</v>
      </c>
      <c r="AO579" s="41">
        <f t="shared" si="434"/>
        <v>0</v>
      </c>
      <c r="AP579" s="41">
        <f t="shared" si="434"/>
        <v>0</v>
      </c>
      <c r="AQ579" s="41">
        <f t="shared" si="434"/>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4"/>
        <v>0</v>
      </c>
      <c r="AH580" s="41">
        <f t="shared" si="434"/>
        <v>0</v>
      </c>
      <c r="AI580" s="41">
        <f t="shared" si="434"/>
        <v>0</v>
      </c>
      <c r="AJ580" s="41">
        <f t="shared" si="434"/>
        <v>0</v>
      </c>
      <c r="AK580" s="41">
        <f t="shared" si="434"/>
        <v>0</v>
      </c>
      <c r="AL580" s="41">
        <f t="shared" si="434"/>
        <v>0</v>
      </c>
      <c r="AM580" s="41">
        <f t="shared" si="434"/>
        <v>0</v>
      </c>
      <c r="AN580" s="41">
        <f t="shared" si="434"/>
        <v>0</v>
      </c>
      <c r="AO580" s="41">
        <f t="shared" si="434"/>
        <v>0</v>
      </c>
      <c r="AP580" s="41">
        <f t="shared" si="434"/>
        <v>0</v>
      </c>
      <c r="AQ580" s="41">
        <f t="shared" si="434"/>
        <v>0</v>
      </c>
      <c r="AR580" s="41"/>
      <c r="AS580" s="41"/>
      <c r="AT580" s="41"/>
      <c r="AU580" s="41"/>
    </row>
    <row r="581" spans="1:47" x14ac:dyDescent="0.25">
      <c r="A581" s="111"/>
      <c r="B581" s="11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5">SUM(AG572:AG580)</f>
        <v>0</v>
      </c>
      <c r="AH581" s="41">
        <f t="shared" si="435"/>
        <v>0</v>
      </c>
      <c r="AI581" s="41">
        <f t="shared" si="435"/>
        <v>0</v>
      </c>
      <c r="AJ581" s="41">
        <f t="shared" si="435"/>
        <v>0</v>
      </c>
      <c r="AK581" s="41">
        <f t="shared" si="435"/>
        <v>0</v>
      </c>
      <c r="AL581" s="41">
        <f t="shared" si="435"/>
        <v>0</v>
      </c>
      <c r="AM581" s="41">
        <f t="shared" si="435"/>
        <v>0</v>
      </c>
      <c r="AN581" s="41">
        <f t="shared" si="435"/>
        <v>0</v>
      </c>
      <c r="AO581" s="41">
        <f t="shared" si="435"/>
        <v>0</v>
      </c>
      <c r="AP581" s="41">
        <f t="shared" si="435"/>
        <v>0</v>
      </c>
      <c r="AQ581" s="41">
        <f t="shared" si="435"/>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6">AF585+10</f>
        <v>10</v>
      </c>
      <c r="AH585" s="11">
        <f t="shared" si="436"/>
        <v>20</v>
      </c>
      <c r="AI585" s="11">
        <f t="shared" si="436"/>
        <v>30</v>
      </c>
      <c r="AJ585" s="11">
        <f t="shared" si="436"/>
        <v>40</v>
      </c>
      <c r="AK585" s="11">
        <f t="shared" si="436"/>
        <v>50</v>
      </c>
      <c r="AL585" s="11">
        <f t="shared" si="436"/>
        <v>60</v>
      </c>
      <c r="AM585" s="11">
        <f t="shared" si="436"/>
        <v>70</v>
      </c>
      <c r="AN585" s="11">
        <f t="shared" si="436"/>
        <v>80</v>
      </c>
      <c r="AO585" s="11">
        <f t="shared" si="436"/>
        <v>90</v>
      </c>
      <c r="AP585" s="11">
        <f t="shared" si="436"/>
        <v>100</v>
      </c>
      <c r="AQ585" s="11">
        <f t="shared" si="436"/>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37">AG585-$B$521</f>
        <v>10</v>
      </c>
      <c r="AH586" s="40">
        <f t="shared" si="437"/>
        <v>20</v>
      </c>
      <c r="AI586" s="40">
        <f t="shared" si="437"/>
        <v>30</v>
      </c>
      <c r="AJ586" s="40">
        <f t="shared" si="437"/>
        <v>40</v>
      </c>
      <c r="AK586" s="40">
        <f t="shared" si="437"/>
        <v>50</v>
      </c>
      <c r="AL586" s="40">
        <f t="shared" si="437"/>
        <v>60</v>
      </c>
      <c r="AM586" s="40">
        <f t="shared" si="437"/>
        <v>70</v>
      </c>
      <c r="AN586" s="40">
        <f t="shared" si="437"/>
        <v>80</v>
      </c>
      <c r="AO586" s="40">
        <f t="shared" si="437"/>
        <v>90</v>
      </c>
      <c r="AP586" s="40">
        <f t="shared" si="437"/>
        <v>100</v>
      </c>
      <c r="AQ586" s="40">
        <f t="shared" si="437"/>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38">$B587*AG$571^$A587</f>
        <v>0</v>
      </c>
      <c r="AH587" s="41">
        <f t="shared" si="438"/>
        <v>0</v>
      </c>
      <c r="AI587" s="41">
        <f t="shared" si="438"/>
        <v>0</v>
      </c>
      <c r="AJ587" s="41">
        <f t="shared" si="438"/>
        <v>0</v>
      </c>
      <c r="AK587" s="41">
        <f t="shared" si="438"/>
        <v>0</v>
      </c>
      <c r="AL587" s="41">
        <f t="shared" si="438"/>
        <v>0</v>
      </c>
      <c r="AM587" s="41">
        <f t="shared" si="438"/>
        <v>0</v>
      </c>
      <c r="AN587" s="41">
        <f t="shared" si="438"/>
        <v>0</v>
      </c>
      <c r="AO587" s="41">
        <f t="shared" si="438"/>
        <v>0</v>
      </c>
      <c r="AP587" s="41">
        <f t="shared" si="438"/>
        <v>0</v>
      </c>
      <c r="AQ587" s="41">
        <f t="shared" si="438"/>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38"/>
        <v>0</v>
      </c>
      <c r="AH588" s="41">
        <f t="shared" si="438"/>
        <v>0</v>
      </c>
      <c r="AI588" s="41">
        <f t="shared" si="438"/>
        <v>0</v>
      </c>
      <c r="AJ588" s="41">
        <f t="shared" si="438"/>
        <v>0</v>
      </c>
      <c r="AK588" s="41">
        <f t="shared" si="438"/>
        <v>0</v>
      </c>
      <c r="AL588" s="41">
        <f t="shared" si="438"/>
        <v>0</v>
      </c>
      <c r="AM588" s="41">
        <f t="shared" si="438"/>
        <v>0</v>
      </c>
      <c r="AN588" s="41">
        <f t="shared" si="438"/>
        <v>0</v>
      </c>
      <c r="AO588" s="41">
        <f t="shared" si="438"/>
        <v>0</v>
      </c>
      <c r="AP588" s="41">
        <f t="shared" si="438"/>
        <v>0</v>
      </c>
      <c r="AQ588" s="41">
        <f t="shared" si="438"/>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38"/>
        <v>0</v>
      </c>
      <c r="AH589" s="41">
        <f t="shared" si="438"/>
        <v>0</v>
      </c>
      <c r="AI589" s="41">
        <f t="shared" si="438"/>
        <v>0</v>
      </c>
      <c r="AJ589" s="41">
        <f t="shared" si="438"/>
        <v>0</v>
      </c>
      <c r="AK589" s="41">
        <f t="shared" si="438"/>
        <v>0</v>
      </c>
      <c r="AL589" s="41">
        <f t="shared" si="438"/>
        <v>0</v>
      </c>
      <c r="AM589" s="41">
        <f t="shared" si="438"/>
        <v>0</v>
      </c>
      <c r="AN589" s="41">
        <f t="shared" si="438"/>
        <v>0</v>
      </c>
      <c r="AO589" s="41">
        <f t="shared" si="438"/>
        <v>0</v>
      </c>
      <c r="AP589" s="41">
        <f t="shared" si="438"/>
        <v>0</v>
      </c>
      <c r="AQ589" s="41">
        <f t="shared" si="438"/>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38"/>
        <v>0</v>
      </c>
      <c r="AH590" s="41">
        <f t="shared" si="438"/>
        <v>0</v>
      </c>
      <c r="AI590" s="41">
        <f t="shared" si="438"/>
        <v>0</v>
      </c>
      <c r="AJ590" s="41">
        <f t="shared" si="438"/>
        <v>0</v>
      </c>
      <c r="AK590" s="41">
        <f t="shared" si="438"/>
        <v>0</v>
      </c>
      <c r="AL590" s="41">
        <f t="shared" si="438"/>
        <v>0</v>
      </c>
      <c r="AM590" s="41">
        <f t="shared" si="438"/>
        <v>0</v>
      </c>
      <c r="AN590" s="41">
        <f t="shared" si="438"/>
        <v>0</v>
      </c>
      <c r="AO590" s="41">
        <f t="shared" si="438"/>
        <v>0</v>
      </c>
      <c r="AP590" s="41">
        <f t="shared" si="438"/>
        <v>0</v>
      </c>
      <c r="AQ590" s="41">
        <f t="shared" si="438"/>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38"/>
        <v>0</v>
      </c>
      <c r="AH591" s="41">
        <f t="shared" si="438"/>
        <v>0</v>
      </c>
      <c r="AI591" s="41">
        <f t="shared" si="438"/>
        <v>0</v>
      </c>
      <c r="AJ591" s="41">
        <f t="shared" si="438"/>
        <v>0</v>
      </c>
      <c r="AK591" s="41">
        <f t="shared" si="438"/>
        <v>0</v>
      </c>
      <c r="AL591" s="41">
        <f t="shared" si="438"/>
        <v>0</v>
      </c>
      <c r="AM591" s="41">
        <f t="shared" si="438"/>
        <v>0</v>
      </c>
      <c r="AN591" s="41">
        <f t="shared" si="438"/>
        <v>0</v>
      </c>
      <c r="AO591" s="41">
        <f t="shared" si="438"/>
        <v>0</v>
      </c>
      <c r="AP591" s="41">
        <f t="shared" si="438"/>
        <v>0</v>
      </c>
      <c r="AQ591" s="41">
        <f t="shared" si="438"/>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38"/>
        <v>0</v>
      </c>
      <c r="AH592" s="41">
        <f t="shared" si="438"/>
        <v>0</v>
      </c>
      <c r="AI592" s="41">
        <f t="shared" si="438"/>
        <v>0</v>
      </c>
      <c r="AJ592" s="41">
        <f t="shared" si="438"/>
        <v>0</v>
      </c>
      <c r="AK592" s="41">
        <f t="shared" si="438"/>
        <v>0</v>
      </c>
      <c r="AL592" s="41">
        <f t="shared" si="438"/>
        <v>0</v>
      </c>
      <c r="AM592" s="41">
        <f t="shared" si="438"/>
        <v>0</v>
      </c>
      <c r="AN592" s="41">
        <f t="shared" si="438"/>
        <v>0</v>
      </c>
      <c r="AO592" s="41">
        <f t="shared" si="438"/>
        <v>0</v>
      </c>
      <c r="AP592" s="41">
        <f t="shared" si="438"/>
        <v>0</v>
      </c>
      <c r="AQ592" s="41">
        <f t="shared" si="438"/>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38"/>
        <v>0</v>
      </c>
      <c r="AH593" s="41">
        <f t="shared" si="438"/>
        <v>0</v>
      </c>
      <c r="AI593" s="41">
        <f t="shared" si="438"/>
        <v>0</v>
      </c>
      <c r="AJ593" s="41">
        <f t="shared" si="438"/>
        <v>0</v>
      </c>
      <c r="AK593" s="41">
        <f t="shared" si="438"/>
        <v>0</v>
      </c>
      <c r="AL593" s="41">
        <f t="shared" si="438"/>
        <v>0</v>
      </c>
      <c r="AM593" s="41">
        <f t="shared" si="438"/>
        <v>0</v>
      </c>
      <c r="AN593" s="41">
        <f t="shared" si="438"/>
        <v>0</v>
      </c>
      <c r="AO593" s="41">
        <f t="shared" si="438"/>
        <v>0</v>
      </c>
      <c r="AP593" s="41">
        <f t="shared" si="438"/>
        <v>0</v>
      </c>
      <c r="AQ593" s="41">
        <f t="shared" si="438"/>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38"/>
        <v>0</v>
      </c>
      <c r="AH594" s="41">
        <f t="shared" si="438"/>
        <v>0</v>
      </c>
      <c r="AI594" s="41">
        <f t="shared" si="438"/>
        <v>0</v>
      </c>
      <c r="AJ594" s="41">
        <f t="shared" si="438"/>
        <v>0</v>
      </c>
      <c r="AK594" s="41">
        <f t="shared" si="438"/>
        <v>0</v>
      </c>
      <c r="AL594" s="41">
        <f t="shared" si="438"/>
        <v>0</v>
      </c>
      <c r="AM594" s="41">
        <f t="shared" si="438"/>
        <v>0</v>
      </c>
      <c r="AN594" s="41">
        <f t="shared" si="438"/>
        <v>0</v>
      </c>
      <c r="AO594" s="41">
        <f t="shared" si="438"/>
        <v>0</v>
      </c>
      <c r="AP594" s="41">
        <f t="shared" si="438"/>
        <v>0</v>
      </c>
      <c r="AQ594" s="41">
        <f t="shared" si="438"/>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38"/>
        <v>0</v>
      </c>
      <c r="AH595" s="41">
        <f t="shared" si="438"/>
        <v>0</v>
      </c>
      <c r="AI595" s="41">
        <f t="shared" si="438"/>
        <v>0</v>
      </c>
      <c r="AJ595" s="41">
        <f t="shared" si="438"/>
        <v>0</v>
      </c>
      <c r="AK595" s="41">
        <f t="shared" si="438"/>
        <v>0</v>
      </c>
      <c r="AL595" s="41">
        <f t="shared" si="438"/>
        <v>0</v>
      </c>
      <c r="AM595" s="41">
        <f t="shared" si="438"/>
        <v>0</v>
      </c>
      <c r="AN595" s="41">
        <f t="shared" si="438"/>
        <v>0</v>
      </c>
      <c r="AO595" s="41">
        <f t="shared" si="438"/>
        <v>0</v>
      </c>
      <c r="AP595" s="41">
        <f t="shared" si="438"/>
        <v>0</v>
      </c>
      <c r="AQ595" s="41">
        <f t="shared" si="438"/>
        <v>0</v>
      </c>
    </row>
    <row r="596" spans="1:43" x14ac:dyDescent="0.25">
      <c r="A596" s="111"/>
      <c r="B596" s="11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39">SUM(AG587:AG595)</f>
        <v>0</v>
      </c>
      <c r="AH596" s="41">
        <f t="shared" si="439"/>
        <v>0</v>
      </c>
      <c r="AI596" s="41">
        <f t="shared" si="439"/>
        <v>0</v>
      </c>
      <c r="AJ596" s="41">
        <f t="shared" si="439"/>
        <v>0</v>
      </c>
      <c r="AK596" s="41">
        <f t="shared" si="439"/>
        <v>0</v>
      </c>
      <c r="AL596" s="41">
        <f t="shared" si="439"/>
        <v>0</v>
      </c>
      <c r="AM596" s="41">
        <f t="shared" si="439"/>
        <v>0</v>
      </c>
      <c r="AN596" s="41">
        <f t="shared" si="439"/>
        <v>0</v>
      </c>
      <c r="AO596" s="41">
        <f t="shared" si="439"/>
        <v>0</v>
      </c>
      <c r="AP596" s="41">
        <f t="shared" si="439"/>
        <v>0</v>
      </c>
      <c r="AQ596" s="41">
        <f t="shared" si="439"/>
        <v>0</v>
      </c>
    </row>
    <row r="597" spans="1:43" x14ac:dyDescent="0.25">
      <c r="A597" s="106"/>
      <c r="B597" s="10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0">(AG581-AG596)^2</f>
        <v>0</v>
      </c>
      <c r="AH597" s="41">
        <f t="shared" si="440"/>
        <v>0</v>
      </c>
      <c r="AI597" s="41">
        <f t="shared" si="440"/>
        <v>0</v>
      </c>
      <c r="AJ597" s="41">
        <f t="shared" si="440"/>
        <v>0</v>
      </c>
      <c r="AK597" s="41">
        <f t="shared" si="440"/>
        <v>0</v>
      </c>
      <c r="AL597" s="41">
        <f t="shared" si="440"/>
        <v>0</v>
      </c>
      <c r="AM597" s="41">
        <f t="shared" si="440"/>
        <v>0</v>
      </c>
      <c r="AN597" s="41">
        <f t="shared" si="440"/>
        <v>0</v>
      </c>
      <c r="AO597" s="41">
        <f t="shared" si="440"/>
        <v>0</v>
      </c>
      <c r="AP597" s="41">
        <f t="shared" si="440"/>
        <v>0</v>
      </c>
      <c r="AQ597" s="41">
        <f t="shared" si="440"/>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06"/>
      <c r="B626" s="106"/>
      <c r="C626" s="43"/>
      <c r="D626" s="15"/>
      <c r="E626" s="95"/>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06"/>
      <c r="B627" s="106"/>
      <c r="C627" s="96"/>
      <c r="D627" s="15"/>
      <c r="E627" s="97"/>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11"/>
      <c r="B650" s="11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06"/>
      <c r="B651" s="10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06"/>
      <c r="B652" s="10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06"/>
      <c r="B653" s="10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06"/>
      <c r="B654" s="10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3"/>
      <c r="D656" s="73"/>
      <c r="E656" s="73"/>
      <c r="F656" s="73"/>
      <c r="G656" s="73"/>
      <c r="H656" s="73"/>
      <c r="I656" s="73"/>
      <c r="J656" s="73"/>
      <c r="K656" s="73"/>
      <c r="L656" s="73"/>
      <c r="M656" s="15"/>
      <c r="N656" s="15"/>
      <c r="O656" s="97"/>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7">
    <mergeCell ref="A650:B650"/>
    <mergeCell ref="A651:B651"/>
    <mergeCell ref="A652:B652"/>
    <mergeCell ref="A653:B653"/>
    <mergeCell ref="A654:B654"/>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-46.302861916991581</v>
      </c>
      <c r="M1" s="54">
        <v>1</v>
      </c>
      <c r="N1" s="56">
        <f>INDEX($H$217:$P$217,1,Q1)</f>
        <v>0.28582431211303061</v>
      </c>
      <c r="O1" s="11"/>
      <c r="P1" s="55">
        <v>1</v>
      </c>
      <c r="Q1" s="11">
        <v>2</v>
      </c>
    </row>
    <row r="2" spans="1:17" x14ac:dyDescent="0.25">
      <c r="A2" s="11">
        <f>'Mastercurve bestimmen'!M119</f>
        <v>0</v>
      </c>
      <c r="B2" s="11">
        <f>'Mastercurve bestimmen'!N119</f>
        <v>-43.101560067053263</v>
      </c>
      <c r="M2" s="54">
        <v>2</v>
      </c>
      <c r="N2" s="56">
        <f t="shared" ref="N2:N9" si="0">INDEX($H$217:$P$217,1,Q2)</f>
        <v>-6.0281265443592018E-3</v>
      </c>
      <c r="O2" s="11"/>
      <c r="P2" s="55">
        <v>2</v>
      </c>
      <c r="Q2" s="11">
        <f>Q1+1</f>
        <v>3</v>
      </c>
    </row>
    <row r="3" spans="1:17" x14ac:dyDescent="0.25">
      <c r="A3" s="11">
        <f>'Mastercurve bestimmen'!M120</f>
        <v>25</v>
      </c>
      <c r="B3" s="11">
        <f>'Mastercurve bestimmen'!N120</f>
        <v>-38.710306534216876</v>
      </c>
      <c r="M3" s="54">
        <v>3</v>
      </c>
      <c r="N3" s="56">
        <f t="shared" si="0"/>
        <v>-2.812699677183407E-5</v>
      </c>
      <c r="O3" s="11"/>
      <c r="P3" s="55">
        <v>3</v>
      </c>
      <c r="Q3" s="11">
        <f t="shared" ref="Q3:Q8" si="1">Q2+1</f>
        <v>4</v>
      </c>
    </row>
    <row r="4" spans="1:17" x14ac:dyDescent="0.25">
      <c r="A4" s="11">
        <f>'Mastercurve bestimmen'!M121</f>
        <v>50</v>
      </c>
      <c r="B4" s="11">
        <f>'Mastercurve bestimmen'!N121</f>
        <v>-32.056724600979742</v>
      </c>
      <c r="M4" s="54">
        <v>4</v>
      </c>
      <c r="N4" s="56">
        <f t="shared" si="0"/>
        <v>1.2280195822139409E-6</v>
      </c>
      <c r="O4" s="11"/>
      <c r="P4" s="55">
        <v>4</v>
      </c>
      <c r="Q4" s="11">
        <f t="shared" si="1"/>
        <v>5</v>
      </c>
    </row>
    <row r="5" spans="1:17" x14ac:dyDescent="0.25">
      <c r="A5" s="11">
        <f>'Mastercurve bestimmen'!M122</f>
        <v>80</v>
      </c>
      <c r="B5" s="11">
        <f>'Mastercurve bestimmen'!N122</f>
        <v>-20.038957206425195</v>
      </c>
      <c r="M5" s="54">
        <v>5</v>
      </c>
      <c r="N5" s="56">
        <f t="shared" si="0"/>
        <v>1.7159742907401429E-8</v>
      </c>
      <c r="O5" s="11"/>
      <c r="P5" s="55">
        <v>5</v>
      </c>
      <c r="Q5" s="11">
        <f t="shared" si="1"/>
        <v>6</v>
      </c>
    </row>
    <row r="6" spans="1:17" x14ac:dyDescent="0.25">
      <c r="A6" s="11">
        <f>'Mastercurve bestimmen'!M123</f>
        <v>125</v>
      </c>
      <c r="B6" s="11">
        <f>'Mastercurve bestimmen'!N123</f>
        <v>0</v>
      </c>
      <c r="M6" s="54">
        <v>6</v>
      </c>
      <c r="N6" s="56">
        <f t="shared" si="0"/>
        <v>8.4978591540669464E-11</v>
      </c>
      <c r="O6" s="11"/>
      <c r="P6" s="55">
        <v>6</v>
      </c>
      <c r="Q6" s="11">
        <f t="shared" si="1"/>
        <v>7</v>
      </c>
    </row>
    <row r="7" spans="1:17" x14ac:dyDescent="0.25">
      <c r="A7" s="11">
        <f>'Mastercurve bestimmen'!M124</f>
        <v>160</v>
      </c>
      <c r="B7" s="11">
        <f>'Mastercurve bestimmen'!N124</f>
        <v>4.1446590411178166</v>
      </c>
      <c r="M7" s="54">
        <v>7</v>
      </c>
      <c r="N7" s="56">
        <f t="shared" si="0"/>
        <v>1.3378570285760924E-13</v>
      </c>
      <c r="O7" s="11"/>
      <c r="P7" s="55">
        <v>7</v>
      </c>
      <c r="Q7" s="11">
        <f t="shared" si="1"/>
        <v>8</v>
      </c>
    </row>
    <row r="8" spans="1:17" x14ac:dyDescent="0.25">
      <c r="A8" s="11"/>
      <c r="B8" s="11"/>
      <c r="M8" s="54">
        <v>8</v>
      </c>
      <c r="N8" s="56">
        <f t="shared" si="0"/>
        <v>-7.724257394412011E-17</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-46.302861916991574</v>
      </c>
      <c r="E15" s="11">
        <f>A15-'Mastercurve bestimmen'!$B$2</f>
        <v>-165</v>
      </c>
      <c r="F15" s="11">
        <f>B15</f>
        <v>-46.302861916991574</v>
      </c>
      <c r="G15" s="11"/>
      <c r="H15" s="11">
        <f>IF($H$12&gt;=H$14,$E15^H$14,0)</f>
        <v>5.4937836650039066E+17</v>
      </c>
      <c r="I15" s="11">
        <f t="shared" ref="I15:O30" si="3">IF($H$12&gt;=I$14,$E15^I$14,0)</f>
        <v>-3329565857578125</v>
      </c>
      <c r="J15" s="11">
        <f t="shared" si="3"/>
        <v>20179187015625</v>
      </c>
      <c r="K15" s="11">
        <f t="shared" si="3"/>
        <v>-122298103125</v>
      </c>
      <c r="L15" s="11">
        <f t="shared" si="3"/>
        <v>741200625</v>
      </c>
      <c r="M15" s="11">
        <f t="shared" si="3"/>
        <v>-4492125</v>
      </c>
      <c r="N15" s="11">
        <f t="shared" si="3"/>
        <v>27225</v>
      </c>
      <c r="O15" s="11">
        <f t="shared" si="3"/>
        <v>-165</v>
      </c>
      <c r="P15" s="11">
        <v>0</v>
      </c>
    </row>
    <row r="16" spans="1:17" x14ac:dyDescent="0.25">
      <c r="A16" s="11">
        <f>A15+1</f>
        <v>-39</v>
      </c>
      <c r="B16" s="11">
        <v>-46.245765552626743</v>
      </c>
      <c r="E16" s="11">
        <f>A16-'Mastercurve bestimmen'!$B$2</f>
        <v>-164</v>
      </c>
      <c r="F16" s="11">
        <f t="shared" ref="F16:F79" si="4">B16</f>
        <v>-46.245765552626743</v>
      </c>
      <c r="G16" s="11"/>
      <c r="H16" s="11">
        <f t="shared" ref="H16:O47" si="5">IF($H$12&gt;=H$14,$E16^H$14,0)</f>
        <v>5.2330005981567386E+17</v>
      </c>
      <c r="I16" s="11">
        <f t="shared" si="3"/>
        <v>-3190854023266304</v>
      </c>
      <c r="J16" s="11">
        <f t="shared" si="3"/>
        <v>19456426971136</v>
      </c>
      <c r="K16" s="11">
        <f t="shared" si="3"/>
        <v>-118636749824</v>
      </c>
      <c r="L16" s="11">
        <f t="shared" si="3"/>
        <v>723394816</v>
      </c>
      <c r="M16" s="11">
        <f t="shared" si="3"/>
        <v>-4410944</v>
      </c>
      <c r="N16" s="11">
        <f t="shared" si="3"/>
        <v>26896</v>
      </c>
      <c r="O16" s="11">
        <f t="shared" si="3"/>
        <v>-164</v>
      </c>
      <c r="P16" s="11">
        <f>P15</f>
        <v>0</v>
      </c>
    </row>
    <row r="17" spans="1:16" x14ac:dyDescent="0.25">
      <c r="A17" s="11">
        <f t="shared" ref="A17:A80" si="6">A16+1</f>
        <v>-38</v>
      </c>
      <c r="B17" s="11">
        <v>-46.188583123789556</v>
      </c>
      <c r="E17" s="11">
        <f>A17-'Mastercurve bestimmen'!$B$2</f>
        <v>-163</v>
      </c>
      <c r="F17" s="11">
        <f t="shared" si="4"/>
        <v>-46.188583123789556</v>
      </c>
      <c r="G17" s="11"/>
      <c r="H17" s="11">
        <f t="shared" si="5"/>
        <v>4.9831141431812115E+17</v>
      </c>
      <c r="I17" s="11">
        <f t="shared" si="3"/>
        <v>-3057125241215467</v>
      </c>
      <c r="J17" s="11">
        <f t="shared" si="3"/>
        <v>18755369578009</v>
      </c>
      <c r="K17" s="11">
        <f t="shared" si="3"/>
        <v>-115063617043</v>
      </c>
      <c r="L17" s="11">
        <f t="shared" si="3"/>
        <v>705911761</v>
      </c>
      <c r="M17" s="11">
        <f t="shared" si="3"/>
        <v>-4330747</v>
      </c>
      <c r="N17" s="11">
        <f t="shared" si="3"/>
        <v>26569</v>
      </c>
      <c r="O17" s="11">
        <f t="shared" si="3"/>
        <v>-163</v>
      </c>
      <c r="P17" s="11">
        <f t="shared" ref="P17:P80" si="7">P16</f>
        <v>0</v>
      </c>
    </row>
    <row r="18" spans="1:16" x14ac:dyDescent="0.25">
      <c r="A18" s="11">
        <f t="shared" si="6"/>
        <v>-37</v>
      </c>
      <c r="B18" s="11">
        <v>-46.13122856600765</v>
      </c>
      <c r="E18" s="11">
        <f>A18-'Mastercurve bestimmen'!$B$2</f>
        <v>-162</v>
      </c>
      <c r="F18" s="11">
        <f t="shared" si="4"/>
        <v>-46.13122856600765</v>
      </c>
      <c r="G18" s="11"/>
      <c r="H18" s="11">
        <f t="shared" si="5"/>
        <v>4.743731683460713E+17</v>
      </c>
      <c r="I18" s="11">
        <f t="shared" si="3"/>
        <v>-2928229434235008</v>
      </c>
      <c r="J18" s="11">
        <f t="shared" si="3"/>
        <v>18075490334784</v>
      </c>
      <c r="K18" s="11">
        <f t="shared" si="3"/>
        <v>-111577100832</v>
      </c>
      <c r="L18" s="11">
        <f t="shared" si="3"/>
        <v>688747536</v>
      </c>
      <c r="M18" s="11">
        <f t="shared" si="3"/>
        <v>-4251528</v>
      </c>
      <c r="N18" s="11">
        <f t="shared" si="3"/>
        <v>26244</v>
      </c>
      <c r="O18" s="11">
        <f t="shared" si="3"/>
        <v>-162</v>
      </c>
      <c r="P18" s="11">
        <f t="shared" si="7"/>
        <v>0</v>
      </c>
    </row>
    <row r="19" spans="1:16" x14ac:dyDescent="0.25">
      <c r="A19" s="11">
        <f t="shared" si="6"/>
        <v>-36</v>
      </c>
      <c r="B19" s="11">
        <v>-46.073615814808669</v>
      </c>
      <c r="E19" s="11">
        <f>A19-'Mastercurve bestimmen'!$B$2</f>
        <v>-161</v>
      </c>
      <c r="F19" s="11">
        <f t="shared" si="4"/>
        <v>-46.073615814808669</v>
      </c>
      <c r="G19" s="11"/>
      <c r="H19" s="11">
        <f t="shared" si="5"/>
        <v>4.5144724625889408E+17</v>
      </c>
      <c r="I19" s="11">
        <f t="shared" si="3"/>
        <v>-2804020163098721</v>
      </c>
      <c r="J19" s="11">
        <f t="shared" si="3"/>
        <v>17416274304961</v>
      </c>
      <c r="K19" s="11">
        <f t="shared" si="3"/>
        <v>-108175616801</v>
      </c>
      <c r="L19" s="11">
        <f t="shared" si="3"/>
        <v>671898241</v>
      </c>
      <c r="M19" s="11">
        <f t="shared" si="3"/>
        <v>-4173281</v>
      </c>
      <c r="N19" s="11">
        <f t="shared" si="3"/>
        <v>25921</v>
      </c>
      <c r="O19" s="11">
        <f t="shared" si="3"/>
        <v>-161</v>
      </c>
      <c r="P19" s="11">
        <f t="shared" si="7"/>
        <v>0</v>
      </c>
    </row>
    <row r="20" spans="1:16" x14ac:dyDescent="0.25">
      <c r="A20" s="11">
        <f t="shared" si="6"/>
        <v>-35</v>
      </c>
      <c r="B20" s="11">
        <v>-46.01565880572025</v>
      </c>
      <c r="E20" s="11">
        <f>A20-'Mastercurve bestimmen'!$B$2</f>
        <v>-160</v>
      </c>
      <c r="F20" s="11">
        <f t="shared" si="4"/>
        <v>-46.01565880572025</v>
      </c>
      <c r="G20" s="11"/>
      <c r="H20" s="11">
        <f t="shared" si="5"/>
        <v>4.294967296E+17</v>
      </c>
      <c r="I20" s="11">
        <f t="shared" si="3"/>
        <v>-2684354560000000</v>
      </c>
      <c r="J20" s="11">
        <f t="shared" si="3"/>
        <v>16777216000000</v>
      </c>
      <c r="K20" s="11">
        <f t="shared" si="3"/>
        <v>-104857600000</v>
      </c>
      <c r="L20" s="11">
        <f t="shared" si="3"/>
        <v>655360000</v>
      </c>
      <c r="M20" s="11">
        <f t="shared" si="3"/>
        <v>-4096000</v>
      </c>
      <c r="N20" s="11">
        <f t="shared" si="3"/>
        <v>25600</v>
      </c>
      <c r="O20" s="11">
        <f t="shared" si="3"/>
        <v>-160</v>
      </c>
      <c r="P20" s="11">
        <f t="shared" si="7"/>
        <v>0</v>
      </c>
    </row>
    <row r="21" spans="1:16" x14ac:dyDescent="0.25">
      <c r="A21" s="11">
        <f t="shared" si="6"/>
        <v>-34</v>
      </c>
      <c r="B21" s="11">
        <v>-45.957271474270037</v>
      </c>
      <c r="E21" s="11">
        <f>A21-'Mastercurve bestimmen'!$B$2</f>
        <v>-159</v>
      </c>
      <c r="F21" s="11">
        <f t="shared" si="4"/>
        <v>-45.957271474270037</v>
      </c>
      <c r="G21" s="11"/>
      <c r="H21" s="11">
        <f t="shared" si="5"/>
        <v>4.0848582878893952E+17</v>
      </c>
      <c r="I21" s="11">
        <f t="shared" si="3"/>
        <v>-2569093262823519</v>
      </c>
      <c r="J21" s="11">
        <f t="shared" si="3"/>
        <v>16157819263041</v>
      </c>
      <c r="K21" s="11">
        <f t="shared" si="3"/>
        <v>-101621504799</v>
      </c>
      <c r="L21" s="11">
        <f t="shared" si="3"/>
        <v>639128961</v>
      </c>
      <c r="M21" s="11">
        <f t="shared" si="3"/>
        <v>-4019679</v>
      </c>
      <c r="N21" s="11">
        <f t="shared" si="3"/>
        <v>25281</v>
      </c>
      <c r="O21" s="11">
        <f t="shared" si="3"/>
        <v>-159</v>
      </c>
      <c r="P21" s="11">
        <f t="shared" si="7"/>
        <v>0</v>
      </c>
    </row>
    <row r="22" spans="1:16" x14ac:dyDescent="0.25">
      <c r="A22" s="11">
        <f t="shared" si="6"/>
        <v>-33</v>
      </c>
      <c r="B22">
        <v>-45.898367755985674</v>
      </c>
      <c r="E22" s="11">
        <f>A22-'Mastercurve bestimmen'!$B$2</f>
        <v>-158</v>
      </c>
      <c r="F22" s="11">
        <f t="shared" si="4"/>
        <v>-45.898367755985674</v>
      </c>
      <c r="G22" s="11"/>
      <c r="H22" s="11">
        <f t="shared" si="5"/>
        <v>3.8837985533607962E+17</v>
      </c>
      <c r="I22" s="11">
        <f t="shared" si="3"/>
        <v>-2458100350228352</v>
      </c>
      <c r="J22" s="11">
        <f t="shared" si="3"/>
        <v>15557597153344</v>
      </c>
      <c r="K22" s="11">
        <f t="shared" si="3"/>
        <v>-98465804768</v>
      </c>
      <c r="L22" s="11">
        <f t="shared" si="3"/>
        <v>623201296</v>
      </c>
      <c r="M22" s="11">
        <f t="shared" si="3"/>
        <v>-3944312</v>
      </c>
      <c r="N22" s="11">
        <f t="shared" si="3"/>
        <v>24964</v>
      </c>
      <c r="O22" s="11">
        <f t="shared" si="3"/>
        <v>-158</v>
      </c>
      <c r="P22" s="11">
        <f t="shared" si="7"/>
        <v>0</v>
      </c>
    </row>
    <row r="23" spans="1:16" x14ac:dyDescent="0.25">
      <c r="A23" s="11">
        <f t="shared" si="6"/>
        <v>-32</v>
      </c>
      <c r="B23">
        <v>-45.838861586394799</v>
      </c>
      <c r="E23" s="11">
        <f>A23-'Mastercurve bestimmen'!$B$2</f>
        <v>-157</v>
      </c>
      <c r="F23" s="11">
        <f t="shared" si="4"/>
        <v>-45.838861586394799</v>
      </c>
      <c r="G23" s="11"/>
      <c r="H23" s="11">
        <f t="shared" si="5"/>
        <v>3.6914519457338643E+17</v>
      </c>
      <c r="I23" s="11">
        <f t="shared" si="3"/>
        <v>-2351243277537493</v>
      </c>
      <c r="J23" s="11">
        <f t="shared" si="3"/>
        <v>14976071831449</v>
      </c>
      <c r="K23" s="11">
        <f t="shared" si="3"/>
        <v>-95388992557</v>
      </c>
      <c r="L23" s="11">
        <f t="shared" si="3"/>
        <v>607573201</v>
      </c>
      <c r="M23" s="11">
        <f t="shared" si="3"/>
        <v>-3869893</v>
      </c>
      <c r="N23" s="11">
        <f t="shared" si="3"/>
        <v>24649</v>
      </c>
      <c r="O23" s="11">
        <f t="shared" si="3"/>
        <v>-157</v>
      </c>
      <c r="P23" s="11">
        <f t="shared" si="7"/>
        <v>0</v>
      </c>
    </row>
    <row r="24" spans="1:16" x14ac:dyDescent="0.25">
      <c r="A24" s="11">
        <f t="shared" si="6"/>
        <v>-31</v>
      </c>
      <c r="B24">
        <v>-45.778666901025048</v>
      </c>
      <c r="E24" s="11">
        <f>A24-'Mastercurve bestimmen'!$B$2</f>
        <v>-156</v>
      </c>
      <c r="F24" s="11">
        <f t="shared" si="4"/>
        <v>-45.778666901025048</v>
      </c>
      <c r="G24" s="11"/>
      <c r="H24" s="11">
        <f t="shared" si="5"/>
        <v>3.5074927889488282E+17</v>
      </c>
      <c r="I24" s="11">
        <f t="shared" si="3"/>
        <v>-2248392813428736</v>
      </c>
      <c r="J24" s="11">
        <f t="shared" si="3"/>
        <v>14412774445056</v>
      </c>
      <c r="K24" s="11">
        <f t="shared" si="3"/>
        <v>-92389579776</v>
      </c>
      <c r="L24" s="11">
        <f t="shared" si="3"/>
        <v>592240896</v>
      </c>
      <c r="M24" s="11">
        <f t="shared" si="3"/>
        <v>-3796416</v>
      </c>
      <c r="N24" s="11">
        <f t="shared" si="3"/>
        <v>24336</v>
      </c>
      <c r="O24" s="11">
        <f t="shared" si="3"/>
        <v>-156</v>
      </c>
      <c r="P24" s="11">
        <f t="shared" si="7"/>
        <v>0</v>
      </c>
    </row>
    <row r="25" spans="1:16" x14ac:dyDescent="0.25">
      <c r="A25" s="11">
        <f t="shared" si="6"/>
        <v>-30</v>
      </c>
      <c r="B25">
        <v>-45.717697635404079</v>
      </c>
      <c r="E25" s="11">
        <f>A25-'Mastercurve bestimmen'!$B$2</f>
        <v>-155</v>
      </c>
      <c r="F25" s="11">
        <f t="shared" si="4"/>
        <v>-45.717697635404079</v>
      </c>
      <c r="G25" s="11"/>
      <c r="H25" s="11">
        <f t="shared" si="5"/>
        <v>3.3316056150039066E+17</v>
      </c>
      <c r="I25" s="11">
        <f t="shared" si="3"/>
        <v>-2149422977421875</v>
      </c>
      <c r="J25" s="11">
        <f t="shared" si="3"/>
        <v>13867245015625</v>
      </c>
      <c r="K25" s="11">
        <f t="shared" si="3"/>
        <v>-89466096875</v>
      </c>
      <c r="L25" s="11">
        <f t="shared" si="3"/>
        <v>577200625</v>
      </c>
      <c r="M25" s="11">
        <f t="shared" si="3"/>
        <v>-3723875</v>
      </c>
      <c r="N25" s="11">
        <f t="shared" si="3"/>
        <v>24025</v>
      </c>
      <c r="O25" s="11">
        <f t="shared" si="3"/>
        <v>-155</v>
      </c>
      <c r="P25" s="11">
        <f t="shared" si="7"/>
        <v>0</v>
      </c>
    </row>
    <row r="26" spans="1:16" x14ac:dyDescent="0.25">
      <c r="A26" s="11">
        <f t="shared" si="6"/>
        <v>-29</v>
      </c>
      <c r="B26">
        <v>-45.655867725059515</v>
      </c>
      <c r="E26" s="11">
        <f>A26-'Mastercurve bestimmen'!$B$2</f>
        <v>-154</v>
      </c>
      <c r="F26" s="11">
        <f t="shared" si="4"/>
        <v>-45.655867725059515</v>
      </c>
      <c r="G26" s="11"/>
      <c r="H26" s="11">
        <f t="shared" si="5"/>
        <v>3.1634849063620634E+17</v>
      </c>
      <c r="I26" s="11">
        <f t="shared" si="3"/>
        <v>-2054210978157184</v>
      </c>
      <c r="J26" s="11">
        <f t="shared" si="3"/>
        <v>13339032325696</v>
      </c>
      <c r="K26" s="11">
        <f t="shared" si="3"/>
        <v>-86617093024</v>
      </c>
      <c r="L26" s="11">
        <f t="shared" si="3"/>
        <v>562448656</v>
      </c>
      <c r="M26" s="11">
        <f t="shared" si="3"/>
        <v>-3652264</v>
      </c>
      <c r="N26" s="11">
        <f t="shared" si="3"/>
        <v>23716</v>
      </c>
      <c r="O26" s="11">
        <f t="shared" si="3"/>
        <v>-154</v>
      </c>
      <c r="P26" s="11">
        <f t="shared" si="7"/>
        <v>0</v>
      </c>
    </row>
    <row r="27" spans="1:16" x14ac:dyDescent="0.25">
      <c r="A27" s="11">
        <f t="shared" si="6"/>
        <v>-28</v>
      </c>
      <c r="B27">
        <v>-45.593091105519001</v>
      </c>
      <c r="E27" s="11">
        <f>A27-'Mastercurve bestimmen'!$B$2</f>
        <v>-153</v>
      </c>
      <c r="F27" s="11">
        <f t="shared" si="4"/>
        <v>-45.593091105519001</v>
      </c>
      <c r="G27" s="11"/>
      <c r="H27" s="11">
        <f t="shared" si="5"/>
        <v>3.0028348432640096E+17</v>
      </c>
      <c r="I27" s="11">
        <f t="shared" si="3"/>
        <v>-1962637152460137</v>
      </c>
      <c r="J27" s="11">
        <f t="shared" si="3"/>
        <v>12827693806929</v>
      </c>
      <c r="K27" s="11">
        <f t="shared" si="3"/>
        <v>-83841135993</v>
      </c>
      <c r="L27" s="11">
        <f t="shared" si="3"/>
        <v>547981281</v>
      </c>
      <c r="M27" s="11">
        <f t="shared" si="3"/>
        <v>-3581577</v>
      </c>
      <c r="N27" s="11">
        <f t="shared" si="3"/>
        <v>23409</v>
      </c>
      <c r="O27" s="11">
        <f t="shared" si="3"/>
        <v>-153</v>
      </c>
      <c r="P27" s="11">
        <f t="shared" si="7"/>
        <v>0</v>
      </c>
    </row>
    <row r="28" spans="1:16" x14ac:dyDescent="0.25">
      <c r="A28" s="11">
        <f t="shared" si="6"/>
        <v>-27</v>
      </c>
      <c r="B28">
        <v>-45.52928171231018</v>
      </c>
      <c r="E28" s="11">
        <f>A28-'Mastercurve bestimmen'!$B$2</f>
        <v>-152</v>
      </c>
      <c r="F28" s="11">
        <f t="shared" si="4"/>
        <v>-45.52928171231018</v>
      </c>
      <c r="G28" s="11"/>
      <c r="H28" s="11">
        <f t="shared" si="5"/>
        <v>2.8493690558847386E+17</v>
      </c>
      <c r="I28" s="11">
        <f t="shared" si="3"/>
        <v>-1874584905187328</v>
      </c>
      <c r="J28" s="11">
        <f t="shared" si="3"/>
        <v>12332795428864</v>
      </c>
      <c r="K28" s="11">
        <f t="shared" si="3"/>
        <v>-81136812032</v>
      </c>
      <c r="L28" s="11">
        <f t="shared" si="3"/>
        <v>533794816</v>
      </c>
      <c r="M28" s="11">
        <f t="shared" si="3"/>
        <v>-3511808</v>
      </c>
      <c r="N28" s="11">
        <f t="shared" si="3"/>
        <v>23104</v>
      </c>
      <c r="O28" s="11">
        <f t="shared" si="3"/>
        <v>-152</v>
      </c>
      <c r="P28" s="11">
        <f t="shared" si="7"/>
        <v>0</v>
      </c>
    </row>
    <row r="29" spans="1:16" x14ac:dyDescent="0.25">
      <c r="A29" s="11">
        <f t="shared" si="6"/>
        <v>-26</v>
      </c>
      <c r="B29">
        <v>-45.464353480960696</v>
      </c>
      <c r="E29" s="11">
        <f>A29-'Mastercurve bestimmen'!$B$2</f>
        <v>-151</v>
      </c>
      <c r="F29" s="11">
        <f t="shared" si="4"/>
        <v>-45.464353480960696</v>
      </c>
      <c r="G29" s="11"/>
      <c r="H29" s="11">
        <f t="shared" si="5"/>
        <v>2.702810381271312E+17</v>
      </c>
      <c r="I29" s="11">
        <f t="shared" si="3"/>
        <v>-1789940649848551</v>
      </c>
      <c r="J29" s="11">
        <f t="shared" si="3"/>
        <v>11853911588401</v>
      </c>
      <c r="K29" s="11">
        <f t="shared" si="3"/>
        <v>-78502725751</v>
      </c>
      <c r="L29" s="11">
        <f t="shared" si="3"/>
        <v>519885601</v>
      </c>
      <c r="M29" s="11">
        <f t="shared" si="3"/>
        <v>-3442951</v>
      </c>
      <c r="N29" s="11">
        <f t="shared" si="3"/>
        <v>22801</v>
      </c>
      <c r="O29" s="11">
        <f t="shared" si="3"/>
        <v>-151</v>
      </c>
      <c r="P29" s="11">
        <f t="shared" si="7"/>
        <v>0</v>
      </c>
    </row>
    <row r="30" spans="1:16" x14ac:dyDescent="0.25">
      <c r="A30" s="11">
        <f t="shared" si="6"/>
        <v>-25</v>
      </c>
      <c r="B30">
        <v>-45.398220346998187</v>
      </c>
      <c r="E30" s="11">
        <f>A30-'Mastercurve bestimmen'!$B$2</f>
        <v>-150</v>
      </c>
      <c r="F30" s="11">
        <f t="shared" si="4"/>
        <v>-45.398220346998187</v>
      </c>
      <c r="G30" s="11"/>
      <c r="H30" s="11">
        <f t="shared" si="5"/>
        <v>2.562890625E+17</v>
      </c>
      <c r="I30" s="11">
        <f t="shared" si="3"/>
        <v>-1708593750000000</v>
      </c>
      <c r="J30" s="11">
        <f t="shared" si="3"/>
        <v>11390625000000</v>
      </c>
      <c r="K30" s="11">
        <f t="shared" si="3"/>
        <v>-75937500000</v>
      </c>
      <c r="L30" s="11">
        <f t="shared" si="3"/>
        <v>506250000</v>
      </c>
      <c r="M30" s="11">
        <f t="shared" si="3"/>
        <v>-3375000</v>
      </c>
      <c r="N30" s="11">
        <f t="shared" si="3"/>
        <v>22500</v>
      </c>
      <c r="O30" s="11">
        <f t="shared" si="3"/>
        <v>-150</v>
      </c>
      <c r="P30" s="11">
        <f t="shared" si="7"/>
        <v>0</v>
      </c>
    </row>
    <row r="31" spans="1:16" x14ac:dyDescent="0.25">
      <c r="A31" s="11">
        <f t="shared" si="6"/>
        <v>-24</v>
      </c>
      <c r="B31">
        <v>-45.330796245950303</v>
      </c>
      <c r="E31" s="11">
        <f>A31-'Mastercurve bestimmen'!$B$2</f>
        <v>-149</v>
      </c>
      <c r="F31" s="11">
        <f t="shared" si="4"/>
        <v>-45.330796245950303</v>
      </c>
      <c r="G31" s="11"/>
      <c r="H31" s="11">
        <f t="shared" si="5"/>
        <v>2.429350327491288E+17</v>
      </c>
      <c r="I31" s="11">
        <f t="shared" si="5"/>
        <v>-1630436461403549</v>
      </c>
      <c r="J31" s="11">
        <f t="shared" si="5"/>
        <v>10942526586601</v>
      </c>
      <c r="K31" s="11">
        <f t="shared" si="5"/>
        <v>-73439775749</v>
      </c>
      <c r="L31" s="11">
        <f t="shared" si="5"/>
        <v>492884401</v>
      </c>
      <c r="M31" s="11">
        <f t="shared" si="5"/>
        <v>-3307949</v>
      </c>
      <c r="N31" s="11">
        <f t="shared" si="5"/>
        <v>22201</v>
      </c>
      <c r="O31" s="11">
        <f t="shared" si="5"/>
        <v>-149</v>
      </c>
      <c r="P31" s="11">
        <f t="shared" si="7"/>
        <v>0</v>
      </c>
    </row>
    <row r="32" spans="1:16" x14ac:dyDescent="0.25">
      <c r="A32" s="11">
        <f t="shared" si="6"/>
        <v>-23</v>
      </c>
      <c r="B32">
        <v>-45.261995113344668</v>
      </c>
      <c r="E32" s="11">
        <f>A32-'Mastercurve bestimmen'!$B$2</f>
        <v>-148</v>
      </c>
      <c r="F32" s="11">
        <f t="shared" si="4"/>
        <v>-45.261995113344668</v>
      </c>
      <c r="G32" s="11"/>
      <c r="H32" s="11">
        <f t="shared" si="5"/>
        <v>2.3019385349216666E+17</v>
      </c>
      <c r="I32" s="11">
        <f t="shared" si="5"/>
        <v>-1555363874947072</v>
      </c>
      <c r="J32" s="11">
        <f t="shared" si="5"/>
        <v>10509215371264</v>
      </c>
      <c r="K32" s="11">
        <f t="shared" si="5"/>
        <v>-71008211968</v>
      </c>
      <c r="L32" s="11">
        <f t="shared" si="5"/>
        <v>479785216</v>
      </c>
      <c r="M32" s="11">
        <f t="shared" si="5"/>
        <v>-3241792</v>
      </c>
      <c r="N32" s="11">
        <f t="shared" si="5"/>
        <v>21904</v>
      </c>
      <c r="O32" s="11">
        <f t="shared" si="5"/>
        <v>-148</v>
      </c>
      <c r="P32" s="11">
        <f t="shared" si="7"/>
        <v>0</v>
      </c>
    </row>
    <row r="33" spans="1:16" x14ac:dyDescent="0.25">
      <c r="A33" s="11">
        <f t="shared" si="6"/>
        <v>-22</v>
      </c>
      <c r="B33">
        <v>-45.191730884708946</v>
      </c>
      <c r="E33" s="11">
        <f>A33-'Mastercurve bestimmen'!$B$2</f>
        <v>-147</v>
      </c>
      <c r="F33" s="11">
        <f t="shared" si="4"/>
        <v>-45.191730884708946</v>
      </c>
      <c r="G33" s="11"/>
      <c r="H33" s="11">
        <f t="shared" si="5"/>
        <v>2.1804125746715216E+17</v>
      </c>
      <c r="I33" s="11">
        <f t="shared" si="5"/>
        <v>-1483273860320763</v>
      </c>
      <c r="J33" s="11">
        <f t="shared" si="5"/>
        <v>10090298369529</v>
      </c>
      <c r="K33" s="11">
        <f t="shared" si="5"/>
        <v>-68641485507</v>
      </c>
      <c r="L33" s="11">
        <f t="shared" si="5"/>
        <v>466948881</v>
      </c>
      <c r="M33" s="11">
        <f t="shared" si="5"/>
        <v>-3176523</v>
      </c>
      <c r="N33" s="11">
        <f t="shared" si="5"/>
        <v>21609</v>
      </c>
      <c r="O33" s="11">
        <f t="shared" si="5"/>
        <v>-147</v>
      </c>
      <c r="P33" s="11">
        <f t="shared" si="7"/>
        <v>0</v>
      </c>
    </row>
    <row r="34" spans="1:16" x14ac:dyDescent="0.25">
      <c r="A34" s="11">
        <f t="shared" si="6"/>
        <v>-21</v>
      </c>
      <c r="B34">
        <v>-45.119917495570753</v>
      </c>
      <c r="E34" s="11">
        <f>A34-'Mastercurve bestimmen'!$B$2</f>
        <v>-146</v>
      </c>
      <c r="F34" s="11">
        <f t="shared" si="4"/>
        <v>-45.119917495570753</v>
      </c>
      <c r="G34" s="11"/>
      <c r="H34" s="11">
        <f t="shared" si="5"/>
        <v>2.0645378352488474E+17</v>
      </c>
      <c r="I34" s="11">
        <f t="shared" si="5"/>
        <v>-1414067010444416</v>
      </c>
      <c r="J34" s="11">
        <f t="shared" si="5"/>
        <v>9685390482496</v>
      </c>
      <c r="K34" s="11">
        <f t="shared" si="5"/>
        <v>-66338290976</v>
      </c>
      <c r="L34" s="11">
        <f t="shared" si="5"/>
        <v>454371856</v>
      </c>
      <c r="M34" s="11">
        <f t="shared" si="5"/>
        <v>-3112136</v>
      </c>
      <c r="N34" s="11">
        <f t="shared" si="5"/>
        <v>21316</v>
      </c>
      <c r="O34" s="11">
        <f t="shared" si="5"/>
        <v>-146</v>
      </c>
      <c r="P34" s="11">
        <f t="shared" si="7"/>
        <v>0</v>
      </c>
    </row>
    <row r="35" spans="1:16" x14ac:dyDescent="0.25">
      <c r="A35" s="11">
        <f t="shared" si="6"/>
        <v>-20</v>
      </c>
      <c r="B35">
        <v>-45.046468881457741</v>
      </c>
      <c r="E35" s="11">
        <f>A35-'Mastercurve bestimmen'!$B$2</f>
        <v>-145</v>
      </c>
      <c r="F35" s="11">
        <f t="shared" si="4"/>
        <v>-45.046468881457741</v>
      </c>
      <c r="G35" s="11"/>
      <c r="H35" s="11">
        <f t="shared" si="5"/>
        <v>1.9540875506289062E+17</v>
      </c>
      <c r="I35" s="11">
        <f t="shared" si="5"/>
        <v>-1347646586640625</v>
      </c>
      <c r="J35" s="11">
        <f t="shared" si="5"/>
        <v>9294114390625</v>
      </c>
      <c r="K35" s="11">
        <f t="shared" si="5"/>
        <v>-64097340625</v>
      </c>
      <c r="L35" s="11">
        <f t="shared" si="5"/>
        <v>442050625</v>
      </c>
      <c r="M35" s="11">
        <f t="shared" si="5"/>
        <v>-3048625</v>
      </c>
      <c r="N35" s="11">
        <f t="shared" si="5"/>
        <v>21025</v>
      </c>
      <c r="O35" s="11">
        <f t="shared" si="5"/>
        <v>-145</v>
      </c>
      <c r="P35" s="11">
        <f t="shared" si="7"/>
        <v>0</v>
      </c>
    </row>
    <row r="36" spans="1:16" x14ac:dyDescent="0.25">
      <c r="A36" s="11">
        <f t="shared" si="6"/>
        <v>-19</v>
      </c>
      <c r="B36">
        <v>-44.971298977897561</v>
      </c>
      <c r="E36" s="11">
        <f>A36-'Mastercurve bestimmen'!$B$2</f>
        <v>-144</v>
      </c>
      <c r="F36" s="11">
        <f t="shared" si="4"/>
        <v>-44.971298977897561</v>
      </c>
      <c r="G36" s="11"/>
      <c r="H36" s="11">
        <f t="shared" si="5"/>
        <v>1.8488425889503642E+17</v>
      </c>
      <c r="I36" s="11">
        <f t="shared" si="5"/>
        <v>-1283918464548864</v>
      </c>
      <c r="J36" s="11">
        <f t="shared" si="5"/>
        <v>8916100448256</v>
      </c>
      <c r="K36" s="11">
        <f t="shared" si="5"/>
        <v>-61917364224</v>
      </c>
      <c r="L36" s="11">
        <f t="shared" si="5"/>
        <v>429981696</v>
      </c>
      <c r="M36" s="11">
        <f t="shared" si="5"/>
        <v>-2985984</v>
      </c>
      <c r="N36" s="11">
        <f t="shared" si="5"/>
        <v>20736</v>
      </c>
      <c r="O36" s="11">
        <f t="shared" si="5"/>
        <v>-144</v>
      </c>
      <c r="P36" s="11">
        <f t="shared" si="7"/>
        <v>0</v>
      </c>
    </row>
    <row r="37" spans="1:16" x14ac:dyDescent="0.25">
      <c r="A37" s="11">
        <f t="shared" si="6"/>
        <v>-18</v>
      </c>
      <c r="B37">
        <v>-44.894321720417842</v>
      </c>
      <c r="E37" s="11">
        <f>A37-'Mastercurve bestimmen'!$B$2</f>
        <v>-143</v>
      </c>
      <c r="F37" s="11">
        <f t="shared" si="4"/>
        <v>-44.894321720417842</v>
      </c>
      <c r="G37" s="11"/>
      <c r="H37" s="11">
        <f t="shared" si="5"/>
        <v>1.748591245508832E+17</v>
      </c>
      <c r="I37" s="11">
        <f t="shared" si="5"/>
        <v>-1222791080775407</v>
      </c>
      <c r="J37" s="11">
        <f t="shared" si="5"/>
        <v>8550986578849</v>
      </c>
      <c r="K37" s="11">
        <f t="shared" si="5"/>
        <v>-59797108943</v>
      </c>
      <c r="L37" s="11">
        <f t="shared" si="5"/>
        <v>418161601</v>
      </c>
      <c r="M37" s="11">
        <f t="shared" si="5"/>
        <v>-2924207</v>
      </c>
      <c r="N37" s="11">
        <f t="shared" si="5"/>
        <v>20449</v>
      </c>
      <c r="O37" s="11">
        <f t="shared" si="5"/>
        <v>-143</v>
      </c>
      <c r="P37" s="11">
        <f t="shared" si="7"/>
        <v>0</v>
      </c>
    </row>
    <row r="38" spans="1:16" x14ac:dyDescent="0.25">
      <c r="A38" s="11">
        <f t="shared" si="6"/>
        <v>-17</v>
      </c>
      <c r="B38">
        <v>-44.815451044546222</v>
      </c>
      <c r="E38" s="11">
        <f>A38-'Mastercurve bestimmen'!$B$2</f>
        <v>-142</v>
      </c>
      <c r="F38" s="11">
        <f t="shared" si="4"/>
        <v>-44.815451044546222</v>
      </c>
      <c r="G38" s="11"/>
      <c r="H38" s="11">
        <f t="shared" si="5"/>
        <v>1.6531290399891482E+17</v>
      </c>
      <c r="I38" s="11">
        <f t="shared" si="5"/>
        <v>-1164175380274048</v>
      </c>
      <c r="J38" s="11">
        <f t="shared" si="5"/>
        <v>8198418170944</v>
      </c>
      <c r="K38" s="11">
        <f t="shared" si="5"/>
        <v>-57735339232</v>
      </c>
      <c r="L38" s="11">
        <f t="shared" si="5"/>
        <v>406586896</v>
      </c>
      <c r="M38" s="11">
        <f t="shared" si="5"/>
        <v>-2863288</v>
      </c>
      <c r="N38" s="11">
        <f t="shared" si="5"/>
        <v>20164</v>
      </c>
      <c r="O38" s="11">
        <f t="shared" si="5"/>
        <v>-142</v>
      </c>
      <c r="P38" s="11">
        <f t="shared" si="7"/>
        <v>0</v>
      </c>
    </row>
    <row r="39" spans="1:16" x14ac:dyDescent="0.25">
      <c r="A39" s="11">
        <f t="shared" si="6"/>
        <v>-16</v>
      </c>
      <c r="B39">
        <v>-44.734600885810366</v>
      </c>
      <c r="E39" s="11">
        <f>A39-'Mastercurve bestimmen'!$B$2</f>
        <v>-141</v>
      </c>
      <c r="F39" s="11">
        <f t="shared" si="4"/>
        <v>-44.734600885810366</v>
      </c>
      <c r="G39" s="11"/>
      <c r="H39" s="11">
        <f t="shared" si="5"/>
        <v>1.5622585178781392E+17</v>
      </c>
      <c r="I39" s="11">
        <f t="shared" si="5"/>
        <v>-1107984764452581</v>
      </c>
      <c r="J39" s="11">
        <f t="shared" si="5"/>
        <v>7858047974841</v>
      </c>
      <c r="K39" s="11">
        <f t="shared" si="5"/>
        <v>-55730836701</v>
      </c>
      <c r="L39" s="11">
        <f t="shared" si="5"/>
        <v>395254161</v>
      </c>
      <c r="M39" s="11">
        <f t="shared" si="5"/>
        <v>-2803221</v>
      </c>
      <c r="N39" s="11">
        <f t="shared" si="5"/>
        <v>19881</v>
      </c>
      <c r="O39" s="11">
        <f t="shared" si="5"/>
        <v>-141</v>
      </c>
      <c r="P39" s="11">
        <f t="shared" si="7"/>
        <v>0</v>
      </c>
    </row>
    <row r="40" spans="1:16" x14ac:dyDescent="0.25">
      <c r="A40" s="11">
        <f t="shared" si="6"/>
        <v>-15</v>
      </c>
      <c r="B40">
        <v>-44.651685179737882</v>
      </c>
      <c r="E40" s="11">
        <f>A40-'Mastercurve bestimmen'!$B$2</f>
        <v>-140</v>
      </c>
      <c r="F40" s="11">
        <f t="shared" si="4"/>
        <v>-44.651685179737882</v>
      </c>
      <c r="G40" s="11"/>
      <c r="H40" s="11">
        <f t="shared" si="5"/>
        <v>1.475789056E+17</v>
      </c>
      <c r="I40" s="11">
        <f t="shared" si="5"/>
        <v>-1054135040000000</v>
      </c>
      <c r="J40" s="11">
        <f t="shared" si="5"/>
        <v>7529536000000</v>
      </c>
      <c r="K40" s="11">
        <f t="shared" si="5"/>
        <v>-53782400000</v>
      </c>
      <c r="L40" s="11">
        <f t="shared" si="5"/>
        <v>384160000</v>
      </c>
      <c r="M40" s="11">
        <f t="shared" si="5"/>
        <v>-2744000</v>
      </c>
      <c r="N40" s="11">
        <f t="shared" si="5"/>
        <v>19600</v>
      </c>
      <c r="O40" s="11">
        <f t="shared" si="5"/>
        <v>-140</v>
      </c>
      <c r="P40" s="11">
        <f t="shared" si="7"/>
        <v>0</v>
      </c>
    </row>
    <row r="41" spans="1:16" x14ac:dyDescent="0.25">
      <c r="A41" s="11">
        <f t="shared" si="6"/>
        <v>-14</v>
      </c>
      <c r="B41">
        <v>-44.566617861856429</v>
      </c>
      <c r="E41" s="11">
        <f>A41-'Mastercurve bestimmen'!$B$2</f>
        <v>-139</v>
      </c>
      <c r="F41" s="11">
        <f t="shared" si="4"/>
        <v>-44.566617861856429</v>
      </c>
      <c r="G41" s="11"/>
      <c r="H41" s="11">
        <f t="shared" si="5"/>
        <v>1.3935366721168368E+17</v>
      </c>
      <c r="I41" s="11">
        <f t="shared" si="5"/>
        <v>-1002544368429379</v>
      </c>
      <c r="J41" s="11">
        <f t="shared" si="5"/>
        <v>7212549413161</v>
      </c>
      <c r="K41" s="11">
        <f t="shared" si="5"/>
        <v>-51888844699</v>
      </c>
      <c r="L41" s="11">
        <f t="shared" si="5"/>
        <v>373301041</v>
      </c>
      <c r="M41" s="11">
        <f t="shared" si="5"/>
        <v>-2685619</v>
      </c>
      <c r="N41" s="11">
        <f t="shared" si="5"/>
        <v>19321</v>
      </c>
      <c r="O41" s="11">
        <f t="shared" si="5"/>
        <v>-139</v>
      </c>
      <c r="P41" s="11">
        <f t="shared" si="7"/>
        <v>0</v>
      </c>
    </row>
    <row r="42" spans="1:16" x14ac:dyDescent="0.25">
      <c r="A42" s="11">
        <f t="shared" si="6"/>
        <v>-13</v>
      </c>
      <c r="B42">
        <v>-44.47931286769365</v>
      </c>
      <c r="E42" s="11">
        <f>A42-'Mastercurve bestimmen'!$B$2</f>
        <v>-138</v>
      </c>
      <c r="F42" s="11">
        <f t="shared" si="4"/>
        <v>-44.47931286769365</v>
      </c>
      <c r="G42" s="11"/>
      <c r="H42" s="11">
        <f t="shared" si="5"/>
        <v>1.315323838537321E+17</v>
      </c>
      <c r="I42" s="11">
        <f t="shared" si="5"/>
        <v>-953133216331392</v>
      </c>
      <c r="J42" s="11">
        <f t="shared" si="5"/>
        <v>6906762437184</v>
      </c>
      <c r="K42" s="11">
        <f t="shared" si="5"/>
        <v>-50049003168</v>
      </c>
      <c r="L42" s="11">
        <f t="shared" si="5"/>
        <v>362673936</v>
      </c>
      <c r="M42" s="11">
        <f t="shared" si="5"/>
        <v>-2628072</v>
      </c>
      <c r="N42" s="11">
        <f t="shared" si="5"/>
        <v>19044</v>
      </c>
      <c r="O42" s="11">
        <f t="shared" si="5"/>
        <v>-138</v>
      </c>
      <c r="P42" s="11">
        <f t="shared" si="7"/>
        <v>0</v>
      </c>
    </row>
    <row r="43" spans="1:16" x14ac:dyDescent="0.25">
      <c r="A43" s="11">
        <f t="shared" si="6"/>
        <v>-12</v>
      </c>
      <c r="B43">
        <v>-44.389684132777191</v>
      </c>
      <c r="E43" s="11">
        <f>A43-'Mastercurve bestimmen'!$B$2</f>
        <v>-137</v>
      </c>
      <c r="F43" s="11">
        <f t="shared" si="4"/>
        <v>-44.389684132777191</v>
      </c>
      <c r="G43" s="11"/>
      <c r="H43" s="11">
        <f t="shared" si="5"/>
        <v>1.2409792996768032E+17</v>
      </c>
      <c r="I43" s="11">
        <f t="shared" si="5"/>
        <v>-905824306333433</v>
      </c>
      <c r="J43" s="11">
        <f t="shared" si="5"/>
        <v>6611856250609</v>
      </c>
      <c r="K43" s="11">
        <f t="shared" si="5"/>
        <v>-48261724457</v>
      </c>
      <c r="L43" s="11">
        <f t="shared" si="5"/>
        <v>352275361</v>
      </c>
      <c r="M43" s="11">
        <f t="shared" si="5"/>
        <v>-2571353</v>
      </c>
      <c r="N43" s="11">
        <f t="shared" si="5"/>
        <v>18769</v>
      </c>
      <c r="O43" s="11">
        <f t="shared" si="5"/>
        <v>-137</v>
      </c>
      <c r="P43" s="11">
        <f t="shared" si="7"/>
        <v>0</v>
      </c>
    </row>
    <row r="44" spans="1:16" x14ac:dyDescent="0.25">
      <c r="A44" s="11">
        <f t="shared" si="6"/>
        <v>-11</v>
      </c>
      <c r="B44">
        <v>-44.297645592634673</v>
      </c>
      <c r="E44" s="11">
        <f>A44-'Mastercurve bestimmen'!$B$2</f>
        <v>-136</v>
      </c>
      <c r="F44" s="11">
        <f t="shared" si="4"/>
        <v>-44.297645592634673</v>
      </c>
      <c r="G44" s="11"/>
      <c r="H44" s="11">
        <f t="shared" si="5"/>
        <v>1.1703378935126426E+17</v>
      </c>
      <c r="I44" s="11">
        <f t="shared" si="5"/>
        <v>-860542568759296</v>
      </c>
      <c r="J44" s="11">
        <f t="shared" si="5"/>
        <v>6327518887936</v>
      </c>
      <c r="K44" s="11">
        <f t="shared" si="5"/>
        <v>-46525874176</v>
      </c>
      <c r="L44" s="11">
        <f t="shared" si="5"/>
        <v>342102016</v>
      </c>
      <c r="M44" s="11">
        <f t="shared" si="5"/>
        <v>-2515456</v>
      </c>
      <c r="N44" s="11">
        <f t="shared" si="5"/>
        <v>18496</v>
      </c>
      <c r="O44" s="11">
        <f t="shared" si="5"/>
        <v>-136</v>
      </c>
      <c r="P44" s="11">
        <f t="shared" si="7"/>
        <v>0</v>
      </c>
    </row>
    <row r="45" spans="1:16" x14ac:dyDescent="0.25">
      <c r="A45" s="11">
        <f t="shared" si="6"/>
        <v>-10</v>
      </c>
      <c r="B45">
        <v>-44.203111182793748</v>
      </c>
      <c r="E45" s="11">
        <f>A45-'Mastercurve bestimmen'!$B$2</f>
        <v>-135</v>
      </c>
      <c r="F45" s="11">
        <f t="shared" si="4"/>
        <v>-44.203111182793748</v>
      </c>
      <c r="G45" s="11"/>
      <c r="H45" s="11">
        <f t="shared" si="5"/>
        <v>1.1032403768789062E+17</v>
      </c>
      <c r="I45" s="11">
        <f t="shared" si="5"/>
        <v>-817215093984375</v>
      </c>
      <c r="J45" s="11">
        <f t="shared" si="5"/>
        <v>6053445140625</v>
      </c>
      <c r="K45" s="11">
        <f t="shared" si="5"/>
        <v>-44840334375</v>
      </c>
      <c r="L45" s="11">
        <f t="shared" si="5"/>
        <v>332150625</v>
      </c>
      <c r="M45" s="11">
        <f t="shared" si="5"/>
        <v>-2460375</v>
      </c>
      <c r="N45" s="11">
        <f t="shared" si="5"/>
        <v>18225</v>
      </c>
      <c r="O45" s="11">
        <f t="shared" si="5"/>
        <v>-135</v>
      </c>
      <c r="P45" s="11">
        <f t="shared" si="7"/>
        <v>0</v>
      </c>
    </row>
    <row r="46" spans="1:16" x14ac:dyDescent="0.25">
      <c r="A46" s="11">
        <f t="shared" si="6"/>
        <v>-9</v>
      </c>
      <c r="B46">
        <v>-44.105994838782067</v>
      </c>
      <c r="E46" s="11">
        <f>A46-'Mastercurve bestimmen'!$B$2</f>
        <v>-134</v>
      </c>
      <c r="F46" s="11">
        <f t="shared" si="4"/>
        <v>-44.105994838782067</v>
      </c>
      <c r="G46" s="11"/>
      <c r="H46" s="11">
        <f t="shared" si="5"/>
        <v>1.039533254545001E+17</v>
      </c>
      <c r="I46" s="11">
        <f t="shared" si="5"/>
        <v>-775771085481344</v>
      </c>
      <c r="J46" s="11">
        <f t="shared" si="5"/>
        <v>5789336458816</v>
      </c>
      <c r="K46" s="11">
        <f t="shared" si="5"/>
        <v>-43204003424</v>
      </c>
      <c r="L46" s="11">
        <f t="shared" si="5"/>
        <v>322417936</v>
      </c>
      <c r="M46" s="11">
        <f t="shared" si="5"/>
        <v>-2406104</v>
      </c>
      <c r="N46" s="11">
        <f t="shared" si="5"/>
        <v>17956</v>
      </c>
      <c r="O46" s="11">
        <f t="shared" si="5"/>
        <v>-134</v>
      </c>
      <c r="P46" s="11">
        <f t="shared" si="7"/>
        <v>0</v>
      </c>
    </row>
    <row r="47" spans="1:16" x14ac:dyDescent="0.25">
      <c r="A47" s="11">
        <f t="shared" si="6"/>
        <v>-8</v>
      </c>
      <c r="B47">
        <v>-44.006210496127252</v>
      </c>
      <c r="E47" s="11">
        <f>A47-'Mastercurve bestimmen'!$B$2</f>
        <v>-133</v>
      </c>
      <c r="F47" s="11">
        <f t="shared" si="4"/>
        <v>-44.006210496127252</v>
      </c>
      <c r="G47" s="11"/>
      <c r="H47" s="11">
        <f t="shared" si="5"/>
        <v>9.790686120231984E+16</v>
      </c>
      <c r="I47" s="11">
        <f t="shared" si="5"/>
        <v>-736141813551277</v>
      </c>
      <c r="J47" s="11">
        <f t="shared" si="5"/>
        <v>5534900853769</v>
      </c>
      <c r="K47" s="11">
        <f t="shared" si="5"/>
        <v>-41615795893</v>
      </c>
      <c r="L47" s="11">
        <f t="shared" si="5"/>
        <v>312900721</v>
      </c>
      <c r="M47" s="11">
        <f t="shared" si="5"/>
        <v>-2352637</v>
      </c>
      <c r="N47" s="11">
        <f t="shared" si="5"/>
        <v>17689</v>
      </c>
      <c r="O47" s="11">
        <f t="shared" si="5"/>
        <v>-133</v>
      </c>
      <c r="P47" s="11">
        <f t="shared" si="7"/>
        <v>0</v>
      </c>
    </row>
    <row r="48" spans="1:16" x14ac:dyDescent="0.25">
      <c r="A48" s="11">
        <f t="shared" si="6"/>
        <v>-7</v>
      </c>
      <c r="B48">
        <v>-43.903672090356963</v>
      </c>
      <c r="E48" s="11">
        <f>A48-'Mastercurve bestimmen'!$B$2</f>
        <v>-132</v>
      </c>
      <c r="F48" s="11">
        <f t="shared" si="4"/>
        <v>-43.903672090356963</v>
      </c>
      <c r="G48" s="11"/>
      <c r="H48" s="11">
        <f t="shared" ref="H48:O79" si="8">IF($H$12&gt;=H$14,$E48^H$14,0)</f>
        <v>9.2170395205042176E+16</v>
      </c>
      <c r="I48" s="11">
        <f t="shared" si="8"/>
        <v>-698260569735168</v>
      </c>
      <c r="J48" s="11">
        <f t="shared" si="8"/>
        <v>5289852801024</v>
      </c>
      <c r="K48" s="11">
        <f t="shared" si="8"/>
        <v>-40074642432</v>
      </c>
      <c r="L48" s="11">
        <f t="shared" si="8"/>
        <v>303595776</v>
      </c>
      <c r="M48" s="11">
        <f t="shared" si="8"/>
        <v>-2299968</v>
      </c>
      <c r="N48" s="11">
        <f t="shared" si="8"/>
        <v>17424</v>
      </c>
      <c r="O48" s="11">
        <f t="shared" si="8"/>
        <v>-132</v>
      </c>
      <c r="P48" s="11">
        <f t="shared" si="7"/>
        <v>0</v>
      </c>
    </row>
    <row r="49" spans="1:16" x14ac:dyDescent="0.25">
      <c r="A49" s="11">
        <f t="shared" si="6"/>
        <v>-6</v>
      </c>
      <c r="B49">
        <v>-43.798293556998829</v>
      </c>
      <c r="E49" s="11">
        <f>A49-'Mastercurve bestimmen'!$B$2</f>
        <v>-131</v>
      </c>
      <c r="F49" s="11">
        <f t="shared" si="4"/>
        <v>-43.798293556998829</v>
      </c>
      <c r="G49" s="11"/>
      <c r="H49" s="11">
        <f t="shared" si="8"/>
        <v>8.673020346900624E+16</v>
      </c>
      <c r="I49" s="11">
        <f t="shared" si="8"/>
        <v>-662062621900811</v>
      </c>
      <c r="J49" s="11">
        <f t="shared" si="8"/>
        <v>5053913144281</v>
      </c>
      <c r="K49" s="11">
        <f t="shared" si="8"/>
        <v>-38579489651</v>
      </c>
      <c r="L49" s="11">
        <f t="shared" si="8"/>
        <v>294499921</v>
      </c>
      <c r="M49" s="11">
        <f t="shared" si="8"/>
        <v>-2248091</v>
      </c>
      <c r="N49" s="11">
        <f t="shared" si="8"/>
        <v>17161</v>
      </c>
      <c r="O49" s="11">
        <f t="shared" si="8"/>
        <v>-131</v>
      </c>
      <c r="P49" s="11">
        <f t="shared" si="7"/>
        <v>0</v>
      </c>
    </row>
    <row r="50" spans="1:16" x14ac:dyDescent="0.25">
      <c r="A50" s="11">
        <f t="shared" si="6"/>
        <v>-5</v>
      </c>
      <c r="B50">
        <v>-43.689988831580493</v>
      </c>
      <c r="E50" s="11">
        <f>A50-'Mastercurve bestimmen'!$B$2</f>
        <v>-130</v>
      </c>
      <c r="F50" s="11">
        <f t="shared" si="4"/>
        <v>-43.689988831580493</v>
      </c>
      <c r="G50" s="11"/>
      <c r="H50" s="11">
        <f t="shared" si="8"/>
        <v>8.15730721E+16</v>
      </c>
      <c r="I50" s="11">
        <f t="shared" si="8"/>
        <v>-627485170000000</v>
      </c>
      <c r="J50" s="11">
        <f t="shared" si="8"/>
        <v>4826809000000</v>
      </c>
      <c r="K50" s="11">
        <f t="shared" si="8"/>
        <v>-37129300000</v>
      </c>
      <c r="L50" s="11">
        <f t="shared" si="8"/>
        <v>285610000</v>
      </c>
      <c r="M50" s="11">
        <f t="shared" si="8"/>
        <v>-2197000</v>
      </c>
      <c r="N50" s="11">
        <f t="shared" si="8"/>
        <v>16900</v>
      </c>
      <c r="O50" s="11">
        <f t="shared" si="8"/>
        <v>-130</v>
      </c>
      <c r="P50" s="11">
        <f t="shared" si="7"/>
        <v>0</v>
      </c>
    </row>
    <row r="51" spans="1:16" x14ac:dyDescent="0.25">
      <c r="A51" s="11">
        <f t="shared" si="6"/>
        <v>-4</v>
      </c>
      <c r="B51">
        <v>-43.5786718496296</v>
      </c>
      <c r="E51" s="11">
        <f>A51-'Mastercurve bestimmen'!$B$2</f>
        <v>-129</v>
      </c>
      <c r="F51" s="11">
        <f t="shared" si="4"/>
        <v>-43.5786718496296</v>
      </c>
      <c r="G51" s="11"/>
      <c r="H51" s="11">
        <f t="shared" si="8"/>
        <v>7.668628202134016E+16</v>
      </c>
      <c r="I51" s="11">
        <f t="shared" si="8"/>
        <v>-594467302491009</v>
      </c>
      <c r="J51" s="11">
        <f t="shared" si="8"/>
        <v>4608273662721</v>
      </c>
      <c r="K51" s="11">
        <f t="shared" si="8"/>
        <v>-35723051649</v>
      </c>
      <c r="L51" s="11">
        <f t="shared" si="8"/>
        <v>276922881</v>
      </c>
      <c r="M51" s="11">
        <f t="shared" si="8"/>
        <v>-2146689</v>
      </c>
      <c r="N51" s="11">
        <f t="shared" si="8"/>
        <v>16641</v>
      </c>
      <c r="O51" s="11">
        <f t="shared" si="8"/>
        <v>-129</v>
      </c>
      <c r="P51" s="11">
        <f t="shared" si="7"/>
        <v>0</v>
      </c>
    </row>
    <row r="52" spans="1:16" x14ac:dyDescent="0.25">
      <c r="A52" s="11">
        <f t="shared" si="6"/>
        <v>-3</v>
      </c>
      <c r="B52">
        <v>-43.464256546673788</v>
      </c>
      <c r="E52" s="11">
        <f>A52-'Mastercurve bestimmen'!$B$2</f>
        <v>-128</v>
      </c>
      <c r="F52" s="11">
        <f t="shared" si="4"/>
        <v>-43.464256546673788</v>
      </c>
      <c r="G52" s="11"/>
      <c r="H52" s="11">
        <f t="shared" si="8"/>
        <v>7.2057594037927936E+16</v>
      </c>
      <c r="I52" s="11">
        <f t="shared" si="8"/>
        <v>-562949953421312</v>
      </c>
      <c r="J52" s="11">
        <f t="shared" si="8"/>
        <v>4398046511104</v>
      </c>
      <c r="K52" s="11">
        <f t="shared" si="8"/>
        <v>-34359738368</v>
      </c>
      <c r="L52" s="11">
        <f t="shared" si="8"/>
        <v>268435456</v>
      </c>
      <c r="M52" s="11">
        <f t="shared" si="8"/>
        <v>-2097152</v>
      </c>
      <c r="N52" s="11">
        <f t="shared" si="8"/>
        <v>16384</v>
      </c>
      <c r="O52" s="11">
        <f t="shared" si="8"/>
        <v>-128</v>
      </c>
      <c r="P52" s="11">
        <f t="shared" si="7"/>
        <v>0</v>
      </c>
    </row>
    <row r="53" spans="1:16" x14ac:dyDescent="0.25">
      <c r="A53" s="11">
        <f t="shared" si="6"/>
        <v>-2</v>
      </c>
      <c r="B53">
        <v>-43.346656858240699</v>
      </c>
      <c r="E53" s="11">
        <f>A53-'Mastercurve bestimmen'!$B$2</f>
        <v>-127</v>
      </c>
      <c r="F53" s="11">
        <f t="shared" si="4"/>
        <v>-43.346656858240699</v>
      </c>
      <c r="G53" s="11"/>
      <c r="H53" s="11">
        <f t="shared" si="8"/>
        <v>6.767523424101888E+16</v>
      </c>
      <c r="I53" s="11">
        <f t="shared" si="8"/>
        <v>-532875860165503</v>
      </c>
      <c r="J53" s="11">
        <f t="shared" si="8"/>
        <v>4195872914689</v>
      </c>
      <c r="K53" s="11">
        <f t="shared" si="8"/>
        <v>-33038369407</v>
      </c>
      <c r="L53" s="11">
        <f t="shared" si="8"/>
        <v>260144641</v>
      </c>
      <c r="M53" s="11">
        <f t="shared" si="8"/>
        <v>-2048383</v>
      </c>
      <c r="N53" s="11">
        <f t="shared" si="8"/>
        <v>16129</v>
      </c>
      <c r="O53" s="11">
        <f t="shared" si="8"/>
        <v>-127</v>
      </c>
      <c r="P53" s="11">
        <f t="shared" si="7"/>
        <v>0</v>
      </c>
    </row>
    <row r="54" spans="1:16" x14ac:dyDescent="0.25">
      <c r="A54" s="11">
        <f t="shared" si="6"/>
        <v>-1</v>
      </c>
      <c r="B54">
        <v>-43.225786719857972</v>
      </c>
      <c r="E54" s="11">
        <f>A54-'Mastercurve bestimmen'!$B$2</f>
        <v>-126</v>
      </c>
      <c r="F54" s="11">
        <f t="shared" si="4"/>
        <v>-43.225786719857972</v>
      </c>
      <c r="G54" s="11"/>
      <c r="H54" s="11">
        <f t="shared" si="8"/>
        <v>6.3527879748485376E+16</v>
      </c>
      <c r="I54" s="11">
        <f t="shared" si="8"/>
        <v>-504189521813376</v>
      </c>
      <c r="J54" s="11">
        <f t="shared" si="8"/>
        <v>4001504141376</v>
      </c>
      <c r="K54" s="11">
        <f t="shared" si="8"/>
        <v>-31757969376</v>
      </c>
      <c r="L54" s="11">
        <f t="shared" si="8"/>
        <v>252047376</v>
      </c>
      <c r="M54" s="11">
        <f t="shared" si="8"/>
        <v>-2000376</v>
      </c>
      <c r="N54" s="11">
        <f t="shared" si="8"/>
        <v>15876</v>
      </c>
      <c r="O54" s="11">
        <f t="shared" si="8"/>
        <v>-126</v>
      </c>
      <c r="P54" s="11">
        <f t="shared" si="7"/>
        <v>0</v>
      </c>
    </row>
    <row r="55" spans="1:16" x14ac:dyDescent="0.25">
      <c r="A55" s="11">
        <f t="shared" si="6"/>
        <v>0</v>
      </c>
      <c r="B55">
        <v>-43.101560067053256</v>
      </c>
      <c r="E55" s="11">
        <f>A55-'Mastercurve bestimmen'!$B$2</f>
        <v>-125</v>
      </c>
      <c r="F55" s="11">
        <f t="shared" si="4"/>
        <v>-43.101560067053256</v>
      </c>
      <c r="G55" s="11"/>
      <c r="H55" s="11">
        <f t="shared" si="8"/>
        <v>5.9604644775390624E+16</v>
      </c>
      <c r="I55" s="11">
        <f t="shared" si="8"/>
        <v>-476837158203125</v>
      </c>
      <c r="J55" s="11">
        <f t="shared" si="8"/>
        <v>3814697265625</v>
      </c>
      <c r="K55" s="11">
        <f t="shared" si="8"/>
        <v>-30517578125</v>
      </c>
      <c r="L55" s="11">
        <f t="shared" si="8"/>
        <v>244140625</v>
      </c>
      <c r="M55" s="11">
        <f t="shared" si="8"/>
        <v>-1953125</v>
      </c>
      <c r="N55" s="11">
        <f t="shared" si="8"/>
        <v>15625</v>
      </c>
      <c r="O55" s="11">
        <f t="shared" si="8"/>
        <v>-125</v>
      </c>
      <c r="P55" s="11">
        <f t="shared" si="7"/>
        <v>0</v>
      </c>
    </row>
    <row r="56" spans="1:16" x14ac:dyDescent="0.25">
      <c r="A56" s="11">
        <f t="shared" si="6"/>
        <v>1</v>
      </c>
      <c r="B56">
        <v>-42.966413521785753</v>
      </c>
      <c r="E56" s="11">
        <f>A56-'Mastercurve bestimmen'!$B$2</f>
        <v>-124</v>
      </c>
      <c r="F56" s="11">
        <f t="shared" si="4"/>
        <v>-42.966413521785753</v>
      </c>
      <c r="G56" s="11"/>
      <c r="H56" s="11">
        <f t="shared" si="8"/>
        <v>5.5895067029733376E+16</v>
      </c>
      <c r="I56" s="11">
        <f t="shared" si="8"/>
        <v>-450766669594624</v>
      </c>
      <c r="J56" s="11">
        <f t="shared" si="8"/>
        <v>3635215077376</v>
      </c>
      <c r="K56" s="11">
        <f t="shared" si="8"/>
        <v>-29316250624</v>
      </c>
      <c r="L56" s="11">
        <f t="shared" si="8"/>
        <v>236421376</v>
      </c>
      <c r="M56" s="11">
        <f t="shared" si="8"/>
        <v>-1906624</v>
      </c>
      <c r="N56" s="11">
        <f t="shared" si="8"/>
        <v>15376</v>
      </c>
      <c r="O56" s="11">
        <f t="shared" si="8"/>
        <v>-124</v>
      </c>
      <c r="P56" s="11">
        <f t="shared" si="7"/>
        <v>0</v>
      </c>
    </row>
    <row r="57" spans="1:16" x14ac:dyDescent="0.25">
      <c r="A57" s="11">
        <f t="shared" si="6"/>
        <v>2</v>
      </c>
      <c r="B57">
        <v>-42.827832160611244</v>
      </c>
      <c r="E57" s="11">
        <f>A57-'Mastercurve bestimmen'!$B$2</f>
        <v>-123</v>
      </c>
      <c r="F57" s="11">
        <f t="shared" si="4"/>
        <v>-42.827832160611244</v>
      </c>
      <c r="G57" s="11"/>
      <c r="H57" s="11">
        <f t="shared" si="8"/>
        <v>5.238909442826288E+16</v>
      </c>
      <c r="I57" s="11">
        <f t="shared" si="8"/>
        <v>-425927596977747</v>
      </c>
      <c r="J57" s="11">
        <f t="shared" si="8"/>
        <v>3462825991689</v>
      </c>
      <c r="K57" s="11">
        <f t="shared" si="8"/>
        <v>-28153056843</v>
      </c>
      <c r="L57" s="11">
        <f t="shared" si="8"/>
        <v>228886641</v>
      </c>
      <c r="M57" s="11">
        <f t="shared" si="8"/>
        <v>-1860867</v>
      </c>
      <c r="N57" s="11">
        <f t="shared" si="8"/>
        <v>15129</v>
      </c>
      <c r="O57" s="11">
        <f t="shared" si="8"/>
        <v>-123</v>
      </c>
      <c r="P57" s="11">
        <f t="shared" si="7"/>
        <v>0</v>
      </c>
    </row>
    <row r="58" spans="1:16" x14ac:dyDescent="0.25">
      <c r="A58" s="11">
        <f t="shared" si="6"/>
        <v>3</v>
      </c>
      <c r="B58">
        <v>-42.68582374651713</v>
      </c>
      <c r="E58" s="11">
        <f>A58-'Mastercurve bestimmen'!$B$2</f>
        <v>-122</v>
      </c>
      <c r="F58" s="11">
        <f t="shared" si="4"/>
        <v>-42.68582374651713</v>
      </c>
      <c r="G58" s="11"/>
      <c r="H58" s="11">
        <f t="shared" si="8"/>
        <v>4.9077072127303936E+16</v>
      </c>
      <c r="I58" s="11">
        <f t="shared" si="8"/>
        <v>-402271083010688</v>
      </c>
      <c r="J58" s="11">
        <f t="shared" si="8"/>
        <v>3297303959104</v>
      </c>
      <c r="K58" s="11">
        <f t="shared" si="8"/>
        <v>-27027081632</v>
      </c>
      <c r="L58" s="11">
        <f t="shared" si="8"/>
        <v>221533456</v>
      </c>
      <c r="M58" s="11">
        <f t="shared" si="8"/>
        <v>-1815848</v>
      </c>
      <c r="N58" s="11">
        <f t="shared" si="8"/>
        <v>14884</v>
      </c>
      <c r="O58" s="11">
        <f t="shared" si="8"/>
        <v>-122</v>
      </c>
      <c r="P58" s="11">
        <f t="shared" si="7"/>
        <v>0</v>
      </c>
    </row>
    <row r="59" spans="1:16" x14ac:dyDescent="0.25">
      <c r="A59" s="11">
        <f t="shared" si="6"/>
        <v>4</v>
      </c>
      <c r="B59">
        <v>-42.540396042490755</v>
      </c>
      <c r="E59" s="11">
        <f>A59-'Mastercurve bestimmen'!$B$2</f>
        <v>-121</v>
      </c>
      <c r="F59" s="11">
        <f t="shared" si="4"/>
        <v>-42.540396042490755</v>
      </c>
      <c r="G59" s="11"/>
      <c r="H59" s="11">
        <f t="shared" si="8"/>
        <v>4.594972986357216E+16</v>
      </c>
      <c r="I59" s="11">
        <f t="shared" si="8"/>
        <v>-379749833583241</v>
      </c>
      <c r="J59" s="11">
        <f t="shared" si="8"/>
        <v>3138428376721</v>
      </c>
      <c r="K59" s="11">
        <f t="shared" si="8"/>
        <v>-25937424601</v>
      </c>
      <c r="L59" s="11">
        <f t="shared" si="8"/>
        <v>214358881</v>
      </c>
      <c r="M59" s="11">
        <f t="shared" si="8"/>
        <v>-1771561</v>
      </c>
      <c r="N59" s="11">
        <f t="shared" si="8"/>
        <v>14641</v>
      </c>
      <c r="O59" s="11">
        <f t="shared" si="8"/>
        <v>-121</v>
      </c>
      <c r="P59" s="11">
        <f t="shared" si="7"/>
        <v>0</v>
      </c>
    </row>
    <row r="60" spans="1:16" x14ac:dyDescent="0.25">
      <c r="A60" s="11">
        <f t="shared" si="6"/>
        <v>5</v>
      </c>
      <c r="B60">
        <v>-42.391556811519514</v>
      </c>
      <c r="E60" s="11">
        <f>A60-'Mastercurve bestimmen'!$B$2</f>
        <v>-120</v>
      </c>
      <c r="F60" s="11">
        <f t="shared" si="4"/>
        <v>-42.391556811519514</v>
      </c>
      <c r="G60" s="11"/>
      <c r="H60" s="11">
        <f t="shared" si="8"/>
        <v>4.29981696E+16</v>
      </c>
      <c r="I60" s="11">
        <f t="shared" si="8"/>
        <v>-358318080000000</v>
      </c>
      <c r="J60" s="11">
        <f t="shared" si="8"/>
        <v>2985984000000</v>
      </c>
      <c r="K60" s="11">
        <f t="shared" si="8"/>
        <v>-24883200000</v>
      </c>
      <c r="L60" s="11">
        <f t="shared" si="8"/>
        <v>207360000</v>
      </c>
      <c r="M60" s="11">
        <f t="shared" si="8"/>
        <v>-1728000</v>
      </c>
      <c r="N60" s="11">
        <f t="shared" si="8"/>
        <v>14400</v>
      </c>
      <c r="O60" s="11">
        <f t="shared" si="8"/>
        <v>-120</v>
      </c>
      <c r="P60" s="11">
        <f t="shared" si="7"/>
        <v>0</v>
      </c>
    </row>
    <row r="61" spans="1:16" x14ac:dyDescent="0.25">
      <c r="A61" s="11">
        <f t="shared" si="6"/>
        <v>6</v>
      </c>
      <c r="B61">
        <v>-42.239313816590759</v>
      </c>
      <c r="E61" s="11">
        <f>A61-'Mastercurve bestimmen'!$B$2</f>
        <v>-119</v>
      </c>
      <c r="F61" s="11">
        <f t="shared" si="4"/>
        <v>-42.239313816590759</v>
      </c>
      <c r="G61" s="11"/>
      <c r="H61" s="11">
        <f t="shared" si="8"/>
        <v>4.021385347163424E+16</v>
      </c>
      <c r="I61" s="11">
        <f t="shared" si="8"/>
        <v>-337931541778439</v>
      </c>
      <c r="J61" s="11">
        <f t="shared" si="8"/>
        <v>2839760855281</v>
      </c>
      <c r="K61" s="11">
        <f t="shared" si="8"/>
        <v>-23863536599</v>
      </c>
      <c r="L61" s="11">
        <f t="shared" si="8"/>
        <v>200533921</v>
      </c>
      <c r="M61" s="11">
        <f t="shared" si="8"/>
        <v>-1685159</v>
      </c>
      <c r="N61" s="11">
        <f t="shared" si="8"/>
        <v>14161</v>
      </c>
      <c r="O61" s="11">
        <f t="shared" si="8"/>
        <v>-119</v>
      </c>
      <c r="P61" s="11">
        <f t="shared" si="7"/>
        <v>0</v>
      </c>
    </row>
    <row r="62" spans="1:16" x14ac:dyDescent="0.25">
      <c r="A62" s="11">
        <f t="shared" si="6"/>
        <v>7</v>
      </c>
      <c r="B62">
        <v>-42.083674820691854</v>
      </c>
      <c r="E62" s="11">
        <f>A62-'Mastercurve bestimmen'!$B$2</f>
        <v>-118</v>
      </c>
      <c r="F62" s="11">
        <f t="shared" si="4"/>
        <v>-42.083674820691854</v>
      </c>
      <c r="G62" s="11"/>
      <c r="H62" s="11">
        <f t="shared" si="8"/>
        <v>3.7588592026706176E+16</v>
      </c>
      <c r="I62" s="11">
        <f t="shared" si="8"/>
        <v>-318547390056832</v>
      </c>
      <c r="J62" s="11">
        <f t="shared" si="8"/>
        <v>2699554153024</v>
      </c>
      <c r="K62" s="11">
        <f t="shared" si="8"/>
        <v>-22877577568</v>
      </c>
      <c r="L62" s="11">
        <f t="shared" si="8"/>
        <v>193877776</v>
      </c>
      <c r="M62" s="11">
        <f t="shared" si="8"/>
        <v>-1643032</v>
      </c>
      <c r="N62" s="11">
        <f t="shared" si="8"/>
        <v>13924</v>
      </c>
      <c r="O62" s="11">
        <f t="shared" si="8"/>
        <v>-118</v>
      </c>
      <c r="P62" s="11">
        <f t="shared" si="7"/>
        <v>0</v>
      </c>
    </row>
    <row r="63" spans="1:16" x14ac:dyDescent="0.25">
      <c r="A63" s="11">
        <f t="shared" si="6"/>
        <v>8</v>
      </c>
      <c r="B63">
        <v>-41.924647586810181</v>
      </c>
      <c r="E63" s="11">
        <f>A63-'Mastercurve bestimmen'!$B$2</f>
        <v>-117</v>
      </c>
      <c r="F63" s="11">
        <f t="shared" si="4"/>
        <v>-41.924647586810181</v>
      </c>
      <c r="G63" s="11"/>
      <c r="H63" s="11">
        <f t="shared" si="8"/>
        <v>3.511453275801584E+16</v>
      </c>
      <c r="I63" s="11">
        <f t="shared" si="8"/>
        <v>-300124211606973</v>
      </c>
      <c r="J63" s="11">
        <f t="shared" si="8"/>
        <v>2565164201769</v>
      </c>
      <c r="K63" s="11">
        <f t="shared" si="8"/>
        <v>-21924480357</v>
      </c>
      <c r="L63" s="11">
        <f t="shared" si="8"/>
        <v>187388721</v>
      </c>
      <c r="M63" s="11">
        <f t="shared" si="8"/>
        <v>-1601613</v>
      </c>
      <c r="N63" s="11">
        <f t="shared" si="8"/>
        <v>13689</v>
      </c>
      <c r="O63" s="11">
        <f t="shared" si="8"/>
        <v>-117</v>
      </c>
      <c r="P63" s="11">
        <f t="shared" si="7"/>
        <v>0</v>
      </c>
    </row>
    <row r="64" spans="1:16" x14ac:dyDescent="0.25">
      <c r="A64" s="11">
        <f t="shared" si="6"/>
        <v>9</v>
      </c>
      <c r="B64">
        <v>-41.762239877933098</v>
      </c>
      <c r="E64" s="11">
        <f>A64-'Mastercurve bestimmen'!$B$2</f>
        <v>-116</v>
      </c>
      <c r="F64" s="11">
        <f t="shared" si="4"/>
        <v>-41.762239877933098</v>
      </c>
      <c r="G64" s="11"/>
      <c r="H64" s="11">
        <f t="shared" si="8"/>
        <v>3.2784148919812096E+16</v>
      </c>
      <c r="I64" s="11">
        <f t="shared" si="8"/>
        <v>-282621973446656</v>
      </c>
      <c r="J64" s="11">
        <f t="shared" si="8"/>
        <v>2436396322816</v>
      </c>
      <c r="K64" s="11">
        <f t="shared" si="8"/>
        <v>-21003416576</v>
      </c>
      <c r="L64" s="11">
        <f t="shared" si="8"/>
        <v>181063936</v>
      </c>
      <c r="M64" s="11">
        <f t="shared" si="8"/>
        <v>-1560896</v>
      </c>
      <c r="N64" s="11">
        <f t="shared" si="8"/>
        <v>13456</v>
      </c>
      <c r="O64" s="11">
        <f t="shared" si="8"/>
        <v>-116</v>
      </c>
      <c r="P64" s="11">
        <f t="shared" si="7"/>
        <v>0</v>
      </c>
    </row>
    <row r="65" spans="1:16" x14ac:dyDescent="0.25">
      <c r="A65" s="11">
        <f t="shared" si="6"/>
        <v>10</v>
      </c>
      <c r="B65">
        <v>-41.59645945704797</v>
      </c>
      <c r="E65" s="11">
        <f>A65-'Mastercurve bestimmen'!$B$2</f>
        <v>-115</v>
      </c>
      <c r="F65" s="11">
        <f t="shared" si="4"/>
        <v>-41.59645945704797</v>
      </c>
      <c r="G65" s="11"/>
      <c r="H65" s="11">
        <f t="shared" si="8"/>
        <v>3.0590228625390624E+16</v>
      </c>
      <c r="I65" s="11">
        <f t="shared" si="8"/>
        <v>-266001988046875</v>
      </c>
      <c r="J65" s="11">
        <f t="shared" si="8"/>
        <v>2313060765625</v>
      </c>
      <c r="K65" s="11">
        <f t="shared" si="8"/>
        <v>-20113571875</v>
      </c>
      <c r="L65" s="11">
        <f t="shared" si="8"/>
        <v>174900625</v>
      </c>
      <c r="M65" s="11">
        <f t="shared" si="8"/>
        <v>-1520875</v>
      </c>
      <c r="N65" s="11">
        <f t="shared" si="8"/>
        <v>13225</v>
      </c>
      <c r="O65" s="11">
        <f t="shared" si="8"/>
        <v>-115</v>
      </c>
      <c r="P65" s="11">
        <f t="shared" si="7"/>
        <v>0</v>
      </c>
    </row>
    <row r="66" spans="1:16" x14ac:dyDescent="0.25">
      <c r="A66" s="11">
        <f t="shared" si="6"/>
        <v>11</v>
      </c>
      <c r="B66">
        <v>-41.427314087142179</v>
      </c>
      <c r="E66" s="11">
        <f>A66-'Mastercurve bestimmen'!$B$2</f>
        <v>-114</v>
      </c>
      <c r="F66" s="11">
        <f t="shared" si="4"/>
        <v>-41.427314087142179</v>
      </c>
      <c r="G66" s="11"/>
      <c r="H66" s="11">
        <f t="shared" si="8"/>
        <v>2.8525864220672256E+16</v>
      </c>
      <c r="I66" s="11">
        <f t="shared" si="8"/>
        <v>-250226879128704</v>
      </c>
      <c r="J66" s="11">
        <f t="shared" si="8"/>
        <v>2194972623936</v>
      </c>
      <c r="K66" s="11">
        <f t="shared" si="8"/>
        <v>-19254145824</v>
      </c>
      <c r="L66" s="11">
        <f t="shared" si="8"/>
        <v>168896016</v>
      </c>
      <c r="M66" s="11">
        <f t="shared" si="8"/>
        <v>-1481544</v>
      </c>
      <c r="N66" s="11">
        <f t="shared" si="8"/>
        <v>12996</v>
      </c>
      <c r="O66" s="11">
        <f t="shared" si="8"/>
        <v>-114</v>
      </c>
      <c r="P66" s="11">
        <f t="shared" si="7"/>
        <v>0</v>
      </c>
    </row>
    <row r="67" spans="1:16" x14ac:dyDescent="0.25">
      <c r="A67" s="11">
        <f t="shared" si="6"/>
        <v>12</v>
      </c>
      <c r="B67">
        <v>-41.254811531203082</v>
      </c>
      <c r="E67" s="11">
        <f>A67-'Mastercurve bestimmen'!$B$2</f>
        <v>-113</v>
      </c>
      <c r="F67" s="11">
        <f t="shared" si="4"/>
        <v>-41.254811531203082</v>
      </c>
      <c r="G67" s="11"/>
      <c r="H67" s="11">
        <f t="shared" si="8"/>
        <v>2.658444192906432E+16</v>
      </c>
      <c r="I67" s="11">
        <f t="shared" si="8"/>
        <v>-235260548044817</v>
      </c>
      <c r="J67" s="11">
        <f t="shared" si="8"/>
        <v>2081951752609</v>
      </c>
      <c r="K67" s="11">
        <f t="shared" si="8"/>
        <v>-18424351793</v>
      </c>
      <c r="L67" s="11">
        <f t="shared" si="8"/>
        <v>163047361</v>
      </c>
      <c r="M67" s="11">
        <f t="shared" si="8"/>
        <v>-1442897</v>
      </c>
      <c r="N67" s="11">
        <f t="shared" si="8"/>
        <v>12769</v>
      </c>
      <c r="O67" s="11">
        <f t="shared" si="8"/>
        <v>-113</v>
      </c>
      <c r="P67" s="11">
        <f t="shared" si="7"/>
        <v>0</v>
      </c>
    </row>
    <row r="68" spans="1:16" x14ac:dyDescent="0.25">
      <c r="A68" s="11">
        <f t="shared" si="6"/>
        <v>13</v>
      </c>
      <c r="B68">
        <v>-41.078959552218052</v>
      </c>
      <c r="E68" s="11">
        <f>A68-'Mastercurve bestimmen'!$B$2</f>
        <v>-112</v>
      </c>
      <c r="F68" s="11">
        <f t="shared" si="4"/>
        <v>-41.078959552218052</v>
      </c>
      <c r="G68" s="11"/>
      <c r="H68" s="11">
        <f t="shared" si="8"/>
        <v>2.4759631762948096E+16</v>
      </c>
      <c r="I68" s="11">
        <f t="shared" si="8"/>
        <v>-221068140740608</v>
      </c>
      <c r="J68" s="11">
        <f t="shared" si="8"/>
        <v>1973822685184</v>
      </c>
      <c r="K68" s="11">
        <f t="shared" si="8"/>
        <v>-17623416832</v>
      </c>
      <c r="L68" s="11">
        <f t="shared" si="8"/>
        <v>157351936</v>
      </c>
      <c r="M68" s="11">
        <f t="shared" si="8"/>
        <v>-1404928</v>
      </c>
      <c r="N68" s="11">
        <f t="shared" si="8"/>
        <v>12544</v>
      </c>
      <c r="O68" s="11">
        <f t="shared" si="8"/>
        <v>-112</v>
      </c>
      <c r="P68" s="11">
        <f t="shared" si="7"/>
        <v>0</v>
      </c>
    </row>
    <row r="69" spans="1:16" x14ac:dyDescent="0.25">
      <c r="A69" s="11">
        <f t="shared" si="6"/>
        <v>14</v>
      </c>
      <c r="B69">
        <v>-40.899765913174456</v>
      </c>
      <c r="E69" s="11">
        <f>A69-'Mastercurve bestimmen'!$B$2</f>
        <v>-111</v>
      </c>
      <c r="F69" s="11">
        <f t="shared" si="4"/>
        <v>-40.899765913174456</v>
      </c>
      <c r="G69" s="11"/>
      <c r="H69" s="11">
        <f t="shared" si="8"/>
        <v>2.304537769717568E+16</v>
      </c>
      <c r="I69" s="11">
        <f t="shared" si="8"/>
        <v>-207616015289871</v>
      </c>
      <c r="J69" s="11">
        <f t="shared" si="8"/>
        <v>1870414552161</v>
      </c>
      <c r="K69" s="11">
        <f t="shared" si="8"/>
        <v>-16850581551</v>
      </c>
      <c r="L69" s="11">
        <f t="shared" si="8"/>
        <v>151807041</v>
      </c>
      <c r="M69" s="11">
        <f t="shared" si="8"/>
        <v>-1367631</v>
      </c>
      <c r="N69" s="11">
        <f t="shared" si="8"/>
        <v>12321</v>
      </c>
      <c r="O69" s="11">
        <f t="shared" si="8"/>
        <v>-111</v>
      </c>
      <c r="P69" s="11">
        <f t="shared" si="7"/>
        <v>0</v>
      </c>
    </row>
    <row r="70" spans="1:16" x14ac:dyDescent="0.25">
      <c r="A70" s="11">
        <f t="shared" si="6"/>
        <v>15</v>
      </c>
      <c r="B70">
        <v>-40.717238377059658</v>
      </c>
      <c r="E70" s="11">
        <f>A70-'Mastercurve bestimmen'!$B$2</f>
        <v>-110</v>
      </c>
      <c r="F70" s="11">
        <f t="shared" si="4"/>
        <v>-40.717238377059658</v>
      </c>
      <c r="G70" s="11"/>
      <c r="H70" s="11">
        <f t="shared" si="8"/>
        <v>2.14358881E+16</v>
      </c>
      <c r="I70" s="11">
        <f t="shared" si="8"/>
        <v>-194871710000000</v>
      </c>
      <c r="J70" s="11">
        <f t="shared" si="8"/>
        <v>1771561000000</v>
      </c>
      <c r="K70" s="11">
        <f t="shared" si="8"/>
        <v>-16105100000</v>
      </c>
      <c r="L70" s="11">
        <f t="shared" si="8"/>
        <v>146410000</v>
      </c>
      <c r="M70" s="11">
        <f t="shared" si="8"/>
        <v>-1331000</v>
      </c>
      <c r="N70" s="11">
        <f t="shared" si="8"/>
        <v>12100</v>
      </c>
      <c r="O70" s="11">
        <f t="shared" si="8"/>
        <v>-110</v>
      </c>
      <c r="P70" s="11">
        <f t="shared" si="7"/>
        <v>0</v>
      </c>
    </row>
    <row r="71" spans="1:16" x14ac:dyDescent="0.25">
      <c r="A71" s="11">
        <f t="shared" si="6"/>
        <v>16</v>
      </c>
      <c r="B71">
        <v>-40.53138470686104</v>
      </c>
      <c r="E71" s="11">
        <f>A71-'Mastercurve bestimmen'!$B$2</f>
        <v>-109</v>
      </c>
      <c r="F71" s="11">
        <f t="shared" si="4"/>
        <v>-40.53138470686104</v>
      </c>
      <c r="G71" s="11"/>
      <c r="H71" s="11">
        <f t="shared" si="8"/>
        <v>1.992562641690192E+16</v>
      </c>
      <c r="I71" s="11">
        <f t="shared" si="8"/>
        <v>-182803912081669</v>
      </c>
      <c r="J71" s="11">
        <f t="shared" si="8"/>
        <v>1677100110841</v>
      </c>
      <c r="K71" s="11">
        <f t="shared" si="8"/>
        <v>-15386239549</v>
      </c>
      <c r="L71" s="11">
        <f t="shared" si="8"/>
        <v>141158161</v>
      </c>
      <c r="M71" s="11">
        <f t="shared" si="8"/>
        <v>-1295029</v>
      </c>
      <c r="N71" s="11">
        <f t="shared" si="8"/>
        <v>11881</v>
      </c>
      <c r="O71" s="11">
        <f t="shared" si="8"/>
        <v>-109</v>
      </c>
      <c r="P71" s="11">
        <f t="shared" si="7"/>
        <v>0</v>
      </c>
    </row>
    <row r="72" spans="1:16" x14ac:dyDescent="0.25">
      <c r="A72" s="11">
        <f t="shared" si="6"/>
        <v>17</v>
      </c>
      <c r="B72">
        <v>-40.342212665565953</v>
      </c>
      <c r="E72" s="11">
        <f>A72-'Mastercurve bestimmen'!$B$2</f>
        <v>-108</v>
      </c>
      <c r="F72" s="11">
        <f t="shared" si="4"/>
        <v>-40.342212665565953</v>
      </c>
      <c r="G72" s="11"/>
      <c r="H72" s="11">
        <f t="shared" si="8"/>
        <v>1.8509302102818816E+16</v>
      </c>
      <c r="I72" s="11">
        <f t="shared" si="8"/>
        <v>-171382426877952</v>
      </c>
      <c r="J72" s="11">
        <f t="shared" si="8"/>
        <v>1586874322944</v>
      </c>
      <c r="K72" s="11">
        <f t="shared" si="8"/>
        <v>-14693280768</v>
      </c>
      <c r="L72" s="11">
        <f t="shared" si="8"/>
        <v>136048896</v>
      </c>
      <c r="M72" s="11">
        <f t="shared" si="8"/>
        <v>-1259712</v>
      </c>
      <c r="N72" s="11">
        <f t="shared" si="8"/>
        <v>11664</v>
      </c>
      <c r="O72" s="11">
        <f t="shared" si="8"/>
        <v>-108</v>
      </c>
      <c r="P72" s="11">
        <f t="shared" si="7"/>
        <v>0</v>
      </c>
    </row>
    <row r="73" spans="1:16" x14ac:dyDescent="0.25">
      <c r="A73" s="11">
        <f t="shared" si="6"/>
        <v>18</v>
      </c>
      <c r="B73">
        <v>-40.149730016161776</v>
      </c>
      <c r="E73" s="11">
        <f>A73-'Mastercurve bestimmen'!$B$2</f>
        <v>-107</v>
      </c>
      <c r="F73" s="11">
        <f t="shared" si="4"/>
        <v>-40.149730016161776</v>
      </c>
      <c r="G73" s="11"/>
      <c r="H73" s="11">
        <f t="shared" si="8"/>
        <v>1.71818617983192E+16</v>
      </c>
      <c r="I73" s="11">
        <f t="shared" si="8"/>
        <v>-160578147647843</v>
      </c>
      <c r="J73" s="11">
        <f t="shared" si="8"/>
        <v>1500730351849</v>
      </c>
      <c r="K73" s="11">
        <f t="shared" si="8"/>
        <v>-14025517307</v>
      </c>
      <c r="L73" s="11">
        <f t="shared" si="8"/>
        <v>131079601</v>
      </c>
      <c r="M73" s="11">
        <f t="shared" si="8"/>
        <v>-1225043</v>
      </c>
      <c r="N73" s="11">
        <f t="shared" si="8"/>
        <v>11449</v>
      </c>
      <c r="O73" s="11">
        <f t="shared" si="8"/>
        <v>-107</v>
      </c>
      <c r="P73" s="11">
        <f t="shared" si="7"/>
        <v>0</v>
      </c>
    </row>
    <row r="74" spans="1:16" x14ac:dyDescent="0.25">
      <c r="A74" s="11">
        <f t="shared" si="6"/>
        <v>19</v>
      </c>
      <c r="B74">
        <v>-39.953944521635876</v>
      </c>
      <c r="E74" s="11">
        <f>A74-'Mastercurve bestimmen'!$B$2</f>
        <v>-106</v>
      </c>
      <c r="F74" s="11">
        <f t="shared" si="4"/>
        <v>-39.953944521635876</v>
      </c>
      <c r="G74" s="11"/>
      <c r="H74" s="11">
        <f t="shared" si="8"/>
        <v>1.5938480745308416E+16</v>
      </c>
      <c r="I74" s="11">
        <f t="shared" si="8"/>
        <v>-150363025899136</v>
      </c>
      <c r="J74" s="11">
        <f t="shared" si="8"/>
        <v>1418519112256</v>
      </c>
      <c r="K74" s="11">
        <f t="shared" si="8"/>
        <v>-13382255776</v>
      </c>
      <c r="L74" s="11">
        <f t="shared" si="8"/>
        <v>126247696</v>
      </c>
      <c r="M74" s="11">
        <f t="shared" si="8"/>
        <v>-1191016</v>
      </c>
      <c r="N74" s="11">
        <f t="shared" si="8"/>
        <v>11236</v>
      </c>
      <c r="O74" s="11">
        <f t="shared" si="8"/>
        <v>-106</v>
      </c>
      <c r="P74" s="11">
        <f t="shared" si="7"/>
        <v>0</v>
      </c>
    </row>
    <row r="75" spans="1:16" x14ac:dyDescent="0.25">
      <c r="A75" s="11">
        <f t="shared" si="6"/>
        <v>20</v>
      </c>
      <c r="B75">
        <v>-39.754863944975618</v>
      </c>
      <c r="E75" s="11">
        <f>A75-'Mastercurve bestimmen'!$B$2</f>
        <v>-105</v>
      </c>
      <c r="F75" s="11">
        <f t="shared" si="4"/>
        <v>-39.754863944975618</v>
      </c>
      <c r="G75" s="11"/>
      <c r="H75" s="11">
        <f t="shared" si="8"/>
        <v>1.4774554437890624E+16</v>
      </c>
      <c r="I75" s="11">
        <f t="shared" si="8"/>
        <v>-140710042265625</v>
      </c>
      <c r="J75" s="11">
        <f t="shared" si="8"/>
        <v>1340095640625</v>
      </c>
      <c r="K75" s="11">
        <f t="shared" si="8"/>
        <v>-12762815625</v>
      </c>
      <c r="L75" s="11">
        <f t="shared" si="8"/>
        <v>121550625</v>
      </c>
      <c r="M75" s="11">
        <f t="shared" si="8"/>
        <v>-1157625</v>
      </c>
      <c r="N75" s="11">
        <f t="shared" si="8"/>
        <v>11025</v>
      </c>
      <c r="O75" s="11">
        <f t="shared" si="8"/>
        <v>-105</v>
      </c>
      <c r="P75" s="11">
        <f t="shared" si="7"/>
        <v>0</v>
      </c>
    </row>
    <row r="76" spans="1:16" x14ac:dyDescent="0.25">
      <c r="A76" s="11">
        <f t="shared" si="6"/>
        <v>21</v>
      </c>
      <c r="B76">
        <v>-39.552496049168369</v>
      </c>
      <c r="E76" s="11">
        <f>A76-'Mastercurve bestimmen'!$B$2</f>
        <v>-104</v>
      </c>
      <c r="F76" s="11">
        <f t="shared" si="4"/>
        <v>-39.552496049168369</v>
      </c>
      <c r="G76" s="11"/>
      <c r="H76" s="11">
        <f t="shared" si="8"/>
        <v>1.3685690504052736E+16</v>
      </c>
      <c r="I76" s="11">
        <f t="shared" si="8"/>
        <v>-131593177923584</v>
      </c>
      <c r="J76" s="11">
        <f t="shared" si="8"/>
        <v>1265319018496</v>
      </c>
      <c r="K76" s="11">
        <f t="shared" si="8"/>
        <v>-12166529024</v>
      </c>
      <c r="L76" s="11">
        <f t="shared" si="8"/>
        <v>116985856</v>
      </c>
      <c r="M76" s="11">
        <f t="shared" si="8"/>
        <v>-1124864</v>
      </c>
      <c r="N76" s="11">
        <f t="shared" si="8"/>
        <v>10816</v>
      </c>
      <c r="O76" s="11">
        <f t="shared" si="8"/>
        <v>-104</v>
      </c>
      <c r="P76" s="11">
        <f t="shared" si="7"/>
        <v>0</v>
      </c>
    </row>
    <row r="77" spans="1:16" x14ac:dyDescent="0.25">
      <c r="A77" s="11">
        <f t="shared" si="6"/>
        <v>22</v>
      </c>
      <c r="B77">
        <v>-39.346848597201507</v>
      </c>
      <c r="E77" s="11">
        <f>A77-'Mastercurve bestimmen'!$B$2</f>
        <v>-103</v>
      </c>
      <c r="F77" s="11">
        <f t="shared" si="4"/>
        <v>-39.346848597201507</v>
      </c>
      <c r="G77" s="11"/>
      <c r="H77" s="11">
        <f t="shared" si="8"/>
        <v>1.266770081387616E+16</v>
      </c>
      <c r="I77" s="11">
        <f t="shared" si="8"/>
        <v>-122987386542487</v>
      </c>
      <c r="J77" s="11">
        <f t="shared" si="8"/>
        <v>1194052296529</v>
      </c>
      <c r="K77" s="11">
        <f t="shared" si="8"/>
        <v>-11592740743</v>
      </c>
      <c r="L77" s="11">
        <f t="shared" si="8"/>
        <v>112550881</v>
      </c>
      <c r="M77" s="11">
        <f t="shared" si="8"/>
        <v>-1092727</v>
      </c>
      <c r="N77" s="11">
        <f t="shared" si="8"/>
        <v>10609</v>
      </c>
      <c r="O77" s="11">
        <f t="shared" si="8"/>
        <v>-103</v>
      </c>
      <c r="P77" s="11">
        <f t="shared" si="7"/>
        <v>0</v>
      </c>
    </row>
    <row r="78" spans="1:16" x14ac:dyDescent="0.25">
      <c r="A78" s="11">
        <f t="shared" si="6"/>
        <v>23</v>
      </c>
      <c r="B78">
        <v>-39.137929352062386</v>
      </c>
      <c r="E78" s="11">
        <f>A78-'Mastercurve bestimmen'!$B$2</f>
        <v>-102</v>
      </c>
      <c r="F78" s="11">
        <f t="shared" si="4"/>
        <v>-39.137929352062386</v>
      </c>
      <c r="G78" s="11"/>
      <c r="H78" s="11">
        <f t="shared" si="8"/>
        <v>1.1716593810022656E+16</v>
      </c>
      <c r="I78" s="11">
        <f t="shared" si="8"/>
        <v>-114868566764928</v>
      </c>
      <c r="J78" s="11">
        <f t="shared" si="8"/>
        <v>1126162419264</v>
      </c>
      <c r="K78" s="11">
        <f t="shared" si="8"/>
        <v>-11040808032</v>
      </c>
      <c r="L78" s="11">
        <f t="shared" si="8"/>
        <v>108243216</v>
      </c>
      <c r="M78" s="11">
        <f t="shared" si="8"/>
        <v>-1061208</v>
      </c>
      <c r="N78" s="11">
        <f t="shared" si="8"/>
        <v>10404</v>
      </c>
      <c r="O78" s="11">
        <f t="shared" si="8"/>
        <v>-102</v>
      </c>
      <c r="P78" s="11">
        <f t="shared" si="7"/>
        <v>0</v>
      </c>
    </row>
    <row r="79" spans="1:16" x14ac:dyDescent="0.25">
      <c r="A79" s="11">
        <f t="shared" si="6"/>
        <v>24</v>
      </c>
      <c r="B79">
        <v>-38.925746076738392</v>
      </c>
      <c r="E79" s="11">
        <f>A79-'Mastercurve bestimmen'!$B$2</f>
        <v>-101</v>
      </c>
      <c r="F79" s="11">
        <f t="shared" si="4"/>
        <v>-38.925746076738392</v>
      </c>
      <c r="G79" s="11"/>
      <c r="H79" s="11">
        <f t="shared" si="8"/>
        <v>1.08285670562808E+16</v>
      </c>
      <c r="I79" s="11">
        <f t="shared" si="8"/>
        <v>-107213535210701</v>
      </c>
      <c r="J79" s="11">
        <f t="shared" si="8"/>
        <v>1061520150601</v>
      </c>
      <c r="K79" s="11">
        <f t="shared" si="8"/>
        <v>-10510100501</v>
      </c>
      <c r="L79" s="11">
        <f t="shared" si="8"/>
        <v>104060401</v>
      </c>
      <c r="M79" s="11">
        <f t="shared" si="8"/>
        <v>-1030301</v>
      </c>
      <c r="N79" s="11">
        <f t="shared" si="8"/>
        <v>10201</v>
      </c>
      <c r="O79" s="11">
        <f t="shared" ref="I79:O116" si="9">IF($H$12&gt;=O$14,$E79^O$14,0)</f>
        <v>-101</v>
      </c>
      <c r="P79" s="11">
        <f t="shared" si="7"/>
        <v>0</v>
      </c>
    </row>
    <row r="80" spans="1:16" x14ac:dyDescent="0.25">
      <c r="A80" s="11">
        <f t="shared" si="6"/>
        <v>25</v>
      </c>
      <c r="B80">
        <v>-38.710306534216876</v>
      </c>
      <c r="E80" s="11">
        <f>A80-'Mastercurve bestimmen'!$B$2</f>
        <v>-100</v>
      </c>
      <c r="F80" s="11">
        <f t="shared" ref="F80:F143" si="10">B80</f>
        <v>-38.710306534216876</v>
      </c>
      <c r="G80" s="11"/>
      <c r="H80" s="11">
        <f t="shared" ref="H80:H143" si="11">IF($H$12&gt;=H$14,$E80^H$14,0)</f>
        <v>1E+16</v>
      </c>
      <c r="I80" s="11">
        <f t="shared" si="9"/>
        <v>-100000000000000</v>
      </c>
      <c r="J80" s="11">
        <f t="shared" si="9"/>
        <v>1000000000000</v>
      </c>
      <c r="K80" s="11">
        <f t="shared" si="9"/>
        <v>-10000000000</v>
      </c>
      <c r="L80" s="11">
        <f t="shared" si="9"/>
        <v>100000000</v>
      </c>
      <c r="M80" s="11">
        <f t="shared" si="9"/>
        <v>-1000000</v>
      </c>
      <c r="N80" s="11">
        <f t="shared" si="9"/>
        <v>10000</v>
      </c>
      <c r="O80" s="11">
        <f t="shared" si="9"/>
        <v>-100</v>
      </c>
      <c r="P80" s="11">
        <f t="shared" si="7"/>
        <v>0</v>
      </c>
    </row>
    <row r="81" spans="1:16" x14ac:dyDescent="0.25">
      <c r="A81" s="11">
        <f t="shared" ref="A81:A144" si="12">A80+1</f>
        <v>26</v>
      </c>
      <c r="B81">
        <v>-38.491603638636001</v>
      </c>
      <c r="E81" s="11">
        <f>A81-'Mastercurve bestimmen'!$B$2</f>
        <v>-99</v>
      </c>
      <c r="F81" s="11">
        <f t="shared" si="10"/>
        <v>-38.491603638636001</v>
      </c>
      <c r="G81" s="11"/>
      <c r="H81" s="11">
        <f t="shared" si="11"/>
        <v>9227446944279200</v>
      </c>
      <c r="I81" s="11">
        <f t="shared" si="9"/>
        <v>-93206534790699</v>
      </c>
      <c r="J81" s="11">
        <f t="shared" si="9"/>
        <v>941480149401</v>
      </c>
      <c r="K81" s="11">
        <f t="shared" si="9"/>
        <v>-9509900499</v>
      </c>
      <c r="L81" s="11">
        <f t="shared" si="9"/>
        <v>96059601</v>
      </c>
      <c r="M81" s="11">
        <f t="shared" si="9"/>
        <v>-970299</v>
      </c>
      <c r="N81" s="11">
        <f t="shared" si="9"/>
        <v>9801</v>
      </c>
      <c r="O81" s="11">
        <f t="shared" si="9"/>
        <v>-99</v>
      </c>
      <c r="P81" s="11">
        <f t="shared" ref="P81:P144" si="13">P80</f>
        <v>0</v>
      </c>
    </row>
    <row r="82" spans="1:16" x14ac:dyDescent="0.25">
      <c r="A82" s="11">
        <f t="shared" si="12"/>
        <v>27</v>
      </c>
      <c r="B82">
        <v>-38.269570908737009</v>
      </c>
      <c r="E82" s="11">
        <f>A82-'Mastercurve bestimmen'!$B$2</f>
        <v>-98</v>
      </c>
      <c r="F82" s="11">
        <f t="shared" si="10"/>
        <v>-38.269570908737009</v>
      </c>
      <c r="G82" s="11"/>
      <c r="H82" s="11">
        <f t="shared" si="11"/>
        <v>8507630225817856</v>
      </c>
      <c r="I82" s="11">
        <f t="shared" si="9"/>
        <v>-86812553324672</v>
      </c>
      <c r="J82" s="11">
        <f t="shared" si="9"/>
        <v>885842380864</v>
      </c>
      <c r="K82" s="11">
        <f t="shared" si="9"/>
        <v>-9039207968</v>
      </c>
      <c r="L82" s="11">
        <f t="shared" si="9"/>
        <v>92236816</v>
      </c>
      <c r="M82" s="11">
        <f t="shared" si="9"/>
        <v>-941192</v>
      </c>
      <c r="N82" s="11">
        <f t="shared" si="9"/>
        <v>9604</v>
      </c>
      <c r="O82" s="11">
        <f t="shared" si="9"/>
        <v>-98</v>
      </c>
      <c r="P82" s="11">
        <f t="shared" si="13"/>
        <v>0</v>
      </c>
    </row>
    <row r="83" spans="1:16" x14ac:dyDescent="0.25">
      <c r="A83" s="11">
        <f t="shared" si="12"/>
        <v>28</v>
      </c>
      <c r="B83">
        <v>-38.044127014411991</v>
      </c>
      <c r="E83" s="11">
        <f>A83-'Mastercurve bestimmen'!$B$2</f>
        <v>-97</v>
      </c>
      <c r="F83" s="11">
        <f t="shared" si="10"/>
        <v>-38.044127014411991</v>
      </c>
      <c r="G83" s="11"/>
      <c r="H83" s="11">
        <f t="shared" si="11"/>
        <v>7837433594376961</v>
      </c>
      <c r="I83" s="11">
        <f t="shared" si="9"/>
        <v>-80798284478113</v>
      </c>
      <c r="J83" s="11">
        <f t="shared" si="9"/>
        <v>832972004929</v>
      </c>
      <c r="K83" s="11">
        <f t="shared" si="9"/>
        <v>-8587340257</v>
      </c>
      <c r="L83" s="11">
        <f t="shared" si="9"/>
        <v>88529281</v>
      </c>
      <c r="M83" s="11">
        <f t="shared" si="9"/>
        <v>-912673</v>
      </c>
      <c r="N83" s="11">
        <f t="shared" si="9"/>
        <v>9409</v>
      </c>
      <c r="O83" s="11">
        <f t="shared" si="9"/>
        <v>-97</v>
      </c>
      <c r="P83" s="11">
        <f t="shared" si="13"/>
        <v>0</v>
      </c>
    </row>
    <row r="84" spans="1:16" x14ac:dyDescent="0.25">
      <c r="A84" s="11">
        <f t="shared" si="12"/>
        <v>29</v>
      </c>
      <c r="B84">
        <v>-37.815190625552965</v>
      </c>
      <c r="E84" s="11">
        <f>A84-'Mastercurve bestimmen'!$B$2</f>
        <v>-96</v>
      </c>
      <c r="F84" s="11">
        <f t="shared" si="10"/>
        <v>-37.815190625552965</v>
      </c>
      <c r="G84" s="11"/>
      <c r="H84" s="11">
        <f t="shared" si="11"/>
        <v>7213895789838336</v>
      </c>
      <c r="I84" s="11">
        <f t="shared" si="9"/>
        <v>-75144747810816</v>
      </c>
      <c r="J84" s="11">
        <f t="shared" si="9"/>
        <v>782757789696</v>
      </c>
      <c r="K84" s="11">
        <f t="shared" si="9"/>
        <v>-8153726976</v>
      </c>
      <c r="L84" s="11">
        <f t="shared" si="9"/>
        <v>84934656</v>
      </c>
      <c r="M84" s="11">
        <f t="shared" si="9"/>
        <v>-884736</v>
      </c>
      <c r="N84" s="11">
        <f t="shared" si="9"/>
        <v>9216</v>
      </c>
      <c r="O84" s="11">
        <f t="shared" si="9"/>
        <v>-96</v>
      </c>
      <c r="P84" s="11">
        <f t="shared" si="13"/>
        <v>0</v>
      </c>
    </row>
    <row r="85" spans="1:16" x14ac:dyDescent="0.25">
      <c r="A85" s="11">
        <f t="shared" si="12"/>
        <v>30</v>
      </c>
      <c r="B85">
        <v>-37.582680412051992</v>
      </c>
      <c r="E85" s="11">
        <f>A85-'Mastercurve bestimmen'!$B$2</f>
        <v>-95</v>
      </c>
      <c r="F85" s="11">
        <f t="shared" si="10"/>
        <v>-37.582680412051992</v>
      </c>
      <c r="G85" s="11"/>
      <c r="H85" s="11">
        <f t="shared" si="11"/>
        <v>6634204312890625</v>
      </c>
      <c r="I85" s="11">
        <f t="shared" si="9"/>
        <v>-69833729609375</v>
      </c>
      <c r="J85" s="11">
        <f t="shared" si="9"/>
        <v>735091890625</v>
      </c>
      <c r="K85" s="11">
        <f t="shared" si="9"/>
        <v>-7737809375</v>
      </c>
      <c r="L85" s="11">
        <f t="shared" si="9"/>
        <v>81450625</v>
      </c>
      <c r="M85" s="11">
        <f t="shared" si="9"/>
        <v>-857375</v>
      </c>
      <c r="N85" s="11">
        <f t="shared" si="9"/>
        <v>9025</v>
      </c>
      <c r="O85" s="11">
        <f t="shared" si="9"/>
        <v>-95</v>
      </c>
      <c r="P85" s="11">
        <f t="shared" si="13"/>
        <v>0</v>
      </c>
    </row>
    <row r="86" spans="1:16" x14ac:dyDescent="0.25">
      <c r="A86" s="11">
        <f t="shared" si="12"/>
        <v>31</v>
      </c>
      <c r="B86">
        <v>-37.346515043801119</v>
      </c>
      <c r="E86" s="11">
        <f>A86-'Mastercurve bestimmen'!$B$2</f>
        <v>-94</v>
      </c>
      <c r="F86" s="11">
        <f t="shared" si="10"/>
        <v>-37.346515043801119</v>
      </c>
      <c r="G86" s="11"/>
      <c r="H86" s="11">
        <f t="shared" si="11"/>
        <v>6095689385410816</v>
      </c>
      <c r="I86" s="11">
        <f t="shared" si="9"/>
        <v>-64847759419264</v>
      </c>
      <c r="J86" s="11">
        <f t="shared" si="9"/>
        <v>689869781056</v>
      </c>
      <c r="K86" s="11">
        <f t="shared" si="9"/>
        <v>-7339040224</v>
      </c>
      <c r="L86" s="11">
        <f t="shared" si="9"/>
        <v>78074896</v>
      </c>
      <c r="M86" s="11">
        <f t="shared" si="9"/>
        <v>-830584</v>
      </c>
      <c r="N86" s="11">
        <f t="shared" si="9"/>
        <v>8836</v>
      </c>
      <c r="O86" s="11">
        <f t="shared" si="9"/>
        <v>-94</v>
      </c>
      <c r="P86" s="11">
        <f t="shared" si="13"/>
        <v>0</v>
      </c>
    </row>
    <row r="87" spans="1:16" x14ac:dyDescent="0.25">
      <c r="A87" s="11">
        <f t="shared" si="12"/>
        <v>32</v>
      </c>
      <c r="B87">
        <v>-37.1066131906924</v>
      </c>
      <c r="E87" s="11">
        <f>A87-'Mastercurve bestimmen'!$B$2</f>
        <v>-93</v>
      </c>
      <c r="F87" s="11">
        <f t="shared" si="10"/>
        <v>-37.1066131906924</v>
      </c>
      <c r="G87" s="11"/>
      <c r="H87" s="11">
        <f t="shared" si="11"/>
        <v>5595818096650401</v>
      </c>
      <c r="I87" s="11">
        <f t="shared" si="9"/>
        <v>-60170087060757</v>
      </c>
      <c r="J87" s="11">
        <f t="shared" si="9"/>
        <v>646990183449</v>
      </c>
      <c r="K87" s="11">
        <f t="shared" si="9"/>
        <v>-6956883693</v>
      </c>
      <c r="L87" s="11">
        <f t="shared" si="9"/>
        <v>74805201</v>
      </c>
      <c r="M87" s="11">
        <f t="shared" si="9"/>
        <v>-804357</v>
      </c>
      <c r="N87" s="11">
        <f t="shared" si="9"/>
        <v>8649</v>
      </c>
      <c r="O87" s="11">
        <f t="shared" si="9"/>
        <v>-93</v>
      </c>
      <c r="P87" s="11">
        <f t="shared" si="13"/>
        <v>0</v>
      </c>
    </row>
    <row r="88" spans="1:16" x14ac:dyDescent="0.25">
      <c r="A88" s="11">
        <f t="shared" si="12"/>
        <v>33</v>
      </c>
      <c r="B88">
        <v>-36.862893522617881</v>
      </c>
      <c r="E88" s="11">
        <f>A88-'Mastercurve bestimmen'!$B$2</f>
        <v>-92</v>
      </c>
      <c r="F88" s="11">
        <f t="shared" si="10"/>
        <v>-36.862893522617881</v>
      </c>
      <c r="G88" s="11"/>
      <c r="H88" s="11">
        <f t="shared" si="11"/>
        <v>5132188731375616</v>
      </c>
      <c r="I88" s="11">
        <f t="shared" si="9"/>
        <v>-55784660123648</v>
      </c>
      <c r="J88" s="11">
        <f t="shared" si="9"/>
        <v>606355001344</v>
      </c>
      <c r="K88" s="11">
        <f t="shared" si="9"/>
        <v>-6590815232</v>
      </c>
      <c r="L88" s="11">
        <f t="shared" si="9"/>
        <v>71639296</v>
      </c>
      <c r="M88" s="11">
        <f t="shared" si="9"/>
        <v>-778688</v>
      </c>
      <c r="N88" s="11">
        <f t="shared" si="9"/>
        <v>8464</v>
      </c>
      <c r="O88" s="11">
        <f t="shared" si="9"/>
        <v>-92</v>
      </c>
      <c r="P88" s="11">
        <f t="shared" si="13"/>
        <v>0</v>
      </c>
    </row>
    <row r="89" spans="1:16" x14ac:dyDescent="0.25">
      <c r="A89" s="11">
        <f t="shared" si="12"/>
        <v>34</v>
      </c>
      <c r="B89">
        <v>-36.61527470946961</v>
      </c>
      <c r="E89" s="11">
        <f>A89-'Mastercurve bestimmen'!$B$2</f>
        <v>-91</v>
      </c>
      <c r="F89" s="11">
        <f t="shared" si="10"/>
        <v>-36.61527470946961</v>
      </c>
      <c r="G89" s="11"/>
      <c r="H89" s="11">
        <f t="shared" si="11"/>
        <v>4702525276151521</v>
      </c>
      <c r="I89" s="11">
        <f t="shared" si="9"/>
        <v>-51676101935731</v>
      </c>
      <c r="J89" s="11">
        <f t="shared" si="9"/>
        <v>567869252041</v>
      </c>
      <c r="K89" s="11">
        <f t="shared" si="9"/>
        <v>-6240321451</v>
      </c>
      <c r="L89" s="11">
        <f t="shared" si="9"/>
        <v>68574961</v>
      </c>
      <c r="M89" s="11">
        <f t="shared" si="9"/>
        <v>-753571</v>
      </c>
      <c r="N89" s="11">
        <f t="shared" si="9"/>
        <v>8281</v>
      </c>
      <c r="O89" s="11">
        <f t="shared" si="9"/>
        <v>-91</v>
      </c>
      <c r="P89" s="11">
        <f t="shared" si="13"/>
        <v>0</v>
      </c>
    </row>
    <row r="90" spans="1:16" x14ac:dyDescent="0.25">
      <c r="A90" s="11">
        <f t="shared" si="12"/>
        <v>35</v>
      </c>
      <c r="B90">
        <v>-36.363675421139646</v>
      </c>
      <c r="E90" s="11">
        <f>A90-'Mastercurve bestimmen'!$B$2</f>
        <v>-90</v>
      </c>
      <c r="F90" s="11">
        <f t="shared" si="10"/>
        <v>-36.363675421139646</v>
      </c>
      <c r="G90" s="11"/>
      <c r="H90" s="11">
        <f t="shared" si="11"/>
        <v>4304672100000000</v>
      </c>
      <c r="I90" s="11">
        <f t="shared" si="9"/>
        <v>-47829690000000</v>
      </c>
      <c r="J90" s="11">
        <f t="shared" si="9"/>
        <v>531441000000</v>
      </c>
      <c r="K90" s="11">
        <f t="shared" si="9"/>
        <v>-5904900000</v>
      </c>
      <c r="L90" s="11">
        <f t="shared" si="9"/>
        <v>65610000</v>
      </c>
      <c r="M90" s="11">
        <f t="shared" si="9"/>
        <v>-729000</v>
      </c>
      <c r="N90" s="11">
        <f t="shared" si="9"/>
        <v>8100</v>
      </c>
      <c r="O90" s="11">
        <f t="shared" si="9"/>
        <v>-90</v>
      </c>
      <c r="P90" s="11">
        <f t="shared" si="13"/>
        <v>0</v>
      </c>
    </row>
    <row r="91" spans="1:16" x14ac:dyDescent="0.25">
      <c r="A91" s="11">
        <f t="shared" si="12"/>
        <v>36</v>
      </c>
      <c r="B91">
        <v>-36.108014327520024</v>
      </c>
      <c r="E91" s="11">
        <f>A91-'Mastercurve bestimmen'!$B$2</f>
        <v>-89</v>
      </c>
      <c r="F91" s="11">
        <f t="shared" si="10"/>
        <v>-36.108014327520024</v>
      </c>
      <c r="G91" s="11"/>
      <c r="H91" s="11">
        <f t="shared" si="11"/>
        <v>3936588805702081</v>
      </c>
      <c r="I91" s="11">
        <f t="shared" si="9"/>
        <v>-44231334895529</v>
      </c>
      <c r="J91" s="11">
        <f t="shared" si="9"/>
        <v>496981290961</v>
      </c>
      <c r="K91" s="11">
        <f t="shared" si="9"/>
        <v>-5584059449</v>
      </c>
      <c r="L91" s="11">
        <f t="shared" si="9"/>
        <v>62742241</v>
      </c>
      <c r="M91" s="11">
        <f t="shared" si="9"/>
        <v>-704969</v>
      </c>
      <c r="N91" s="11">
        <f t="shared" si="9"/>
        <v>7921</v>
      </c>
      <c r="O91" s="11">
        <f t="shared" si="9"/>
        <v>-89</v>
      </c>
      <c r="P91" s="11">
        <f t="shared" si="13"/>
        <v>0</v>
      </c>
    </row>
    <row r="92" spans="1:16" x14ac:dyDescent="0.25">
      <c r="A92" s="11">
        <f t="shared" si="12"/>
        <v>37</v>
      </c>
      <c r="B92">
        <v>-35.848210098502797</v>
      </c>
      <c r="E92" s="11">
        <f>A92-'Mastercurve bestimmen'!$B$2</f>
        <v>-88</v>
      </c>
      <c r="F92" s="11">
        <f t="shared" si="10"/>
        <v>-35.848210098502797</v>
      </c>
      <c r="G92" s="11"/>
      <c r="H92" s="11">
        <f t="shared" si="11"/>
        <v>3596345248055296</v>
      </c>
      <c r="I92" s="11">
        <f t="shared" si="9"/>
        <v>-40867559636992</v>
      </c>
      <c r="J92" s="11">
        <f t="shared" si="9"/>
        <v>464404086784</v>
      </c>
      <c r="K92" s="11">
        <f t="shared" si="9"/>
        <v>-5277319168</v>
      </c>
      <c r="L92" s="11">
        <f t="shared" si="9"/>
        <v>59969536</v>
      </c>
      <c r="M92" s="11">
        <f t="shared" si="9"/>
        <v>-681472</v>
      </c>
      <c r="N92" s="11">
        <f t="shared" si="9"/>
        <v>7744</v>
      </c>
      <c r="O92" s="11">
        <f t="shared" si="9"/>
        <v>-88</v>
      </c>
      <c r="P92" s="11">
        <f t="shared" si="13"/>
        <v>0</v>
      </c>
    </row>
    <row r="93" spans="1:16" x14ac:dyDescent="0.25">
      <c r="A93" s="11">
        <f t="shared" si="12"/>
        <v>38</v>
      </c>
      <c r="B93">
        <v>-35.584181403980025</v>
      </c>
      <c r="E93" s="11">
        <f>A93-'Mastercurve bestimmen'!$B$2</f>
        <v>-87</v>
      </c>
      <c r="F93" s="11">
        <f t="shared" si="10"/>
        <v>-35.584181403980025</v>
      </c>
      <c r="G93" s="11"/>
      <c r="H93" s="11">
        <f t="shared" si="11"/>
        <v>3282116715437121</v>
      </c>
      <c r="I93" s="11">
        <f t="shared" si="9"/>
        <v>-37725479487783</v>
      </c>
      <c r="J93" s="11">
        <f t="shared" si="9"/>
        <v>433626201009</v>
      </c>
      <c r="K93" s="11">
        <f t="shared" si="9"/>
        <v>-4984209207</v>
      </c>
      <c r="L93" s="11">
        <f t="shared" si="9"/>
        <v>57289761</v>
      </c>
      <c r="M93" s="11">
        <f t="shared" si="9"/>
        <v>-658503</v>
      </c>
      <c r="N93" s="11">
        <f t="shared" si="9"/>
        <v>7569</v>
      </c>
      <c r="O93" s="11">
        <f t="shared" si="9"/>
        <v>-87</v>
      </c>
      <c r="P93" s="11">
        <f t="shared" si="13"/>
        <v>0</v>
      </c>
    </row>
    <row r="94" spans="1:16" x14ac:dyDescent="0.25">
      <c r="A94" s="11">
        <f t="shared" si="12"/>
        <v>39</v>
      </c>
      <c r="B94">
        <v>-35.315846913843743</v>
      </c>
      <c r="E94" s="11">
        <f>A94-'Mastercurve bestimmen'!$B$2</f>
        <v>-86</v>
      </c>
      <c r="F94" s="11">
        <f t="shared" si="10"/>
        <v>-35.315846913843743</v>
      </c>
      <c r="G94" s="11"/>
      <c r="H94" s="11">
        <f t="shared" si="11"/>
        <v>2992179271065856</v>
      </c>
      <c r="I94" s="11">
        <f t="shared" si="9"/>
        <v>-34792782221696</v>
      </c>
      <c r="J94" s="11">
        <f t="shared" si="9"/>
        <v>404567235136</v>
      </c>
      <c r="K94" s="11">
        <f t="shared" si="9"/>
        <v>-4704270176</v>
      </c>
      <c r="L94" s="11">
        <f t="shared" si="9"/>
        <v>54700816</v>
      </c>
      <c r="M94" s="11">
        <f t="shared" si="9"/>
        <v>-636056</v>
      </c>
      <c r="N94" s="11">
        <f t="shared" si="9"/>
        <v>7396</v>
      </c>
      <c r="O94" s="11">
        <f t="shared" si="9"/>
        <v>-86</v>
      </c>
      <c r="P94" s="11">
        <f t="shared" si="13"/>
        <v>0</v>
      </c>
    </row>
    <row r="95" spans="1:16" x14ac:dyDescent="0.25">
      <c r="A95" s="11">
        <f t="shared" si="12"/>
        <v>40</v>
      </c>
      <c r="B95">
        <v>-35.043125297986016</v>
      </c>
      <c r="E95" s="11">
        <f>A95-'Mastercurve bestimmen'!$B$2</f>
        <v>-85</v>
      </c>
      <c r="F95" s="11">
        <f t="shared" si="10"/>
        <v>-35.043125297986016</v>
      </c>
      <c r="G95" s="11"/>
      <c r="H95" s="11">
        <f t="shared" si="11"/>
        <v>2724905250390625</v>
      </c>
      <c r="I95" s="11">
        <f t="shared" si="9"/>
        <v>-32057708828125</v>
      </c>
      <c r="J95" s="11">
        <f t="shared" si="9"/>
        <v>377149515625</v>
      </c>
      <c r="K95" s="11">
        <f t="shared" si="9"/>
        <v>-4437053125</v>
      </c>
      <c r="L95" s="11">
        <f t="shared" si="9"/>
        <v>52200625</v>
      </c>
      <c r="M95" s="11">
        <f t="shared" si="9"/>
        <v>-614125</v>
      </c>
      <c r="N95" s="11">
        <f t="shared" si="9"/>
        <v>7225</v>
      </c>
      <c r="O95" s="11">
        <f t="shared" si="9"/>
        <v>-85</v>
      </c>
      <c r="P95" s="11">
        <f t="shared" si="13"/>
        <v>0</v>
      </c>
    </row>
    <row r="96" spans="1:16" x14ac:dyDescent="0.25">
      <c r="A96" s="11">
        <f t="shared" si="12"/>
        <v>41</v>
      </c>
      <c r="B96">
        <v>-34.765935226298879</v>
      </c>
      <c r="E96" s="11">
        <f>A96-'Mastercurve bestimmen'!$B$2</f>
        <v>-84</v>
      </c>
      <c r="F96" s="11">
        <f t="shared" si="10"/>
        <v>-34.765935226298879</v>
      </c>
      <c r="G96" s="11"/>
      <c r="H96" s="11">
        <f t="shared" si="11"/>
        <v>2478758911082496</v>
      </c>
      <c r="I96" s="11">
        <f t="shared" si="9"/>
        <v>-29509034655744</v>
      </c>
      <c r="J96" s="11">
        <f t="shared" si="9"/>
        <v>351298031616</v>
      </c>
      <c r="K96" s="11">
        <f t="shared" si="9"/>
        <v>-4182119424</v>
      </c>
      <c r="L96" s="11">
        <f t="shared" si="9"/>
        <v>49787136</v>
      </c>
      <c r="M96" s="11">
        <f t="shared" si="9"/>
        <v>-592704</v>
      </c>
      <c r="N96" s="11">
        <f t="shared" si="9"/>
        <v>7056</v>
      </c>
      <c r="O96" s="11">
        <f t="shared" si="9"/>
        <v>-84</v>
      </c>
      <c r="P96" s="11">
        <f t="shared" si="13"/>
        <v>0</v>
      </c>
    </row>
    <row r="97" spans="1:16" x14ac:dyDescent="0.25">
      <c r="A97" s="11">
        <f t="shared" si="12"/>
        <v>42</v>
      </c>
      <c r="B97">
        <v>-34.484195368674399</v>
      </c>
      <c r="E97" s="11">
        <f>A97-'Mastercurve bestimmen'!$B$2</f>
        <v>-83</v>
      </c>
      <c r="F97" s="11">
        <f t="shared" si="10"/>
        <v>-34.484195368674399</v>
      </c>
      <c r="G97" s="11"/>
      <c r="H97" s="11">
        <f t="shared" si="11"/>
        <v>2252292232139041</v>
      </c>
      <c r="I97" s="11">
        <f t="shared" si="9"/>
        <v>-27136050989627</v>
      </c>
      <c r="J97" s="11">
        <f t="shared" si="9"/>
        <v>326940373369</v>
      </c>
      <c r="K97" s="11">
        <f t="shared" si="9"/>
        <v>-3939040643</v>
      </c>
      <c r="L97" s="11">
        <f t="shared" si="9"/>
        <v>47458321</v>
      </c>
      <c r="M97" s="11">
        <f t="shared" si="9"/>
        <v>-571787</v>
      </c>
      <c r="N97" s="11">
        <f t="shared" si="9"/>
        <v>6889</v>
      </c>
      <c r="O97" s="11">
        <f t="shared" si="9"/>
        <v>-83</v>
      </c>
      <c r="P97" s="11">
        <f t="shared" si="13"/>
        <v>0</v>
      </c>
    </row>
    <row r="98" spans="1:16" x14ac:dyDescent="0.25">
      <c r="A98" s="11">
        <f t="shared" si="12"/>
        <v>43</v>
      </c>
      <c r="B98">
        <v>-34.197824395004609</v>
      </c>
      <c r="E98" s="11">
        <f>A98-'Mastercurve bestimmen'!$B$2</f>
        <v>-82</v>
      </c>
      <c r="F98" s="11">
        <f t="shared" si="10"/>
        <v>-34.197824395004609</v>
      </c>
      <c r="G98" s="11"/>
      <c r="H98" s="11">
        <f t="shared" si="11"/>
        <v>2044140858654976</v>
      </c>
      <c r="I98" s="11">
        <f t="shared" si="9"/>
        <v>-24928547056768</v>
      </c>
      <c r="J98" s="11">
        <f t="shared" si="9"/>
        <v>304006671424</v>
      </c>
      <c r="K98" s="11">
        <f t="shared" si="9"/>
        <v>-3707398432</v>
      </c>
      <c r="L98" s="11">
        <f t="shared" si="9"/>
        <v>45212176</v>
      </c>
      <c r="M98" s="11">
        <f t="shared" si="9"/>
        <v>-551368</v>
      </c>
      <c r="N98" s="11">
        <f t="shared" si="9"/>
        <v>6724</v>
      </c>
      <c r="O98" s="11">
        <f t="shared" si="9"/>
        <v>-82</v>
      </c>
      <c r="P98" s="11">
        <f t="shared" si="13"/>
        <v>0</v>
      </c>
    </row>
    <row r="99" spans="1:16" x14ac:dyDescent="0.25">
      <c r="A99" s="11">
        <f t="shared" si="12"/>
        <v>44</v>
      </c>
      <c r="B99">
        <v>-33.906740975181563</v>
      </c>
      <c r="E99" s="11">
        <f>A99-'Mastercurve bestimmen'!$B$2</f>
        <v>-81</v>
      </c>
      <c r="F99" s="11">
        <f t="shared" si="10"/>
        <v>-33.906740975181563</v>
      </c>
      <c r="G99" s="11"/>
      <c r="H99" s="11">
        <f t="shared" si="11"/>
        <v>1853020188851841</v>
      </c>
      <c r="I99" s="11">
        <f t="shared" si="9"/>
        <v>-22876792454961</v>
      </c>
      <c r="J99" s="11">
        <f t="shared" si="9"/>
        <v>282429536481</v>
      </c>
      <c r="K99" s="11">
        <f t="shared" si="9"/>
        <v>-3486784401</v>
      </c>
      <c r="L99" s="11">
        <f t="shared" si="9"/>
        <v>43046721</v>
      </c>
      <c r="M99" s="11">
        <f t="shared" si="9"/>
        <v>-531441</v>
      </c>
      <c r="N99" s="11">
        <f t="shared" si="9"/>
        <v>6561</v>
      </c>
      <c r="O99" s="11">
        <f t="shared" si="9"/>
        <v>-81</v>
      </c>
      <c r="P99" s="11">
        <f t="shared" si="13"/>
        <v>0</v>
      </c>
    </row>
    <row r="100" spans="1:16" x14ac:dyDescent="0.25">
      <c r="A100" s="11">
        <f t="shared" si="12"/>
        <v>45</v>
      </c>
      <c r="B100">
        <v>-33.610863779097315</v>
      </c>
      <c r="E100" s="11">
        <f>A100-'Mastercurve bestimmen'!$B$2</f>
        <v>-80</v>
      </c>
      <c r="F100" s="11">
        <f t="shared" si="10"/>
        <v>-33.610863779097315</v>
      </c>
      <c r="G100" s="11"/>
      <c r="H100" s="11">
        <f t="shared" si="11"/>
        <v>1677721600000000</v>
      </c>
      <c r="I100" s="11">
        <f t="shared" si="9"/>
        <v>-20971520000000</v>
      </c>
      <c r="J100" s="11">
        <f t="shared" si="9"/>
        <v>262144000000</v>
      </c>
      <c r="K100" s="11">
        <f t="shared" si="9"/>
        <v>-3276800000</v>
      </c>
      <c r="L100" s="11">
        <f t="shared" si="9"/>
        <v>40960000</v>
      </c>
      <c r="M100" s="11">
        <f t="shared" si="9"/>
        <v>-512000</v>
      </c>
      <c r="N100" s="11">
        <f t="shared" si="9"/>
        <v>6400</v>
      </c>
      <c r="O100" s="11">
        <f t="shared" si="9"/>
        <v>-80</v>
      </c>
      <c r="P100" s="11">
        <f t="shared" si="13"/>
        <v>0</v>
      </c>
    </row>
    <row r="101" spans="1:16" x14ac:dyDescent="0.25">
      <c r="A101" s="11">
        <f t="shared" si="12"/>
        <v>46</v>
      </c>
      <c r="B101">
        <v>-33.310111476643911</v>
      </c>
      <c r="E101" s="11">
        <f>A101-'Mastercurve bestimmen'!$B$2</f>
        <v>-79</v>
      </c>
      <c r="F101" s="11">
        <f t="shared" si="10"/>
        <v>-33.310111476643911</v>
      </c>
      <c r="G101" s="11"/>
      <c r="H101" s="11">
        <f t="shared" si="11"/>
        <v>1517108809906561</v>
      </c>
      <c r="I101" s="11">
        <f t="shared" si="9"/>
        <v>-19203908986159</v>
      </c>
      <c r="J101" s="11">
        <f t="shared" si="9"/>
        <v>243087455521</v>
      </c>
      <c r="K101" s="11">
        <f t="shared" si="9"/>
        <v>-3077056399</v>
      </c>
      <c r="L101" s="11">
        <f t="shared" si="9"/>
        <v>38950081</v>
      </c>
      <c r="M101" s="11">
        <f t="shared" si="9"/>
        <v>-493039</v>
      </c>
      <c r="N101" s="11">
        <f t="shared" si="9"/>
        <v>6241</v>
      </c>
      <c r="O101" s="11">
        <f t="shared" si="9"/>
        <v>-79</v>
      </c>
      <c r="P101" s="11">
        <f t="shared" si="13"/>
        <v>0</v>
      </c>
    </row>
    <row r="102" spans="1:16" x14ac:dyDescent="0.25">
      <c r="A102" s="11">
        <f t="shared" si="12"/>
        <v>47</v>
      </c>
      <c r="B102">
        <v>-33.004402737713406</v>
      </c>
      <c r="E102" s="11">
        <f>A102-'Mastercurve bestimmen'!$B$2</f>
        <v>-78</v>
      </c>
      <c r="F102" s="11">
        <f t="shared" si="10"/>
        <v>-33.004402737713406</v>
      </c>
      <c r="G102" s="11"/>
      <c r="H102" s="11">
        <f t="shared" si="11"/>
        <v>1370114370683136</v>
      </c>
      <c r="I102" s="11">
        <f t="shared" si="9"/>
        <v>-17565568854912</v>
      </c>
      <c r="J102" s="11">
        <f t="shared" si="9"/>
        <v>225199600704</v>
      </c>
      <c r="K102" s="11">
        <f t="shared" si="9"/>
        <v>-2887174368</v>
      </c>
      <c r="L102" s="11">
        <f t="shared" si="9"/>
        <v>37015056</v>
      </c>
      <c r="M102" s="11">
        <f t="shared" si="9"/>
        <v>-474552</v>
      </c>
      <c r="N102" s="11">
        <f t="shared" si="9"/>
        <v>6084</v>
      </c>
      <c r="O102" s="11">
        <f t="shared" si="9"/>
        <v>-78</v>
      </c>
      <c r="P102" s="11">
        <f t="shared" si="13"/>
        <v>0</v>
      </c>
    </row>
    <row r="103" spans="1:16" x14ac:dyDescent="0.25">
      <c r="A103" s="11">
        <f t="shared" si="12"/>
        <v>48</v>
      </c>
      <c r="B103">
        <v>-32.693656232197839</v>
      </c>
      <c r="E103" s="11">
        <f>A103-'Mastercurve bestimmen'!$B$2</f>
        <v>-77</v>
      </c>
      <c r="F103" s="11">
        <f t="shared" si="10"/>
        <v>-32.693656232197839</v>
      </c>
      <c r="G103" s="11"/>
      <c r="H103" s="11">
        <f t="shared" si="11"/>
        <v>1235736291547681</v>
      </c>
      <c r="I103" s="11">
        <f t="shared" si="9"/>
        <v>-16048523266853</v>
      </c>
      <c r="J103" s="11">
        <f t="shared" si="9"/>
        <v>208422380089</v>
      </c>
      <c r="K103" s="11">
        <f t="shared" si="9"/>
        <v>-2706784157</v>
      </c>
      <c r="L103" s="11">
        <f t="shared" si="9"/>
        <v>35153041</v>
      </c>
      <c r="M103" s="11">
        <f t="shared" si="9"/>
        <v>-456533</v>
      </c>
      <c r="N103" s="11">
        <f t="shared" si="9"/>
        <v>5929</v>
      </c>
      <c r="O103" s="11">
        <f t="shared" si="9"/>
        <v>-77</v>
      </c>
      <c r="P103" s="11">
        <f t="shared" si="13"/>
        <v>0</v>
      </c>
    </row>
    <row r="104" spans="1:16" x14ac:dyDescent="0.25">
      <c r="A104" s="11">
        <f t="shared" si="12"/>
        <v>49</v>
      </c>
      <c r="B104">
        <v>-32.377790629989263</v>
      </c>
      <c r="E104" s="11">
        <f>A104-'Mastercurve bestimmen'!$B$2</f>
        <v>-76</v>
      </c>
      <c r="F104" s="11">
        <f t="shared" si="10"/>
        <v>-32.377790629989263</v>
      </c>
      <c r="G104" s="11"/>
      <c r="H104" s="11">
        <f t="shared" si="11"/>
        <v>1113034787454976</v>
      </c>
      <c r="I104" s="11">
        <f t="shared" si="9"/>
        <v>-14645194571776</v>
      </c>
      <c r="J104" s="11">
        <f t="shared" si="9"/>
        <v>192699928576</v>
      </c>
      <c r="K104" s="11">
        <f t="shared" si="9"/>
        <v>-2535525376</v>
      </c>
      <c r="L104" s="11">
        <f t="shared" si="9"/>
        <v>33362176</v>
      </c>
      <c r="M104" s="11">
        <f t="shared" si="9"/>
        <v>-438976</v>
      </c>
      <c r="N104" s="11">
        <f t="shared" si="9"/>
        <v>5776</v>
      </c>
      <c r="O104" s="11">
        <f t="shared" si="9"/>
        <v>-76</v>
      </c>
      <c r="P104" s="11">
        <f t="shared" si="13"/>
        <v>0</v>
      </c>
    </row>
    <row r="105" spans="1:16" x14ac:dyDescent="0.25">
      <c r="A105" s="11">
        <f t="shared" si="12"/>
        <v>50</v>
      </c>
      <c r="B105">
        <v>-32.056724600979742</v>
      </c>
      <c r="E105" s="11">
        <f>A105-'Mastercurve bestimmen'!$B$2</f>
        <v>-75</v>
      </c>
      <c r="F105" s="11">
        <f t="shared" si="10"/>
        <v>-32.056724600979742</v>
      </c>
      <c r="G105" s="11"/>
      <c r="H105" s="11">
        <f t="shared" si="11"/>
        <v>1001129150390625</v>
      </c>
      <c r="I105" s="11">
        <f t="shared" si="9"/>
        <v>-13348388671875</v>
      </c>
      <c r="J105" s="11">
        <f t="shared" si="9"/>
        <v>177978515625</v>
      </c>
      <c r="K105" s="11">
        <f t="shared" si="9"/>
        <v>-2373046875</v>
      </c>
      <c r="L105" s="11">
        <f t="shared" si="9"/>
        <v>31640625</v>
      </c>
      <c r="M105" s="11">
        <f t="shared" si="9"/>
        <v>-421875</v>
      </c>
      <c r="N105" s="11">
        <f t="shared" si="9"/>
        <v>5625</v>
      </c>
      <c r="O105" s="11">
        <f t="shared" si="9"/>
        <v>-75</v>
      </c>
      <c r="P105" s="11">
        <f t="shared" si="13"/>
        <v>0</v>
      </c>
    </row>
    <row r="106" spans="1:16" x14ac:dyDescent="0.25">
      <c r="A106" s="11">
        <f t="shared" si="12"/>
        <v>51</v>
      </c>
      <c r="B106">
        <v>-31.730392956145515</v>
      </c>
      <c r="E106" s="11">
        <f>A106-'Mastercurve bestimmen'!$B$2</f>
        <v>-74</v>
      </c>
      <c r="F106" s="11">
        <f t="shared" si="10"/>
        <v>-31.730392956145515</v>
      </c>
      <c r="G106" s="11"/>
      <c r="H106" s="11">
        <f t="shared" si="11"/>
        <v>899194740203776</v>
      </c>
      <c r="I106" s="11">
        <f t="shared" si="9"/>
        <v>-12151280273024</v>
      </c>
      <c r="J106" s="11">
        <f t="shared" si="9"/>
        <v>164206490176</v>
      </c>
      <c r="K106" s="11">
        <f t="shared" si="9"/>
        <v>-2219006624</v>
      </c>
      <c r="L106" s="11">
        <f t="shared" si="9"/>
        <v>29986576</v>
      </c>
      <c r="M106" s="11">
        <f t="shared" si="9"/>
        <v>-405224</v>
      </c>
      <c r="N106" s="11">
        <f t="shared" si="9"/>
        <v>5476</v>
      </c>
      <c r="O106" s="11">
        <f t="shared" si="9"/>
        <v>-74</v>
      </c>
      <c r="P106" s="11">
        <f t="shared" si="13"/>
        <v>0</v>
      </c>
    </row>
    <row r="107" spans="1:16" x14ac:dyDescent="0.25">
      <c r="A107" s="11">
        <f t="shared" si="12"/>
        <v>52</v>
      </c>
      <c r="B107">
        <v>-31.398795070799679</v>
      </c>
      <c r="E107" s="11">
        <f>A107-'Mastercurve bestimmen'!$B$2</f>
        <v>-73</v>
      </c>
      <c r="F107" s="11">
        <f t="shared" si="10"/>
        <v>-31.398795070799679</v>
      </c>
      <c r="G107" s="11"/>
      <c r="H107" s="11">
        <f t="shared" si="11"/>
        <v>806460091894081</v>
      </c>
      <c r="I107" s="11">
        <f t="shared" si="9"/>
        <v>-11047398519097</v>
      </c>
      <c r="J107" s="11">
        <f t="shared" si="9"/>
        <v>151334226289</v>
      </c>
      <c r="K107" s="11">
        <f t="shared" si="9"/>
        <v>-2073071593</v>
      </c>
      <c r="L107" s="11">
        <f t="shared" si="9"/>
        <v>28398241</v>
      </c>
      <c r="M107" s="11">
        <f t="shared" si="9"/>
        <v>-389017</v>
      </c>
      <c r="N107" s="11">
        <f t="shared" si="9"/>
        <v>5329</v>
      </c>
      <c r="O107" s="11">
        <f t="shared" si="9"/>
        <v>-73</v>
      </c>
      <c r="P107" s="11">
        <f t="shared" si="13"/>
        <v>0</v>
      </c>
    </row>
    <row r="108" spans="1:16" x14ac:dyDescent="0.25">
      <c r="A108" s="11">
        <f t="shared" si="12"/>
        <v>53</v>
      </c>
      <c r="B108">
        <v>-31.061946461339524</v>
      </c>
      <c r="E108" s="11">
        <f>A108-'Mastercurve bestimmen'!$B$2</f>
        <v>-72</v>
      </c>
      <c r="F108" s="11">
        <f t="shared" si="10"/>
        <v>-31.061946461339524</v>
      </c>
      <c r="G108" s="11"/>
      <c r="H108" s="11">
        <f t="shared" si="11"/>
        <v>722204136308736</v>
      </c>
      <c r="I108" s="11">
        <f t="shared" si="9"/>
        <v>-10030613004288</v>
      </c>
      <c r="J108" s="11">
        <f t="shared" si="9"/>
        <v>139314069504</v>
      </c>
      <c r="K108" s="11">
        <f t="shared" si="9"/>
        <v>-1934917632</v>
      </c>
      <c r="L108" s="11">
        <f t="shared" si="9"/>
        <v>26873856</v>
      </c>
      <c r="M108" s="11">
        <f t="shared" si="9"/>
        <v>-373248</v>
      </c>
      <c r="N108" s="11">
        <f t="shared" si="9"/>
        <v>5184</v>
      </c>
      <c r="O108" s="11">
        <f t="shared" si="9"/>
        <v>-72</v>
      </c>
      <c r="P108" s="11">
        <f t="shared" si="13"/>
        <v>0</v>
      </c>
    </row>
    <row r="109" spans="1:16" x14ac:dyDescent="0.25">
      <c r="A109" s="11">
        <f t="shared" si="12"/>
        <v>54</v>
      </c>
      <c r="B109">
        <v>-30.719862644162355</v>
      </c>
      <c r="E109" s="11">
        <f>A109-'Mastercurve bestimmen'!$B$2</f>
        <v>-71</v>
      </c>
      <c r="F109" s="11">
        <f t="shared" si="10"/>
        <v>-30.719862644162355</v>
      </c>
      <c r="G109" s="11"/>
      <c r="H109" s="11">
        <f t="shared" si="11"/>
        <v>645753531245761</v>
      </c>
      <c r="I109" s="11">
        <f t="shared" si="9"/>
        <v>-9095120158391</v>
      </c>
      <c r="J109" s="11">
        <f t="shared" si="9"/>
        <v>128100283921</v>
      </c>
      <c r="K109" s="11">
        <f t="shared" si="9"/>
        <v>-1804229351</v>
      </c>
      <c r="L109" s="11">
        <f t="shared" si="9"/>
        <v>25411681</v>
      </c>
      <c r="M109" s="11">
        <f t="shared" si="9"/>
        <v>-357911</v>
      </c>
      <c r="N109" s="11">
        <f t="shared" si="9"/>
        <v>5041</v>
      </c>
      <c r="O109" s="11">
        <f t="shared" si="9"/>
        <v>-71</v>
      </c>
      <c r="P109" s="11">
        <f t="shared" si="13"/>
        <v>0</v>
      </c>
    </row>
    <row r="110" spans="1:16" x14ac:dyDescent="0.25">
      <c r="A110" s="11">
        <f t="shared" si="12"/>
        <v>55</v>
      </c>
      <c r="B110">
        <v>-30.372559135665462</v>
      </c>
      <c r="E110" s="11">
        <f>A110-'Mastercurve bestimmen'!$B$2</f>
        <v>-70</v>
      </c>
      <c r="F110" s="11">
        <f t="shared" si="10"/>
        <v>-30.372559135665462</v>
      </c>
      <c r="G110" s="11"/>
      <c r="H110" s="11">
        <f t="shared" si="11"/>
        <v>576480100000000</v>
      </c>
      <c r="I110" s="11">
        <f t="shared" si="9"/>
        <v>-8235430000000</v>
      </c>
      <c r="J110" s="11">
        <f t="shared" si="9"/>
        <v>117649000000</v>
      </c>
      <c r="K110" s="11">
        <f t="shared" si="9"/>
        <v>-1680700000</v>
      </c>
      <c r="L110" s="11">
        <f t="shared" si="9"/>
        <v>24010000</v>
      </c>
      <c r="M110" s="11">
        <f t="shared" si="9"/>
        <v>-343000</v>
      </c>
      <c r="N110" s="11">
        <f t="shared" si="9"/>
        <v>4900</v>
      </c>
      <c r="O110" s="11">
        <f t="shared" si="9"/>
        <v>-70</v>
      </c>
      <c r="P110" s="11">
        <f t="shared" si="13"/>
        <v>0</v>
      </c>
    </row>
    <row r="111" spans="1:16" x14ac:dyDescent="0.25">
      <c r="A111" s="11">
        <f t="shared" si="12"/>
        <v>56</v>
      </c>
      <c r="B111">
        <v>-30.02005145224614</v>
      </c>
      <c r="E111" s="11">
        <f>A111-'Mastercurve bestimmen'!$B$2</f>
        <v>-69</v>
      </c>
      <c r="F111" s="11">
        <f t="shared" si="10"/>
        <v>-30.02005145224614</v>
      </c>
      <c r="G111" s="11"/>
      <c r="H111" s="11">
        <f t="shared" si="11"/>
        <v>513798374428641</v>
      </c>
      <c r="I111" s="11">
        <f t="shared" si="9"/>
        <v>-7446353252589</v>
      </c>
      <c r="J111" s="11">
        <f t="shared" si="9"/>
        <v>107918163081</v>
      </c>
      <c r="K111" s="11">
        <f t="shared" si="9"/>
        <v>-1564031349</v>
      </c>
      <c r="L111" s="11">
        <f t="shared" si="9"/>
        <v>22667121</v>
      </c>
      <c r="M111" s="11">
        <f t="shared" si="9"/>
        <v>-328509</v>
      </c>
      <c r="N111" s="11">
        <f t="shared" si="9"/>
        <v>4761</v>
      </c>
      <c r="O111" s="11">
        <f t="shared" si="9"/>
        <v>-69</v>
      </c>
      <c r="P111" s="11">
        <f t="shared" si="13"/>
        <v>0</v>
      </c>
    </row>
    <row r="112" spans="1:16" x14ac:dyDescent="0.25">
      <c r="A112" s="11">
        <f t="shared" si="12"/>
        <v>57</v>
      </c>
      <c r="B112">
        <v>-29.662355110301689</v>
      </c>
      <c r="E112" s="11">
        <f>A112-'Mastercurve bestimmen'!$B$2</f>
        <v>-68</v>
      </c>
      <c r="F112" s="11">
        <f t="shared" si="10"/>
        <v>-29.662355110301689</v>
      </c>
      <c r="G112" s="11"/>
      <c r="H112" s="11">
        <f t="shared" si="11"/>
        <v>457163239653376</v>
      </c>
      <c r="I112" s="11">
        <f t="shared" si="9"/>
        <v>-6722988818432</v>
      </c>
      <c r="J112" s="11">
        <f t="shared" si="9"/>
        <v>98867482624</v>
      </c>
      <c r="K112" s="11">
        <f t="shared" si="9"/>
        <v>-1453933568</v>
      </c>
      <c r="L112" s="11">
        <f t="shared" si="9"/>
        <v>21381376</v>
      </c>
      <c r="M112" s="11">
        <f t="shared" si="9"/>
        <v>-314432</v>
      </c>
      <c r="N112" s="11">
        <f t="shared" si="9"/>
        <v>4624</v>
      </c>
      <c r="O112" s="11">
        <f t="shared" si="9"/>
        <v>-68</v>
      </c>
      <c r="P112" s="11">
        <f t="shared" si="13"/>
        <v>0</v>
      </c>
    </row>
    <row r="113" spans="1:16" x14ac:dyDescent="0.25">
      <c r="A113" s="11">
        <f t="shared" si="12"/>
        <v>58</v>
      </c>
      <c r="B113">
        <v>-29.299485626229412</v>
      </c>
      <c r="E113" s="11">
        <f>A113-'Mastercurve bestimmen'!$B$2</f>
        <v>-67</v>
      </c>
      <c r="F113" s="11">
        <f t="shared" si="10"/>
        <v>-29.299485626229412</v>
      </c>
      <c r="G113" s="11"/>
      <c r="H113" s="11">
        <f t="shared" si="11"/>
        <v>406067677556641</v>
      </c>
      <c r="I113" s="11">
        <f t="shared" si="9"/>
        <v>-6060711605323</v>
      </c>
      <c r="J113" s="11">
        <f t="shared" si="9"/>
        <v>90458382169</v>
      </c>
      <c r="K113" s="11">
        <f t="shared" si="9"/>
        <v>-1350125107</v>
      </c>
      <c r="L113" s="11">
        <f t="shared" si="9"/>
        <v>20151121</v>
      </c>
      <c r="M113" s="11">
        <f t="shared" si="9"/>
        <v>-300763</v>
      </c>
      <c r="N113" s="11">
        <f t="shared" si="9"/>
        <v>4489</v>
      </c>
      <c r="O113" s="11">
        <f t="shared" si="9"/>
        <v>-67</v>
      </c>
      <c r="P113" s="11">
        <f t="shared" si="13"/>
        <v>0</v>
      </c>
    </row>
    <row r="114" spans="1:16" x14ac:dyDescent="0.25">
      <c r="A114" s="11">
        <f t="shared" si="12"/>
        <v>59</v>
      </c>
      <c r="B114">
        <v>-28.931458516426591</v>
      </c>
      <c r="E114" s="11">
        <f>A114-'Mastercurve bestimmen'!$B$2</f>
        <v>-66</v>
      </c>
      <c r="F114" s="11">
        <f t="shared" si="10"/>
        <v>-28.931458516426591</v>
      </c>
      <c r="G114" s="11"/>
      <c r="H114" s="11">
        <f t="shared" si="11"/>
        <v>360040606269696</v>
      </c>
      <c r="I114" s="11">
        <f t="shared" si="9"/>
        <v>-5455160701056</v>
      </c>
      <c r="J114" s="11">
        <f t="shared" si="9"/>
        <v>82653950016</v>
      </c>
      <c r="K114" s="11">
        <f t="shared" si="9"/>
        <v>-1252332576</v>
      </c>
      <c r="L114" s="11">
        <f t="shared" si="9"/>
        <v>18974736</v>
      </c>
      <c r="M114" s="11">
        <f t="shared" si="9"/>
        <v>-287496</v>
      </c>
      <c r="N114" s="11">
        <f t="shared" si="9"/>
        <v>4356</v>
      </c>
      <c r="O114" s="11">
        <f t="shared" si="9"/>
        <v>-66</v>
      </c>
      <c r="P114" s="11">
        <f t="shared" si="13"/>
        <v>0</v>
      </c>
    </row>
    <row r="115" spans="1:16" x14ac:dyDescent="0.25">
      <c r="A115" s="11">
        <f t="shared" si="12"/>
        <v>60</v>
      </c>
      <c r="B115">
        <v>-28.558289297290532</v>
      </c>
      <c r="E115" s="11">
        <f>A115-'Mastercurve bestimmen'!$B$2</f>
        <v>-65</v>
      </c>
      <c r="F115" s="11">
        <f t="shared" si="10"/>
        <v>-28.558289297290532</v>
      </c>
      <c r="G115" s="11"/>
      <c r="H115" s="11">
        <f t="shared" si="11"/>
        <v>318644812890625</v>
      </c>
      <c r="I115" s="11">
        <f t="shared" si="9"/>
        <v>-4902227890625</v>
      </c>
      <c r="J115" s="11">
        <f t="shared" si="9"/>
        <v>75418890625</v>
      </c>
      <c r="K115" s="11">
        <f t="shared" si="9"/>
        <v>-1160290625</v>
      </c>
      <c r="L115" s="11">
        <f t="shared" si="9"/>
        <v>17850625</v>
      </c>
      <c r="M115" s="11">
        <f t="shared" si="9"/>
        <v>-274625</v>
      </c>
      <c r="N115" s="11">
        <f t="shared" si="9"/>
        <v>4225</v>
      </c>
      <c r="O115" s="11">
        <f t="shared" si="9"/>
        <v>-65</v>
      </c>
      <c r="P115" s="11">
        <f t="shared" si="13"/>
        <v>0</v>
      </c>
    </row>
    <row r="116" spans="1:16" x14ac:dyDescent="0.25">
      <c r="A116" s="11">
        <f t="shared" si="12"/>
        <v>61</v>
      </c>
      <c r="B116">
        <v>-28.179993485218532</v>
      </c>
      <c r="E116" s="11">
        <f>A116-'Mastercurve bestimmen'!$B$2</f>
        <v>-64</v>
      </c>
      <c r="F116" s="11">
        <f t="shared" si="10"/>
        <v>-28.179993485218532</v>
      </c>
      <c r="G116" s="11"/>
      <c r="H116" s="11">
        <f t="shared" si="11"/>
        <v>281474976710656</v>
      </c>
      <c r="I116" s="11">
        <f t="shared" si="9"/>
        <v>-4398046511104</v>
      </c>
      <c r="J116" s="11">
        <f t="shared" si="9"/>
        <v>68719476736</v>
      </c>
      <c r="K116" s="11">
        <f t="shared" ref="I116:O152" si="14">IF($H$12&gt;=K$14,$E116^K$14,0)</f>
        <v>-1073741824</v>
      </c>
      <c r="L116" s="11">
        <f t="shared" si="14"/>
        <v>16777216</v>
      </c>
      <c r="M116" s="11">
        <f t="shared" si="14"/>
        <v>-262144</v>
      </c>
      <c r="N116" s="11">
        <f t="shared" si="14"/>
        <v>4096</v>
      </c>
      <c r="O116" s="11">
        <f t="shared" si="14"/>
        <v>-64</v>
      </c>
      <c r="P116" s="11">
        <f t="shared" si="13"/>
        <v>0</v>
      </c>
    </row>
    <row r="117" spans="1:16" x14ac:dyDescent="0.25">
      <c r="A117" s="11">
        <f t="shared" si="12"/>
        <v>62</v>
      </c>
      <c r="B117">
        <v>-27.796586596607877</v>
      </c>
      <c r="E117" s="11">
        <f>A117-'Mastercurve bestimmen'!$B$2</f>
        <v>-63</v>
      </c>
      <c r="F117" s="11">
        <f t="shared" si="10"/>
        <v>-27.796586596607877</v>
      </c>
      <c r="G117" s="11"/>
      <c r="H117" s="11">
        <f t="shared" si="11"/>
        <v>248155780267521</v>
      </c>
      <c r="I117" s="11">
        <f t="shared" si="14"/>
        <v>-3938980639167</v>
      </c>
      <c r="J117" s="11">
        <f t="shared" si="14"/>
        <v>62523502209</v>
      </c>
      <c r="K117" s="11">
        <f t="shared" si="14"/>
        <v>-992436543</v>
      </c>
      <c r="L117" s="11">
        <f t="shared" si="14"/>
        <v>15752961</v>
      </c>
      <c r="M117" s="11">
        <f t="shared" si="14"/>
        <v>-250047</v>
      </c>
      <c r="N117" s="11">
        <f t="shared" si="14"/>
        <v>3969</v>
      </c>
      <c r="O117" s="11">
        <f t="shared" si="14"/>
        <v>-63</v>
      </c>
      <c r="P117" s="11">
        <f t="shared" si="13"/>
        <v>0</v>
      </c>
    </row>
    <row r="118" spans="1:16" x14ac:dyDescent="0.25">
      <c r="A118" s="11">
        <f t="shared" si="12"/>
        <v>63</v>
      </c>
      <c r="B118">
        <v>-27.408084147855881</v>
      </c>
      <c r="E118" s="11">
        <f>A118-'Mastercurve bestimmen'!$B$2</f>
        <v>-62</v>
      </c>
      <c r="F118" s="11">
        <f t="shared" si="10"/>
        <v>-27.408084147855881</v>
      </c>
      <c r="G118" s="11"/>
      <c r="H118" s="11">
        <f t="shared" si="11"/>
        <v>218340105584896</v>
      </c>
      <c r="I118" s="11">
        <f t="shared" si="14"/>
        <v>-3521614606208</v>
      </c>
      <c r="J118" s="11">
        <f t="shared" si="14"/>
        <v>56800235584</v>
      </c>
      <c r="K118" s="11">
        <f t="shared" si="14"/>
        <v>-916132832</v>
      </c>
      <c r="L118" s="11">
        <f t="shared" si="14"/>
        <v>14776336</v>
      </c>
      <c r="M118" s="11">
        <f t="shared" si="14"/>
        <v>-238328</v>
      </c>
      <c r="N118" s="11">
        <f t="shared" si="14"/>
        <v>3844</v>
      </c>
      <c r="O118" s="11">
        <f t="shared" si="14"/>
        <v>-62</v>
      </c>
      <c r="P118" s="11">
        <f t="shared" si="13"/>
        <v>0</v>
      </c>
    </row>
    <row r="119" spans="1:16" x14ac:dyDescent="0.25">
      <c r="A119" s="11">
        <f t="shared" si="12"/>
        <v>64</v>
      </c>
      <c r="B119">
        <v>-27.014501655359823</v>
      </c>
      <c r="E119" s="11">
        <f>A119-'Mastercurve bestimmen'!$B$2</f>
        <v>-61</v>
      </c>
      <c r="F119" s="11">
        <f t="shared" si="10"/>
        <v>-27.014501655359823</v>
      </c>
      <c r="G119" s="11"/>
      <c r="H119" s="11">
        <f t="shared" si="11"/>
        <v>191707312997281</v>
      </c>
      <c r="I119" s="11">
        <f t="shared" si="14"/>
        <v>-3142742836021</v>
      </c>
      <c r="J119" s="11">
        <f t="shared" si="14"/>
        <v>51520374361</v>
      </c>
      <c r="K119" s="11">
        <f t="shared" si="14"/>
        <v>-844596301</v>
      </c>
      <c r="L119" s="11">
        <f t="shared" si="14"/>
        <v>13845841</v>
      </c>
      <c r="M119" s="11">
        <f t="shared" si="14"/>
        <v>-226981</v>
      </c>
      <c r="N119" s="11">
        <f t="shared" si="14"/>
        <v>3721</v>
      </c>
      <c r="O119" s="11">
        <f t="shared" si="14"/>
        <v>-61</v>
      </c>
      <c r="P119" s="11">
        <f t="shared" si="13"/>
        <v>0</v>
      </c>
    </row>
    <row r="120" spans="1:16" x14ac:dyDescent="0.25">
      <c r="A120" s="11">
        <f t="shared" si="12"/>
        <v>65</v>
      </c>
      <c r="B120">
        <v>-26.615854635517003</v>
      </c>
      <c r="E120" s="11">
        <f>A120-'Mastercurve bestimmen'!$B$2</f>
        <v>-60</v>
      </c>
      <c r="F120" s="11">
        <f t="shared" si="10"/>
        <v>-26.615854635517003</v>
      </c>
      <c r="G120" s="11"/>
      <c r="H120" s="11">
        <f t="shared" si="11"/>
        <v>167961600000000</v>
      </c>
      <c r="I120" s="11">
        <f t="shared" si="14"/>
        <v>-2799360000000</v>
      </c>
      <c r="J120" s="11">
        <f t="shared" si="14"/>
        <v>46656000000</v>
      </c>
      <c r="K120" s="11">
        <f t="shared" si="14"/>
        <v>-777600000</v>
      </c>
      <c r="L120" s="11">
        <f t="shared" si="14"/>
        <v>12960000</v>
      </c>
      <c r="M120" s="11">
        <f t="shared" si="14"/>
        <v>-216000</v>
      </c>
      <c r="N120" s="11">
        <f t="shared" si="14"/>
        <v>3600</v>
      </c>
      <c r="O120" s="11">
        <f t="shared" si="14"/>
        <v>-60</v>
      </c>
      <c r="P120" s="11">
        <f t="shared" si="13"/>
        <v>0</v>
      </c>
    </row>
    <row r="121" spans="1:16" x14ac:dyDescent="0.25">
      <c r="A121" s="11">
        <f t="shared" si="12"/>
        <v>66</v>
      </c>
      <c r="B121">
        <v>-26.212158604724728</v>
      </c>
      <c r="E121" s="11">
        <f>A121-'Mastercurve bestimmen'!$B$2</f>
        <v>-59</v>
      </c>
      <c r="F121" s="11">
        <f t="shared" si="10"/>
        <v>-26.212158604724728</v>
      </c>
      <c r="G121" s="11"/>
      <c r="H121" s="11">
        <f t="shared" si="11"/>
        <v>146830437604321</v>
      </c>
      <c r="I121" s="11">
        <f t="shared" si="14"/>
        <v>-2488651484819</v>
      </c>
      <c r="J121" s="11">
        <f t="shared" si="14"/>
        <v>42180533641</v>
      </c>
      <c r="K121" s="11">
        <f t="shared" si="14"/>
        <v>-714924299</v>
      </c>
      <c r="L121" s="11">
        <f t="shared" si="14"/>
        <v>12117361</v>
      </c>
      <c r="M121" s="11">
        <f t="shared" si="14"/>
        <v>-205379</v>
      </c>
      <c r="N121" s="11">
        <f t="shared" si="14"/>
        <v>3481</v>
      </c>
      <c r="O121" s="11">
        <f t="shared" si="14"/>
        <v>-59</v>
      </c>
      <c r="P121" s="11">
        <f t="shared" si="13"/>
        <v>0</v>
      </c>
    </row>
    <row r="122" spans="1:16" x14ac:dyDescent="0.25">
      <c r="A122" s="11">
        <f t="shared" si="12"/>
        <v>67</v>
      </c>
      <c r="B122">
        <v>-25.80342907938028</v>
      </c>
      <c r="E122" s="11">
        <f>A122-'Mastercurve bestimmen'!$B$2</f>
        <v>-58</v>
      </c>
      <c r="F122" s="11">
        <f t="shared" si="10"/>
        <v>-25.80342907938028</v>
      </c>
      <c r="G122" s="11"/>
      <c r="H122" s="11">
        <f t="shared" si="11"/>
        <v>128063081718016</v>
      </c>
      <c r="I122" s="11">
        <f t="shared" si="14"/>
        <v>-2207984167552</v>
      </c>
      <c r="J122" s="11">
        <f t="shared" si="14"/>
        <v>38068692544</v>
      </c>
      <c r="K122" s="11">
        <f t="shared" si="14"/>
        <v>-656356768</v>
      </c>
      <c r="L122" s="11">
        <f t="shared" si="14"/>
        <v>11316496</v>
      </c>
      <c r="M122" s="11">
        <f t="shared" si="14"/>
        <v>-195112</v>
      </c>
      <c r="N122" s="11">
        <f t="shared" si="14"/>
        <v>3364</v>
      </c>
      <c r="O122" s="11">
        <f t="shared" si="14"/>
        <v>-58</v>
      </c>
      <c r="P122" s="11">
        <f t="shared" si="13"/>
        <v>0</v>
      </c>
    </row>
    <row r="123" spans="1:16" x14ac:dyDescent="0.25">
      <c r="A123" s="11">
        <f t="shared" si="12"/>
        <v>68</v>
      </c>
      <c r="B123">
        <v>-25.389681575880964</v>
      </c>
      <c r="E123" s="11">
        <f>A123-'Mastercurve bestimmen'!$B$2</f>
        <v>-57</v>
      </c>
      <c r="F123" s="11">
        <f t="shared" si="10"/>
        <v>-25.389681575880964</v>
      </c>
      <c r="G123" s="11"/>
      <c r="H123" s="11">
        <f t="shared" si="11"/>
        <v>111429157112001</v>
      </c>
      <c r="I123" s="11">
        <f t="shared" si="14"/>
        <v>-1954897493193</v>
      </c>
      <c r="J123" s="11">
        <f t="shared" si="14"/>
        <v>34296447249</v>
      </c>
      <c r="K123" s="11">
        <f t="shared" si="14"/>
        <v>-601692057</v>
      </c>
      <c r="L123" s="11">
        <f t="shared" si="14"/>
        <v>10556001</v>
      </c>
      <c r="M123" s="11">
        <f t="shared" si="14"/>
        <v>-185193</v>
      </c>
      <c r="N123" s="11">
        <f t="shared" si="14"/>
        <v>3249</v>
      </c>
      <c r="O123" s="11">
        <f t="shared" si="14"/>
        <v>-57</v>
      </c>
      <c r="P123" s="11">
        <f t="shared" si="13"/>
        <v>0</v>
      </c>
    </row>
    <row r="124" spans="1:16" x14ac:dyDescent="0.25">
      <c r="A124" s="11">
        <f t="shared" si="12"/>
        <v>69</v>
      </c>
      <c r="B124">
        <v>-24.970931610624078</v>
      </c>
      <c r="E124" s="11">
        <f>A124-'Mastercurve bestimmen'!$B$2</f>
        <v>-56</v>
      </c>
      <c r="F124" s="11">
        <f t="shared" si="10"/>
        <v>-24.970931610624078</v>
      </c>
      <c r="G124" s="11"/>
      <c r="H124" s="11">
        <f t="shared" si="11"/>
        <v>96717311574016</v>
      </c>
      <c r="I124" s="11">
        <f t="shared" si="14"/>
        <v>-1727094849536</v>
      </c>
      <c r="J124" s="11">
        <f t="shared" si="14"/>
        <v>30840979456</v>
      </c>
      <c r="K124" s="11">
        <f t="shared" si="14"/>
        <v>-550731776</v>
      </c>
      <c r="L124" s="11">
        <f t="shared" si="14"/>
        <v>9834496</v>
      </c>
      <c r="M124" s="11">
        <f t="shared" si="14"/>
        <v>-175616</v>
      </c>
      <c r="N124" s="11">
        <f t="shared" si="14"/>
        <v>3136</v>
      </c>
      <c r="O124" s="11">
        <f t="shared" si="14"/>
        <v>-56</v>
      </c>
      <c r="P124" s="11">
        <f t="shared" si="13"/>
        <v>0</v>
      </c>
    </row>
    <row r="125" spans="1:16" x14ac:dyDescent="0.25">
      <c r="A125" s="11">
        <f t="shared" si="12"/>
        <v>70</v>
      </c>
      <c r="B125">
        <v>-24.547194700006912</v>
      </c>
      <c r="E125" s="11">
        <f>A125-'Mastercurve bestimmen'!$B$2</f>
        <v>-55</v>
      </c>
      <c r="F125" s="11">
        <f t="shared" si="10"/>
        <v>-24.547194700006912</v>
      </c>
      <c r="G125" s="11"/>
      <c r="H125" s="11">
        <f t="shared" si="11"/>
        <v>83733937890625</v>
      </c>
      <c r="I125" s="11">
        <f t="shared" si="14"/>
        <v>-1522435234375</v>
      </c>
      <c r="J125" s="11">
        <f t="shared" si="14"/>
        <v>27680640625</v>
      </c>
      <c r="K125" s="11">
        <f t="shared" si="14"/>
        <v>-503284375</v>
      </c>
      <c r="L125" s="11">
        <f t="shared" si="14"/>
        <v>9150625</v>
      </c>
      <c r="M125" s="11">
        <f t="shared" si="14"/>
        <v>-166375</v>
      </c>
      <c r="N125" s="11">
        <f t="shared" si="14"/>
        <v>3025</v>
      </c>
      <c r="O125" s="11">
        <f t="shared" si="14"/>
        <v>-55</v>
      </c>
      <c r="P125" s="11">
        <f t="shared" si="13"/>
        <v>0</v>
      </c>
    </row>
    <row r="126" spans="1:16" x14ac:dyDescent="0.25">
      <c r="A126" s="11">
        <f t="shared" si="12"/>
        <v>71</v>
      </c>
      <c r="B126">
        <v>-24.118486360426765</v>
      </c>
      <c r="E126" s="11">
        <f>A126-'Mastercurve bestimmen'!$B$2</f>
        <v>-54</v>
      </c>
      <c r="F126" s="11">
        <f t="shared" si="10"/>
        <v>-24.118486360426765</v>
      </c>
      <c r="G126" s="11"/>
      <c r="H126" s="11">
        <f t="shared" si="11"/>
        <v>72301961339136</v>
      </c>
      <c r="I126" s="11">
        <f t="shared" si="14"/>
        <v>-1338925209984</v>
      </c>
      <c r="J126" s="11">
        <f t="shared" si="14"/>
        <v>24794911296</v>
      </c>
      <c r="K126" s="11">
        <f t="shared" si="14"/>
        <v>-459165024</v>
      </c>
      <c r="L126" s="11">
        <f t="shared" si="14"/>
        <v>8503056</v>
      </c>
      <c r="M126" s="11">
        <f t="shared" si="14"/>
        <v>-157464</v>
      </c>
      <c r="N126" s="11">
        <f t="shared" si="14"/>
        <v>2916</v>
      </c>
      <c r="O126" s="11">
        <f t="shared" si="14"/>
        <v>-54</v>
      </c>
      <c r="P126" s="11">
        <f t="shared" si="13"/>
        <v>0</v>
      </c>
    </row>
    <row r="127" spans="1:16" x14ac:dyDescent="0.25">
      <c r="A127" s="11">
        <f t="shared" si="12"/>
        <v>72</v>
      </c>
      <c r="B127">
        <v>-23.684822108280933</v>
      </c>
      <c r="E127" s="11">
        <f>A127-'Mastercurve bestimmen'!$B$2</f>
        <v>-53</v>
      </c>
      <c r="F127" s="11">
        <f t="shared" si="10"/>
        <v>-23.684822108280933</v>
      </c>
      <c r="G127" s="11"/>
      <c r="H127" s="11">
        <f t="shared" si="11"/>
        <v>62259690411361</v>
      </c>
      <c r="I127" s="11">
        <f t="shared" si="14"/>
        <v>-1174711139837</v>
      </c>
      <c r="J127" s="11">
        <f t="shared" si="14"/>
        <v>22164361129</v>
      </c>
      <c r="K127" s="11">
        <f t="shared" si="14"/>
        <v>-418195493</v>
      </c>
      <c r="L127" s="11">
        <f t="shared" si="14"/>
        <v>7890481</v>
      </c>
      <c r="M127" s="11">
        <f t="shared" si="14"/>
        <v>-148877</v>
      </c>
      <c r="N127" s="11">
        <f t="shared" si="14"/>
        <v>2809</v>
      </c>
      <c r="O127" s="11">
        <f t="shared" si="14"/>
        <v>-53</v>
      </c>
      <c r="P127" s="11">
        <f t="shared" si="13"/>
        <v>0</v>
      </c>
    </row>
    <row r="128" spans="1:16" x14ac:dyDescent="0.25">
      <c r="A128" s="11">
        <f t="shared" si="12"/>
        <v>73</v>
      </c>
      <c r="B128">
        <v>-23.246217459966715</v>
      </c>
      <c r="E128" s="11">
        <f>A128-'Mastercurve bestimmen'!$B$2</f>
        <v>-52</v>
      </c>
      <c r="F128" s="11">
        <f t="shared" si="10"/>
        <v>-23.246217459966715</v>
      </c>
      <c r="G128" s="11"/>
      <c r="H128" s="11">
        <f t="shared" si="11"/>
        <v>53459728531456</v>
      </c>
      <c r="I128" s="11">
        <f t="shared" si="14"/>
        <v>-1028071702528</v>
      </c>
      <c r="J128" s="11">
        <f t="shared" si="14"/>
        <v>19770609664</v>
      </c>
      <c r="K128" s="11">
        <f t="shared" si="14"/>
        <v>-380204032</v>
      </c>
      <c r="L128" s="11">
        <f t="shared" si="14"/>
        <v>7311616</v>
      </c>
      <c r="M128" s="11">
        <f t="shared" si="14"/>
        <v>-140608</v>
      </c>
      <c r="N128" s="11">
        <f t="shared" si="14"/>
        <v>2704</v>
      </c>
      <c r="O128" s="11">
        <f t="shared" si="14"/>
        <v>-52</v>
      </c>
      <c r="P128" s="11">
        <f t="shared" si="13"/>
        <v>0</v>
      </c>
    </row>
    <row r="129" spans="1:16" x14ac:dyDescent="0.25">
      <c r="A129" s="11">
        <f t="shared" si="12"/>
        <v>74</v>
      </c>
      <c r="B129">
        <v>-22.802687931881401</v>
      </c>
      <c r="E129" s="11">
        <f>A129-'Mastercurve bestimmen'!$B$2</f>
        <v>-51</v>
      </c>
      <c r="F129" s="11">
        <f t="shared" si="10"/>
        <v>-22.802687931881401</v>
      </c>
      <c r="G129" s="11"/>
      <c r="H129" s="11">
        <f t="shared" si="11"/>
        <v>45767944570401</v>
      </c>
      <c r="I129" s="11">
        <f t="shared" si="14"/>
        <v>-897410677851</v>
      </c>
      <c r="J129" s="11">
        <f t="shared" si="14"/>
        <v>17596287801</v>
      </c>
      <c r="K129" s="11">
        <f t="shared" si="14"/>
        <v>-345025251</v>
      </c>
      <c r="L129" s="11">
        <f t="shared" si="14"/>
        <v>6765201</v>
      </c>
      <c r="M129" s="11">
        <f t="shared" si="14"/>
        <v>-132651</v>
      </c>
      <c r="N129" s="11">
        <f t="shared" si="14"/>
        <v>2601</v>
      </c>
      <c r="O129" s="11">
        <f t="shared" si="14"/>
        <v>-51</v>
      </c>
      <c r="P129" s="11">
        <f t="shared" si="13"/>
        <v>0</v>
      </c>
    </row>
    <row r="130" spans="1:16" x14ac:dyDescent="0.25">
      <c r="A130" s="11">
        <f t="shared" si="12"/>
        <v>75</v>
      </c>
      <c r="B130">
        <v>-22.354249040422296</v>
      </c>
      <c r="E130" s="11">
        <f>A130-'Mastercurve bestimmen'!$B$2</f>
        <v>-50</v>
      </c>
      <c r="F130" s="11">
        <f t="shared" si="10"/>
        <v>-22.354249040422296</v>
      </c>
      <c r="G130" s="11"/>
      <c r="H130" s="11">
        <f t="shared" si="11"/>
        <v>39062500000000</v>
      </c>
      <c r="I130" s="11">
        <f t="shared" si="14"/>
        <v>-781250000000</v>
      </c>
      <c r="J130" s="11">
        <f t="shared" si="14"/>
        <v>15625000000</v>
      </c>
      <c r="K130" s="11">
        <f t="shared" si="14"/>
        <v>-312500000</v>
      </c>
      <c r="L130" s="11">
        <f t="shared" si="14"/>
        <v>6250000</v>
      </c>
      <c r="M130" s="11">
        <f t="shared" si="14"/>
        <v>-125000</v>
      </c>
      <c r="N130" s="11">
        <f t="shared" si="14"/>
        <v>2500</v>
      </c>
      <c r="O130" s="11">
        <f t="shared" si="14"/>
        <v>-50</v>
      </c>
      <c r="P130" s="11">
        <f t="shared" si="13"/>
        <v>0</v>
      </c>
    </row>
    <row r="131" spans="1:16" x14ac:dyDescent="0.25">
      <c r="A131" s="11">
        <f t="shared" si="12"/>
        <v>76</v>
      </c>
      <c r="B131">
        <v>-21.90091630198669</v>
      </c>
      <c r="E131" s="11">
        <f>A131-'Mastercurve bestimmen'!$B$2</f>
        <v>-49</v>
      </c>
      <c r="F131" s="11">
        <f t="shared" si="10"/>
        <v>-21.90091630198669</v>
      </c>
      <c r="G131" s="11"/>
      <c r="H131" s="11">
        <f t="shared" si="11"/>
        <v>33232930569601</v>
      </c>
      <c r="I131" s="11">
        <f t="shared" si="14"/>
        <v>-678223072849</v>
      </c>
      <c r="J131" s="11">
        <f t="shared" si="14"/>
        <v>13841287201</v>
      </c>
      <c r="K131" s="11">
        <f t="shared" si="14"/>
        <v>-282475249</v>
      </c>
      <c r="L131" s="11">
        <f t="shared" si="14"/>
        <v>5764801</v>
      </c>
      <c r="M131" s="11">
        <f t="shared" si="14"/>
        <v>-117649</v>
      </c>
      <c r="N131" s="11">
        <f t="shared" si="14"/>
        <v>2401</v>
      </c>
      <c r="O131" s="11">
        <f t="shared" si="14"/>
        <v>-49</v>
      </c>
      <c r="P131" s="11">
        <f t="shared" si="13"/>
        <v>0</v>
      </c>
    </row>
    <row r="132" spans="1:16" x14ac:dyDescent="0.25">
      <c r="A132" s="11">
        <f t="shared" si="12"/>
        <v>77</v>
      </c>
      <c r="B132">
        <v>-21.442705232971878</v>
      </c>
      <c r="E132" s="11">
        <f>A132-'Mastercurve bestimmen'!$B$2</f>
        <v>-48</v>
      </c>
      <c r="F132" s="11">
        <f t="shared" si="10"/>
        <v>-21.442705232971878</v>
      </c>
      <c r="G132" s="11"/>
      <c r="H132" s="11">
        <f t="shared" si="11"/>
        <v>28179280429056</v>
      </c>
      <c r="I132" s="11">
        <f t="shared" si="14"/>
        <v>-587068342272</v>
      </c>
      <c r="J132" s="11">
        <f t="shared" si="14"/>
        <v>12230590464</v>
      </c>
      <c r="K132" s="11">
        <f t="shared" si="14"/>
        <v>-254803968</v>
      </c>
      <c r="L132" s="11">
        <f t="shared" si="14"/>
        <v>5308416</v>
      </c>
      <c r="M132" s="11">
        <f t="shared" si="14"/>
        <v>-110592</v>
      </c>
      <c r="N132" s="11">
        <f t="shared" si="14"/>
        <v>2304</v>
      </c>
      <c r="O132" s="11">
        <f t="shared" si="14"/>
        <v>-48</v>
      </c>
      <c r="P132" s="11">
        <f t="shared" si="13"/>
        <v>0</v>
      </c>
    </row>
    <row r="133" spans="1:16" x14ac:dyDescent="0.25">
      <c r="A133" s="11">
        <f t="shared" si="12"/>
        <v>78</v>
      </c>
      <c r="B133">
        <v>-20.979631349775161</v>
      </c>
      <c r="E133" s="11">
        <f>A133-'Mastercurve bestimmen'!$B$2</f>
        <v>-47</v>
      </c>
      <c r="F133" s="11">
        <f t="shared" si="10"/>
        <v>-20.979631349775161</v>
      </c>
      <c r="G133" s="11"/>
      <c r="H133" s="11">
        <f t="shared" si="11"/>
        <v>23811286661761</v>
      </c>
      <c r="I133" s="11">
        <f t="shared" si="14"/>
        <v>-506623120463</v>
      </c>
      <c r="J133" s="11">
        <f t="shared" si="14"/>
        <v>10779215329</v>
      </c>
      <c r="K133" s="11">
        <f t="shared" si="14"/>
        <v>-229345007</v>
      </c>
      <c r="L133" s="11">
        <f t="shared" si="14"/>
        <v>4879681</v>
      </c>
      <c r="M133" s="11">
        <f t="shared" si="14"/>
        <v>-103823</v>
      </c>
      <c r="N133" s="11">
        <f t="shared" si="14"/>
        <v>2209</v>
      </c>
      <c r="O133" s="11">
        <f t="shared" si="14"/>
        <v>-47</v>
      </c>
      <c r="P133" s="11">
        <f t="shared" si="13"/>
        <v>0</v>
      </c>
    </row>
    <row r="134" spans="1:16" x14ac:dyDescent="0.25">
      <c r="A134" s="11">
        <f t="shared" si="12"/>
        <v>79</v>
      </c>
      <c r="B134">
        <v>-20.511710168793833</v>
      </c>
      <c r="E134" s="11">
        <f>A134-'Mastercurve bestimmen'!$B$2</f>
        <v>-46</v>
      </c>
      <c r="F134" s="11">
        <f t="shared" si="10"/>
        <v>-20.511710168793833</v>
      </c>
      <c r="G134" s="11"/>
      <c r="H134" s="11">
        <f t="shared" si="11"/>
        <v>20047612231936</v>
      </c>
      <c r="I134" s="11">
        <f t="shared" si="14"/>
        <v>-435817657216</v>
      </c>
      <c r="J134" s="11">
        <f t="shared" si="14"/>
        <v>9474296896</v>
      </c>
      <c r="K134" s="11">
        <f t="shared" si="14"/>
        <v>-205962976</v>
      </c>
      <c r="L134" s="11">
        <f t="shared" si="14"/>
        <v>4477456</v>
      </c>
      <c r="M134" s="11">
        <f t="shared" si="14"/>
        <v>-97336</v>
      </c>
      <c r="N134" s="11">
        <f t="shared" si="14"/>
        <v>2116</v>
      </c>
      <c r="O134" s="11">
        <f t="shared" si="14"/>
        <v>-46</v>
      </c>
      <c r="P134" s="11">
        <f t="shared" si="13"/>
        <v>0</v>
      </c>
    </row>
    <row r="135" spans="1:16" x14ac:dyDescent="0.25">
      <c r="A135" s="11">
        <f t="shared" si="12"/>
        <v>80</v>
      </c>
      <c r="B135">
        <v>-20.038957206425195</v>
      </c>
      <c r="E135" s="11">
        <f>A135-'Mastercurve bestimmen'!$B$2</f>
        <v>-45</v>
      </c>
      <c r="F135" s="11">
        <f t="shared" si="10"/>
        <v>-20.038957206425195</v>
      </c>
      <c r="G135" s="11"/>
      <c r="H135" s="11">
        <f t="shared" si="11"/>
        <v>16815125390625</v>
      </c>
      <c r="I135" s="11">
        <f t="shared" si="14"/>
        <v>-373669453125</v>
      </c>
      <c r="J135" s="11">
        <f t="shared" si="14"/>
        <v>8303765625</v>
      </c>
      <c r="K135" s="11">
        <f t="shared" si="14"/>
        <v>-184528125</v>
      </c>
      <c r="L135" s="11">
        <f t="shared" si="14"/>
        <v>4100625</v>
      </c>
      <c r="M135" s="11">
        <f t="shared" si="14"/>
        <v>-91125</v>
      </c>
      <c r="N135" s="11">
        <f t="shared" si="14"/>
        <v>2025</v>
      </c>
      <c r="O135" s="11">
        <f t="shared" si="14"/>
        <v>-45</v>
      </c>
      <c r="P135" s="11">
        <f t="shared" si="13"/>
        <v>0</v>
      </c>
    </row>
    <row r="136" spans="1:16" x14ac:dyDescent="0.25">
      <c r="A136" s="11">
        <f t="shared" si="12"/>
        <v>81</v>
      </c>
      <c r="B136">
        <v>-19.561453649535167</v>
      </c>
      <c r="E136" s="11">
        <f>A136-'Mastercurve bestimmen'!$B$2</f>
        <v>-44</v>
      </c>
      <c r="F136" s="11">
        <f t="shared" si="10"/>
        <v>-19.561453649535167</v>
      </c>
      <c r="G136" s="11"/>
      <c r="H136" s="11">
        <f t="shared" si="11"/>
        <v>14048223625216</v>
      </c>
      <c r="I136" s="11">
        <f t="shared" si="14"/>
        <v>-319277809664</v>
      </c>
      <c r="J136" s="11">
        <f t="shared" si="14"/>
        <v>7256313856</v>
      </c>
      <c r="K136" s="11">
        <f t="shared" si="14"/>
        <v>-164916224</v>
      </c>
      <c r="L136" s="11">
        <f t="shared" si="14"/>
        <v>3748096</v>
      </c>
      <c r="M136" s="11">
        <f t="shared" si="14"/>
        <v>-85184</v>
      </c>
      <c r="N136" s="11">
        <f t="shared" si="14"/>
        <v>1936</v>
      </c>
      <c r="O136" s="11">
        <f t="shared" si="14"/>
        <v>-44</v>
      </c>
      <c r="P136" s="11">
        <f t="shared" si="13"/>
        <v>0</v>
      </c>
    </row>
    <row r="137" spans="1:16" x14ac:dyDescent="0.25">
      <c r="A137" s="11">
        <f t="shared" si="12"/>
        <v>82</v>
      </c>
      <c r="B137">
        <v>-19.079543366864193</v>
      </c>
      <c r="E137" s="11">
        <f>A137-'Mastercurve bestimmen'!$B$2</f>
        <v>-43</v>
      </c>
      <c r="F137" s="11">
        <f t="shared" si="10"/>
        <v>-19.079543366864193</v>
      </c>
      <c r="G137" s="11"/>
      <c r="H137" s="11">
        <f t="shared" si="11"/>
        <v>11688200277601</v>
      </c>
      <c r="I137" s="11">
        <f t="shared" si="14"/>
        <v>-271818611107</v>
      </c>
      <c r="J137" s="11">
        <f t="shared" si="14"/>
        <v>6321363049</v>
      </c>
      <c r="K137" s="11">
        <f t="shared" si="14"/>
        <v>-147008443</v>
      </c>
      <c r="L137" s="11">
        <f t="shared" si="14"/>
        <v>3418801</v>
      </c>
      <c r="M137" s="11">
        <f t="shared" si="14"/>
        <v>-79507</v>
      </c>
      <c r="N137" s="11">
        <f t="shared" si="14"/>
        <v>1849</v>
      </c>
      <c r="O137" s="11">
        <f t="shared" si="14"/>
        <v>-43</v>
      </c>
      <c r="P137" s="11">
        <f t="shared" si="13"/>
        <v>0</v>
      </c>
    </row>
    <row r="138" spans="1:16" x14ac:dyDescent="0.25">
      <c r="A138" s="11">
        <f t="shared" si="12"/>
        <v>83</v>
      </c>
      <c r="B138">
        <v>-18.59363589762135</v>
      </c>
      <c r="E138" s="11">
        <f>A138-'Mastercurve bestimmen'!$B$2</f>
        <v>-42</v>
      </c>
      <c r="F138" s="11">
        <f t="shared" si="10"/>
        <v>-18.59363589762135</v>
      </c>
      <c r="G138" s="11"/>
      <c r="H138" s="11">
        <f t="shared" si="11"/>
        <v>9682651996416</v>
      </c>
      <c r="I138" s="11">
        <f t="shared" si="14"/>
        <v>-230539333248</v>
      </c>
      <c r="J138" s="11">
        <f t="shared" si="14"/>
        <v>5489031744</v>
      </c>
      <c r="K138" s="11">
        <f t="shared" si="14"/>
        <v>-130691232</v>
      </c>
      <c r="L138" s="11">
        <f t="shared" si="14"/>
        <v>3111696</v>
      </c>
      <c r="M138" s="11">
        <f t="shared" si="14"/>
        <v>-74088</v>
      </c>
      <c r="N138" s="11">
        <f t="shared" si="14"/>
        <v>1764</v>
      </c>
      <c r="O138" s="11">
        <f t="shared" si="14"/>
        <v>-42</v>
      </c>
      <c r="P138" s="11">
        <f t="shared" si="13"/>
        <v>0</v>
      </c>
    </row>
    <row r="139" spans="1:16" x14ac:dyDescent="0.25">
      <c r="A139" s="11">
        <f t="shared" si="12"/>
        <v>84</v>
      </c>
      <c r="B139">
        <v>-18.104140781015712</v>
      </c>
      <c r="E139" s="11">
        <f>A139-'Mastercurve bestimmen'!$B$2</f>
        <v>-41</v>
      </c>
      <c r="F139" s="11">
        <f t="shared" si="10"/>
        <v>-18.104140781015712</v>
      </c>
      <c r="G139" s="11"/>
      <c r="H139" s="11">
        <f t="shared" si="11"/>
        <v>7984925229121</v>
      </c>
      <c r="I139" s="11">
        <f t="shared" si="14"/>
        <v>-194754273881</v>
      </c>
      <c r="J139" s="11">
        <f t="shared" si="14"/>
        <v>4750104241</v>
      </c>
      <c r="K139" s="11">
        <f t="shared" si="14"/>
        <v>-115856201</v>
      </c>
      <c r="L139" s="11">
        <f t="shared" si="14"/>
        <v>2825761</v>
      </c>
      <c r="M139" s="11">
        <f t="shared" si="14"/>
        <v>-68921</v>
      </c>
      <c r="N139" s="11">
        <f t="shared" si="14"/>
        <v>1681</v>
      </c>
      <c r="O139" s="11">
        <f t="shared" si="14"/>
        <v>-41</v>
      </c>
      <c r="P139" s="11">
        <f t="shared" si="13"/>
        <v>0</v>
      </c>
    </row>
    <row r="140" spans="1:16" x14ac:dyDescent="0.25">
      <c r="A140" s="11">
        <f t="shared" si="12"/>
        <v>85</v>
      </c>
      <c r="B140">
        <v>-17.611467556256354</v>
      </c>
      <c r="E140" s="11">
        <f>A140-'Mastercurve bestimmen'!$B$2</f>
        <v>-40</v>
      </c>
      <c r="F140" s="11">
        <f t="shared" si="10"/>
        <v>-17.611467556256354</v>
      </c>
      <c r="G140" s="11"/>
      <c r="H140" s="11">
        <f t="shared" si="11"/>
        <v>6553600000000</v>
      </c>
      <c r="I140" s="11">
        <f t="shared" si="14"/>
        <v>-163840000000</v>
      </c>
      <c r="J140" s="11">
        <f t="shared" si="14"/>
        <v>4096000000</v>
      </c>
      <c r="K140" s="11">
        <f t="shared" si="14"/>
        <v>-102400000</v>
      </c>
      <c r="L140" s="11">
        <f t="shared" si="14"/>
        <v>2560000</v>
      </c>
      <c r="M140" s="11">
        <f t="shared" si="14"/>
        <v>-64000</v>
      </c>
      <c r="N140" s="11">
        <f t="shared" si="14"/>
        <v>1600</v>
      </c>
      <c r="O140" s="11">
        <f t="shared" si="14"/>
        <v>-40</v>
      </c>
      <c r="P140" s="11">
        <f t="shared" si="13"/>
        <v>0</v>
      </c>
    </row>
    <row r="141" spans="1:16" x14ac:dyDescent="0.25">
      <c r="A141" s="11">
        <f t="shared" si="12"/>
        <v>86</v>
      </c>
      <c r="B141">
        <v>-17.116025762552347</v>
      </c>
      <c r="E141" s="11">
        <f>A141-'Mastercurve bestimmen'!$B$2</f>
        <v>-39</v>
      </c>
      <c r="F141" s="11">
        <f t="shared" si="10"/>
        <v>-17.116025762552347</v>
      </c>
      <c r="G141" s="11"/>
      <c r="H141" s="11">
        <f t="shared" si="11"/>
        <v>5352009260481</v>
      </c>
      <c r="I141" s="11">
        <f t="shared" si="14"/>
        <v>-137231006679</v>
      </c>
      <c r="J141" s="11">
        <f t="shared" si="14"/>
        <v>3518743761</v>
      </c>
      <c r="K141" s="11">
        <f t="shared" si="14"/>
        <v>-90224199</v>
      </c>
      <c r="L141" s="11">
        <f t="shared" si="14"/>
        <v>2313441</v>
      </c>
      <c r="M141" s="11">
        <f t="shared" si="14"/>
        <v>-59319</v>
      </c>
      <c r="N141" s="11">
        <f t="shared" si="14"/>
        <v>1521</v>
      </c>
      <c r="O141" s="11">
        <f t="shared" si="14"/>
        <v>-39</v>
      </c>
      <c r="P141" s="11">
        <f t="shared" si="13"/>
        <v>0</v>
      </c>
    </row>
    <row r="142" spans="1:16" x14ac:dyDescent="0.25">
      <c r="A142" s="11">
        <f t="shared" si="12"/>
        <v>87</v>
      </c>
      <c r="B142">
        <v>-16.618224939112764</v>
      </c>
      <c r="E142" s="11">
        <f>A142-'Mastercurve bestimmen'!$B$2</f>
        <v>-38</v>
      </c>
      <c r="F142" s="11">
        <f t="shared" si="10"/>
        <v>-16.618224939112764</v>
      </c>
      <c r="G142" s="11"/>
      <c r="H142" s="11">
        <f t="shared" si="11"/>
        <v>4347792138496</v>
      </c>
      <c r="I142" s="11">
        <f t="shared" si="14"/>
        <v>-114415582592</v>
      </c>
      <c r="J142" s="11">
        <f t="shared" si="14"/>
        <v>3010936384</v>
      </c>
      <c r="K142" s="11">
        <f t="shared" si="14"/>
        <v>-79235168</v>
      </c>
      <c r="L142" s="11">
        <f t="shared" si="14"/>
        <v>2085136</v>
      </c>
      <c r="M142" s="11">
        <f t="shared" si="14"/>
        <v>-54872</v>
      </c>
      <c r="N142" s="11">
        <f t="shared" si="14"/>
        <v>1444</v>
      </c>
      <c r="O142" s="11">
        <f t="shared" si="14"/>
        <v>-38</v>
      </c>
      <c r="P142" s="11">
        <f t="shared" si="13"/>
        <v>0</v>
      </c>
    </row>
    <row r="143" spans="1:16" x14ac:dyDescent="0.25">
      <c r="A143" s="11">
        <f t="shared" si="12"/>
        <v>88</v>
      </c>
      <c r="B143">
        <v>-16.118474625146682</v>
      </c>
      <c r="E143" s="11">
        <f>A143-'Mastercurve bestimmen'!$B$2</f>
        <v>-37</v>
      </c>
      <c r="F143" s="11">
        <f t="shared" si="10"/>
        <v>-16.118474625146682</v>
      </c>
      <c r="G143" s="11"/>
      <c r="H143" s="11">
        <f t="shared" si="11"/>
        <v>3512479453921</v>
      </c>
      <c r="I143" s="11">
        <f t="shared" si="14"/>
        <v>-94931877133</v>
      </c>
      <c r="J143" s="11">
        <f t="shared" si="14"/>
        <v>2565726409</v>
      </c>
      <c r="K143" s="11">
        <f t="shared" si="14"/>
        <v>-69343957</v>
      </c>
      <c r="L143" s="11">
        <f t="shared" si="14"/>
        <v>1874161</v>
      </c>
      <c r="M143" s="11">
        <f t="shared" si="14"/>
        <v>-50653</v>
      </c>
      <c r="N143" s="11">
        <f t="shared" si="14"/>
        <v>1369</v>
      </c>
      <c r="O143" s="11">
        <f t="shared" si="14"/>
        <v>-37</v>
      </c>
      <c r="P143" s="11">
        <f t="shared" si="13"/>
        <v>0</v>
      </c>
    </row>
    <row r="144" spans="1:16" x14ac:dyDescent="0.25">
      <c r="A144" s="11">
        <f t="shared" si="12"/>
        <v>89</v>
      </c>
      <c r="B144">
        <v>-15.617184359863174</v>
      </c>
      <c r="E144" s="11">
        <f>A144-'Mastercurve bestimmen'!$B$2</f>
        <v>-36</v>
      </c>
      <c r="F144" s="11">
        <f t="shared" ref="F144:F207" si="15">B144</f>
        <v>-15.617184359863174</v>
      </c>
      <c r="G144" s="11"/>
      <c r="H144" s="11">
        <f t="shared" ref="H144:H207" si="16">IF($H$12&gt;=H$14,$E144^H$14,0)</f>
        <v>2821109907456</v>
      </c>
      <c r="I144" s="11">
        <f t="shared" si="14"/>
        <v>-78364164096</v>
      </c>
      <c r="J144" s="11">
        <f t="shared" si="14"/>
        <v>2176782336</v>
      </c>
      <c r="K144" s="11">
        <f t="shared" si="14"/>
        <v>-60466176</v>
      </c>
      <c r="L144" s="11">
        <f t="shared" si="14"/>
        <v>1679616</v>
      </c>
      <c r="M144" s="11">
        <f t="shared" si="14"/>
        <v>-46656</v>
      </c>
      <c r="N144" s="11">
        <f t="shared" si="14"/>
        <v>1296</v>
      </c>
      <c r="O144" s="11">
        <f t="shared" si="14"/>
        <v>-36</v>
      </c>
      <c r="P144" s="11">
        <f t="shared" si="13"/>
        <v>0</v>
      </c>
    </row>
    <row r="145" spans="1:16" x14ac:dyDescent="0.25">
      <c r="A145" s="11">
        <f t="shared" ref="A145:A208" si="17">A144+1</f>
        <v>90</v>
      </c>
      <c r="B145">
        <v>-15.114763682471319</v>
      </c>
      <c r="E145" s="11">
        <f>A145-'Mastercurve bestimmen'!$B$2</f>
        <v>-35</v>
      </c>
      <c r="F145" s="11">
        <f t="shared" si="15"/>
        <v>-15.114763682471319</v>
      </c>
      <c r="G145" s="11"/>
      <c r="H145" s="11">
        <f t="shared" si="16"/>
        <v>2251875390625</v>
      </c>
      <c r="I145" s="11">
        <f t="shared" si="14"/>
        <v>-64339296875</v>
      </c>
      <c r="J145" s="11">
        <f t="shared" si="14"/>
        <v>1838265625</v>
      </c>
      <c r="K145" s="11">
        <f t="shared" si="14"/>
        <v>-52521875</v>
      </c>
      <c r="L145" s="11">
        <f t="shared" si="14"/>
        <v>1500625</v>
      </c>
      <c r="M145" s="11">
        <f t="shared" si="14"/>
        <v>-42875</v>
      </c>
      <c r="N145" s="11">
        <f t="shared" si="14"/>
        <v>1225</v>
      </c>
      <c r="O145" s="11">
        <f t="shared" si="14"/>
        <v>-35</v>
      </c>
      <c r="P145" s="11">
        <f t="shared" ref="P145:P208" si="18">P144</f>
        <v>0</v>
      </c>
    </row>
    <row r="146" spans="1:16" x14ac:dyDescent="0.25">
      <c r="A146" s="11">
        <f t="shared" si="17"/>
        <v>91</v>
      </c>
      <c r="B146">
        <v>-14.611622132180184</v>
      </c>
      <c r="E146" s="11">
        <f>A146-'Mastercurve bestimmen'!$B$2</f>
        <v>-34</v>
      </c>
      <c r="F146" s="11">
        <f t="shared" si="15"/>
        <v>-14.611622132180184</v>
      </c>
      <c r="G146" s="11"/>
      <c r="H146" s="11">
        <f t="shared" si="16"/>
        <v>1785793904896</v>
      </c>
      <c r="I146" s="11">
        <f t="shared" si="14"/>
        <v>-52523350144</v>
      </c>
      <c r="J146" s="11">
        <f t="shared" si="14"/>
        <v>1544804416</v>
      </c>
      <c r="K146" s="11">
        <f t="shared" si="14"/>
        <v>-45435424</v>
      </c>
      <c r="L146" s="11">
        <f t="shared" si="14"/>
        <v>1336336</v>
      </c>
      <c r="M146" s="11">
        <f t="shared" si="14"/>
        <v>-39304</v>
      </c>
      <c r="N146" s="11">
        <f t="shared" si="14"/>
        <v>1156</v>
      </c>
      <c r="O146" s="11">
        <f t="shared" si="14"/>
        <v>-34</v>
      </c>
      <c r="P146" s="11">
        <f t="shared" si="18"/>
        <v>0</v>
      </c>
    </row>
    <row r="147" spans="1:16" x14ac:dyDescent="0.25">
      <c r="A147" s="11">
        <f t="shared" si="17"/>
        <v>92</v>
      </c>
      <c r="B147">
        <v>-14.108169248198841</v>
      </c>
      <c r="E147" s="11">
        <f>A147-'Mastercurve bestimmen'!$B$2</f>
        <v>-33</v>
      </c>
      <c r="F147" s="11">
        <f t="shared" si="15"/>
        <v>-14.108169248198841</v>
      </c>
      <c r="G147" s="11"/>
      <c r="H147" s="11">
        <f t="shared" si="16"/>
        <v>1406408618241</v>
      </c>
      <c r="I147" s="11">
        <f t="shared" si="14"/>
        <v>-42618442977</v>
      </c>
      <c r="J147" s="11">
        <f t="shared" si="14"/>
        <v>1291467969</v>
      </c>
      <c r="K147" s="11">
        <f t="shared" si="14"/>
        <v>-39135393</v>
      </c>
      <c r="L147" s="11">
        <f t="shared" si="14"/>
        <v>1185921</v>
      </c>
      <c r="M147" s="11">
        <f t="shared" si="14"/>
        <v>-35937</v>
      </c>
      <c r="N147" s="11">
        <f t="shared" si="14"/>
        <v>1089</v>
      </c>
      <c r="O147" s="11">
        <f t="shared" si="14"/>
        <v>-33</v>
      </c>
      <c r="P147" s="11">
        <f t="shared" si="18"/>
        <v>0</v>
      </c>
    </row>
    <row r="148" spans="1:16" x14ac:dyDescent="0.25">
      <c r="A148" s="11">
        <f t="shared" si="17"/>
        <v>93</v>
      </c>
      <c r="B148">
        <v>-13.604814569736375</v>
      </c>
      <c r="E148" s="11">
        <f>A148-'Mastercurve bestimmen'!$B$2</f>
        <v>-32</v>
      </c>
      <c r="F148" s="11">
        <f t="shared" si="15"/>
        <v>-13.604814569736375</v>
      </c>
      <c r="G148" s="11"/>
      <c r="H148" s="11">
        <f t="shared" si="16"/>
        <v>1099511627776</v>
      </c>
      <c r="I148" s="11">
        <f t="shared" si="14"/>
        <v>-34359738368</v>
      </c>
      <c r="J148" s="11">
        <f t="shared" si="14"/>
        <v>1073741824</v>
      </c>
      <c r="K148" s="11">
        <f t="shared" si="14"/>
        <v>-33554432</v>
      </c>
      <c r="L148" s="11">
        <f t="shared" si="14"/>
        <v>1048576</v>
      </c>
      <c r="M148" s="11">
        <f t="shared" si="14"/>
        <v>-32768</v>
      </c>
      <c r="N148" s="11">
        <f t="shared" si="14"/>
        <v>1024</v>
      </c>
      <c r="O148" s="11">
        <f t="shared" si="14"/>
        <v>-32</v>
      </c>
      <c r="P148" s="11">
        <f t="shared" si="18"/>
        <v>0</v>
      </c>
    </row>
    <row r="149" spans="1:16" x14ac:dyDescent="0.25">
      <c r="A149" s="11">
        <f t="shared" si="17"/>
        <v>94</v>
      </c>
      <c r="B149">
        <v>-13.101967636001849</v>
      </c>
      <c r="E149" s="11">
        <f>A149-'Mastercurve bestimmen'!$B$2</f>
        <v>-31</v>
      </c>
      <c r="F149" s="11">
        <f t="shared" si="15"/>
        <v>-13.101967636001849</v>
      </c>
      <c r="G149" s="11"/>
      <c r="H149" s="11">
        <f t="shared" si="16"/>
        <v>852891037441</v>
      </c>
      <c r="I149" s="11">
        <f t="shared" si="14"/>
        <v>-27512614111</v>
      </c>
      <c r="J149" s="11">
        <f t="shared" si="14"/>
        <v>887503681</v>
      </c>
      <c r="K149" s="11">
        <f t="shared" si="14"/>
        <v>-28629151</v>
      </c>
      <c r="L149" s="11">
        <f t="shared" si="14"/>
        <v>923521</v>
      </c>
      <c r="M149" s="11">
        <f t="shared" si="14"/>
        <v>-29791</v>
      </c>
      <c r="N149" s="11">
        <f t="shared" si="14"/>
        <v>961</v>
      </c>
      <c r="O149" s="11">
        <f t="shared" si="14"/>
        <v>-31</v>
      </c>
      <c r="P149" s="11">
        <f t="shared" si="18"/>
        <v>0</v>
      </c>
    </row>
    <row r="150" spans="1:16" x14ac:dyDescent="0.25">
      <c r="A150" s="11">
        <f t="shared" si="17"/>
        <v>95</v>
      </c>
      <c r="B150">
        <v>-12.600037986204343</v>
      </c>
      <c r="E150" s="11">
        <f>A150-'Mastercurve bestimmen'!$B$2</f>
        <v>-30</v>
      </c>
      <c r="F150" s="11">
        <f t="shared" si="15"/>
        <v>-12.600037986204343</v>
      </c>
      <c r="G150" s="11"/>
      <c r="H150" s="11">
        <f t="shared" si="16"/>
        <v>656100000000</v>
      </c>
      <c r="I150" s="11">
        <f t="shared" si="14"/>
        <v>-21870000000</v>
      </c>
      <c r="J150" s="11">
        <f t="shared" si="14"/>
        <v>729000000</v>
      </c>
      <c r="K150" s="11">
        <f t="shared" si="14"/>
        <v>-24300000</v>
      </c>
      <c r="L150" s="11">
        <f t="shared" si="14"/>
        <v>810000</v>
      </c>
      <c r="M150" s="11">
        <f t="shared" si="14"/>
        <v>-27000</v>
      </c>
      <c r="N150" s="11">
        <f t="shared" si="14"/>
        <v>900</v>
      </c>
      <c r="O150" s="11">
        <f t="shared" si="14"/>
        <v>-30</v>
      </c>
      <c r="P150" s="11">
        <f t="shared" si="18"/>
        <v>0</v>
      </c>
    </row>
    <row r="151" spans="1:16" x14ac:dyDescent="0.25">
      <c r="A151" s="11">
        <f t="shared" si="17"/>
        <v>96</v>
      </c>
      <c r="B151">
        <v>-12.099435159552931</v>
      </c>
      <c r="E151" s="11">
        <f>A151-'Mastercurve bestimmen'!$B$2</f>
        <v>-29</v>
      </c>
      <c r="F151" s="11">
        <f t="shared" si="15"/>
        <v>-12.099435159552931</v>
      </c>
      <c r="G151" s="11"/>
      <c r="H151" s="11">
        <f t="shared" si="16"/>
        <v>500246412961</v>
      </c>
      <c r="I151" s="11">
        <f t="shared" si="14"/>
        <v>-17249876309</v>
      </c>
      <c r="J151" s="11">
        <f t="shared" si="14"/>
        <v>594823321</v>
      </c>
      <c r="K151" s="11">
        <f t="shared" si="14"/>
        <v>-20511149</v>
      </c>
      <c r="L151" s="11">
        <f t="shared" si="14"/>
        <v>707281</v>
      </c>
      <c r="M151" s="11">
        <f t="shared" si="14"/>
        <v>-24389</v>
      </c>
      <c r="N151" s="11">
        <f t="shared" si="14"/>
        <v>841</v>
      </c>
      <c r="O151" s="11">
        <f t="shared" si="14"/>
        <v>-29</v>
      </c>
      <c r="P151" s="11">
        <f t="shared" si="18"/>
        <v>0</v>
      </c>
    </row>
    <row r="152" spans="1:16" x14ac:dyDescent="0.25">
      <c r="A152" s="11">
        <f t="shared" si="17"/>
        <v>97</v>
      </c>
      <c r="B152">
        <v>-11.600568695256687</v>
      </c>
      <c r="E152" s="11">
        <f>A152-'Mastercurve bestimmen'!$B$2</f>
        <v>-28</v>
      </c>
      <c r="F152" s="11">
        <f t="shared" si="15"/>
        <v>-11.600568695256687</v>
      </c>
      <c r="G152" s="11"/>
      <c r="H152" s="11">
        <f t="shared" si="16"/>
        <v>377801998336</v>
      </c>
      <c r="I152" s="11">
        <f t="shared" si="14"/>
        <v>-13492928512</v>
      </c>
      <c r="J152" s="11">
        <f t="shared" si="14"/>
        <v>481890304</v>
      </c>
      <c r="K152" s="11">
        <f t="shared" si="14"/>
        <v>-17210368</v>
      </c>
      <c r="L152" s="11">
        <f t="shared" si="14"/>
        <v>614656</v>
      </c>
      <c r="M152" s="11">
        <f t="shared" si="14"/>
        <v>-21952</v>
      </c>
      <c r="N152" s="11">
        <f t="shared" ref="I152:O189" si="19">IF($H$12&gt;=N$14,$E152^N$14,0)</f>
        <v>784</v>
      </c>
      <c r="O152" s="11">
        <f t="shared" si="19"/>
        <v>-28</v>
      </c>
      <c r="P152" s="11">
        <f t="shared" si="18"/>
        <v>0</v>
      </c>
    </row>
    <row r="153" spans="1:16" x14ac:dyDescent="0.25">
      <c r="A153" s="11">
        <f t="shared" si="17"/>
        <v>98</v>
      </c>
      <c r="B153">
        <v>-11.103848132524679</v>
      </c>
      <c r="E153" s="11">
        <f>A153-'Mastercurve bestimmen'!$B$2</f>
        <v>-27</v>
      </c>
      <c r="F153" s="11">
        <f t="shared" si="15"/>
        <v>-11.103848132524679</v>
      </c>
      <c r="G153" s="11"/>
      <c r="H153" s="11">
        <f t="shared" si="16"/>
        <v>282429536481</v>
      </c>
      <c r="I153" s="11">
        <f t="shared" si="19"/>
        <v>-10460353203</v>
      </c>
      <c r="J153" s="11">
        <f t="shared" si="19"/>
        <v>387420489</v>
      </c>
      <c r="K153" s="11">
        <f t="shared" si="19"/>
        <v>-14348907</v>
      </c>
      <c r="L153" s="11">
        <f t="shared" si="19"/>
        <v>531441</v>
      </c>
      <c r="M153" s="11">
        <f t="shared" si="19"/>
        <v>-19683</v>
      </c>
      <c r="N153" s="11">
        <f t="shared" si="19"/>
        <v>729</v>
      </c>
      <c r="O153" s="11">
        <f t="shared" si="19"/>
        <v>-27</v>
      </c>
      <c r="P153" s="11">
        <f t="shared" si="18"/>
        <v>0</v>
      </c>
    </row>
    <row r="154" spans="1:16" x14ac:dyDescent="0.25">
      <c r="A154" s="11">
        <f t="shared" si="17"/>
        <v>99</v>
      </c>
      <c r="B154">
        <v>-10.609683010565988</v>
      </c>
      <c r="E154" s="11">
        <f>A154-'Mastercurve bestimmen'!$B$2</f>
        <v>-26</v>
      </c>
      <c r="F154" s="11">
        <f t="shared" si="15"/>
        <v>-10.609683010565988</v>
      </c>
      <c r="G154" s="11"/>
      <c r="H154" s="11">
        <f t="shared" si="16"/>
        <v>208827064576</v>
      </c>
      <c r="I154" s="11">
        <f t="shared" si="19"/>
        <v>-8031810176</v>
      </c>
      <c r="J154" s="11">
        <f t="shared" si="19"/>
        <v>308915776</v>
      </c>
      <c r="K154" s="11">
        <f t="shared" si="19"/>
        <v>-11881376</v>
      </c>
      <c r="L154" s="11">
        <f t="shared" si="19"/>
        <v>456976</v>
      </c>
      <c r="M154" s="11">
        <f t="shared" si="19"/>
        <v>-17576</v>
      </c>
      <c r="N154" s="11">
        <f t="shared" si="19"/>
        <v>676</v>
      </c>
      <c r="O154" s="11">
        <f t="shared" si="19"/>
        <v>-26</v>
      </c>
      <c r="P154" s="11">
        <f t="shared" si="18"/>
        <v>0</v>
      </c>
    </row>
    <row r="155" spans="1:16" x14ac:dyDescent="0.25">
      <c r="A155" s="11">
        <f t="shared" si="17"/>
        <v>100</v>
      </c>
      <c r="B155">
        <v>-10.118482868589687</v>
      </c>
      <c r="E155" s="11">
        <f>A155-'Mastercurve bestimmen'!$B$2</f>
        <v>-25</v>
      </c>
      <c r="F155" s="11">
        <f t="shared" si="15"/>
        <v>-10.118482868589687</v>
      </c>
      <c r="G155" s="11"/>
      <c r="H155" s="11">
        <f t="shared" si="16"/>
        <v>152587890625</v>
      </c>
      <c r="I155" s="11">
        <f t="shared" si="19"/>
        <v>-6103515625</v>
      </c>
      <c r="J155" s="11">
        <f t="shared" si="19"/>
        <v>244140625</v>
      </c>
      <c r="K155" s="11">
        <f t="shared" si="19"/>
        <v>-9765625</v>
      </c>
      <c r="L155" s="11">
        <f t="shared" si="19"/>
        <v>390625</v>
      </c>
      <c r="M155" s="11">
        <f t="shared" si="19"/>
        <v>-15625</v>
      </c>
      <c r="N155" s="11">
        <f t="shared" si="19"/>
        <v>625</v>
      </c>
      <c r="O155" s="11">
        <f t="shared" si="19"/>
        <v>-25</v>
      </c>
      <c r="P155" s="11">
        <f t="shared" si="18"/>
        <v>0</v>
      </c>
    </row>
    <row r="156" spans="1:16" x14ac:dyDescent="0.25">
      <c r="A156" s="11">
        <f t="shared" si="17"/>
        <v>101</v>
      </c>
      <c r="B156">
        <v>-9.6306572458048461</v>
      </c>
      <c r="E156" s="11">
        <f>A156-'Mastercurve bestimmen'!$B$2</f>
        <v>-24</v>
      </c>
      <c r="F156" s="11">
        <f t="shared" si="15"/>
        <v>-9.6306572458048461</v>
      </c>
      <c r="G156" s="11"/>
      <c r="H156" s="11">
        <f t="shared" si="16"/>
        <v>110075314176</v>
      </c>
      <c r="I156" s="11">
        <f t="shared" si="19"/>
        <v>-4586471424</v>
      </c>
      <c r="J156" s="11">
        <f t="shared" si="19"/>
        <v>191102976</v>
      </c>
      <c r="K156" s="11">
        <f t="shared" si="19"/>
        <v>-7962624</v>
      </c>
      <c r="L156" s="11">
        <f t="shared" si="19"/>
        <v>331776</v>
      </c>
      <c r="M156" s="11">
        <f t="shared" si="19"/>
        <v>-13824</v>
      </c>
      <c r="N156" s="11">
        <f t="shared" si="19"/>
        <v>576</v>
      </c>
      <c r="O156" s="11">
        <f t="shared" si="19"/>
        <v>-24</v>
      </c>
      <c r="P156" s="11">
        <f t="shared" si="18"/>
        <v>0</v>
      </c>
    </row>
    <row r="157" spans="1:16" x14ac:dyDescent="0.25">
      <c r="A157" s="11">
        <f t="shared" si="17"/>
        <v>102</v>
      </c>
      <c r="B157">
        <v>-9.1466156814205437</v>
      </c>
      <c r="E157" s="11">
        <f>A157-'Mastercurve bestimmen'!$B$2</f>
        <v>-23</v>
      </c>
      <c r="F157" s="11">
        <f t="shared" si="15"/>
        <v>-9.1466156814205437</v>
      </c>
      <c r="G157" s="11"/>
      <c r="H157" s="11">
        <f t="shared" si="16"/>
        <v>78310985281</v>
      </c>
      <c r="I157" s="11">
        <f t="shared" si="19"/>
        <v>-3404825447</v>
      </c>
      <c r="J157" s="11">
        <f t="shared" si="19"/>
        <v>148035889</v>
      </c>
      <c r="K157" s="11">
        <f t="shared" si="19"/>
        <v>-6436343</v>
      </c>
      <c r="L157" s="11">
        <f t="shared" si="19"/>
        <v>279841</v>
      </c>
      <c r="M157" s="11">
        <f t="shared" si="19"/>
        <v>-12167</v>
      </c>
      <c r="N157" s="11">
        <f t="shared" si="19"/>
        <v>529</v>
      </c>
      <c r="O157" s="11">
        <f t="shared" si="19"/>
        <v>-23</v>
      </c>
      <c r="P157" s="11">
        <f t="shared" si="18"/>
        <v>0</v>
      </c>
    </row>
    <row r="158" spans="1:16" x14ac:dyDescent="0.25">
      <c r="A158" s="11">
        <f t="shared" si="17"/>
        <v>103</v>
      </c>
      <c r="B158">
        <v>-8.6667677146458537</v>
      </c>
      <c r="E158" s="11">
        <f>A158-'Mastercurve bestimmen'!$B$2</f>
        <v>-22</v>
      </c>
      <c r="F158" s="11">
        <f t="shared" si="15"/>
        <v>-8.6667677146458537</v>
      </c>
      <c r="G158" s="11"/>
      <c r="H158" s="11">
        <f t="shared" si="16"/>
        <v>54875873536</v>
      </c>
      <c r="I158" s="11">
        <f t="shared" si="19"/>
        <v>-2494357888</v>
      </c>
      <c r="J158" s="11">
        <f t="shared" si="19"/>
        <v>113379904</v>
      </c>
      <c r="K158" s="11">
        <f t="shared" si="19"/>
        <v>-5153632</v>
      </c>
      <c r="L158" s="11">
        <f t="shared" si="19"/>
        <v>234256</v>
      </c>
      <c r="M158" s="11">
        <f t="shared" si="19"/>
        <v>-10648</v>
      </c>
      <c r="N158" s="11">
        <f t="shared" si="19"/>
        <v>484</v>
      </c>
      <c r="O158" s="11">
        <f t="shared" si="19"/>
        <v>-22</v>
      </c>
      <c r="P158" s="11">
        <f t="shared" si="18"/>
        <v>0</v>
      </c>
    </row>
    <row r="159" spans="1:16" x14ac:dyDescent="0.25">
      <c r="A159" s="11">
        <f t="shared" si="17"/>
        <v>104</v>
      </c>
      <c r="B159">
        <v>-8.191522884689844</v>
      </c>
      <c r="E159" s="11">
        <f>A159-'Mastercurve bestimmen'!$B$2</f>
        <v>-21</v>
      </c>
      <c r="F159" s="11">
        <f t="shared" si="15"/>
        <v>-8.191522884689844</v>
      </c>
      <c r="G159" s="11"/>
      <c r="H159" s="11">
        <f t="shared" si="16"/>
        <v>37822859361</v>
      </c>
      <c r="I159" s="11">
        <f t="shared" si="19"/>
        <v>-1801088541</v>
      </c>
      <c r="J159" s="11">
        <f t="shared" si="19"/>
        <v>85766121</v>
      </c>
      <c r="K159" s="11">
        <f t="shared" si="19"/>
        <v>-4084101</v>
      </c>
      <c r="L159" s="11">
        <f t="shared" si="19"/>
        <v>194481</v>
      </c>
      <c r="M159" s="11">
        <f t="shared" si="19"/>
        <v>-9261</v>
      </c>
      <c r="N159" s="11">
        <f t="shared" si="19"/>
        <v>441</v>
      </c>
      <c r="O159" s="11">
        <f t="shared" si="19"/>
        <v>-21</v>
      </c>
      <c r="P159" s="11">
        <f t="shared" si="18"/>
        <v>0</v>
      </c>
    </row>
    <row r="160" spans="1:16" x14ac:dyDescent="0.25">
      <c r="A160" s="11">
        <f t="shared" si="17"/>
        <v>105</v>
      </c>
      <c r="B160">
        <v>-7.7212907307615968</v>
      </c>
      <c r="E160" s="11">
        <f>A160-'Mastercurve bestimmen'!$B$2</f>
        <v>-20</v>
      </c>
      <c r="F160" s="11">
        <f t="shared" si="15"/>
        <v>-7.7212907307615968</v>
      </c>
      <c r="G160" s="11"/>
      <c r="H160" s="11">
        <f t="shared" si="16"/>
        <v>25600000000</v>
      </c>
      <c r="I160" s="11">
        <f t="shared" si="19"/>
        <v>-1280000000</v>
      </c>
      <c r="J160" s="11">
        <f t="shared" si="19"/>
        <v>64000000</v>
      </c>
      <c r="K160" s="11">
        <f t="shared" si="19"/>
        <v>-3200000</v>
      </c>
      <c r="L160" s="11">
        <f t="shared" si="19"/>
        <v>160000</v>
      </c>
      <c r="M160" s="11">
        <f t="shared" si="19"/>
        <v>-8000</v>
      </c>
      <c r="N160" s="11">
        <f t="shared" si="19"/>
        <v>400</v>
      </c>
      <c r="O160" s="11">
        <f t="shared" si="19"/>
        <v>-20</v>
      </c>
      <c r="P160" s="11">
        <f t="shared" si="18"/>
        <v>0</v>
      </c>
    </row>
    <row r="161" spans="1:16" x14ac:dyDescent="0.25">
      <c r="A161" s="11">
        <f t="shared" si="17"/>
        <v>106</v>
      </c>
      <c r="B161">
        <v>-7.2564807920701835</v>
      </c>
      <c r="E161" s="11">
        <f>A161-'Mastercurve bestimmen'!$B$2</f>
        <v>-19</v>
      </c>
      <c r="F161" s="11">
        <f t="shared" si="15"/>
        <v>-7.2564807920701835</v>
      </c>
      <c r="G161" s="11"/>
      <c r="H161" s="11">
        <f t="shared" si="16"/>
        <v>16983563041</v>
      </c>
      <c r="I161" s="11">
        <f t="shared" si="19"/>
        <v>-893871739</v>
      </c>
      <c r="J161" s="11">
        <f t="shared" si="19"/>
        <v>47045881</v>
      </c>
      <c r="K161" s="11">
        <f t="shared" si="19"/>
        <v>-2476099</v>
      </c>
      <c r="L161" s="11">
        <f t="shared" si="19"/>
        <v>130321</v>
      </c>
      <c r="M161" s="11">
        <f t="shared" si="19"/>
        <v>-6859</v>
      </c>
      <c r="N161" s="11">
        <f t="shared" si="19"/>
        <v>361</v>
      </c>
      <c r="O161" s="11">
        <f t="shared" si="19"/>
        <v>-19</v>
      </c>
      <c r="P161" s="11">
        <f t="shared" si="18"/>
        <v>0</v>
      </c>
    </row>
    <row r="162" spans="1:16" x14ac:dyDescent="0.25">
      <c r="A162" s="11">
        <f t="shared" si="17"/>
        <v>107</v>
      </c>
      <c r="B162">
        <v>-6.7975026078246721</v>
      </c>
      <c r="E162" s="11">
        <f>A162-'Mastercurve bestimmen'!$B$2</f>
        <v>-18</v>
      </c>
      <c r="F162" s="11">
        <f t="shared" si="15"/>
        <v>-6.7975026078246721</v>
      </c>
      <c r="G162" s="11"/>
      <c r="H162" s="11">
        <f t="shared" si="16"/>
        <v>11019960576</v>
      </c>
      <c r="I162" s="11">
        <f t="shared" si="19"/>
        <v>-612220032</v>
      </c>
      <c r="J162" s="11">
        <f t="shared" si="19"/>
        <v>34012224</v>
      </c>
      <c r="K162" s="11">
        <f t="shared" si="19"/>
        <v>-1889568</v>
      </c>
      <c r="L162" s="11">
        <f t="shared" si="19"/>
        <v>104976</v>
      </c>
      <c r="M162" s="11">
        <f t="shared" si="19"/>
        <v>-5832</v>
      </c>
      <c r="N162" s="11">
        <f t="shared" si="19"/>
        <v>324</v>
      </c>
      <c r="O162" s="11">
        <f t="shared" si="19"/>
        <v>-18</v>
      </c>
      <c r="P162" s="11">
        <f t="shared" si="18"/>
        <v>0</v>
      </c>
    </row>
    <row r="163" spans="1:16" x14ac:dyDescent="0.25">
      <c r="A163" s="11">
        <f t="shared" si="17"/>
        <v>108</v>
      </c>
      <c r="B163">
        <v>-6.3447657172341465</v>
      </c>
      <c r="E163" s="11">
        <f>A163-'Mastercurve bestimmen'!$B$2</f>
        <v>-17</v>
      </c>
      <c r="F163" s="11">
        <f t="shared" si="15"/>
        <v>-6.3447657172341465</v>
      </c>
      <c r="G163" s="11"/>
      <c r="H163" s="11">
        <f t="shared" si="16"/>
        <v>6975757441</v>
      </c>
      <c r="I163" s="11">
        <f t="shared" si="19"/>
        <v>-410338673</v>
      </c>
      <c r="J163" s="11">
        <f t="shared" si="19"/>
        <v>24137569</v>
      </c>
      <c r="K163" s="11">
        <f t="shared" si="19"/>
        <v>-1419857</v>
      </c>
      <c r="L163" s="11">
        <f t="shared" si="19"/>
        <v>83521</v>
      </c>
      <c r="M163" s="11">
        <f t="shared" si="19"/>
        <v>-4913</v>
      </c>
      <c r="N163" s="11">
        <f t="shared" si="19"/>
        <v>289</v>
      </c>
      <c r="O163" s="11">
        <f t="shared" si="19"/>
        <v>-17</v>
      </c>
      <c r="P163" s="11">
        <f t="shared" si="18"/>
        <v>0</v>
      </c>
    </row>
    <row r="164" spans="1:16" x14ac:dyDescent="0.25">
      <c r="A164" s="11">
        <f t="shared" si="17"/>
        <v>109</v>
      </c>
      <c r="B164">
        <v>-5.8986796595076747</v>
      </c>
      <c r="E164" s="11">
        <f>A164-'Mastercurve bestimmen'!$B$2</f>
        <v>-16</v>
      </c>
      <c r="F164" s="11">
        <f t="shared" si="15"/>
        <v>-5.8986796595076747</v>
      </c>
      <c r="G164" s="11"/>
      <c r="H164" s="11">
        <f t="shared" si="16"/>
        <v>4294967296</v>
      </c>
      <c r="I164" s="11">
        <f t="shared" si="19"/>
        <v>-268435456</v>
      </c>
      <c r="J164" s="11">
        <f t="shared" si="19"/>
        <v>16777216</v>
      </c>
      <c r="K164" s="11">
        <f t="shared" si="19"/>
        <v>-1048576</v>
      </c>
      <c r="L164" s="11">
        <f t="shared" si="19"/>
        <v>65536</v>
      </c>
      <c r="M164" s="11">
        <f t="shared" si="19"/>
        <v>-4096</v>
      </c>
      <c r="N164" s="11">
        <f t="shared" si="19"/>
        <v>256</v>
      </c>
      <c r="O164" s="11">
        <f t="shared" si="19"/>
        <v>-16</v>
      </c>
      <c r="P164" s="11">
        <f t="shared" si="18"/>
        <v>0</v>
      </c>
    </row>
    <row r="165" spans="1:16" x14ac:dyDescent="0.25">
      <c r="A165" s="11">
        <f t="shared" si="17"/>
        <v>110</v>
      </c>
      <c r="B165">
        <v>-5.4596539738543308</v>
      </c>
      <c r="E165" s="11">
        <f>A165-'Mastercurve bestimmen'!$B$2</f>
        <v>-15</v>
      </c>
      <c r="F165" s="11">
        <f t="shared" si="15"/>
        <v>-5.4596539738543308</v>
      </c>
      <c r="G165" s="11"/>
      <c r="H165" s="11">
        <f t="shared" si="16"/>
        <v>2562890625</v>
      </c>
      <c r="I165" s="11">
        <f t="shared" si="19"/>
        <v>-170859375</v>
      </c>
      <c r="J165" s="11">
        <f t="shared" si="19"/>
        <v>11390625</v>
      </c>
      <c r="K165" s="11">
        <f t="shared" si="19"/>
        <v>-759375</v>
      </c>
      <c r="L165" s="11">
        <f t="shared" si="19"/>
        <v>50625</v>
      </c>
      <c r="M165" s="11">
        <f t="shared" si="19"/>
        <v>-3375</v>
      </c>
      <c r="N165" s="11">
        <f t="shared" si="19"/>
        <v>225</v>
      </c>
      <c r="O165" s="11">
        <f t="shared" si="19"/>
        <v>-15</v>
      </c>
      <c r="P165" s="11">
        <f t="shared" si="18"/>
        <v>0</v>
      </c>
    </row>
    <row r="166" spans="1:16" x14ac:dyDescent="0.25">
      <c r="A166" s="11">
        <f t="shared" si="17"/>
        <v>111</v>
      </c>
      <c r="B166">
        <v>-5.0280981994831908</v>
      </c>
      <c r="E166" s="11">
        <f>A166-'Mastercurve bestimmen'!$B$2</f>
        <v>-14</v>
      </c>
      <c r="F166" s="11">
        <f t="shared" si="15"/>
        <v>-5.0280981994831908</v>
      </c>
      <c r="G166" s="11"/>
      <c r="H166" s="11">
        <f t="shared" si="16"/>
        <v>1475789056</v>
      </c>
      <c r="I166" s="11">
        <f t="shared" si="19"/>
        <v>-105413504</v>
      </c>
      <c r="J166" s="11">
        <f t="shared" si="19"/>
        <v>7529536</v>
      </c>
      <c r="K166" s="11">
        <f t="shared" si="19"/>
        <v>-537824</v>
      </c>
      <c r="L166" s="11">
        <f t="shared" si="19"/>
        <v>38416</v>
      </c>
      <c r="M166" s="11">
        <f t="shared" si="19"/>
        <v>-2744</v>
      </c>
      <c r="N166" s="11">
        <f t="shared" si="19"/>
        <v>196</v>
      </c>
      <c r="O166" s="11">
        <f t="shared" si="19"/>
        <v>-14</v>
      </c>
      <c r="P166" s="11">
        <f t="shared" si="18"/>
        <v>0</v>
      </c>
    </row>
    <row r="167" spans="1:16" x14ac:dyDescent="0.25">
      <c r="A167" s="11">
        <f t="shared" si="17"/>
        <v>112</v>
      </c>
      <c r="B167">
        <v>-4.6044218756033271</v>
      </c>
      <c r="E167" s="11">
        <f>A167-'Mastercurve bestimmen'!$B$2</f>
        <v>-13</v>
      </c>
      <c r="F167" s="11">
        <f t="shared" si="15"/>
        <v>-4.6044218756033271</v>
      </c>
      <c r="G167" s="11"/>
      <c r="H167" s="11">
        <f t="shared" si="16"/>
        <v>815730721</v>
      </c>
      <c r="I167" s="11">
        <f t="shared" si="19"/>
        <v>-62748517</v>
      </c>
      <c r="J167" s="11">
        <f t="shared" si="19"/>
        <v>4826809</v>
      </c>
      <c r="K167" s="11">
        <f t="shared" si="19"/>
        <v>-371293</v>
      </c>
      <c r="L167" s="11">
        <f t="shared" si="19"/>
        <v>28561</v>
      </c>
      <c r="M167" s="11">
        <f t="shared" si="19"/>
        <v>-2197</v>
      </c>
      <c r="N167" s="11">
        <f t="shared" si="19"/>
        <v>169</v>
      </c>
      <c r="O167" s="11">
        <f t="shared" si="19"/>
        <v>-13</v>
      </c>
      <c r="P167" s="11">
        <f t="shared" si="18"/>
        <v>0</v>
      </c>
    </row>
    <row r="168" spans="1:16" x14ac:dyDescent="0.25">
      <c r="A168" s="11">
        <f t="shared" si="17"/>
        <v>113</v>
      </c>
      <c r="B168">
        <v>-4.1890345414238146</v>
      </c>
      <c r="E168" s="11">
        <f>A168-'Mastercurve bestimmen'!$B$2</f>
        <v>-12</v>
      </c>
      <c r="F168" s="11">
        <f t="shared" si="15"/>
        <v>-4.1890345414238146</v>
      </c>
      <c r="G168" s="11"/>
      <c r="H168" s="11">
        <f t="shared" si="16"/>
        <v>429981696</v>
      </c>
      <c r="I168" s="11">
        <f t="shared" si="19"/>
        <v>-35831808</v>
      </c>
      <c r="J168" s="11">
        <f t="shared" si="19"/>
        <v>2985984</v>
      </c>
      <c r="K168" s="11">
        <f t="shared" si="19"/>
        <v>-248832</v>
      </c>
      <c r="L168" s="11">
        <f t="shared" si="19"/>
        <v>20736</v>
      </c>
      <c r="M168" s="11">
        <f t="shared" si="19"/>
        <v>-1728</v>
      </c>
      <c r="N168" s="11">
        <f t="shared" si="19"/>
        <v>144</v>
      </c>
      <c r="O168" s="11">
        <f t="shared" si="19"/>
        <v>-12</v>
      </c>
      <c r="P168" s="11">
        <f t="shared" si="18"/>
        <v>0</v>
      </c>
    </row>
    <row r="169" spans="1:16" x14ac:dyDescent="0.25">
      <c r="A169" s="11">
        <f t="shared" si="17"/>
        <v>114</v>
      </c>
      <c r="B169">
        <v>-3.7823457361537276</v>
      </c>
      <c r="E169" s="11">
        <f>A169-'Mastercurve bestimmen'!$B$2</f>
        <v>-11</v>
      </c>
      <c r="F169" s="11">
        <f t="shared" si="15"/>
        <v>-3.7823457361537276</v>
      </c>
      <c r="G169" s="11"/>
      <c r="H169" s="11">
        <f t="shared" si="16"/>
        <v>214358881</v>
      </c>
      <c r="I169" s="11">
        <f t="shared" si="19"/>
        <v>-19487171</v>
      </c>
      <c r="J169" s="11">
        <f t="shared" si="19"/>
        <v>1771561</v>
      </c>
      <c r="K169" s="11">
        <f t="shared" si="19"/>
        <v>-161051</v>
      </c>
      <c r="L169" s="11">
        <f t="shared" si="19"/>
        <v>14641</v>
      </c>
      <c r="M169" s="11">
        <f t="shared" si="19"/>
        <v>-1331</v>
      </c>
      <c r="N169" s="11">
        <f t="shared" si="19"/>
        <v>121</v>
      </c>
      <c r="O169" s="11">
        <f t="shared" si="19"/>
        <v>-11</v>
      </c>
      <c r="P169" s="11">
        <f t="shared" si="18"/>
        <v>0</v>
      </c>
    </row>
    <row r="170" spans="1:16" x14ac:dyDescent="0.25">
      <c r="A170" s="11">
        <f t="shared" si="17"/>
        <v>115</v>
      </c>
      <c r="B170">
        <v>-3.3847649990021398</v>
      </c>
      <c r="E170" s="11">
        <f>A170-'Mastercurve bestimmen'!$B$2</f>
        <v>-10</v>
      </c>
      <c r="F170" s="11">
        <f t="shared" si="15"/>
        <v>-3.3847649990021398</v>
      </c>
      <c r="G170" s="11"/>
      <c r="H170" s="11">
        <f t="shared" si="16"/>
        <v>100000000</v>
      </c>
      <c r="I170" s="11">
        <f t="shared" si="19"/>
        <v>-10000000</v>
      </c>
      <c r="J170" s="11">
        <f t="shared" si="19"/>
        <v>1000000</v>
      </c>
      <c r="K170" s="11">
        <f t="shared" si="19"/>
        <v>-100000</v>
      </c>
      <c r="L170" s="11">
        <f t="shared" si="19"/>
        <v>10000</v>
      </c>
      <c r="M170" s="11">
        <f t="shared" si="19"/>
        <v>-1000</v>
      </c>
      <c r="N170" s="11">
        <f t="shared" si="19"/>
        <v>100</v>
      </c>
      <c r="O170" s="11">
        <f t="shared" si="19"/>
        <v>-10</v>
      </c>
      <c r="P170" s="11">
        <f t="shared" si="18"/>
        <v>0</v>
      </c>
    </row>
    <row r="171" spans="1:16" x14ac:dyDescent="0.25">
      <c r="A171" s="11">
        <f t="shared" si="17"/>
        <v>116</v>
      </c>
      <c r="B171">
        <v>-2.9967018691781258</v>
      </c>
      <c r="E171" s="11">
        <f>A171-'Mastercurve bestimmen'!$B$2</f>
        <v>-9</v>
      </c>
      <c r="F171" s="11">
        <f t="shared" si="15"/>
        <v>-2.9967018691781258</v>
      </c>
      <c r="G171" s="11"/>
      <c r="H171" s="11">
        <f t="shared" si="16"/>
        <v>43046721</v>
      </c>
      <c r="I171" s="11">
        <f t="shared" si="19"/>
        <v>-4782969</v>
      </c>
      <c r="J171" s="11">
        <f t="shared" si="19"/>
        <v>531441</v>
      </c>
      <c r="K171" s="11">
        <f t="shared" si="19"/>
        <v>-59049</v>
      </c>
      <c r="L171" s="11">
        <f t="shared" si="19"/>
        <v>6561</v>
      </c>
      <c r="M171" s="11">
        <f t="shared" si="19"/>
        <v>-729</v>
      </c>
      <c r="N171" s="11">
        <f t="shared" si="19"/>
        <v>81</v>
      </c>
      <c r="O171" s="11">
        <f t="shared" si="19"/>
        <v>-9</v>
      </c>
      <c r="P171" s="11">
        <f t="shared" si="18"/>
        <v>0</v>
      </c>
    </row>
    <row r="172" spans="1:16" x14ac:dyDescent="0.25">
      <c r="A172" s="11">
        <f t="shared" si="17"/>
        <v>117</v>
      </c>
      <c r="B172">
        <v>-2.6185658858907579</v>
      </c>
      <c r="E172" s="11">
        <f>A172-'Mastercurve bestimmen'!$B$2</f>
        <v>-8</v>
      </c>
      <c r="F172" s="11">
        <f t="shared" si="15"/>
        <v>-2.6185658858907579</v>
      </c>
      <c r="G172" s="11"/>
      <c r="H172" s="11">
        <f t="shared" si="16"/>
        <v>16777216</v>
      </c>
      <c r="I172" s="11">
        <f t="shared" si="19"/>
        <v>-2097152</v>
      </c>
      <c r="J172" s="11">
        <f t="shared" si="19"/>
        <v>262144</v>
      </c>
      <c r="K172" s="11">
        <f t="shared" si="19"/>
        <v>-32768</v>
      </c>
      <c r="L172" s="11">
        <f t="shared" si="19"/>
        <v>4096</v>
      </c>
      <c r="M172" s="11">
        <f t="shared" si="19"/>
        <v>-512</v>
      </c>
      <c r="N172" s="11">
        <f t="shared" si="19"/>
        <v>64</v>
      </c>
      <c r="O172" s="11">
        <f t="shared" si="19"/>
        <v>-8</v>
      </c>
      <c r="P172" s="11">
        <f t="shared" si="18"/>
        <v>0</v>
      </c>
    </row>
    <row r="173" spans="1:16" x14ac:dyDescent="0.25">
      <c r="A173" s="11">
        <f t="shared" si="17"/>
        <v>118</v>
      </c>
      <c r="B173">
        <v>-2.2507665883491117</v>
      </c>
      <c r="E173" s="11">
        <f>A173-'Mastercurve bestimmen'!$B$2</f>
        <v>-7</v>
      </c>
      <c r="F173" s="11">
        <f t="shared" si="15"/>
        <v>-2.2507665883491117</v>
      </c>
      <c r="G173" s="11"/>
      <c r="H173" s="11">
        <f t="shared" si="16"/>
        <v>5764801</v>
      </c>
      <c r="I173" s="11">
        <f t="shared" si="19"/>
        <v>-823543</v>
      </c>
      <c r="J173" s="11">
        <f t="shared" si="19"/>
        <v>117649</v>
      </c>
      <c r="K173" s="11">
        <f t="shared" si="19"/>
        <v>-16807</v>
      </c>
      <c r="L173" s="11">
        <f t="shared" si="19"/>
        <v>2401</v>
      </c>
      <c r="M173" s="11">
        <f t="shared" si="19"/>
        <v>-343</v>
      </c>
      <c r="N173" s="11">
        <f t="shared" si="19"/>
        <v>49</v>
      </c>
      <c r="O173" s="11">
        <f t="shared" si="19"/>
        <v>-7</v>
      </c>
      <c r="P173" s="11">
        <f t="shared" si="18"/>
        <v>0</v>
      </c>
    </row>
    <row r="174" spans="1:16" x14ac:dyDescent="0.25">
      <c r="A174" s="11">
        <f t="shared" si="17"/>
        <v>119</v>
      </c>
      <c r="B174">
        <v>-1.8937135157622604</v>
      </c>
      <c r="E174" s="11">
        <f>A174-'Mastercurve bestimmen'!$B$2</f>
        <v>-6</v>
      </c>
      <c r="F174" s="11">
        <f t="shared" si="15"/>
        <v>-1.8937135157622604</v>
      </c>
      <c r="G174" s="11"/>
      <c r="H174" s="11">
        <f t="shared" si="16"/>
        <v>1679616</v>
      </c>
      <c r="I174" s="11">
        <f t="shared" si="19"/>
        <v>-279936</v>
      </c>
      <c r="J174" s="11">
        <f t="shared" si="19"/>
        <v>46656</v>
      </c>
      <c r="K174" s="11">
        <f t="shared" si="19"/>
        <v>-7776</v>
      </c>
      <c r="L174" s="11">
        <f t="shared" si="19"/>
        <v>1296</v>
      </c>
      <c r="M174" s="11">
        <f t="shared" si="19"/>
        <v>-216</v>
      </c>
      <c r="N174" s="11">
        <f t="shared" si="19"/>
        <v>36</v>
      </c>
      <c r="O174" s="11">
        <f t="shared" si="19"/>
        <v>-6</v>
      </c>
      <c r="P174" s="11">
        <f t="shared" si="18"/>
        <v>0</v>
      </c>
    </row>
    <row r="175" spans="1:16" x14ac:dyDescent="0.25">
      <c r="A175" s="11">
        <f t="shared" si="17"/>
        <v>120</v>
      </c>
      <c r="B175">
        <v>-1.5478162073392783</v>
      </c>
      <c r="E175" s="11">
        <f>A175-'Mastercurve bestimmen'!$B$2</f>
        <v>-5</v>
      </c>
      <c r="F175" s="11">
        <f t="shared" si="15"/>
        <v>-1.5478162073392783</v>
      </c>
      <c r="G175" s="11"/>
      <c r="H175" s="11">
        <f t="shared" si="16"/>
        <v>390625</v>
      </c>
      <c r="I175" s="11">
        <f t="shared" si="19"/>
        <v>-78125</v>
      </c>
      <c r="J175" s="11">
        <f t="shared" si="19"/>
        <v>15625</v>
      </c>
      <c r="K175" s="11">
        <f t="shared" si="19"/>
        <v>-3125</v>
      </c>
      <c r="L175" s="11">
        <f t="shared" si="19"/>
        <v>625</v>
      </c>
      <c r="M175" s="11">
        <f t="shared" si="19"/>
        <v>-125</v>
      </c>
      <c r="N175" s="11">
        <f t="shared" si="19"/>
        <v>25</v>
      </c>
      <c r="O175" s="11">
        <f t="shared" si="19"/>
        <v>-5</v>
      </c>
      <c r="P175" s="11">
        <f t="shared" si="18"/>
        <v>0</v>
      </c>
    </row>
    <row r="176" spans="1:16" x14ac:dyDescent="0.25">
      <c r="A176" s="11">
        <f t="shared" si="17"/>
        <v>121</v>
      </c>
      <c r="B176">
        <v>-1.2134842022892407</v>
      </c>
      <c r="E176" s="11">
        <f>A176-'Mastercurve bestimmen'!$B$2</f>
        <v>-4</v>
      </c>
      <c r="F176" s="11">
        <f t="shared" si="15"/>
        <v>-1.2134842022892407</v>
      </c>
      <c r="G176" s="11"/>
      <c r="H176" s="11">
        <f t="shared" si="16"/>
        <v>65536</v>
      </c>
      <c r="I176" s="11">
        <f t="shared" si="19"/>
        <v>-16384</v>
      </c>
      <c r="J176" s="11">
        <f t="shared" si="19"/>
        <v>4096</v>
      </c>
      <c r="K176" s="11">
        <f t="shared" si="19"/>
        <v>-1024</v>
      </c>
      <c r="L176" s="11">
        <f t="shared" si="19"/>
        <v>256</v>
      </c>
      <c r="M176" s="11">
        <f t="shared" si="19"/>
        <v>-64</v>
      </c>
      <c r="N176" s="11">
        <f t="shared" si="19"/>
        <v>16</v>
      </c>
      <c r="O176" s="11">
        <f t="shared" si="19"/>
        <v>-4</v>
      </c>
      <c r="P176" s="11">
        <f t="shared" si="18"/>
        <v>0</v>
      </c>
    </row>
    <row r="177" spans="1:16" x14ac:dyDescent="0.25">
      <c r="A177" s="11">
        <f t="shared" si="17"/>
        <v>122</v>
      </c>
      <c r="B177">
        <v>-0.89112703982121921</v>
      </c>
      <c r="E177" s="11">
        <f>A177-'Mastercurve bestimmen'!$B$2</f>
        <v>-3</v>
      </c>
      <c r="F177" s="11">
        <f t="shared" si="15"/>
        <v>-0.89112703982121921</v>
      </c>
      <c r="G177" s="11"/>
      <c r="H177" s="11">
        <f t="shared" si="16"/>
        <v>6561</v>
      </c>
      <c r="I177" s="11">
        <f t="shared" si="19"/>
        <v>-2187</v>
      </c>
      <c r="J177" s="11">
        <f t="shared" si="19"/>
        <v>729</v>
      </c>
      <c r="K177" s="11">
        <f t="shared" si="19"/>
        <v>-243</v>
      </c>
      <c r="L177" s="11">
        <f t="shared" si="19"/>
        <v>81</v>
      </c>
      <c r="M177" s="11">
        <f t="shared" si="19"/>
        <v>-27</v>
      </c>
      <c r="N177" s="11">
        <f t="shared" si="19"/>
        <v>9</v>
      </c>
      <c r="O177" s="11">
        <f t="shared" si="19"/>
        <v>-3</v>
      </c>
      <c r="P177" s="11">
        <f t="shared" si="18"/>
        <v>0</v>
      </c>
    </row>
    <row r="178" spans="1:16" x14ac:dyDescent="0.25">
      <c r="A178" s="11">
        <f t="shared" si="17"/>
        <v>123</v>
      </c>
      <c r="B178">
        <v>-0.58115425914428887</v>
      </c>
      <c r="E178" s="11">
        <f>A178-'Mastercurve bestimmen'!$B$2</f>
        <v>-2</v>
      </c>
      <c r="F178" s="11">
        <f t="shared" si="15"/>
        <v>-0.58115425914428887</v>
      </c>
      <c r="G178" s="11"/>
      <c r="H178" s="11">
        <f t="shared" si="16"/>
        <v>256</v>
      </c>
      <c r="I178" s="11">
        <f t="shared" si="19"/>
        <v>-128</v>
      </c>
      <c r="J178" s="11">
        <f t="shared" si="19"/>
        <v>64</v>
      </c>
      <c r="K178" s="11">
        <f t="shared" si="19"/>
        <v>-32</v>
      </c>
      <c r="L178" s="11">
        <f t="shared" si="19"/>
        <v>16</v>
      </c>
      <c r="M178" s="11">
        <f t="shared" si="19"/>
        <v>-8</v>
      </c>
      <c r="N178" s="11">
        <f t="shared" si="19"/>
        <v>4</v>
      </c>
      <c r="O178" s="11">
        <f t="shared" si="19"/>
        <v>-2</v>
      </c>
      <c r="P178" s="11">
        <f t="shared" si="18"/>
        <v>0</v>
      </c>
    </row>
    <row r="179" spans="1:16" x14ac:dyDescent="0.25">
      <c r="A179" s="11">
        <f t="shared" si="17"/>
        <v>124</v>
      </c>
      <c r="B179">
        <v>-0.28397539946752559</v>
      </c>
      <c r="E179" s="11">
        <f>A179-'Mastercurve bestimmen'!$B$2</f>
        <v>-1</v>
      </c>
      <c r="F179" s="11">
        <f t="shared" si="15"/>
        <v>-0.28397539946752559</v>
      </c>
      <c r="G179" s="11"/>
      <c r="H179" s="11">
        <f t="shared" si="16"/>
        <v>1</v>
      </c>
      <c r="I179" s="11">
        <f t="shared" si="19"/>
        <v>-1</v>
      </c>
      <c r="J179" s="11">
        <f t="shared" si="19"/>
        <v>1</v>
      </c>
      <c r="K179" s="11">
        <f t="shared" si="19"/>
        <v>-1</v>
      </c>
      <c r="L179" s="11">
        <f t="shared" si="19"/>
        <v>1</v>
      </c>
      <c r="M179" s="11">
        <f t="shared" si="19"/>
        <v>-1</v>
      </c>
      <c r="N179" s="11">
        <f t="shared" si="19"/>
        <v>1</v>
      </c>
      <c r="O179" s="11">
        <f t="shared" si="19"/>
        <v>-1</v>
      </c>
      <c r="P179" s="11">
        <f t="shared" si="18"/>
        <v>0</v>
      </c>
    </row>
    <row r="180" spans="1:16" x14ac:dyDescent="0.25">
      <c r="A180" s="11">
        <f t="shared" si="17"/>
        <v>125</v>
      </c>
      <c r="B180">
        <v>0</v>
      </c>
      <c r="E180" s="11">
        <f>A180-'Mastercurve bestimmen'!$B$2</f>
        <v>0</v>
      </c>
      <c r="F180" s="11">
        <f t="shared" si="15"/>
        <v>0</v>
      </c>
      <c r="G180" s="11"/>
      <c r="H180" s="11">
        <f t="shared" si="16"/>
        <v>0</v>
      </c>
      <c r="I180" s="11">
        <f t="shared" si="19"/>
        <v>0</v>
      </c>
      <c r="J180" s="11">
        <f t="shared" si="19"/>
        <v>0</v>
      </c>
      <c r="K180" s="11">
        <f t="shared" si="19"/>
        <v>0</v>
      </c>
      <c r="L180" s="11">
        <f t="shared" si="19"/>
        <v>0</v>
      </c>
      <c r="M180" s="11">
        <f t="shared" si="19"/>
        <v>0</v>
      </c>
      <c r="N180" s="11">
        <f t="shared" si="19"/>
        <v>0</v>
      </c>
      <c r="O180" s="11">
        <f t="shared" si="19"/>
        <v>0</v>
      </c>
      <c r="P180" s="11">
        <f t="shared" si="18"/>
        <v>0</v>
      </c>
    </row>
    <row r="181" spans="1:16" x14ac:dyDescent="0.25">
      <c r="A181" s="11">
        <f t="shared" si="17"/>
        <v>126</v>
      </c>
      <c r="B181">
        <v>0.27049548039081095</v>
      </c>
      <c r="E181" s="11">
        <f>A181-'Mastercurve bestimmen'!$B$2</f>
        <v>1</v>
      </c>
      <c r="F181" s="11">
        <f t="shared" si="15"/>
        <v>0.27049548039081095</v>
      </c>
      <c r="G181" s="11"/>
      <c r="H181" s="11">
        <f t="shared" si="16"/>
        <v>1</v>
      </c>
      <c r="I181" s="11">
        <f t="shared" si="19"/>
        <v>1</v>
      </c>
      <c r="J181" s="11">
        <f t="shared" si="19"/>
        <v>1</v>
      </c>
      <c r="K181" s="11">
        <f t="shared" si="19"/>
        <v>1</v>
      </c>
      <c r="L181" s="11">
        <f t="shared" si="19"/>
        <v>1</v>
      </c>
      <c r="M181" s="11">
        <f t="shared" si="19"/>
        <v>1</v>
      </c>
      <c r="N181" s="11">
        <f t="shared" si="19"/>
        <v>1</v>
      </c>
      <c r="O181" s="11">
        <f t="shared" si="19"/>
        <v>1</v>
      </c>
      <c r="P181" s="11">
        <f t="shared" si="18"/>
        <v>0</v>
      </c>
    </row>
    <row r="182" spans="1:16" x14ac:dyDescent="0.25">
      <c r="A182" s="11">
        <f t="shared" si="17"/>
        <v>127</v>
      </c>
      <c r="B182">
        <v>0.52776690420383132</v>
      </c>
      <c r="E182" s="11">
        <f>A182-'Mastercurve bestimmen'!$B$2</f>
        <v>2</v>
      </c>
      <c r="F182" s="11">
        <f t="shared" si="15"/>
        <v>0.52776690420383132</v>
      </c>
      <c r="G182" s="11"/>
      <c r="H182" s="11">
        <f t="shared" si="16"/>
        <v>256</v>
      </c>
      <c r="I182" s="11">
        <f t="shared" si="19"/>
        <v>128</v>
      </c>
      <c r="J182" s="11">
        <f t="shared" si="19"/>
        <v>64</v>
      </c>
      <c r="K182" s="11">
        <f t="shared" si="19"/>
        <v>32</v>
      </c>
      <c r="L182" s="11">
        <f t="shared" si="19"/>
        <v>16</v>
      </c>
      <c r="M182" s="11">
        <f t="shared" si="19"/>
        <v>8</v>
      </c>
      <c r="N182" s="11">
        <f t="shared" si="19"/>
        <v>4</v>
      </c>
      <c r="O182" s="11">
        <f t="shared" si="19"/>
        <v>2</v>
      </c>
      <c r="P182" s="11">
        <f t="shared" si="18"/>
        <v>0</v>
      </c>
    </row>
    <row r="183" spans="1:16" x14ac:dyDescent="0.25">
      <c r="A183" s="11">
        <f t="shared" si="17"/>
        <v>128</v>
      </c>
      <c r="B183">
        <v>0.77220321427958516</v>
      </c>
      <c r="E183" s="11">
        <f>A183-'Mastercurve bestimmen'!$B$2</f>
        <v>3</v>
      </c>
      <c r="F183" s="11">
        <f t="shared" si="15"/>
        <v>0.77220321427958516</v>
      </c>
      <c r="G183" s="11"/>
      <c r="H183" s="11">
        <f t="shared" si="16"/>
        <v>6561</v>
      </c>
      <c r="I183" s="11">
        <f t="shared" si="19"/>
        <v>2187</v>
      </c>
      <c r="J183" s="11">
        <f t="shared" si="19"/>
        <v>729</v>
      </c>
      <c r="K183" s="11">
        <f t="shared" si="19"/>
        <v>243</v>
      </c>
      <c r="L183" s="11">
        <f t="shared" si="19"/>
        <v>81</v>
      </c>
      <c r="M183" s="11">
        <f t="shared" si="19"/>
        <v>27</v>
      </c>
      <c r="N183" s="11">
        <f t="shared" si="19"/>
        <v>9</v>
      </c>
      <c r="O183" s="11">
        <f t="shared" si="19"/>
        <v>3</v>
      </c>
      <c r="P183" s="11">
        <f t="shared" si="18"/>
        <v>0</v>
      </c>
    </row>
    <row r="184" spans="1:16" x14ac:dyDescent="0.25">
      <c r="A184" s="11">
        <f t="shared" si="17"/>
        <v>129</v>
      </c>
      <c r="B184">
        <v>1.0041933534585952</v>
      </c>
      <c r="E184" s="11">
        <f>A184-'Mastercurve bestimmen'!$B$2</f>
        <v>4</v>
      </c>
      <c r="F184" s="11">
        <f t="shared" si="15"/>
        <v>1.0041933534585952</v>
      </c>
      <c r="G184" s="11"/>
      <c r="H184" s="11">
        <f t="shared" si="16"/>
        <v>65536</v>
      </c>
      <c r="I184" s="11">
        <f t="shared" si="19"/>
        <v>16384</v>
      </c>
      <c r="J184" s="11">
        <f t="shared" si="19"/>
        <v>4096</v>
      </c>
      <c r="K184" s="11">
        <f t="shared" si="19"/>
        <v>1024</v>
      </c>
      <c r="L184" s="11">
        <f t="shared" si="19"/>
        <v>256</v>
      </c>
      <c r="M184" s="11">
        <f t="shared" si="19"/>
        <v>64</v>
      </c>
      <c r="N184" s="11">
        <f t="shared" si="19"/>
        <v>16</v>
      </c>
      <c r="O184" s="11">
        <f t="shared" si="19"/>
        <v>4</v>
      </c>
      <c r="P184" s="11">
        <f t="shared" si="18"/>
        <v>0</v>
      </c>
    </row>
    <row r="185" spans="1:16" x14ac:dyDescent="0.25">
      <c r="A185" s="11">
        <f t="shared" si="17"/>
        <v>130</v>
      </c>
      <c r="B185">
        <v>1.2241262645813844</v>
      </c>
      <c r="E185" s="11">
        <f>A185-'Mastercurve bestimmen'!$B$2</f>
        <v>5</v>
      </c>
      <c r="F185" s="11">
        <f t="shared" si="15"/>
        <v>1.2241262645813844</v>
      </c>
      <c r="G185" s="11"/>
      <c r="H185" s="11">
        <f t="shared" si="16"/>
        <v>390625</v>
      </c>
      <c r="I185" s="11">
        <f t="shared" si="19"/>
        <v>78125</v>
      </c>
      <c r="J185" s="11">
        <f t="shared" si="19"/>
        <v>15625</v>
      </c>
      <c r="K185" s="11">
        <f t="shared" si="19"/>
        <v>3125</v>
      </c>
      <c r="L185" s="11">
        <f t="shared" si="19"/>
        <v>625</v>
      </c>
      <c r="M185" s="11">
        <f t="shared" si="19"/>
        <v>125</v>
      </c>
      <c r="N185" s="11">
        <f t="shared" si="19"/>
        <v>25</v>
      </c>
      <c r="O185" s="11">
        <f t="shared" si="19"/>
        <v>5</v>
      </c>
      <c r="P185" s="11">
        <f t="shared" si="18"/>
        <v>0</v>
      </c>
    </row>
    <row r="186" spans="1:16" x14ac:dyDescent="0.25">
      <c r="A186" s="11">
        <f t="shared" si="17"/>
        <v>131</v>
      </c>
      <c r="B186">
        <v>1.4323908904884766</v>
      </c>
      <c r="E186" s="11">
        <f>A186-'Mastercurve bestimmen'!$B$2</f>
        <v>6</v>
      </c>
      <c r="F186" s="11">
        <f t="shared" si="15"/>
        <v>1.4323908904884766</v>
      </c>
      <c r="G186" s="11"/>
      <c r="H186" s="11">
        <f t="shared" si="16"/>
        <v>1679616</v>
      </c>
      <c r="I186" s="11">
        <f t="shared" si="19"/>
        <v>279936</v>
      </c>
      <c r="J186" s="11">
        <f t="shared" si="19"/>
        <v>46656</v>
      </c>
      <c r="K186" s="11">
        <f t="shared" si="19"/>
        <v>7776</v>
      </c>
      <c r="L186" s="11">
        <f t="shared" si="19"/>
        <v>1296</v>
      </c>
      <c r="M186" s="11">
        <f t="shared" si="19"/>
        <v>216</v>
      </c>
      <c r="N186" s="11">
        <f t="shared" si="19"/>
        <v>36</v>
      </c>
      <c r="O186" s="11">
        <f t="shared" si="19"/>
        <v>6</v>
      </c>
      <c r="P186" s="11">
        <f t="shared" si="18"/>
        <v>0</v>
      </c>
    </row>
    <row r="187" spans="1:16" x14ac:dyDescent="0.25">
      <c r="A187" s="11">
        <f t="shared" si="17"/>
        <v>132</v>
      </c>
      <c r="B187">
        <v>1.6293761740203947</v>
      </c>
      <c r="E187" s="11">
        <f>A187-'Mastercurve bestimmen'!$B$2</f>
        <v>7</v>
      </c>
      <c r="F187" s="11">
        <f t="shared" si="15"/>
        <v>1.6293761740203947</v>
      </c>
      <c r="G187" s="11"/>
      <c r="H187" s="11">
        <f t="shared" si="16"/>
        <v>5764801</v>
      </c>
      <c r="I187" s="11">
        <f t="shared" si="19"/>
        <v>823543</v>
      </c>
      <c r="J187" s="11">
        <f t="shared" si="19"/>
        <v>117649</v>
      </c>
      <c r="K187" s="11">
        <f t="shared" si="19"/>
        <v>16807</v>
      </c>
      <c r="L187" s="11">
        <f t="shared" si="19"/>
        <v>2401</v>
      </c>
      <c r="M187" s="11">
        <f t="shared" si="19"/>
        <v>343</v>
      </c>
      <c r="N187" s="11">
        <f t="shared" si="19"/>
        <v>49</v>
      </c>
      <c r="O187" s="11">
        <f t="shared" si="19"/>
        <v>7</v>
      </c>
      <c r="P187" s="11">
        <f t="shared" si="18"/>
        <v>0</v>
      </c>
    </row>
    <row r="188" spans="1:16" x14ac:dyDescent="0.25">
      <c r="A188" s="11">
        <f t="shared" si="17"/>
        <v>133</v>
      </c>
      <c r="B188">
        <v>1.8154710580176621</v>
      </c>
      <c r="E188" s="11">
        <f>A188-'Mastercurve bestimmen'!$B$2</f>
        <v>8</v>
      </c>
      <c r="F188" s="11">
        <f t="shared" si="15"/>
        <v>1.8154710580176621</v>
      </c>
      <c r="G188" s="11"/>
      <c r="H188" s="11">
        <f t="shared" si="16"/>
        <v>16777216</v>
      </c>
      <c r="I188" s="11">
        <f t="shared" si="19"/>
        <v>2097152</v>
      </c>
      <c r="J188" s="11">
        <f t="shared" si="19"/>
        <v>262144</v>
      </c>
      <c r="K188" s="11">
        <f t="shared" si="19"/>
        <v>32768</v>
      </c>
      <c r="L188" s="11">
        <f t="shared" si="19"/>
        <v>4096</v>
      </c>
      <c r="M188" s="11">
        <f t="shared" si="19"/>
        <v>512</v>
      </c>
      <c r="N188" s="11">
        <f t="shared" si="19"/>
        <v>64</v>
      </c>
      <c r="O188" s="11">
        <f t="shared" si="19"/>
        <v>8</v>
      </c>
      <c r="P188" s="11">
        <f t="shared" si="18"/>
        <v>0</v>
      </c>
    </row>
    <row r="189" spans="1:16" x14ac:dyDescent="0.25">
      <c r="A189" s="11">
        <f t="shared" si="17"/>
        <v>134</v>
      </c>
      <c r="B189">
        <v>1.9910644853208024</v>
      </c>
      <c r="E189" s="11">
        <f>A189-'Mastercurve bestimmen'!$B$2</f>
        <v>9</v>
      </c>
      <c r="F189" s="11">
        <f t="shared" si="15"/>
        <v>1.9910644853208024</v>
      </c>
      <c r="G189" s="11"/>
      <c r="H189" s="11">
        <f t="shared" si="16"/>
        <v>43046721</v>
      </c>
      <c r="I189" s="11">
        <f t="shared" si="19"/>
        <v>4782969</v>
      </c>
      <c r="J189" s="11">
        <f t="shared" ref="I189:O215" si="20">IF($H$12&gt;=J$14,$E189^J$14,0)</f>
        <v>531441</v>
      </c>
      <c r="K189" s="11">
        <f t="shared" si="20"/>
        <v>59049</v>
      </c>
      <c r="L189" s="11">
        <f t="shared" si="20"/>
        <v>6561</v>
      </c>
      <c r="M189" s="11">
        <f t="shared" si="20"/>
        <v>729</v>
      </c>
      <c r="N189" s="11">
        <f t="shared" si="20"/>
        <v>81</v>
      </c>
      <c r="O189" s="11">
        <f t="shared" si="20"/>
        <v>9</v>
      </c>
      <c r="P189" s="11">
        <f t="shared" si="18"/>
        <v>0</v>
      </c>
    </row>
    <row r="190" spans="1:16" x14ac:dyDescent="0.25">
      <c r="A190" s="11">
        <f t="shared" si="17"/>
        <v>135</v>
      </c>
      <c r="B190">
        <v>2.1565453987703376</v>
      </c>
      <c r="E190" s="11">
        <f>A190-'Mastercurve bestimmen'!$B$2</f>
        <v>10</v>
      </c>
      <c r="F190" s="11">
        <f t="shared" si="15"/>
        <v>2.1565453987703376</v>
      </c>
      <c r="G190" s="11"/>
      <c r="H190" s="11">
        <f t="shared" si="16"/>
        <v>100000000</v>
      </c>
      <c r="I190" s="11">
        <f t="shared" si="20"/>
        <v>10000000</v>
      </c>
      <c r="J190" s="11">
        <f t="shared" si="20"/>
        <v>1000000</v>
      </c>
      <c r="K190" s="11">
        <f t="shared" si="20"/>
        <v>100000</v>
      </c>
      <c r="L190" s="11">
        <f t="shared" si="20"/>
        <v>10000</v>
      </c>
      <c r="M190" s="11">
        <f t="shared" si="20"/>
        <v>1000</v>
      </c>
      <c r="N190" s="11">
        <f t="shared" si="20"/>
        <v>100</v>
      </c>
      <c r="O190" s="11">
        <f t="shared" si="20"/>
        <v>10</v>
      </c>
      <c r="P190" s="11">
        <f t="shared" si="18"/>
        <v>0</v>
      </c>
    </row>
    <row r="191" spans="1:16" x14ac:dyDescent="0.25">
      <c r="A191" s="11">
        <f t="shared" si="17"/>
        <v>136</v>
      </c>
      <c r="B191">
        <v>2.3123027412067922</v>
      </c>
      <c r="E191" s="11">
        <f>A191-'Mastercurve bestimmen'!$B$2</f>
        <v>11</v>
      </c>
      <c r="F191" s="11">
        <f t="shared" si="15"/>
        <v>2.3123027412067922</v>
      </c>
      <c r="G191" s="11"/>
      <c r="H191" s="11">
        <f t="shared" si="16"/>
        <v>214358881</v>
      </c>
      <c r="I191" s="11">
        <f t="shared" si="20"/>
        <v>19487171</v>
      </c>
      <c r="J191" s="11">
        <f t="shared" si="20"/>
        <v>1771561</v>
      </c>
      <c r="K191" s="11">
        <f t="shared" si="20"/>
        <v>161051</v>
      </c>
      <c r="L191" s="11">
        <f t="shared" si="20"/>
        <v>14641</v>
      </c>
      <c r="M191" s="11">
        <f t="shared" si="20"/>
        <v>1331</v>
      </c>
      <c r="N191" s="11">
        <f t="shared" si="20"/>
        <v>121</v>
      </c>
      <c r="O191" s="11">
        <f t="shared" si="20"/>
        <v>11</v>
      </c>
      <c r="P191" s="11">
        <f t="shared" si="18"/>
        <v>0</v>
      </c>
    </row>
    <row r="192" spans="1:16" x14ac:dyDescent="0.25">
      <c r="A192" s="11">
        <f t="shared" si="17"/>
        <v>137</v>
      </c>
      <c r="B192">
        <v>2.458725455470689</v>
      </c>
      <c r="E192" s="11">
        <f>A192-'Mastercurve bestimmen'!$B$2</f>
        <v>12</v>
      </c>
      <c r="F192" s="11">
        <f t="shared" si="15"/>
        <v>2.458725455470689</v>
      </c>
      <c r="G192" s="11"/>
      <c r="H192" s="11">
        <f t="shared" si="16"/>
        <v>429981696</v>
      </c>
      <c r="I192" s="11">
        <f t="shared" si="20"/>
        <v>35831808</v>
      </c>
      <c r="J192" s="11">
        <f t="shared" si="20"/>
        <v>2985984</v>
      </c>
      <c r="K192" s="11">
        <f t="shared" si="20"/>
        <v>248832</v>
      </c>
      <c r="L192" s="11">
        <f t="shared" si="20"/>
        <v>20736</v>
      </c>
      <c r="M192" s="11">
        <f t="shared" si="20"/>
        <v>1728</v>
      </c>
      <c r="N192" s="11">
        <f t="shared" si="20"/>
        <v>144</v>
      </c>
      <c r="O192" s="11">
        <f t="shared" si="20"/>
        <v>12</v>
      </c>
      <c r="P192" s="11">
        <f t="shared" si="18"/>
        <v>0</v>
      </c>
    </row>
    <row r="193" spans="1:16" x14ac:dyDescent="0.25">
      <c r="A193" s="11">
        <f t="shared" si="17"/>
        <v>138</v>
      </c>
      <c r="B193">
        <v>2.5962024844025509</v>
      </c>
      <c r="E193" s="11">
        <f>A193-'Mastercurve bestimmen'!$B$2</f>
        <v>13</v>
      </c>
      <c r="F193" s="11">
        <f t="shared" si="15"/>
        <v>2.5962024844025509</v>
      </c>
      <c r="G193" s="11"/>
      <c r="H193" s="11">
        <f t="shared" si="16"/>
        <v>815730721</v>
      </c>
      <c r="I193" s="11">
        <f t="shared" si="20"/>
        <v>62748517</v>
      </c>
      <c r="J193" s="11">
        <f t="shared" si="20"/>
        <v>4826809</v>
      </c>
      <c r="K193" s="11">
        <f t="shared" si="20"/>
        <v>371293</v>
      </c>
      <c r="L193" s="11">
        <f t="shared" si="20"/>
        <v>28561</v>
      </c>
      <c r="M193" s="11">
        <f t="shared" si="20"/>
        <v>2197</v>
      </c>
      <c r="N193" s="11">
        <f t="shared" si="20"/>
        <v>169</v>
      </c>
      <c r="O193" s="11">
        <f t="shared" si="20"/>
        <v>13</v>
      </c>
      <c r="P193" s="11">
        <f t="shared" si="18"/>
        <v>0</v>
      </c>
    </row>
    <row r="194" spans="1:16" x14ac:dyDescent="0.25">
      <c r="A194" s="11">
        <f t="shared" si="17"/>
        <v>139</v>
      </c>
      <c r="B194">
        <v>2.7251227708429022</v>
      </c>
      <c r="E194" s="11">
        <f>A194-'Mastercurve bestimmen'!$B$2</f>
        <v>14</v>
      </c>
      <c r="F194" s="11">
        <f t="shared" si="15"/>
        <v>2.7251227708429022</v>
      </c>
      <c r="G194" s="11"/>
      <c r="H194" s="11">
        <f t="shared" si="16"/>
        <v>1475789056</v>
      </c>
      <c r="I194" s="11">
        <f t="shared" si="20"/>
        <v>105413504</v>
      </c>
      <c r="J194" s="11">
        <f t="shared" si="20"/>
        <v>7529536</v>
      </c>
      <c r="K194" s="11">
        <f t="shared" si="20"/>
        <v>537824</v>
      </c>
      <c r="L194" s="11">
        <f t="shared" si="20"/>
        <v>38416</v>
      </c>
      <c r="M194" s="11">
        <f t="shared" si="20"/>
        <v>2744</v>
      </c>
      <c r="N194" s="11">
        <f t="shared" si="20"/>
        <v>196</v>
      </c>
      <c r="O194" s="11">
        <f t="shared" si="20"/>
        <v>14</v>
      </c>
      <c r="P194" s="11">
        <f t="shared" si="18"/>
        <v>0</v>
      </c>
    </row>
    <row r="195" spans="1:16" x14ac:dyDescent="0.25">
      <c r="A195" s="11">
        <f t="shared" si="17"/>
        <v>140</v>
      </c>
      <c r="B195">
        <v>2.8458752576322648</v>
      </c>
      <c r="E195" s="11">
        <f>A195-'Mastercurve bestimmen'!$B$2</f>
        <v>15</v>
      </c>
      <c r="F195" s="11">
        <f t="shared" si="15"/>
        <v>2.8458752576322648</v>
      </c>
      <c r="G195" s="11"/>
      <c r="H195" s="11">
        <f t="shared" si="16"/>
        <v>2562890625</v>
      </c>
      <c r="I195" s="11">
        <f t="shared" si="20"/>
        <v>170859375</v>
      </c>
      <c r="J195" s="11">
        <f t="shared" si="20"/>
        <v>11390625</v>
      </c>
      <c r="K195" s="11">
        <f t="shared" si="20"/>
        <v>759375</v>
      </c>
      <c r="L195" s="11">
        <f t="shared" si="20"/>
        <v>50625</v>
      </c>
      <c r="M195" s="11">
        <f t="shared" si="20"/>
        <v>3375</v>
      </c>
      <c r="N195" s="11">
        <f t="shared" si="20"/>
        <v>225</v>
      </c>
      <c r="O195" s="11">
        <f t="shared" si="20"/>
        <v>15</v>
      </c>
      <c r="P195" s="11">
        <f t="shared" si="18"/>
        <v>0</v>
      </c>
    </row>
    <row r="196" spans="1:16" x14ac:dyDescent="0.25">
      <c r="A196" s="11">
        <f t="shared" si="17"/>
        <v>141</v>
      </c>
      <c r="B196">
        <v>2.9588488876111629</v>
      </c>
      <c r="E196" s="11">
        <f>A196-'Mastercurve bestimmen'!$B$2</f>
        <v>16</v>
      </c>
      <c r="F196" s="11">
        <f t="shared" si="15"/>
        <v>2.9588488876111629</v>
      </c>
      <c r="G196" s="11"/>
      <c r="H196" s="11">
        <f t="shared" si="16"/>
        <v>4294967296</v>
      </c>
      <c r="I196" s="11">
        <f t="shared" si="20"/>
        <v>268435456</v>
      </c>
      <c r="J196" s="11">
        <f t="shared" si="20"/>
        <v>16777216</v>
      </c>
      <c r="K196" s="11">
        <f t="shared" si="20"/>
        <v>1048576</v>
      </c>
      <c r="L196" s="11">
        <f t="shared" si="20"/>
        <v>65536</v>
      </c>
      <c r="M196" s="11">
        <f t="shared" si="20"/>
        <v>4096</v>
      </c>
      <c r="N196" s="11">
        <f t="shared" si="20"/>
        <v>256</v>
      </c>
      <c r="O196" s="11">
        <f t="shared" si="20"/>
        <v>16</v>
      </c>
      <c r="P196" s="11">
        <f t="shared" si="18"/>
        <v>0</v>
      </c>
    </row>
    <row r="197" spans="1:16" x14ac:dyDescent="0.25">
      <c r="A197" s="11">
        <f t="shared" si="17"/>
        <v>142</v>
      </c>
      <c r="B197">
        <v>3.0644326036201193</v>
      </c>
      <c r="E197" s="11">
        <f>A197-'Mastercurve bestimmen'!$B$2</f>
        <v>17</v>
      </c>
      <c r="F197" s="11">
        <f t="shared" si="15"/>
        <v>3.0644326036201193</v>
      </c>
      <c r="G197" s="11"/>
      <c r="H197" s="11">
        <f t="shared" si="16"/>
        <v>6975757441</v>
      </c>
      <c r="I197" s="11">
        <f t="shared" si="20"/>
        <v>410338673</v>
      </c>
      <c r="J197" s="11">
        <f t="shared" si="20"/>
        <v>24137569</v>
      </c>
      <c r="K197" s="11">
        <f t="shared" si="20"/>
        <v>1419857</v>
      </c>
      <c r="L197" s="11">
        <f t="shared" si="20"/>
        <v>83521</v>
      </c>
      <c r="M197" s="11">
        <f t="shared" si="20"/>
        <v>4913</v>
      </c>
      <c r="N197" s="11">
        <f t="shared" si="20"/>
        <v>289</v>
      </c>
      <c r="O197" s="11">
        <f t="shared" si="20"/>
        <v>17</v>
      </c>
      <c r="P197" s="11">
        <f t="shared" si="18"/>
        <v>0</v>
      </c>
    </row>
    <row r="198" spans="1:16" x14ac:dyDescent="0.25">
      <c r="A198" s="11">
        <f t="shared" si="17"/>
        <v>143</v>
      </c>
      <c r="B198">
        <v>3.1630153484996573</v>
      </c>
      <c r="E198" s="11">
        <f>A198-'Mastercurve bestimmen'!$B$2</f>
        <v>18</v>
      </c>
      <c r="F198" s="11">
        <f t="shared" si="15"/>
        <v>3.1630153484996573</v>
      </c>
      <c r="G198" s="11"/>
      <c r="H198" s="11">
        <f t="shared" si="16"/>
        <v>11019960576</v>
      </c>
      <c r="I198" s="11">
        <f t="shared" si="20"/>
        <v>612220032</v>
      </c>
      <c r="J198" s="11">
        <f t="shared" si="20"/>
        <v>34012224</v>
      </c>
      <c r="K198" s="11">
        <f t="shared" si="20"/>
        <v>1889568</v>
      </c>
      <c r="L198" s="11">
        <f t="shared" si="20"/>
        <v>104976</v>
      </c>
      <c r="M198" s="11">
        <f t="shared" si="20"/>
        <v>5832</v>
      </c>
      <c r="N198" s="11">
        <f t="shared" si="20"/>
        <v>324</v>
      </c>
      <c r="O198" s="11">
        <f t="shared" si="20"/>
        <v>18</v>
      </c>
      <c r="P198" s="11">
        <f t="shared" si="18"/>
        <v>0</v>
      </c>
    </row>
    <row r="199" spans="1:16" x14ac:dyDescent="0.25">
      <c r="A199" s="11">
        <f t="shared" si="17"/>
        <v>144</v>
      </c>
      <c r="B199">
        <v>3.2549860650903</v>
      </c>
      <c r="E199" s="11">
        <f>A199-'Mastercurve bestimmen'!$B$2</f>
        <v>19</v>
      </c>
      <c r="F199" s="11">
        <f t="shared" si="15"/>
        <v>3.2549860650903</v>
      </c>
      <c r="G199" s="11"/>
      <c r="H199" s="11">
        <f t="shared" si="16"/>
        <v>16983563041</v>
      </c>
      <c r="I199" s="11">
        <f t="shared" si="20"/>
        <v>893871739</v>
      </c>
      <c r="J199" s="11">
        <f t="shared" si="20"/>
        <v>47045881</v>
      </c>
      <c r="K199" s="11">
        <f t="shared" si="20"/>
        <v>2476099</v>
      </c>
      <c r="L199" s="11">
        <f t="shared" si="20"/>
        <v>130321</v>
      </c>
      <c r="M199" s="11">
        <f t="shared" si="20"/>
        <v>6859</v>
      </c>
      <c r="N199" s="11">
        <f t="shared" si="20"/>
        <v>361</v>
      </c>
      <c r="O199" s="11">
        <f t="shared" si="20"/>
        <v>19</v>
      </c>
      <c r="P199" s="11">
        <f t="shared" si="18"/>
        <v>0</v>
      </c>
    </row>
    <row r="200" spans="1:16" x14ac:dyDescent="0.25">
      <c r="A200" s="11">
        <f t="shared" si="17"/>
        <v>145</v>
      </c>
      <c r="B200">
        <v>3.3407336962325709</v>
      </c>
      <c r="E200" s="11">
        <f>A200-'Mastercurve bestimmen'!$B$2</f>
        <v>20</v>
      </c>
      <c r="F200" s="11">
        <f t="shared" si="15"/>
        <v>3.3407336962325709</v>
      </c>
      <c r="G200" s="11"/>
      <c r="H200" s="11">
        <f t="shared" si="16"/>
        <v>25600000000</v>
      </c>
      <c r="I200" s="11">
        <f t="shared" si="20"/>
        <v>1280000000</v>
      </c>
      <c r="J200" s="11">
        <f t="shared" si="20"/>
        <v>64000000</v>
      </c>
      <c r="K200" s="11">
        <f t="shared" si="20"/>
        <v>3200000</v>
      </c>
      <c r="L200" s="11">
        <f t="shared" si="20"/>
        <v>160000</v>
      </c>
      <c r="M200" s="11">
        <f t="shared" si="20"/>
        <v>8000</v>
      </c>
      <c r="N200" s="11">
        <f t="shared" si="20"/>
        <v>400</v>
      </c>
      <c r="O200" s="11">
        <f t="shared" si="20"/>
        <v>20</v>
      </c>
      <c r="P200" s="11">
        <f t="shared" si="18"/>
        <v>0</v>
      </c>
    </row>
    <row r="201" spans="1:16" x14ac:dyDescent="0.25">
      <c r="A201" s="11">
        <f t="shared" si="17"/>
        <v>146</v>
      </c>
      <c r="B201">
        <v>3.4206471847669935</v>
      </c>
      <c r="E201" s="11">
        <f>A201-'Mastercurve bestimmen'!$B$2</f>
        <v>21</v>
      </c>
      <c r="F201" s="11">
        <f t="shared" si="15"/>
        <v>3.4206471847669935</v>
      </c>
      <c r="G201" s="11"/>
      <c r="H201" s="11">
        <f t="shared" si="16"/>
        <v>37822859361</v>
      </c>
      <c r="I201" s="11">
        <f t="shared" si="20"/>
        <v>1801088541</v>
      </c>
      <c r="J201" s="11">
        <f t="shared" si="20"/>
        <v>85766121</v>
      </c>
      <c r="K201" s="11">
        <f t="shared" si="20"/>
        <v>4084101</v>
      </c>
      <c r="L201" s="11">
        <f t="shared" si="20"/>
        <v>194481</v>
      </c>
      <c r="M201" s="11">
        <f t="shared" si="20"/>
        <v>9261</v>
      </c>
      <c r="N201" s="11">
        <f t="shared" si="20"/>
        <v>441</v>
      </c>
      <c r="O201" s="11">
        <f t="shared" si="20"/>
        <v>21</v>
      </c>
      <c r="P201" s="11">
        <f t="shared" si="18"/>
        <v>0</v>
      </c>
    </row>
    <row r="202" spans="1:16" x14ac:dyDescent="0.25">
      <c r="A202" s="11">
        <f t="shared" si="17"/>
        <v>147</v>
      </c>
      <c r="B202">
        <v>3.4951154735340908</v>
      </c>
      <c r="E202" s="11">
        <f>A202-'Mastercurve bestimmen'!$B$2</f>
        <v>22</v>
      </c>
      <c r="F202" s="11">
        <f t="shared" si="15"/>
        <v>3.4951154735340908</v>
      </c>
      <c r="G202" s="11"/>
      <c r="H202" s="11">
        <f t="shared" si="16"/>
        <v>54875873536</v>
      </c>
      <c r="I202" s="11">
        <f t="shared" si="20"/>
        <v>2494357888</v>
      </c>
      <c r="J202" s="11">
        <f t="shared" si="20"/>
        <v>113379904</v>
      </c>
      <c r="K202" s="11">
        <f t="shared" si="20"/>
        <v>5153632</v>
      </c>
      <c r="L202" s="11">
        <f t="shared" si="20"/>
        <v>234256</v>
      </c>
      <c r="M202" s="11">
        <f t="shared" si="20"/>
        <v>10648</v>
      </c>
      <c r="N202" s="11">
        <f t="shared" si="20"/>
        <v>484</v>
      </c>
      <c r="O202" s="11">
        <f t="shared" si="20"/>
        <v>22</v>
      </c>
      <c r="P202" s="11">
        <f t="shared" si="18"/>
        <v>0</v>
      </c>
    </row>
    <row r="203" spans="1:16" x14ac:dyDescent="0.25">
      <c r="A203" s="11">
        <f t="shared" si="17"/>
        <v>148</v>
      </c>
      <c r="B203">
        <v>3.5645275053743855</v>
      </c>
      <c r="E203" s="11">
        <f>A203-'Mastercurve bestimmen'!$B$2</f>
        <v>23</v>
      </c>
      <c r="F203" s="11">
        <f t="shared" si="15"/>
        <v>3.5645275053743855</v>
      </c>
      <c r="G203" s="11"/>
      <c r="H203" s="11">
        <f t="shared" si="16"/>
        <v>78310985281</v>
      </c>
      <c r="I203" s="11">
        <f t="shared" si="20"/>
        <v>3404825447</v>
      </c>
      <c r="J203" s="11">
        <f t="shared" si="20"/>
        <v>148035889</v>
      </c>
      <c r="K203" s="11">
        <f t="shared" si="20"/>
        <v>6436343</v>
      </c>
      <c r="L203" s="11">
        <f t="shared" si="20"/>
        <v>279841</v>
      </c>
      <c r="M203" s="11">
        <f t="shared" si="20"/>
        <v>12167</v>
      </c>
      <c r="N203" s="11">
        <f t="shared" si="20"/>
        <v>529</v>
      </c>
      <c r="O203" s="11">
        <f t="shared" si="20"/>
        <v>23</v>
      </c>
      <c r="P203" s="11">
        <f t="shared" si="18"/>
        <v>0</v>
      </c>
    </row>
    <row r="204" spans="1:16" x14ac:dyDescent="0.25">
      <c r="A204" s="11">
        <f t="shared" si="17"/>
        <v>149</v>
      </c>
      <c r="B204">
        <v>3.6292722231284014</v>
      </c>
      <c r="E204" s="11">
        <f>A204-'Mastercurve bestimmen'!$B$2</f>
        <v>24</v>
      </c>
      <c r="F204" s="11">
        <f t="shared" si="15"/>
        <v>3.6292722231284014</v>
      </c>
      <c r="G204" s="11"/>
      <c r="H204" s="11">
        <f t="shared" si="16"/>
        <v>110075314176</v>
      </c>
      <c r="I204" s="11">
        <f t="shared" si="20"/>
        <v>4586471424</v>
      </c>
      <c r="J204" s="11">
        <f t="shared" si="20"/>
        <v>191102976</v>
      </c>
      <c r="K204" s="11">
        <f t="shared" si="20"/>
        <v>7962624</v>
      </c>
      <c r="L204" s="11">
        <f t="shared" si="20"/>
        <v>331776</v>
      </c>
      <c r="M204" s="11">
        <f t="shared" si="20"/>
        <v>13824</v>
      </c>
      <c r="N204" s="11">
        <f t="shared" si="20"/>
        <v>576</v>
      </c>
      <c r="O204" s="11">
        <f t="shared" si="20"/>
        <v>24</v>
      </c>
      <c r="P204" s="11">
        <f t="shared" si="18"/>
        <v>0</v>
      </c>
    </row>
    <row r="205" spans="1:16" x14ac:dyDescent="0.25">
      <c r="A205" s="11">
        <f t="shared" si="17"/>
        <v>150</v>
      </c>
      <c r="B205">
        <v>3.6897385696366616</v>
      </c>
      <c r="E205" s="11">
        <f>A205-'Mastercurve bestimmen'!$B$2</f>
        <v>25</v>
      </c>
      <c r="F205" s="11">
        <f t="shared" si="15"/>
        <v>3.6897385696366616</v>
      </c>
      <c r="G205" s="11"/>
      <c r="H205" s="11">
        <f t="shared" si="16"/>
        <v>152587890625</v>
      </c>
      <c r="I205" s="11">
        <f t="shared" si="20"/>
        <v>6103515625</v>
      </c>
      <c r="J205" s="11">
        <f t="shared" si="20"/>
        <v>244140625</v>
      </c>
      <c r="K205" s="11">
        <f t="shared" si="20"/>
        <v>9765625</v>
      </c>
      <c r="L205" s="11">
        <f t="shared" si="20"/>
        <v>390625</v>
      </c>
      <c r="M205" s="11">
        <f t="shared" si="20"/>
        <v>15625</v>
      </c>
      <c r="N205" s="11">
        <f t="shared" si="20"/>
        <v>625</v>
      </c>
      <c r="O205" s="11">
        <f t="shared" si="20"/>
        <v>25</v>
      </c>
      <c r="P205" s="11">
        <f t="shared" si="18"/>
        <v>0</v>
      </c>
    </row>
    <row r="206" spans="1:16" x14ac:dyDescent="0.25">
      <c r="A206" s="11">
        <f t="shared" si="17"/>
        <v>151</v>
      </c>
      <c r="B206">
        <v>3.7463154877396896</v>
      </c>
      <c r="E206" s="11">
        <f>A206-'Mastercurve bestimmen'!$B$2</f>
        <v>26</v>
      </c>
      <c r="F206" s="11">
        <f t="shared" si="15"/>
        <v>3.7463154877396896</v>
      </c>
      <c r="G206" s="11"/>
      <c r="H206" s="11">
        <f t="shared" si="16"/>
        <v>208827064576</v>
      </c>
      <c r="I206" s="11">
        <f t="shared" si="20"/>
        <v>8031810176</v>
      </c>
      <c r="J206" s="11">
        <f t="shared" si="20"/>
        <v>308915776</v>
      </c>
      <c r="K206" s="11">
        <f t="shared" si="20"/>
        <v>11881376</v>
      </c>
      <c r="L206" s="11">
        <f t="shared" si="20"/>
        <v>456976</v>
      </c>
      <c r="M206" s="11">
        <f t="shared" si="20"/>
        <v>17576</v>
      </c>
      <c r="N206" s="11">
        <f t="shared" si="20"/>
        <v>676</v>
      </c>
      <c r="O206" s="11">
        <f t="shared" si="20"/>
        <v>26</v>
      </c>
      <c r="P206" s="11">
        <f t="shared" si="18"/>
        <v>0</v>
      </c>
    </row>
    <row r="207" spans="1:16" x14ac:dyDescent="0.25">
      <c r="A207" s="11">
        <f t="shared" si="17"/>
        <v>152</v>
      </c>
      <c r="B207">
        <v>3.7993919202780084</v>
      </c>
      <c r="E207" s="11">
        <f>A207-'Mastercurve bestimmen'!$B$2</f>
        <v>27</v>
      </c>
      <c r="F207" s="11">
        <f t="shared" si="15"/>
        <v>3.7993919202780084</v>
      </c>
      <c r="G207" s="11"/>
      <c r="H207" s="11">
        <f t="shared" si="16"/>
        <v>282429536481</v>
      </c>
      <c r="I207" s="11">
        <f t="shared" si="20"/>
        <v>10460353203</v>
      </c>
      <c r="J207" s="11">
        <f t="shared" si="20"/>
        <v>387420489</v>
      </c>
      <c r="K207" s="11">
        <f t="shared" si="20"/>
        <v>14348907</v>
      </c>
      <c r="L207" s="11">
        <f t="shared" si="20"/>
        <v>531441</v>
      </c>
      <c r="M207" s="11">
        <f t="shared" si="20"/>
        <v>19683</v>
      </c>
      <c r="N207" s="11">
        <f t="shared" si="20"/>
        <v>729</v>
      </c>
      <c r="O207" s="11">
        <f t="shared" si="20"/>
        <v>27</v>
      </c>
      <c r="P207" s="11">
        <f t="shared" si="18"/>
        <v>0</v>
      </c>
    </row>
    <row r="208" spans="1:16" x14ac:dyDescent="0.25">
      <c r="A208" s="11">
        <f t="shared" si="17"/>
        <v>153</v>
      </c>
      <c r="B208">
        <v>3.8493568100921411</v>
      </c>
      <c r="E208" s="11">
        <f>A208-'Mastercurve bestimmen'!$B$2</f>
        <v>28</v>
      </c>
      <c r="F208" s="11">
        <f t="shared" ref="F208:F215" si="21">B208</f>
        <v>3.8493568100921411</v>
      </c>
      <c r="G208" s="11"/>
      <c r="H208" s="11">
        <f t="shared" ref="H208:H215" si="22">IF($H$12&gt;=H$14,$E208^H$14,0)</f>
        <v>377801998336</v>
      </c>
      <c r="I208" s="11">
        <f t="shared" si="20"/>
        <v>13492928512</v>
      </c>
      <c r="J208" s="11">
        <f t="shared" si="20"/>
        <v>481890304</v>
      </c>
      <c r="K208" s="11">
        <f t="shared" si="20"/>
        <v>17210368</v>
      </c>
      <c r="L208" s="11">
        <f t="shared" si="20"/>
        <v>614656</v>
      </c>
      <c r="M208" s="11">
        <f t="shared" si="20"/>
        <v>21952</v>
      </c>
      <c r="N208" s="11">
        <f t="shared" si="20"/>
        <v>784</v>
      </c>
      <c r="O208" s="11">
        <f t="shared" si="20"/>
        <v>28</v>
      </c>
      <c r="P208" s="11">
        <f t="shared" si="18"/>
        <v>0</v>
      </c>
    </row>
    <row r="209" spans="1:16" x14ac:dyDescent="0.25">
      <c r="A209" s="11">
        <f t="shared" ref="A209:A215" si="23">A208+1</f>
        <v>154</v>
      </c>
      <c r="B209">
        <v>3.8965991000226112</v>
      </c>
      <c r="E209" s="11">
        <f>A209-'Mastercurve bestimmen'!$B$2</f>
        <v>29</v>
      </c>
      <c r="F209" s="11">
        <f t="shared" si="21"/>
        <v>3.8965991000226112</v>
      </c>
      <c r="G209" s="11"/>
      <c r="H209" s="11">
        <f t="shared" si="22"/>
        <v>500246412961</v>
      </c>
      <c r="I209" s="11">
        <f t="shared" si="20"/>
        <v>17249876309</v>
      </c>
      <c r="J209" s="11">
        <f t="shared" si="20"/>
        <v>594823321</v>
      </c>
      <c r="K209" s="11">
        <f t="shared" si="20"/>
        <v>20511149</v>
      </c>
      <c r="L209" s="11">
        <f t="shared" si="20"/>
        <v>707281</v>
      </c>
      <c r="M209" s="11">
        <f t="shared" si="20"/>
        <v>24389</v>
      </c>
      <c r="N209" s="11">
        <f t="shared" si="20"/>
        <v>841</v>
      </c>
      <c r="O209" s="11">
        <f t="shared" si="20"/>
        <v>29</v>
      </c>
      <c r="P209" s="11">
        <f t="shared" ref="P209:P215" si="24">P208</f>
        <v>0</v>
      </c>
    </row>
    <row r="210" spans="1:16" x14ac:dyDescent="0.25">
      <c r="A210" s="11">
        <f t="shared" si="23"/>
        <v>155</v>
      </c>
      <c r="B210">
        <v>3.9415077329099417</v>
      </c>
      <c r="E210" s="11">
        <f>A210-'Mastercurve bestimmen'!$B$2</f>
        <v>30</v>
      </c>
      <c r="F210" s="11">
        <f t="shared" si="21"/>
        <v>3.9415077329099417</v>
      </c>
      <c r="G210" s="11"/>
      <c r="H210" s="11">
        <f t="shared" si="22"/>
        <v>656100000000</v>
      </c>
      <c r="I210" s="11">
        <f t="shared" si="20"/>
        <v>21870000000</v>
      </c>
      <c r="J210" s="11">
        <f t="shared" si="20"/>
        <v>729000000</v>
      </c>
      <c r="K210" s="11">
        <f t="shared" si="20"/>
        <v>24300000</v>
      </c>
      <c r="L210" s="11">
        <f t="shared" si="20"/>
        <v>810000</v>
      </c>
      <c r="M210" s="11">
        <f t="shared" si="20"/>
        <v>27000</v>
      </c>
      <c r="N210" s="11">
        <f t="shared" si="20"/>
        <v>900</v>
      </c>
      <c r="O210" s="11">
        <f t="shared" si="20"/>
        <v>30</v>
      </c>
      <c r="P210" s="11">
        <f t="shared" si="24"/>
        <v>0</v>
      </c>
    </row>
    <row r="211" spans="1:16" x14ac:dyDescent="0.25">
      <c r="A211" s="11">
        <f t="shared" si="23"/>
        <v>156</v>
      </c>
      <c r="B211">
        <v>3.9844716515946561</v>
      </c>
      <c r="E211" s="11">
        <f>A211-'Mastercurve bestimmen'!$B$2</f>
        <v>31</v>
      </c>
      <c r="F211" s="11">
        <f t="shared" si="21"/>
        <v>3.9844716515946561</v>
      </c>
      <c r="G211" s="11"/>
      <c r="H211" s="11">
        <f t="shared" si="22"/>
        <v>852891037441</v>
      </c>
      <c r="I211" s="11">
        <f t="shared" si="20"/>
        <v>27512614111</v>
      </c>
      <c r="J211" s="11">
        <f t="shared" si="20"/>
        <v>887503681</v>
      </c>
      <c r="K211" s="11">
        <f t="shared" si="20"/>
        <v>28629151</v>
      </c>
      <c r="L211" s="11">
        <f t="shared" si="20"/>
        <v>923521</v>
      </c>
      <c r="M211" s="11">
        <f t="shared" si="20"/>
        <v>29791</v>
      </c>
      <c r="N211" s="11">
        <f t="shared" si="20"/>
        <v>961</v>
      </c>
      <c r="O211" s="11">
        <f t="shared" si="20"/>
        <v>31</v>
      </c>
      <c r="P211" s="11">
        <f t="shared" si="24"/>
        <v>0</v>
      </c>
    </row>
    <row r="212" spans="1:16" x14ac:dyDescent="0.25">
      <c r="A212" s="11">
        <f t="shared" si="23"/>
        <v>157</v>
      </c>
      <c r="B212">
        <v>4.0258797989172779</v>
      </c>
      <c r="E212" s="11">
        <f>A212-'Mastercurve bestimmen'!$B$2</f>
        <v>32</v>
      </c>
      <c r="F212" s="11">
        <f t="shared" si="21"/>
        <v>4.0258797989172779</v>
      </c>
      <c r="G212" s="11"/>
      <c r="H212" s="11">
        <f t="shared" si="22"/>
        <v>1099511627776</v>
      </c>
      <c r="I212" s="11">
        <f t="shared" si="20"/>
        <v>34359738368</v>
      </c>
      <c r="J212" s="11">
        <f t="shared" si="20"/>
        <v>1073741824</v>
      </c>
      <c r="K212" s="11">
        <f t="shared" si="20"/>
        <v>33554432</v>
      </c>
      <c r="L212" s="11">
        <f t="shared" si="20"/>
        <v>1048576</v>
      </c>
      <c r="M212" s="11">
        <f t="shared" si="20"/>
        <v>32768</v>
      </c>
      <c r="N212" s="11">
        <f t="shared" si="20"/>
        <v>1024</v>
      </c>
      <c r="O212" s="11">
        <f t="shared" si="20"/>
        <v>32</v>
      </c>
      <c r="P212" s="11">
        <f t="shared" si="24"/>
        <v>0</v>
      </c>
    </row>
    <row r="213" spans="1:16" x14ac:dyDescent="0.25">
      <c r="A213" s="11">
        <f t="shared" si="23"/>
        <v>158</v>
      </c>
      <c r="B213">
        <v>4.0661211177183292</v>
      </c>
      <c r="E213" s="11">
        <f>A213-'Mastercurve bestimmen'!$B$2</f>
        <v>33</v>
      </c>
      <c r="F213" s="11">
        <f t="shared" si="21"/>
        <v>4.0661211177183292</v>
      </c>
      <c r="G213" s="11"/>
      <c r="H213" s="11">
        <f t="shared" si="22"/>
        <v>1406408618241</v>
      </c>
      <c r="I213" s="11">
        <f t="shared" si="20"/>
        <v>42618442977</v>
      </c>
      <c r="J213" s="11">
        <f t="shared" si="20"/>
        <v>1291467969</v>
      </c>
      <c r="K213" s="11">
        <f t="shared" si="20"/>
        <v>39135393</v>
      </c>
      <c r="L213" s="11">
        <f t="shared" si="20"/>
        <v>1185921</v>
      </c>
      <c r="M213" s="11">
        <f t="shared" si="20"/>
        <v>35937</v>
      </c>
      <c r="N213" s="11">
        <f t="shared" si="20"/>
        <v>1089</v>
      </c>
      <c r="O213" s="11">
        <f t="shared" si="20"/>
        <v>33</v>
      </c>
      <c r="P213" s="11">
        <f t="shared" si="24"/>
        <v>0</v>
      </c>
    </row>
    <row r="214" spans="1:16" x14ac:dyDescent="0.25">
      <c r="A214" s="11">
        <f t="shared" si="23"/>
        <v>159</v>
      </c>
      <c r="B214">
        <v>4.1055845508383353</v>
      </c>
      <c r="E214" s="11">
        <f>A214-'Mastercurve bestimmen'!$B$2</f>
        <v>34</v>
      </c>
      <c r="F214" s="11">
        <f t="shared" si="21"/>
        <v>4.1055845508383353</v>
      </c>
      <c r="G214" s="11"/>
      <c r="H214" s="11">
        <f t="shared" si="22"/>
        <v>1785793904896</v>
      </c>
      <c r="I214" s="11">
        <f t="shared" si="20"/>
        <v>52523350144</v>
      </c>
      <c r="J214" s="11">
        <f t="shared" si="20"/>
        <v>1544804416</v>
      </c>
      <c r="K214" s="11">
        <f t="shared" si="20"/>
        <v>45435424</v>
      </c>
      <c r="L214" s="11">
        <f t="shared" si="20"/>
        <v>1336336</v>
      </c>
      <c r="M214" s="11">
        <f t="shared" si="20"/>
        <v>39304</v>
      </c>
      <c r="N214" s="11">
        <f t="shared" si="20"/>
        <v>1156</v>
      </c>
      <c r="O214" s="11">
        <f t="shared" si="20"/>
        <v>34</v>
      </c>
      <c r="P214" s="11">
        <f t="shared" si="24"/>
        <v>0</v>
      </c>
    </row>
    <row r="215" spans="1:16" x14ac:dyDescent="0.25">
      <c r="A215" s="11">
        <f t="shared" si="23"/>
        <v>160</v>
      </c>
      <c r="B215">
        <v>4.1446590411178166</v>
      </c>
      <c r="E215" s="11">
        <f>A215-'Mastercurve bestimmen'!$B$2</f>
        <v>35</v>
      </c>
      <c r="F215" s="11">
        <f t="shared" si="21"/>
        <v>4.1446590411178166</v>
      </c>
      <c r="G215" s="11"/>
      <c r="H215" s="11">
        <f t="shared" si="22"/>
        <v>2251875390625</v>
      </c>
      <c r="I215" s="11">
        <f t="shared" si="20"/>
        <v>64339296875</v>
      </c>
      <c r="J215" s="11">
        <f t="shared" si="20"/>
        <v>1838265625</v>
      </c>
      <c r="K215" s="11">
        <f t="shared" si="20"/>
        <v>52521875</v>
      </c>
      <c r="L215" s="11">
        <f t="shared" si="20"/>
        <v>1500625</v>
      </c>
      <c r="M215" s="11">
        <f t="shared" si="20"/>
        <v>42875</v>
      </c>
      <c r="N215" s="11">
        <f t="shared" si="20"/>
        <v>1225</v>
      </c>
      <c r="O215" s="11">
        <f t="shared" si="20"/>
        <v>35</v>
      </c>
      <c r="P215" s="11">
        <f t="shared" si="24"/>
        <v>0</v>
      </c>
    </row>
    <row r="216" spans="1:16" x14ac:dyDescent="0.25">
      <c r="G216" s="11"/>
      <c r="H216" s="13">
        <v>1</v>
      </c>
      <c r="I216" s="98" t="s">
        <v>138</v>
      </c>
      <c r="J216" s="98" t="s">
        <v>139</v>
      </c>
      <c r="K216" s="98" t="s">
        <v>140</v>
      </c>
      <c r="L216" s="98" t="s">
        <v>141</v>
      </c>
      <c r="M216" s="98" t="s">
        <v>142</v>
      </c>
      <c r="N216" s="98" t="s">
        <v>143</v>
      </c>
      <c r="O216" s="98" t="s">
        <v>144</v>
      </c>
      <c r="P216" s="98" t="s">
        <v>145</v>
      </c>
    </row>
    <row r="217" spans="1:16" x14ac:dyDescent="0.25">
      <c r="G217" s="35" t="s">
        <v>146</v>
      </c>
      <c r="H217" s="99">
        <f t="array" ref="H217:P219">LINEST(F15:F215,H15:P215,FALSE,TRUE)</f>
        <v>0</v>
      </c>
      <c r="I217" s="99">
        <v>0.28582431211303061</v>
      </c>
      <c r="J217" s="99">
        <v>-6.0281265443592018E-3</v>
      </c>
      <c r="K217" s="99">
        <v>-2.812699677183407E-5</v>
      </c>
      <c r="L217" s="99">
        <v>1.2280195822139409E-6</v>
      </c>
      <c r="M217" s="99">
        <v>1.7159742907401429E-8</v>
      </c>
      <c r="N217" s="99">
        <v>8.4978591540669464E-11</v>
      </c>
      <c r="O217" s="99">
        <v>1.3378570285760924E-13</v>
      </c>
      <c r="P217" s="99">
        <v>-7.724257394412011E-17</v>
      </c>
    </row>
    <row r="218" spans="1:16" x14ac:dyDescent="0.25">
      <c r="G218" s="11"/>
      <c r="H218" s="11">
        <v>0</v>
      </c>
      <c r="I218" s="11">
        <v>4.8338724613471038E-4</v>
      </c>
      <c r="J218" s="11">
        <v>1.9635010466613938E-5</v>
      </c>
      <c r="K218" s="3">
        <v>6.0518722205870633E-7</v>
      </c>
      <c r="L218" s="3">
        <v>1.5551770136270762E-8</v>
      </c>
      <c r="M218" s="3">
        <v>4.3313783324248164E-10</v>
      </c>
      <c r="N218" s="3">
        <v>5.1372575314046677E-12</v>
      </c>
      <c r="O218" s="11">
        <v>2.6992561252540235E-14</v>
      </c>
      <c r="P218" s="11">
        <v>5.2695353572832845E-17</v>
      </c>
    </row>
    <row r="219" spans="1:16" x14ac:dyDescent="0.25">
      <c r="G219" s="11"/>
      <c r="H219" s="11">
        <v>0.99999818800543538</v>
      </c>
      <c r="I219" s="11">
        <v>4.1556927814763361E-2</v>
      </c>
      <c r="J219" s="11" t="e">
        <v>#N/A</v>
      </c>
      <c r="K219" s="11" t="e">
        <v>#N/A</v>
      </c>
      <c r="L219" s="11" t="e">
        <v>#N/A</v>
      </c>
      <c r="M219" s="11" t="e">
        <v>#N/A</v>
      </c>
      <c r="N219" s="11" t="e">
        <v>#N/A</v>
      </c>
      <c r="O219" s="11" t="e">
        <v>#N/A</v>
      </c>
      <c r="P219" s="11" t="e">
        <v>#N/A</v>
      </c>
    </row>
    <row r="222" spans="1:16" x14ac:dyDescent="0.25">
      <c r="E222">
        <f>E15</f>
        <v>-165</v>
      </c>
      <c r="F222">
        <f>$H$217*0+E222*$I$217+E222^2*$J$217+E222^3*$K$217+E222^4*$L$217+E222^5*$M$217+E222^6*$N$217+E222^7*$O$217+E222^8*$P$217</f>
        <v>-46.406713674726284</v>
      </c>
      <c r="G222">
        <f>F15</f>
        <v>-46.302861916991574</v>
      </c>
    </row>
    <row r="223" spans="1:16" x14ac:dyDescent="0.25">
      <c r="E223" s="11">
        <f t="shared" ref="E223:E286" si="25">E16</f>
        <v>-164</v>
      </c>
      <c r="F223" s="11">
        <f t="shared" ref="F223:F286" si="26">$H$217*0+E223*$I$217+E223^2*$J$217+E223^3*$K$217+E223^4*$L$217+E223^5*$M$217+E223^6*$N$217+E223^7*$O$217+E223^8*$P$217</f>
        <v>-46.306129067328932</v>
      </c>
      <c r="G223" s="11">
        <f t="shared" ref="G223:G286" si="27">F16</f>
        <v>-46.245765552626743</v>
      </c>
    </row>
    <row r="224" spans="1:16" x14ac:dyDescent="0.25">
      <c r="E224" s="11">
        <f t="shared" si="25"/>
        <v>-163</v>
      </c>
      <c r="F224" s="11">
        <f t="shared" si="26"/>
        <v>-46.213985596810659</v>
      </c>
      <c r="G224" s="11">
        <f t="shared" si="27"/>
        <v>-46.188583123789556</v>
      </c>
    </row>
    <row r="225" spans="5:7" x14ac:dyDescent="0.25">
      <c r="E225" s="11">
        <f t="shared" si="25"/>
        <v>-162</v>
      </c>
      <c r="F225" s="11">
        <f t="shared" si="26"/>
        <v>-46.12920794545618</v>
      </c>
      <c r="G225" s="11">
        <f t="shared" si="27"/>
        <v>-46.13122856600765</v>
      </c>
    </row>
    <row r="226" spans="5:7" x14ac:dyDescent="0.25">
      <c r="E226" s="11">
        <f t="shared" si="25"/>
        <v>-161</v>
      </c>
      <c r="F226" s="11">
        <f t="shared" si="26"/>
        <v>-46.050792469763991</v>
      </c>
      <c r="G226" s="11">
        <f t="shared" si="27"/>
        <v>-46.073615814808669</v>
      </c>
    </row>
    <row r="227" spans="5:7" x14ac:dyDescent="0.25">
      <c r="E227" s="11">
        <f t="shared" si="25"/>
        <v>-160</v>
      </c>
      <c r="F227" s="11">
        <f t="shared" si="26"/>
        <v>-45.97780395358545</v>
      </c>
      <c r="G227" s="11">
        <f t="shared" si="27"/>
        <v>-46.01565880572025</v>
      </c>
    </row>
    <row r="228" spans="5:7" x14ac:dyDescent="0.25">
      <c r="E228" s="11">
        <f t="shared" si="25"/>
        <v>-159</v>
      </c>
      <c r="F228" s="11">
        <f t="shared" si="26"/>
        <v>-45.909372450183838</v>
      </c>
      <c r="G228" s="11">
        <f t="shared" si="27"/>
        <v>-45.957271474270037</v>
      </c>
    </row>
    <row r="229" spans="5:7" x14ac:dyDescent="0.25">
      <c r="E229" s="11">
        <f t="shared" si="25"/>
        <v>-158</v>
      </c>
      <c r="F229" s="11">
        <f t="shared" si="26"/>
        <v>-45.844690212028659</v>
      </c>
      <c r="G229" s="11">
        <f t="shared" si="27"/>
        <v>-45.898367755985674</v>
      </c>
    </row>
    <row r="230" spans="5:7" x14ac:dyDescent="0.25">
      <c r="E230" s="11">
        <f t="shared" si="25"/>
        <v>-157</v>
      </c>
      <c r="F230" s="11">
        <f t="shared" si="26"/>
        <v>-45.783008707157904</v>
      </c>
      <c r="G230" s="11">
        <f t="shared" si="27"/>
        <v>-45.838861586394799</v>
      </c>
    </row>
    <row r="231" spans="5:7" x14ac:dyDescent="0.25">
      <c r="E231" s="11">
        <f t="shared" si="25"/>
        <v>-156</v>
      </c>
      <c r="F231" s="11">
        <f t="shared" si="26"/>
        <v>-45.723635720936485</v>
      </c>
      <c r="G231" s="11">
        <f t="shared" si="27"/>
        <v>-45.778666901025048</v>
      </c>
    </row>
    <row r="232" spans="5:7" x14ac:dyDescent="0.25">
      <c r="E232" s="11">
        <f t="shared" si="25"/>
        <v>-155</v>
      </c>
      <c r="F232" s="11">
        <f t="shared" si="26"/>
        <v>-45.665932542038682</v>
      </c>
      <c r="G232" s="11">
        <f t="shared" si="27"/>
        <v>-45.717697635404079</v>
      </c>
    </row>
    <row r="233" spans="5:7" x14ac:dyDescent="0.25">
      <c r="E233" s="11">
        <f t="shared" si="25"/>
        <v>-154</v>
      </c>
      <c r="F233" s="11">
        <f t="shared" si="26"/>
        <v>-45.609311231492214</v>
      </c>
      <c r="G233" s="11">
        <f t="shared" si="27"/>
        <v>-45.655867725059515</v>
      </c>
    </row>
    <row r="234" spans="5:7" x14ac:dyDescent="0.25">
      <c r="E234" s="11">
        <f t="shared" si="25"/>
        <v>-153</v>
      </c>
      <c r="F234" s="11">
        <f t="shared" si="26"/>
        <v>-45.553231973624591</v>
      </c>
      <c r="G234" s="11">
        <f t="shared" si="27"/>
        <v>-45.593091105519001</v>
      </c>
    </row>
    <row r="235" spans="5:7" x14ac:dyDescent="0.25">
      <c r="E235" s="11">
        <f t="shared" si="25"/>
        <v>-152</v>
      </c>
      <c r="F235" s="11">
        <f t="shared" si="26"/>
        <v>-45.497200507750492</v>
      </c>
      <c r="G235" s="11">
        <f t="shared" si="27"/>
        <v>-45.52928171231018</v>
      </c>
    </row>
    <row r="236" spans="5:7" x14ac:dyDescent="0.25">
      <c r="E236" s="11">
        <f t="shared" si="25"/>
        <v>-151</v>
      </c>
      <c r="F236" s="11">
        <f t="shared" si="26"/>
        <v>-45.440765639442809</v>
      </c>
      <c r="G236" s="11">
        <f t="shared" si="27"/>
        <v>-45.464353480960696</v>
      </c>
    </row>
    <row r="237" spans="5:7" x14ac:dyDescent="0.25">
      <c r="E237" s="11">
        <f t="shared" si="25"/>
        <v>-150</v>
      </c>
      <c r="F237" s="11">
        <f t="shared" si="26"/>
        <v>-45.38351683024085</v>
      </c>
      <c r="G237" s="11">
        <f t="shared" si="27"/>
        <v>-45.398220346998187</v>
      </c>
    </row>
    <row r="238" spans="5:7" x14ac:dyDescent="0.25">
      <c r="E238" s="11">
        <f t="shared" si="25"/>
        <v>-149</v>
      </c>
      <c r="F238" s="11">
        <f t="shared" si="26"/>
        <v>-45.325081864640509</v>
      </c>
      <c r="G238" s="11">
        <f t="shared" si="27"/>
        <v>-45.330796245950303</v>
      </c>
    </row>
    <row r="239" spans="5:7" x14ac:dyDescent="0.25">
      <c r="E239" s="11">
        <f t="shared" si="25"/>
        <v>-148</v>
      </c>
      <c r="F239" s="11">
        <f t="shared" si="26"/>
        <v>-45.265124593225792</v>
      </c>
      <c r="G239" s="11">
        <f t="shared" si="27"/>
        <v>-45.261995113344668</v>
      </c>
    </row>
    <row r="240" spans="5:7" x14ac:dyDescent="0.25">
      <c r="E240" s="11">
        <f t="shared" si="25"/>
        <v>-147</v>
      </c>
      <c r="F240" s="11">
        <f t="shared" si="26"/>
        <v>-45.203342750790902</v>
      </c>
      <c r="G240" s="11">
        <f t="shared" si="27"/>
        <v>-45.191730884708946</v>
      </c>
    </row>
    <row r="241" spans="5:7" x14ac:dyDescent="0.25">
      <c r="E241" s="11">
        <f t="shared" si="25"/>
        <v>-146</v>
      </c>
      <c r="F241" s="11">
        <f t="shared" si="26"/>
        <v>-45.139465848323454</v>
      </c>
      <c r="G241" s="11">
        <f t="shared" si="27"/>
        <v>-45.119917495570753</v>
      </c>
    </row>
    <row r="242" spans="5:7" x14ac:dyDescent="0.25">
      <c r="E242" s="11">
        <f t="shared" si="25"/>
        <v>-145</v>
      </c>
      <c r="F242" s="11">
        <f t="shared" si="26"/>
        <v>-45.073253137702608</v>
      </c>
      <c r="G242" s="11">
        <f t="shared" si="27"/>
        <v>-45.046468881457741</v>
      </c>
    </row>
    <row r="243" spans="5:7" x14ac:dyDescent="0.25">
      <c r="E243" s="11">
        <f t="shared" si="25"/>
        <v>-144</v>
      </c>
      <c r="F243" s="11">
        <f t="shared" si="26"/>
        <v>-45.004491647983279</v>
      </c>
      <c r="G243" s="11">
        <f t="shared" si="27"/>
        <v>-44.971298977897561</v>
      </c>
    </row>
    <row r="244" spans="5:7" x14ac:dyDescent="0.25">
      <c r="E244" s="11">
        <f t="shared" si="25"/>
        <v>-143</v>
      </c>
      <c r="F244" s="11">
        <f t="shared" si="26"/>
        <v>-44.932994292135774</v>
      </c>
      <c r="G244" s="11">
        <f t="shared" si="27"/>
        <v>-44.894321720417842</v>
      </c>
    </row>
    <row r="245" spans="5:7" x14ac:dyDescent="0.25">
      <c r="E245" s="11">
        <f t="shared" si="25"/>
        <v>-142</v>
      </c>
      <c r="F245" s="11">
        <f t="shared" si="26"/>
        <v>-44.858598043111257</v>
      </c>
      <c r="G245" s="11">
        <f t="shared" si="27"/>
        <v>-44.815451044546222</v>
      </c>
    </row>
    <row r="246" spans="5:7" x14ac:dyDescent="0.25">
      <c r="E246" s="11">
        <f t="shared" si="25"/>
        <v>-141</v>
      </c>
      <c r="F246" s="11">
        <f t="shared" si="26"/>
        <v>-44.781162178111813</v>
      </c>
      <c r="G246" s="11">
        <f t="shared" si="27"/>
        <v>-44.734600885810366</v>
      </c>
    </row>
    <row r="247" spans="5:7" x14ac:dyDescent="0.25">
      <c r="E247" s="11">
        <f t="shared" si="25"/>
        <v>-140</v>
      </c>
      <c r="F247" s="11">
        <f t="shared" si="26"/>
        <v>-44.700566589939307</v>
      </c>
      <c r="G247" s="11">
        <f t="shared" si="27"/>
        <v>-44.651685179737882</v>
      </c>
    </row>
    <row r="248" spans="5:7" x14ac:dyDescent="0.25">
      <c r="E248" s="11">
        <f t="shared" si="25"/>
        <v>-139</v>
      </c>
      <c r="F248" s="11">
        <f t="shared" si="26"/>
        <v>-44.616710164310867</v>
      </c>
      <c r="G248" s="11">
        <f t="shared" si="27"/>
        <v>-44.566617861856429</v>
      </c>
    </row>
    <row r="249" spans="5:7" x14ac:dyDescent="0.25">
      <c r="E249" s="11">
        <f t="shared" si="25"/>
        <v>-138</v>
      </c>
      <c r="F249" s="11">
        <f t="shared" si="26"/>
        <v>-44.529509222020941</v>
      </c>
      <c r="G249" s="11">
        <f t="shared" si="27"/>
        <v>-44.47931286769365</v>
      </c>
    </row>
    <row r="250" spans="5:7" x14ac:dyDescent="0.25">
      <c r="E250" s="11">
        <f t="shared" si="25"/>
        <v>-137</v>
      </c>
      <c r="F250" s="11">
        <f t="shared" si="26"/>
        <v>-44.438896024840915</v>
      </c>
      <c r="G250" s="11">
        <f t="shared" si="27"/>
        <v>-44.389684132777191</v>
      </c>
    </row>
    <row r="251" spans="5:7" x14ac:dyDescent="0.25">
      <c r="E251" s="11">
        <f t="shared" si="25"/>
        <v>-136</v>
      </c>
      <c r="F251" s="11">
        <f t="shared" si="26"/>
        <v>-44.344817344045921</v>
      </c>
      <c r="G251" s="11">
        <f t="shared" si="27"/>
        <v>-44.297645592634673</v>
      </c>
    </row>
    <row r="252" spans="5:7" x14ac:dyDescent="0.25">
      <c r="E252" s="11">
        <f t="shared" si="25"/>
        <v>-135</v>
      </c>
      <c r="F252" s="11">
        <f t="shared" si="26"/>
        <v>-44.247233090465016</v>
      </c>
      <c r="G252" s="11">
        <f t="shared" si="27"/>
        <v>-44.203111182793748</v>
      </c>
    </row>
    <row r="253" spans="5:7" x14ac:dyDescent="0.25">
      <c r="E253" s="11">
        <f t="shared" si="25"/>
        <v>-134</v>
      </c>
      <c r="F253" s="11">
        <f t="shared" si="26"/>
        <v>-44.146115004950609</v>
      </c>
      <c r="G253" s="11">
        <f t="shared" si="27"/>
        <v>-44.105994838782067</v>
      </c>
    </row>
    <row r="254" spans="5:7" x14ac:dyDescent="0.25">
      <c r="E254" s="11">
        <f t="shared" si="25"/>
        <v>-133</v>
      </c>
      <c r="F254" s="11">
        <f t="shared" si="26"/>
        <v>-44.041445408168045</v>
      </c>
      <c r="G254" s="11">
        <f t="shared" si="27"/>
        <v>-44.006210496127252</v>
      </c>
    </row>
    <row r="255" spans="5:7" x14ac:dyDescent="0.25">
      <c r="E255" s="11">
        <f t="shared" si="25"/>
        <v>-132</v>
      </c>
      <c r="F255" s="11">
        <f t="shared" si="26"/>
        <v>-43.933216008609875</v>
      </c>
      <c r="G255" s="11">
        <f t="shared" si="27"/>
        <v>-43.903672090356963</v>
      </c>
    </row>
    <row r="256" spans="5:7" x14ac:dyDescent="0.25">
      <c r="E256" s="11">
        <f t="shared" si="25"/>
        <v>-131</v>
      </c>
      <c r="F256" s="11">
        <f t="shared" si="26"/>
        <v>-43.821426767740796</v>
      </c>
      <c r="G256" s="11">
        <f t="shared" si="27"/>
        <v>-43.798293556998829</v>
      </c>
    </row>
    <row r="257" spans="5:7" x14ac:dyDescent="0.25">
      <c r="E257" s="11">
        <f t="shared" si="25"/>
        <v>-130</v>
      </c>
      <c r="F257" s="11">
        <f t="shared" si="26"/>
        <v>-43.706084821183794</v>
      </c>
      <c r="G257" s="11">
        <f t="shared" si="27"/>
        <v>-43.689988831580493</v>
      </c>
    </row>
    <row r="258" spans="5:7" x14ac:dyDescent="0.25">
      <c r="E258" s="11">
        <f t="shared" si="25"/>
        <v>-129</v>
      </c>
      <c r="F258" s="11">
        <f t="shared" si="26"/>
        <v>-43.587203454859512</v>
      </c>
      <c r="G258" s="11">
        <f t="shared" si="27"/>
        <v>-43.5786718496296</v>
      </c>
    </row>
    <row r="259" spans="5:7" x14ac:dyDescent="0.25">
      <c r="E259" s="11">
        <f t="shared" si="25"/>
        <v>-128</v>
      </c>
      <c r="F259" s="11">
        <f t="shared" si="26"/>
        <v>-43.464801134997188</v>
      </c>
      <c r="G259" s="11">
        <f t="shared" si="27"/>
        <v>-43.464256546673788</v>
      </c>
    </row>
    <row r="260" spans="5:7" x14ac:dyDescent="0.25">
      <c r="E260" s="11">
        <f t="shared" si="25"/>
        <v>-127</v>
      </c>
      <c r="F260" s="11">
        <f t="shared" si="26"/>
        <v>-43.338900590933257</v>
      </c>
      <c r="G260" s="11">
        <f t="shared" si="27"/>
        <v>-43.346656858240699</v>
      </c>
    </row>
    <row r="261" spans="5:7" x14ac:dyDescent="0.25">
      <c r="E261" s="11">
        <f t="shared" si="25"/>
        <v>-126</v>
      </c>
      <c r="F261" s="11">
        <f t="shared" si="26"/>
        <v>-43.209527949623535</v>
      </c>
      <c r="G261" s="11">
        <f t="shared" si="27"/>
        <v>-43.225786719857972</v>
      </c>
    </row>
    <row r="262" spans="5:7" x14ac:dyDescent="0.25">
      <c r="E262" s="11">
        <f t="shared" si="25"/>
        <v>-125</v>
      </c>
      <c r="F262" s="11">
        <f t="shared" si="26"/>
        <v>-43.076711920790871</v>
      </c>
      <c r="G262" s="11">
        <f t="shared" si="27"/>
        <v>-43.101560067053256</v>
      </c>
    </row>
    <row r="263" spans="5:7" x14ac:dyDescent="0.25">
      <c r="E263" s="11">
        <f t="shared" si="25"/>
        <v>-124</v>
      </c>
      <c r="F263" s="11">
        <f t="shared" si="26"/>
        <v>-42.940483031641165</v>
      </c>
      <c r="G263" s="11">
        <f t="shared" si="27"/>
        <v>-42.966413521785753</v>
      </c>
    </row>
    <row r="264" spans="5:7" x14ac:dyDescent="0.25">
      <c r="E264" s="11">
        <f t="shared" si="25"/>
        <v>-123</v>
      </c>
      <c r="F264" s="11">
        <f t="shared" si="26"/>
        <v>-42.800872910074645</v>
      </c>
      <c r="G264" s="11">
        <f t="shared" si="27"/>
        <v>-42.827832160611244</v>
      </c>
    </row>
    <row r="265" spans="5:7" x14ac:dyDescent="0.25">
      <c r="E265" s="11">
        <f t="shared" si="25"/>
        <v>-122</v>
      </c>
      <c r="F265" s="11">
        <f t="shared" si="26"/>
        <v>-42.657913615331438</v>
      </c>
      <c r="G265" s="11">
        <f t="shared" si="27"/>
        <v>-42.68582374651713</v>
      </c>
    </row>
    <row r="266" spans="5:7" x14ac:dyDescent="0.25">
      <c r="E266" s="11">
        <f t="shared" si="25"/>
        <v>-121</v>
      </c>
      <c r="F266" s="11">
        <f t="shared" si="26"/>
        <v>-42.511637015007025</v>
      </c>
      <c r="G266" s="11">
        <f t="shared" si="27"/>
        <v>-42.540396042490755</v>
      </c>
    </row>
    <row r="267" spans="5:7" x14ac:dyDescent="0.25">
      <c r="E267" s="11">
        <f t="shared" si="25"/>
        <v>-120</v>
      </c>
      <c r="F267" s="11">
        <f t="shared" si="26"/>
        <v>-42.362074207379877</v>
      </c>
      <c r="G267" s="11">
        <f t="shared" si="27"/>
        <v>-42.391556811519514</v>
      </c>
    </row>
    <row r="268" spans="5:7" x14ac:dyDescent="0.25">
      <c r="E268" s="11">
        <f t="shared" si="25"/>
        <v>-119</v>
      </c>
      <c r="F268" s="11">
        <f t="shared" si="26"/>
        <v>-42.209254987993837</v>
      </c>
      <c r="G268" s="11">
        <f t="shared" si="27"/>
        <v>-42.239313816590759</v>
      </c>
    </row>
    <row r="269" spans="5:7" x14ac:dyDescent="0.25">
      <c r="E269" s="11">
        <f t="shared" si="25"/>
        <v>-118</v>
      </c>
      <c r="F269" s="11">
        <f t="shared" si="26"/>
        <v>-42.053207359445146</v>
      </c>
      <c r="G269" s="11">
        <f t="shared" si="27"/>
        <v>-42.083674820691854</v>
      </c>
    </row>
    <row r="270" spans="5:7" x14ac:dyDescent="0.25">
      <c r="E270" s="11">
        <f t="shared" si="25"/>
        <v>-117</v>
      </c>
      <c r="F270" s="11">
        <f t="shared" si="26"/>
        <v>-41.893957083321908</v>
      </c>
      <c r="G270" s="11">
        <f t="shared" si="27"/>
        <v>-41.924647586810181</v>
      </c>
    </row>
    <row r="271" spans="5:7" x14ac:dyDescent="0.25">
      <c r="E271" s="11">
        <f t="shared" si="25"/>
        <v>-116</v>
      </c>
      <c r="F271" s="11">
        <f t="shared" si="26"/>
        <v>-41.731527273251238</v>
      </c>
      <c r="G271" s="11">
        <f t="shared" si="27"/>
        <v>-41.762239877933098</v>
      </c>
    </row>
    <row r="272" spans="5:7" x14ac:dyDescent="0.25">
      <c r="E272" s="11">
        <f t="shared" si="25"/>
        <v>-115</v>
      </c>
      <c r="F272" s="11">
        <f t="shared" si="26"/>
        <v>-41.565938028010514</v>
      </c>
      <c r="G272" s="11">
        <f t="shared" si="27"/>
        <v>-41.59645945704797</v>
      </c>
    </row>
    <row r="273" spans="5:7" x14ac:dyDescent="0.25">
      <c r="E273" s="11">
        <f t="shared" si="25"/>
        <v>-114</v>
      </c>
      <c r="F273" s="11">
        <f t="shared" si="26"/>
        <v>-41.397206103661411</v>
      </c>
      <c r="G273" s="11">
        <f t="shared" si="27"/>
        <v>-41.427314087142179</v>
      </c>
    </row>
    <row r="274" spans="5:7" x14ac:dyDescent="0.25">
      <c r="E274" s="11">
        <f t="shared" si="25"/>
        <v>-113</v>
      </c>
      <c r="F274" s="11">
        <f t="shared" si="26"/>
        <v>-41.225344623671035</v>
      </c>
      <c r="G274" s="11">
        <f t="shared" si="27"/>
        <v>-41.254811531203082</v>
      </c>
    </row>
    <row r="275" spans="5:7" x14ac:dyDescent="0.25">
      <c r="E275" s="11">
        <f t="shared" si="25"/>
        <v>-112</v>
      </c>
      <c r="F275" s="11">
        <f t="shared" si="26"/>
        <v>-41.050362825985452</v>
      </c>
      <c r="G275" s="11">
        <f t="shared" si="27"/>
        <v>-41.078959552218052</v>
      </c>
    </row>
    <row r="276" spans="5:7" x14ac:dyDescent="0.25">
      <c r="E276" s="11">
        <f t="shared" si="25"/>
        <v>-111</v>
      </c>
      <c r="F276" s="11">
        <f t="shared" si="26"/>
        <v>-40.872265846024973</v>
      </c>
      <c r="G276" s="11">
        <f t="shared" si="27"/>
        <v>-40.899765913174456</v>
      </c>
    </row>
    <row r="277" spans="5:7" x14ac:dyDescent="0.25">
      <c r="E277" s="11">
        <f t="shared" si="25"/>
        <v>-110</v>
      </c>
      <c r="F277" s="11">
        <f t="shared" si="26"/>
        <v>-40.69105453457265</v>
      </c>
      <c r="G277" s="11">
        <f t="shared" si="27"/>
        <v>-40.717238377059658</v>
      </c>
    </row>
    <row r="278" spans="5:7" x14ac:dyDescent="0.25">
      <c r="E278" s="11">
        <f t="shared" si="25"/>
        <v>-109</v>
      </c>
      <c r="F278" s="11">
        <f t="shared" si="26"/>
        <v>-40.506725309532762</v>
      </c>
      <c r="G278" s="11">
        <f t="shared" si="27"/>
        <v>-40.53138470686104</v>
      </c>
    </row>
    <row r="279" spans="5:7" x14ac:dyDescent="0.25">
      <c r="E279" s="11">
        <f t="shared" si="25"/>
        <v>-108</v>
      </c>
      <c r="F279" s="11">
        <f t="shared" si="26"/>
        <v>-40.319270040536445</v>
      </c>
      <c r="G279" s="11">
        <f t="shared" si="27"/>
        <v>-40.342212665565953</v>
      </c>
    </row>
    <row r="280" spans="5:7" x14ac:dyDescent="0.25">
      <c r="E280" s="11">
        <f t="shared" si="25"/>
        <v>-107</v>
      </c>
      <c r="F280" s="11">
        <f t="shared" si="26"/>
        <v>-40.128675965376658</v>
      </c>
      <c r="G280" s="11">
        <f t="shared" si="27"/>
        <v>-40.149730016161776</v>
      </c>
    </row>
    <row r="281" spans="5:7" x14ac:dyDescent="0.25">
      <c r="E281" s="11">
        <f t="shared" si="25"/>
        <v>-106</v>
      </c>
      <c r="F281" s="11">
        <f t="shared" si="26"/>
        <v>-39.934925637257258</v>
      </c>
      <c r="G281" s="11">
        <f t="shared" si="27"/>
        <v>-39.953944521635876</v>
      </c>
    </row>
    <row r="282" spans="5:7" x14ac:dyDescent="0.25">
      <c r="E282" s="11">
        <f t="shared" si="25"/>
        <v>-105</v>
      </c>
      <c r="F282" s="11">
        <f t="shared" si="26"/>
        <v>-39.737996901843566</v>
      </c>
      <c r="G282" s="11">
        <f t="shared" si="27"/>
        <v>-39.754863944975618</v>
      </c>
    </row>
    <row r="283" spans="5:7" x14ac:dyDescent="0.25">
      <c r="E283" s="11">
        <f t="shared" si="25"/>
        <v>-104</v>
      </c>
      <c r="F283" s="11">
        <f t="shared" si="26"/>
        <v>-39.537862903105719</v>
      </c>
      <c r="G283" s="11">
        <f t="shared" si="27"/>
        <v>-39.552496049168369</v>
      </c>
    </row>
    <row r="284" spans="5:7" x14ac:dyDescent="0.25">
      <c r="E284" s="11">
        <f t="shared" si="25"/>
        <v>-103</v>
      </c>
      <c r="F284" s="11">
        <f t="shared" si="26"/>
        <v>-39.334492116948525</v>
      </c>
      <c r="G284" s="11">
        <f t="shared" si="27"/>
        <v>-39.346848597201507</v>
      </c>
    </row>
    <row r="285" spans="5:7" x14ac:dyDescent="0.25">
      <c r="E285" s="11">
        <f t="shared" si="25"/>
        <v>-102</v>
      </c>
      <c r="F285" s="11">
        <f t="shared" si="26"/>
        <v>-39.127848411625521</v>
      </c>
      <c r="G285" s="11">
        <f t="shared" si="27"/>
        <v>-39.137929352062386</v>
      </c>
    </row>
    <row r="286" spans="5:7" x14ac:dyDescent="0.25">
      <c r="E286" s="11">
        <f t="shared" si="25"/>
        <v>-101</v>
      </c>
      <c r="F286" s="11">
        <f t="shared" si="26"/>
        <v>-38.917891133936692</v>
      </c>
      <c r="G286" s="11">
        <f t="shared" si="27"/>
        <v>-38.925746076738392</v>
      </c>
    </row>
    <row r="287" spans="5:7" x14ac:dyDescent="0.25">
      <c r="E287" s="11">
        <f t="shared" ref="E287:E350" si="28">E80</f>
        <v>-100</v>
      </c>
      <c r="F287" s="11">
        <f t="shared" ref="F287:F350" si="29">$H$217*0+E287*$I$217+E287^2*$J$217+E287^3*$K$217+E287^4*$L$217+E287^5*$M$217+E287^6*$N$217+E287^7*$O$217+E287^8*$P$217</f>
        <v>-38.704575220213862</v>
      </c>
      <c r="G287" s="11">
        <f t="shared" ref="G287:G350" si="30">F80</f>
        <v>-38.710306534216876</v>
      </c>
    </row>
    <row r="288" spans="5:7" x14ac:dyDescent="0.25">
      <c r="E288" s="11">
        <f t="shared" si="28"/>
        <v>-99</v>
      </c>
      <c r="F288" s="11">
        <f t="shared" si="29"/>
        <v>-38.48785133110021</v>
      </c>
      <c r="G288" s="11">
        <f t="shared" si="30"/>
        <v>-38.491603638636001</v>
      </c>
    </row>
    <row r="289" spans="5:7" x14ac:dyDescent="0.25">
      <c r="E289" s="11">
        <f t="shared" si="28"/>
        <v>-98</v>
      </c>
      <c r="F289" s="11">
        <f t="shared" si="29"/>
        <v>-38.267666009132967</v>
      </c>
      <c r="G289" s="11">
        <f t="shared" si="30"/>
        <v>-38.269570908737009</v>
      </c>
    </row>
    <row r="290" spans="5:7" x14ac:dyDescent="0.25">
      <c r="E290" s="11">
        <f t="shared" si="28"/>
        <v>-97</v>
      </c>
      <c r="F290" s="11">
        <f t="shared" si="29"/>
        <v>-38.043961858142708</v>
      </c>
      <c r="G290" s="11">
        <f t="shared" si="30"/>
        <v>-38.044127014411991</v>
      </c>
    </row>
    <row r="291" spans="5:7" x14ac:dyDescent="0.25">
      <c r="E291" s="11">
        <f t="shared" si="28"/>
        <v>-96</v>
      </c>
      <c r="F291" s="11">
        <f t="shared" si="29"/>
        <v>-37.81667774348481</v>
      </c>
      <c r="G291" s="11">
        <f t="shared" si="30"/>
        <v>-37.815190625552965</v>
      </c>
    </row>
    <row r="292" spans="5:7" x14ac:dyDescent="0.25">
      <c r="E292" s="11">
        <f t="shared" si="28"/>
        <v>-95</v>
      </c>
      <c r="F292" s="11">
        <f t="shared" si="29"/>
        <v>-37.585749012121617</v>
      </c>
      <c r="G292" s="11">
        <f t="shared" si="30"/>
        <v>-37.582680412051992</v>
      </c>
    </row>
    <row r="293" spans="5:7" x14ac:dyDescent="0.25">
      <c r="E293" s="11">
        <f t="shared" si="28"/>
        <v>-94</v>
      </c>
      <c r="F293" s="11">
        <f t="shared" si="29"/>
        <v>-37.351107731578146</v>
      </c>
      <c r="G293" s="11">
        <f t="shared" si="30"/>
        <v>-37.346515043801119</v>
      </c>
    </row>
    <row r="294" spans="5:7" x14ac:dyDescent="0.25">
      <c r="E294" s="11">
        <f t="shared" si="28"/>
        <v>-93</v>
      </c>
      <c r="F294" s="11">
        <f t="shared" si="29"/>
        <v>-37.112682946795893</v>
      </c>
      <c r="G294" s="11">
        <f t="shared" si="30"/>
        <v>-37.1066131906924</v>
      </c>
    </row>
    <row r="295" spans="5:7" x14ac:dyDescent="0.25">
      <c r="E295" s="11">
        <f t="shared" si="28"/>
        <v>-92</v>
      </c>
      <c r="F295" s="11">
        <f t="shared" si="29"/>
        <v>-36.870400953913325</v>
      </c>
      <c r="G295" s="11">
        <f t="shared" si="30"/>
        <v>-36.862893522617881</v>
      </c>
    </row>
    <row r="296" spans="5:7" x14ac:dyDescent="0.25">
      <c r="E296" s="11">
        <f t="shared" si="28"/>
        <v>-91</v>
      </c>
      <c r="F296" s="11">
        <f t="shared" si="29"/>
        <v>-36.624185590004359</v>
      </c>
      <c r="G296" s="11">
        <f t="shared" si="30"/>
        <v>-36.61527470946961</v>
      </c>
    </row>
    <row r="297" spans="5:7" x14ac:dyDescent="0.25">
      <c r="E297" s="11">
        <f t="shared" si="28"/>
        <v>-90</v>
      </c>
      <c r="F297" s="11">
        <f t="shared" si="29"/>
        <v>-36.373958537809372</v>
      </c>
      <c r="G297" s="11">
        <f t="shared" si="30"/>
        <v>-36.363675421139646</v>
      </c>
    </row>
    <row r="298" spans="5:7" x14ac:dyDescent="0.25">
      <c r="E298" s="11">
        <f t="shared" si="28"/>
        <v>-89</v>
      </c>
      <c r="F298" s="11">
        <f t="shared" si="29"/>
        <v>-36.119639644496417</v>
      </c>
      <c r="G298" s="11">
        <f t="shared" si="30"/>
        <v>-36.108014327520024</v>
      </c>
    </row>
    <row r="299" spans="5:7" x14ac:dyDescent="0.25">
      <c r="E299" s="11">
        <f t="shared" si="28"/>
        <v>-88</v>
      </c>
      <c r="F299" s="11">
        <f t="shared" si="29"/>
        <v>-35.861147253493357</v>
      </c>
      <c r="G299" s="11">
        <f t="shared" si="30"/>
        <v>-35.848210098502797</v>
      </c>
    </row>
    <row r="300" spans="5:7" x14ac:dyDescent="0.25">
      <c r="E300" s="11">
        <f t="shared" si="28"/>
        <v>-87</v>
      </c>
      <c r="F300" s="11">
        <f t="shared" si="29"/>
        <v>-35.598398548434744</v>
      </c>
      <c r="G300" s="11">
        <f t="shared" si="30"/>
        <v>-35.584181403980025</v>
      </c>
    </row>
    <row r="301" spans="5:7" x14ac:dyDescent="0.25">
      <c r="E301" s="11">
        <f t="shared" si="28"/>
        <v>-86</v>
      </c>
      <c r="F301" s="11">
        <f t="shared" si="29"/>
        <v>-35.331309908270583</v>
      </c>
      <c r="G301" s="11">
        <f t="shared" si="30"/>
        <v>-35.315846913843743</v>
      </c>
    </row>
    <row r="302" spans="5:7" x14ac:dyDescent="0.25">
      <c r="E302" s="11">
        <f t="shared" si="28"/>
        <v>-85</v>
      </c>
      <c r="F302" s="11">
        <f t="shared" si="29"/>
        <v>-35.059797272586842</v>
      </c>
      <c r="G302" s="11">
        <f t="shared" si="30"/>
        <v>-35.043125297986016</v>
      </c>
    </row>
    <row r="303" spans="5:7" x14ac:dyDescent="0.25">
      <c r="E303" s="11">
        <f t="shared" si="28"/>
        <v>-84</v>
      </c>
      <c r="F303" s="11">
        <f t="shared" si="29"/>
        <v>-34.783776516190997</v>
      </c>
      <c r="G303" s="11">
        <f t="shared" si="30"/>
        <v>-34.765935226298879</v>
      </c>
    </row>
    <row r="304" spans="5:7" x14ac:dyDescent="0.25">
      <c r="E304" s="11">
        <f t="shared" si="28"/>
        <v>-83</v>
      </c>
      <c r="F304" s="11">
        <f t="shared" si="29"/>
        <v>-34.50316383201924</v>
      </c>
      <c r="G304" s="11">
        <f t="shared" si="30"/>
        <v>-34.484195368674399</v>
      </c>
    </row>
    <row r="305" spans="5:7" x14ac:dyDescent="0.25">
      <c r="E305" s="11">
        <f t="shared" si="28"/>
        <v>-82</v>
      </c>
      <c r="F305" s="11">
        <f t="shared" si="29"/>
        <v>-34.217876121424133</v>
      </c>
      <c r="G305" s="11">
        <f t="shared" si="30"/>
        <v>-34.197824395004609</v>
      </c>
    </row>
    <row r="306" spans="5:7" x14ac:dyDescent="0.25">
      <c r="E306" s="11">
        <f t="shared" si="28"/>
        <v>-81</v>
      </c>
      <c r="F306" s="11">
        <f t="shared" si="29"/>
        <v>-33.927831390905986</v>
      </c>
      <c r="G306" s="11">
        <f t="shared" si="30"/>
        <v>-33.906740975181563</v>
      </c>
    </row>
    <row r="307" spans="5:7" x14ac:dyDescent="0.25">
      <c r="E307" s="11">
        <f t="shared" si="28"/>
        <v>-80</v>
      </c>
      <c r="F307" s="11">
        <f t="shared" si="29"/>
        <v>-33.632949154353078</v>
      </c>
      <c r="G307" s="11">
        <f t="shared" si="30"/>
        <v>-33.610863779097315</v>
      </c>
    </row>
    <row r="308" spans="5:7" x14ac:dyDescent="0.25">
      <c r="E308" s="11">
        <f t="shared" si="28"/>
        <v>-79</v>
      </c>
      <c r="F308" s="11">
        <f t="shared" si="29"/>
        <v>-33.333150839859783</v>
      </c>
      <c r="G308" s="11">
        <f t="shared" si="30"/>
        <v>-33.310111476643911</v>
      </c>
    </row>
    <row r="309" spans="5:7" x14ac:dyDescent="0.25">
      <c r="E309" s="11">
        <f t="shared" si="28"/>
        <v>-78</v>
      </c>
      <c r="F309" s="11">
        <f t="shared" si="29"/>
        <v>-33.028360200194399</v>
      </c>
      <c r="G309" s="11">
        <f t="shared" si="30"/>
        <v>-33.004402737713406</v>
      </c>
    </row>
    <row r="310" spans="5:7" x14ac:dyDescent="0.25">
      <c r="E310" s="11">
        <f t="shared" si="28"/>
        <v>-77</v>
      </c>
      <c r="F310" s="11">
        <f t="shared" si="29"/>
        <v>-32.718503725991752</v>
      </c>
      <c r="G310" s="11">
        <f t="shared" si="30"/>
        <v>-32.693656232197839</v>
      </c>
    </row>
    <row r="311" spans="5:7" x14ac:dyDescent="0.25">
      <c r="E311" s="11">
        <f t="shared" si="28"/>
        <v>-76</v>
      </c>
      <c r="F311" s="11">
        <f t="shared" si="29"/>
        <v>-32.403511060748599</v>
      </c>
      <c r="G311" s="11">
        <f t="shared" si="30"/>
        <v>-32.377790629989263</v>
      </c>
    </row>
    <row r="312" spans="5:7" x14ac:dyDescent="0.25">
      <c r="E312" s="11">
        <f t="shared" si="28"/>
        <v>-75</v>
      </c>
      <c r="F312" s="11">
        <f t="shared" si="29"/>
        <v>-32.083315416703186</v>
      </c>
      <c r="G312" s="11">
        <f t="shared" si="30"/>
        <v>-32.056724600979742</v>
      </c>
    </row>
    <row r="313" spans="5:7" x14ac:dyDescent="0.25">
      <c r="E313" s="11">
        <f t="shared" si="28"/>
        <v>-74</v>
      </c>
      <c r="F313" s="11">
        <f t="shared" si="29"/>
        <v>-31.757853990683188</v>
      </c>
      <c r="G313" s="11">
        <f t="shared" si="30"/>
        <v>-31.730392956145515</v>
      </c>
    </row>
    <row r="314" spans="5:7" x14ac:dyDescent="0.25">
      <c r="E314" s="11">
        <f t="shared" si="28"/>
        <v>-73</v>
      </c>
      <c r="F314" s="11">
        <f t="shared" si="29"/>
        <v>-31.427068379009608</v>
      </c>
      <c r="G314" s="11">
        <f t="shared" si="30"/>
        <v>-31.398795070799679</v>
      </c>
    </row>
    <row r="315" spans="5:7" x14ac:dyDescent="0.25">
      <c r="E315" s="11">
        <f t="shared" si="28"/>
        <v>-72</v>
      </c>
      <c r="F315" s="11">
        <f t="shared" si="29"/>
        <v>-31.090904990547216</v>
      </c>
      <c r="G315" s="11">
        <f t="shared" si="30"/>
        <v>-31.061946461339524</v>
      </c>
    </row>
    <row r="316" spans="5:7" x14ac:dyDescent="0.25">
      <c r="E316" s="11">
        <f t="shared" si="28"/>
        <v>-71</v>
      </c>
      <c r="F316" s="11">
        <f t="shared" si="29"/>
        <v>-30.749315456995028</v>
      </c>
      <c r="G316" s="11">
        <f t="shared" si="30"/>
        <v>-30.719862644162355</v>
      </c>
    </row>
    <row r="317" spans="5:7" x14ac:dyDescent="0.25">
      <c r="E317" s="11">
        <f t="shared" si="28"/>
        <v>-70</v>
      </c>
      <c r="F317" s="11">
        <f t="shared" si="29"/>
        <v>-30.402257039513998</v>
      </c>
      <c r="G317" s="11">
        <f t="shared" si="30"/>
        <v>-30.372559135665462</v>
      </c>
    </row>
    <row r="318" spans="5:7" x14ac:dyDescent="0.25">
      <c r="E318" s="11">
        <f t="shared" si="28"/>
        <v>-69</v>
      </c>
      <c r="F318" s="11">
        <f t="shared" si="29"/>
        <v>-30.049693030791413</v>
      </c>
      <c r="G318" s="11">
        <f t="shared" si="30"/>
        <v>-30.02005145224614</v>
      </c>
    </row>
    <row r="319" spans="5:7" x14ac:dyDescent="0.25">
      <c r="E319" s="11">
        <f t="shared" si="28"/>
        <v>-68</v>
      </c>
      <c r="F319" s="11">
        <f t="shared" si="29"/>
        <v>-29.691593151645474</v>
      </c>
      <c r="G319" s="11">
        <f t="shared" si="30"/>
        <v>-29.662355110301689</v>
      </c>
    </row>
    <row r="320" spans="5:7" x14ac:dyDescent="0.25">
      <c r="E320" s="11">
        <f t="shared" si="28"/>
        <v>-67</v>
      </c>
      <c r="F320" s="11">
        <f t="shared" si="29"/>
        <v>-29.327933941275813</v>
      </c>
      <c r="G320" s="11">
        <f t="shared" si="30"/>
        <v>-29.299485626229412</v>
      </c>
    </row>
    <row r="321" spans="5:7" x14ac:dyDescent="0.25">
      <c r="E321" s="11">
        <f t="shared" si="28"/>
        <v>-66</v>
      </c>
      <c r="F321" s="11">
        <f t="shared" si="29"/>
        <v>-28.95869914026952</v>
      </c>
      <c r="G321" s="11">
        <f t="shared" si="30"/>
        <v>-28.931458516426591</v>
      </c>
    </row>
    <row r="322" spans="5:7" x14ac:dyDescent="0.25">
      <c r="E322" s="11">
        <f t="shared" si="28"/>
        <v>-65</v>
      </c>
      <c r="F322" s="11">
        <f t="shared" si="29"/>
        <v>-28.583880065474837</v>
      </c>
      <c r="G322" s="11">
        <f t="shared" si="30"/>
        <v>-28.558289297290532</v>
      </c>
    </row>
    <row r="323" spans="5:7" x14ac:dyDescent="0.25">
      <c r="E323" s="11">
        <f t="shared" si="28"/>
        <v>-64</v>
      </c>
      <c r="F323" s="11">
        <f t="shared" si="29"/>
        <v>-28.203475975858218</v>
      </c>
      <c r="G323" s="11">
        <f t="shared" si="30"/>
        <v>-28.179993485218532</v>
      </c>
    </row>
    <row r="324" spans="5:7" x14ac:dyDescent="0.25">
      <c r="E324" s="11">
        <f t="shared" si="28"/>
        <v>-63</v>
      </c>
      <c r="F324" s="11">
        <f t="shared" si="29"/>
        <v>-27.817494428463231</v>
      </c>
      <c r="G324" s="11">
        <f t="shared" si="30"/>
        <v>-27.796586596607877</v>
      </c>
    </row>
    <row r="325" spans="5:7" x14ac:dyDescent="0.25">
      <c r="E325" s="11">
        <f t="shared" si="28"/>
        <v>-62</v>
      </c>
      <c r="F325" s="11">
        <f t="shared" si="29"/>
        <v>-27.425951623593004</v>
      </c>
      <c r="G325" s="11">
        <f t="shared" si="30"/>
        <v>-27.408084147855881</v>
      </c>
    </row>
    <row r="326" spans="5:7" x14ac:dyDescent="0.25">
      <c r="E326" s="11">
        <f t="shared" si="28"/>
        <v>-61</v>
      </c>
      <c r="F326" s="11">
        <f t="shared" si="29"/>
        <v>-27.028872738341175</v>
      </c>
      <c r="G326" s="11">
        <f t="shared" si="30"/>
        <v>-27.014501655359823</v>
      </c>
    </row>
    <row r="327" spans="5:7" x14ac:dyDescent="0.25">
      <c r="E327" s="11">
        <f t="shared" si="28"/>
        <v>-60</v>
      </c>
      <c r="F327" s="11">
        <f t="shared" si="29"/>
        <v>-26.626292247599263</v>
      </c>
      <c r="G327" s="11">
        <f t="shared" si="30"/>
        <v>-26.615854635517003</v>
      </c>
    </row>
    <row r="328" spans="5:7" x14ac:dyDescent="0.25">
      <c r="E328" s="11">
        <f t="shared" si="28"/>
        <v>-59</v>
      </c>
      <c r="F328" s="11">
        <f t="shared" si="29"/>
        <v>-26.218254231671402</v>
      </c>
      <c r="G328" s="11">
        <f t="shared" si="30"/>
        <v>-26.212158604724728</v>
      </c>
    </row>
    <row r="329" spans="5:7" x14ac:dyDescent="0.25">
      <c r="E329" s="11">
        <f t="shared" si="28"/>
        <v>-58</v>
      </c>
      <c r="F329" s="11">
        <f t="shared" si="29"/>
        <v>-25.804812669630859</v>
      </c>
      <c r="G329" s="11">
        <f t="shared" si="30"/>
        <v>-25.80342907938028</v>
      </c>
    </row>
    <row r="330" spans="5:7" x14ac:dyDescent="0.25">
      <c r="E330" s="11">
        <f t="shared" si="28"/>
        <v>-57</v>
      </c>
      <c r="F330" s="11">
        <f t="shared" si="29"/>
        <v>-25.386031717555383</v>
      </c>
      <c r="G330" s="11">
        <f t="shared" si="30"/>
        <v>-25.389681575880964</v>
      </c>
    </row>
    <row r="331" spans="5:7" x14ac:dyDescent="0.25">
      <c r="E331" s="11">
        <f t="shared" si="28"/>
        <v>-56</v>
      </c>
      <c r="F331" s="11">
        <f t="shared" si="29"/>
        <v>-24.961985970781946</v>
      </c>
      <c r="G331" s="11">
        <f t="shared" si="30"/>
        <v>-24.970931610624078</v>
      </c>
    </row>
    <row r="332" spans="5:7" x14ac:dyDescent="0.25">
      <c r="E332" s="11">
        <f t="shared" si="28"/>
        <v>-55</v>
      </c>
      <c r="F332" s="11">
        <f t="shared" si="29"/>
        <v>-24.532760709324407</v>
      </c>
      <c r="G332" s="11">
        <f t="shared" si="30"/>
        <v>-24.547194700006912</v>
      </c>
    </row>
    <row r="333" spans="5:7" x14ac:dyDescent="0.25">
      <c r="E333" s="11">
        <f t="shared" si="28"/>
        <v>-54</v>
      </c>
      <c r="F333" s="11">
        <f t="shared" si="29"/>
        <v>-24.098452125600684</v>
      </c>
      <c r="G333" s="11">
        <f t="shared" si="30"/>
        <v>-24.118486360426765</v>
      </c>
    </row>
    <row r="334" spans="5:7" x14ac:dyDescent="0.25">
      <c r="E334" s="11">
        <f t="shared" si="28"/>
        <v>-53</v>
      </c>
      <c r="F334" s="11">
        <f t="shared" si="29"/>
        <v>-23.659167533619151</v>
      </c>
      <c r="G334" s="11">
        <f t="shared" si="30"/>
        <v>-23.684822108280933</v>
      </c>
    </row>
    <row r="335" spans="5:7" x14ac:dyDescent="0.25">
      <c r="E335" s="11">
        <f t="shared" si="28"/>
        <v>-52</v>
      </c>
      <c r="F335" s="11">
        <f t="shared" si="29"/>
        <v>-23.21502555877727</v>
      </c>
      <c r="G335" s="11">
        <f t="shared" si="30"/>
        <v>-23.246217459966715</v>
      </c>
    </row>
    <row r="336" spans="5:7" x14ac:dyDescent="0.25">
      <c r="E336" s="11">
        <f t="shared" si="28"/>
        <v>-51</v>
      </c>
      <c r="F336" s="11">
        <f t="shared" si="29"/>
        <v>-22.766156307428322</v>
      </c>
      <c r="G336" s="11">
        <f t="shared" si="30"/>
        <v>-22.802687931881401</v>
      </c>
    </row>
    <row r="337" spans="5:7" x14ac:dyDescent="0.25">
      <c r="E337" s="11">
        <f t="shared" si="28"/>
        <v>-50</v>
      </c>
      <c r="F337" s="11">
        <f t="shared" si="29"/>
        <v>-22.312701515375331</v>
      </c>
      <c r="G337" s="11">
        <f t="shared" si="30"/>
        <v>-22.354249040422296</v>
      </c>
    </row>
    <row r="338" spans="5:7" x14ac:dyDescent="0.25">
      <c r="E338" s="11">
        <f t="shared" si="28"/>
        <v>-49</v>
      </c>
      <c r="F338" s="11">
        <f t="shared" si="29"/>
        <v>-21.854814674454506</v>
      </c>
      <c r="G338" s="11">
        <f t="shared" si="30"/>
        <v>-21.90091630198669</v>
      </c>
    </row>
    <row r="339" spans="5:7" x14ac:dyDescent="0.25">
      <c r="E339" s="11">
        <f t="shared" si="28"/>
        <v>-48</v>
      </c>
      <c r="F339" s="11">
        <f t="shared" si="29"/>
        <v>-21.39266113637342</v>
      </c>
      <c r="G339" s="11">
        <f t="shared" si="30"/>
        <v>-21.442705232971878</v>
      </c>
    </row>
    <row r="340" spans="5:7" x14ac:dyDescent="0.25">
      <c r="E340" s="11">
        <f t="shared" si="28"/>
        <v>-47</v>
      </c>
      <c r="F340" s="11">
        <f t="shared" si="29"/>
        <v>-20.926418192972388</v>
      </c>
      <c r="G340" s="11">
        <f t="shared" si="30"/>
        <v>-20.979631349775161</v>
      </c>
    </row>
    <row r="341" spans="5:7" x14ac:dyDescent="0.25">
      <c r="E341" s="11">
        <f t="shared" si="28"/>
        <v>-46</v>
      </c>
      <c r="F341" s="11">
        <f t="shared" si="29"/>
        <v>-20.456275132080641</v>
      </c>
      <c r="G341" s="11">
        <f t="shared" si="30"/>
        <v>-20.511710168793833</v>
      </c>
    </row>
    <row r="342" spans="5:7" x14ac:dyDescent="0.25">
      <c r="E342" s="11">
        <f t="shared" si="28"/>
        <v>-45</v>
      </c>
      <c r="F342" s="11">
        <f t="shared" si="29"/>
        <v>-19.982433268141957</v>
      </c>
      <c r="G342" s="11">
        <f t="shared" si="30"/>
        <v>-20.038957206425195</v>
      </c>
    </row>
    <row r="343" spans="5:7" x14ac:dyDescent="0.25">
      <c r="E343" s="11">
        <f t="shared" si="28"/>
        <v>-44</v>
      </c>
      <c r="F343" s="11">
        <f t="shared" si="29"/>
        <v>-19.505105946787495</v>
      </c>
      <c r="G343" s="11">
        <f t="shared" si="30"/>
        <v>-19.561453649535167</v>
      </c>
    </row>
    <row r="344" spans="5:7" x14ac:dyDescent="0.25">
      <c r="E344" s="11">
        <f t="shared" si="28"/>
        <v>-43</v>
      </c>
      <c r="F344" s="11">
        <f t="shared" si="29"/>
        <v>-19.024518522536738</v>
      </c>
      <c r="G344" s="11">
        <f t="shared" si="30"/>
        <v>-19.079543366864193</v>
      </c>
    </row>
    <row r="345" spans="5:7" x14ac:dyDescent="0.25">
      <c r="E345" s="11">
        <f t="shared" si="28"/>
        <v>-42</v>
      </c>
      <c r="F345" s="11">
        <f t="shared" si="29"/>
        <v>-18.540908308810611</v>
      </c>
      <c r="G345" s="11">
        <f t="shared" si="30"/>
        <v>-18.59363589762135</v>
      </c>
    </row>
    <row r="346" spans="5:7" x14ac:dyDescent="0.25">
      <c r="E346" s="11">
        <f t="shared" si="28"/>
        <v>-41</v>
      </c>
      <c r="F346" s="11">
        <f t="shared" si="29"/>
        <v>-18.054524499443868</v>
      </c>
      <c r="G346" s="11">
        <f t="shared" si="30"/>
        <v>-18.104140781015712</v>
      </c>
    </row>
    <row r="347" spans="5:7" x14ac:dyDescent="0.25">
      <c r="E347" s="11">
        <f t="shared" si="28"/>
        <v>-40</v>
      </c>
      <c r="F347" s="11">
        <f t="shared" si="29"/>
        <v>-17.565628060886993</v>
      </c>
      <c r="G347" s="11">
        <f t="shared" si="30"/>
        <v>-17.611467556256354</v>
      </c>
    </row>
    <row r="348" spans="5:7" x14ac:dyDescent="0.25">
      <c r="E348" s="11">
        <f t="shared" si="28"/>
        <v>-39</v>
      </c>
      <c r="F348" s="11">
        <f t="shared" si="29"/>
        <v>-17.074491594290901</v>
      </c>
      <c r="G348" s="11">
        <f t="shared" si="30"/>
        <v>-17.116025762552347</v>
      </c>
    </row>
    <row r="349" spans="5:7" x14ac:dyDescent="0.25">
      <c r="E349" s="11">
        <f t="shared" si="28"/>
        <v>-38</v>
      </c>
      <c r="F349" s="11">
        <f t="shared" si="29"/>
        <v>-16.58139916667109</v>
      </c>
      <c r="G349" s="11">
        <f t="shared" si="30"/>
        <v>-16.618224939112764</v>
      </c>
    </row>
    <row r="350" spans="5:7" x14ac:dyDescent="0.25">
      <c r="E350" s="11">
        <f t="shared" si="28"/>
        <v>-37</v>
      </c>
      <c r="F350" s="11">
        <f t="shared" si="29"/>
        <v>-16.086646110350664</v>
      </c>
      <c r="G350" s="11">
        <f t="shared" si="30"/>
        <v>-16.118474625146682</v>
      </c>
    </row>
    <row r="351" spans="5:7" x14ac:dyDescent="0.25">
      <c r="E351" s="11">
        <f t="shared" ref="E351:E414" si="31">E144</f>
        <v>-36</v>
      </c>
      <c r="F351" s="11">
        <f t="shared" ref="F351:F414" si="32">$H$217*0+E351*$I$217+E351^2*$J$217+E351^3*$K$217+E351^4*$L$217+E351^5*$M$217+E351^6*$N$217+E351^7*$O$217+E351^8*$P$217</f>
        <v>-15.590538789884947</v>
      </c>
      <c r="G351" s="11">
        <f t="shared" ref="G351:G414" si="33">F144</f>
        <v>-15.617184359863174</v>
      </c>
    </row>
    <row r="352" spans="5:7" x14ac:dyDescent="0.25">
      <c r="E352" s="11">
        <f t="shared" si="31"/>
        <v>-35</v>
      </c>
      <c r="F352" s="11">
        <f t="shared" si="32"/>
        <v>-15.09339433567362</v>
      </c>
      <c r="G352" s="11">
        <f t="shared" si="33"/>
        <v>-15.114763682471319</v>
      </c>
    </row>
    <row r="353" spans="5:7" x14ac:dyDescent="0.25">
      <c r="E353" s="11">
        <f t="shared" si="31"/>
        <v>-34</v>
      </c>
      <c r="F353" s="11">
        <f t="shared" si="32"/>
        <v>-14.595540343469152</v>
      </c>
      <c r="G353" s="11">
        <f t="shared" si="33"/>
        <v>-14.611622132180184</v>
      </c>
    </row>
    <row r="354" spans="5:7" x14ac:dyDescent="0.25">
      <c r="E354" s="11">
        <f t="shared" si="31"/>
        <v>-33</v>
      </c>
      <c r="F354" s="11">
        <f t="shared" si="32"/>
        <v>-14.097314538993713</v>
      </c>
      <c r="G354" s="11">
        <f t="shared" si="33"/>
        <v>-14.108169248198841</v>
      </c>
    </row>
    <row r="355" spans="5:7" x14ac:dyDescent="0.25">
      <c r="E355" s="11">
        <f t="shared" si="31"/>
        <v>-32</v>
      </c>
      <c r="F355" s="11">
        <f t="shared" si="32"/>
        <v>-13.599064406879611</v>
      </c>
      <c r="G355" s="11">
        <f t="shared" si="33"/>
        <v>-13.604814569736375</v>
      </c>
    </row>
    <row r="356" spans="5:7" x14ac:dyDescent="0.25">
      <c r="E356" s="11">
        <f t="shared" si="31"/>
        <v>-31</v>
      </c>
      <c r="F356" s="11">
        <f t="shared" si="32"/>
        <v>-13.101146783151584</v>
      </c>
      <c r="G356" s="11">
        <f t="shared" si="33"/>
        <v>-13.101967636001849</v>
      </c>
    </row>
    <row r="357" spans="5:7" x14ac:dyDescent="0.25">
      <c r="E357" s="11">
        <f t="shared" si="31"/>
        <v>-30</v>
      </c>
      <c r="F357" s="11">
        <f t="shared" si="32"/>
        <v>-12.603927410472355</v>
      </c>
      <c r="G357" s="11">
        <f t="shared" si="33"/>
        <v>-12.600037986204343</v>
      </c>
    </row>
    <row r="358" spans="5:7" x14ac:dyDescent="0.25">
      <c r="E358" s="11">
        <f t="shared" si="31"/>
        <v>-29</v>
      </c>
      <c r="F358" s="11">
        <f t="shared" si="32"/>
        <v>-12.107780455375888</v>
      </c>
      <c r="G358" s="11">
        <f t="shared" si="33"/>
        <v>-12.099435159552931</v>
      </c>
    </row>
    <row r="359" spans="5:7" x14ac:dyDescent="0.25">
      <c r="E359" s="11">
        <f t="shared" si="31"/>
        <v>-28</v>
      </c>
      <c r="F359" s="11">
        <f t="shared" si="32"/>
        <v>-11.613087986716</v>
      </c>
      <c r="G359" s="11">
        <f t="shared" si="33"/>
        <v>-11.600568695256687</v>
      </c>
    </row>
    <row r="360" spans="5:7" x14ac:dyDescent="0.25">
      <c r="E360" s="11">
        <f t="shared" si="31"/>
        <v>-27</v>
      </c>
      <c r="F360" s="11">
        <f t="shared" si="32"/>
        <v>-11.12023941456107</v>
      </c>
      <c r="G360" s="11">
        <f t="shared" si="33"/>
        <v>-11.103848132524679</v>
      </c>
    </row>
    <row r="361" spans="5:7" x14ac:dyDescent="0.25">
      <c r="E361" s="11">
        <f t="shared" si="31"/>
        <v>-26</v>
      </c>
      <c r="F361" s="11">
        <f t="shared" si="32"/>
        <v>-10.62963088876865</v>
      </c>
      <c r="G361" s="11">
        <f t="shared" si="33"/>
        <v>-10.609683010565988</v>
      </c>
    </row>
    <row r="362" spans="5:7" x14ac:dyDescent="0.25">
      <c r="E362" s="11">
        <f t="shared" si="31"/>
        <v>-25</v>
      </c>
      <c r="F362" s="11">
        <f t="shared" si="32"/>
        <v>-10.141664656476989</v>
      </c>
      <c r="G362" s="11">
        <f t="shared" si="33"/>
        <v>-10.118482868589687</v>
      </c>
    </row>
    <row r="363" spans="5:7" x14ac:dyDescent="0.25">
      <c r="E363" s="11">
        <f t="shared" si="31"/>
        <v>-24</v>
      </c>
      <c r="F363" s="11">
        <f t="shared" si="32"/>
        <v>-9.6567483777534733</v>
      </c>
      <c r="G363" s="11">
        <f t="shared" si="33"/>
        <v>-9.6306572458048461</v>
      </c>
    </row>
    <row r="364" spans="5:7" x14ac:dyDescent="0.25">
      <c r="E364" s="11">
        <f t="shared" si="31"/>
        <v>-23</v>
      </c>
      <c r="F364" s="11">
        <f t="shared" si="32"/>
        <v>-9.1752943986432527</v>
      </c>
      <c r="G364" s="11">
        <f t="shared" si="33"/>
        <v>-9.1466156814205437</v>
      </c>
    </row>
    <row r="365" spans="5:7" x14ac:dyDescent="0.25">
      <c r="E365" s="11">
        <f t="shared" si="31"/>
        <v>-22</v>
      </c>
      <c r="F365" s="11">
        <f t="shared" si="32"/>
        <v>-8.6977189808642947</v>
      </c>
      <c r="G365" s="11">
        <f t="shared" si="33"/>
        <v>-8.6667677146458537</v>
      </c>
    </row>
    <row r="366" spans="5:7" x14ac:dyDescent="0.25">
      <c r="E366" s="11">
        <f t="shared" si="31"/>
        <v>-21</v>
      </c>
      <c r="F366" s="11">
        <f t="shared" si="32"/>
        <v>-8.2244414873982965</v>
      </c>
      <c r="G366" s="11">
        <f t="shared" si="33"/>
        <v>-8.191522884689844</v>
      </c>
    </row>
    <row r="367" spans="5:7" x14ac:dyDescent="0.25">
      <c r="E367" s="11">
        <f t="shared" si="31"/>
        <v>-20</v>
      </c>
      <c r="F367" s="11">
        <f t="shared" si="32"/>
        <v>-7.7558835232300218</v>
      </c>
      <c r="G367" s="11">
        <f t="shared" si="33"/>
        <v>-7.7212907307615968</v>
      </c>
    </row>
    <row r="368" spans="5:7" x14ac:dyDescent="0.25">
      <c r="E368" s="11">
        <f t="shared" si="31"/>
        <v>-19</v>
      </c>
      <c r="F368" s="11">
        <f t="shared" si="32"/>
        <v>-7.2924680304906362</v>
      </c>
      <c r="G368" s="11">
        <f t="shared" si="33"/>
        <v>-7.2564807920701835</v>
      </c>
    </row>
    <row r="369" spans="5:7" x14ac:dyDescent="0.25">
      <c r="E369" s="11">
        <f t="shared" si="31"/>
        <v>-18</v>
      </c>
      <c r="F369" s="11">
        <f t="shared" si="32"/>
        <v>-6.8346183372638762</v>
      </c>
      <c r="G369" s="11">
        <f t="shared" si="33"/>
        <v>-6.7975026078246721</v>
      </c>
    </row>
    <row r="370" spans="5:7" x14ac:dyDescent="0.25">
      <c r="E370" s="11">
        <f t="shared" si="31"/>
        <v>-17</v>
      </c>
      <c r="F370" s="11">
        <f t="shared" si="32"/>
        <v>-6.3827571593168928</v>
      </c>
      <c r="G370" s="11">
        <f t="shared" si="33"/>
        <v>-6.3447657172341465</v>
      </c>
    </row>
    <row r="371" spans="5:7" x14ac:dyDescent="0.25">
      <c r="E371" s="11">
        <f t="shared" si="31"/>
        <v>-16</v>
      </c>
      <c r="F371" s="11">
        <f t="shared" si="32"/>
        <v>-5.9373055540207398</v>
      </c>
      <c r="G371" s="11">
        <f t="shared" si="33"/>
        <v>-5.8986796595076747</v>
      </c>
    </row>
    <row r="372" spans="5:7" x14ac:dyDescent="0.25">
      <c r="E372" s="11">
        <f t="shared" si="31"/>
        <v>-15</v>
      </c>
      <c r="F372" s="11">
        <f t="shared" si="32"/>
        <v>-5.4986818257286432</v>
      </c>
      <c r="G372" s="11">
        <f t="shared" si="33"/>
        <v>-5.4596539738543308</v>
      </c>
    </row>
    <row r="373" spans="5:7" x14ac:dyDescent="0.25">
      <c r="E373" s="11">
        <f t="shared" si="31"/>
        <v>-14</v>
      </c>
      <c r="F373" s="11">
        <f t="shared" si="32"/>
        <v>-5.0673003818832525</v>
      </c>
      <c r="G373" s="11">
        <f t="shared" si="33"/>
        <v>-5.0280981994831908</v>
      </c>
    </row>
    <row r="374" spans="5:7" x14ac:dyDescent="0.25">
      <c r="E374" s="11">
        <f t="shared" si="31"/>
        <v>-13</v>
      </c>
      <c r="F374" s="11">
        <f t="shared" si="32"/>
        <v>-4.6435705391272233</v>
      </c>
      <c r="G374" s="11">
        <f t="shared" si="33"/>
        <v>-4.6044218756033271</v>
      </c>
    </row>
    <row r="375" spans="5:7" x14ac:dyDescent="0.25">
      <c r="E375" s="11">
        <f t="shared" si="31"/>
        <v>-12</v>
      </c>
      <c r="F375" s="11">
        <f t="shared" si="32"/>
        <v>-4.2278952786945379</v>
      </c>
      <c r="G375" s="11">
        <f t="shared" si="33"/>
        <v>-4.1890345414238146</v>
      </c>
    </row>
    <row r="376" spans="5:7" x14ac:dyDescent="0.25">
      <c r="E376" s="11">
        <f t="shared" si="31"/>
        <v>-11</v>
      </c>
      <c r="F376" s="11">
        <f t="shared" si="32"/>
        <v>-3.8206699503631665</v>
      </c>
      <c r="G376" s="11">
        <f t="shared" si="33"/>
        <v>-3.7823457361537276</v>
      </c>
    </row>
    <row r="377" spans="5:7" x14ac:dyDescent="0.25">
      <c r="E377" s="11">
        <f t="shared" si="31"/>
        <v>-10</v>
      </c>
      <c r="F377" s="11">
        <f t="shared" si="32"/>
        <v>-3.4222809242527377</v>
      </c>
      <c r="G377" s="11">
        <f t="shared" si="33"/>
        <v>-3.3847649990021398</v>
      </c>
    </row>
    <row r="378" spans="5:7" x14ac:dyDescent="0.25">
      <c r="E378" s="11">
        <f t="shared" si="31"/>
        <v>-9</v>
      </c>
      <c r="F378" s="11">
        <f t="shared" si="32"/>
        <v>-3.033104189753979</v>
      </c>
      <c r="G378" s="11">
        <f t="shared" si="33"/>
        <v>-2.9967018691781258</v>
      </c>
    </row>
    <row r="379" spans="5:7" x14ac:dyDescent="0.25">
      <c r="E379" s="11">
        <f t="shared" si="31"/>
        <v>-8</v>
      </c>
      <c r="F379" s="11">
        <f t="shared" si="32"/>
        <v>-2.6535039008798651</v>
      </c>
      <c r="G379" s="11">
        <f t="shared" si="33"/>
        <v>-2.6185658858907579</v>
      </c>
    </row>
    <row r="380" spans="5:7" x14ac:dyDescent="0.25">
      <c r="E380" s="11">
        <f t="shared" si="31"/>
        <v>-7</v>
      </c>
      <c r="F380" s="11">
        <f t="shared" si="32"/>
        <v>-2.2838308673314764</v>
      </c>
      <c r="G380" s="11">
        <f t="shared" si="33"/>
        <v>-2.2507665883491117</v>
      </c>
    </row>
    <row r="381" spans="5:7" x14ac:dyDescent="0.25">
      <c r="E381" s="11">
        <f t="shared" si="31"/>
        <v>-6</v>
      </c>
      <c r="F381" s="11">
        <f t="shared" si="32"/>
        <v>-1.9244209905747027</v>
      </c>
      <c r="G381" s="11">
        <f t="shared" si="33"/>
        <v>-1.8937135157622604</v>
      </c>
    </row>
    <row r="382" spans="5:7" x14ac:dyDescent="0.25">
      <c r="E382" s="11">
        <f t="shared" si="31"/>
        <v>-5</v>
      </c>
      <c r="F382" s="11">
        <f t="shared" si="32"/>
        <v>-1.5755936442270437</v>
      </c>
      <c r="G382" s="11">
        <f t="shared" si="33"/>
        <v>-1.5478162073392783</v>
      </c>
    </row>
    <row r="383" spans="5:7" x14ac:dyDescent="0.25">
      <c r="E383" s="11">
        <f t="shared" si="31"/>
        <v>-4</v>
      </c>
      <c r="F383" s="11">
        <f t="shared" si="32"/>
        <v>-1.2376499980568587</v>
      </c>
      <c r="G383" s="11">
        <f t="shared" si="33"/>
        <v>-1.2134842022892407</v>
      </c>
    </row>
    <row r="384" spans="5:7" x14ac:dyDescent="0.25">
      <c r="E384" s="11">
        <f t="shared" si="31"/>
        <v>-3</v>
      </c>
      <c r="F384" s="11">
        <f t="shared" si="32"/>
        <v>-0.91087128490055502</v>
      </c>
      <c r="G384" s="11">
        <f t="shared" si="33"/>
        <v>-0.89112703982121921</v>
      </c>
    </row>
    <row r="385" spans="5:7" x14ac:dyDescent="0.25">
      <c r="E385" s="11">
        <f t="shared" si="31"/>
        <v>-2</v>
      </c>
      <c r="F385" s="11">
        <f t="shared" si="32"/>
        <v>-0.59551700980629529</v>
      </c>
      <c r="G385" s="11">
        <f t="shared" si="33"/>
        <v>-0.58115425914428887</v>
      </c>
    </row>
    <row r="386" spans="5:7" x14ac:dyDescent="0.25">
      <c r="E386" s="11">
        <f t="shared" si="31"/>
        <v>-1</v>
      </c>
      <c r="F386" s="11">
        <f t="shared" si="32"/>
        <v>-0.29182310071593393</v>
      </c>
      <c r="G386" s="11">
        <f t="shared" si="33"/>
        <v>-0.28397539946752559</v>
      </c>
    </row>
    <row r="387" spans="5:7" x14ac:dyDescent="0.25">
      <c r="E387" s="11">
        <f t="shared" si="31"/>
        <v>0</v>
      </c>
      <c r="F387" s="11">
        <f t="shared" si="32"/>
        <v>0</v>
      </c>
      <c r="G387" s="11">
        <f t="shared" si="33"/>
        <v>0</v>
      </c>
    </row>
    <row r="388" spans="5:7" x14ac:dyDescent="0.25">
      <c r="E388" s="11">
        <f t="shared" si="31"/>
        <v>1</v>
      </c>
      <c r="F388" s="11">
        <f t="shared" si="32"/>
        <v>0.27976930383633697</v>
      </c>
      <c r="G388" s="11">
        <f t="shared" si="33"/>
        <v>0.27049548039081095</v>
      </c>
    </row>
    <row r="389" spans="5:7" x14ac:dyDescent="0.25">
      <c r="E389" s="11">
        <f t="shared" si="31"/>
        <v>2</v>
      </c>
      <c r="F389" s="11">
        <f t="shared" si="32"/>
        <v>0.54733130495527293</v>
      </c>
      <c r="G389" s="11">
        <f t="shared" si="33"/>
        <v>0.52776690420383132</v>
      </c>
    </row>
    <row r="390" spans="5:7" x14ac:dyDescent="0.25">
      <c r="E390" s="11">
        <f t="shared" si="31"/>
        <v>3</v>
      </c>
      <c r="F390" s="11">
        <f t="shared" si="32"/>
        <v>0.80256407017218112</v>
      </c>
      <c r="G390" s="11">
        <f t="shared" si="33"/>
        <v>0.77220321427958516</v>
      </c>
    </row>
    <row r="391" spans="5:7" x14ac:dyDescent="0.25">
      <c r="E391" s="11">
        <f t="shared" si="31"/>
        <v>4</v>
      </c>
      <c r="F391" s="11">
        <f t="shared" si="32"/>
        <v>1.0453793907979554</v>
      </c>
      <c r="G391" s="11">
        <f t="shared" si="33"/>
        <v>1.0041933534585952</v>
      </c>
    </row>
    <row r="392" spans="5:7" x14ac:dyDescent="0.25">
      <c r="E392" s="11">
        <f t="shared" si="31"/>
        <v>5</v>
      </c>
      <c r="F392" s="11">
        <f t="shared" si="32"/>
        <v>1.2757249970074911</v>
      </c>
      <c r="G392" s="11">
        <f t="shared" si="33"/>
        <v>1.2241262645813844</v>
      </c>
    </row>
    <row r="393" spans="5:7" x14ac:dyDescent="0.25">
      <c r="E393" s="11">
        <f t="shared" si="31"/>
        <v>6</v>
      </c>
      <c r="F393" s="11">
        <f t="shared" si="32"/>
        <v>1.4935868354007971</v>
      </c>
      <c r="G393" s="11">
        <f t="shared" si="33"/>
        <v>1.4323908904884766</v>
      </c>
    </row>
    <row r="394" spans="5:7" x14ac:dyDescent="0.25">
      <c r="E394" s="11">
        <f t="shared" si="31"/>
        <v>7</v>
      </c>
      <c r="F394" s="11">
        <f t="shared" si="32"/>
        <v>1.6989914104201225</v>
      </c>
      <c r="G394" s="11">
        <f t="shared" si="33"/>
        <v>1.6293761740203947</v>
      </c>
    </row>
    <row r="395" spans="5:7" x14ac:dyDescent="0.25">
      <c r="E395" s="11">
        <f t="shared" si="31"/>
        <v>8</v>
      </c>
      <c r="F395" s="11">
        <f t="shared" si="32"/>
        <v>1.8920081902833545</v>
      </c>
      <c r="G395" s="11">
        <f t="shared" si="33"/>
        <v>1.8154710580176621</v>
      </c>
    </row>
    <row r="396" spans="5:7" x14ac:dyDescent="0.25">
      <c r="E396" s="11">
        <f t="shared" si="31"/>
        <v>9</v>
      </c>
      <c r="F396" s="11">
        <f t="shared" si="32"/>
        <v>2.0727520780908546</v>
      </c>
      <c r="G396" s="11">
        <f t="shared" si="33"/>
        <v>1.9910644853208024</v>
      </c>
    </row>
    <row r="397" spans="5:7" x14ac:dyDescent="0.25">
      <c r="E397" s="11">
        <f t="shared" si="31"/>
        <v>10</v>
      </c>
      <c r="F397" s="11">
        <f t="shared" si="32"/>
        <v>2.2413859487597434</v>
      </c>
      <c r="G397" s="11">
        <f t="shared" si="33"/>
        <v>2.1565453987703376</v>
      </c>
    </row>
    <row r="398" spans="5:7" x14ac:dyDescent="0.25">
      <c r="E398" s="11">
        <f t="shared" si="31"/>
        <v>11</v>
      </c>
      <c r="F398" s="11">
        <f t="shared" si="32"/>
        <v>2.3981232524365819</v>
      </c>
      <c r="G398" s="11">
        <f t="shared" si="33"/>
        <v>2.3123027412067922</v>
      </c>
    </row>
    <row r="399" spans="5:7" x14ac:dyDescent="0.25">
      <c r="E399" s="11">
        <f t="shared" si="31"/>
        <v>12</v>
      </c>
      <c r="F399" s="11">
        <f t="shared" si="32"/>
        <v>2.5432306850362436</v>
      </c>
      <c r="G399" s="11">
        <f t="shared" si="33"/>
        <v>2.458725455470689</v>
      </c>
    </row>
    <row r="400" spans="5:7" x14ac:dyDescent="0.25">
      <c r="E400" s="11">
        <f t="shared" si="31"/>
        <v>13</v>
      </c>
      <c r="F400" s="11">
        <f t="shared" si="32"/>
        <v>2.677030926551669</v>
      </c>
      <c r="G400" s="11">
        <f t="shared" si="33"/>
        <v>2.5962024844025509</v>
      </c>
    </row>
    <row r="401" spans="5:7" x14ac:dyDescent="0.25">
      <c r="E401" s="11">
        <f t="shared" si="31"/>
        <v>14</v>
      </c>
      <c r="F401" s="11">
        <f t="shared" si="32"/>
        <v>2.7999054477760867</v>
      </c>
      <c r="G401" s="11">
        <f t="shared" si="33"/>
        <v>2.7251227708429022</v>
      </c>
    </row>
    <row r="402" spans="5:7" x14ac:dyDescent="0.25">
      <c r="E402" s="11">
        <f t="shared" si="31"/>
        <v>15</v>
      </c>
      <c r="F402" s="11">
        <f t="shared" si="32"/>
        <v>2.9122973860761614</v>
      </c>
      <c r="G402" s="11">
        <f t="shared" si="33"/>
        <v>2.8458752576322648</v>
      </c>
    </row>
    <row r="403" spans="5:7" x14ac:dyDescent="0.25">
      <c r="E403" s="11">
        <f t="shared" si="31"/>
        <v>16</v>
      </c>
      <c r="F403" s="11">
        <f t="shared" si="32"/>
        <v>3.0147144908514232</v>
      </c>
      <c r="G403" s="11">
        <f t="shared" si="33"/>
        <v>2.9588488876111629</v>
      </c>
    </row>
    <row r="404" spans="5:7" x14ac:dyDescent="0.25">
      <c r="E404" s="11">
        <f t="shared" si="31"/>
        <v>17</v>
      </c>
      <c r="F404" s="11">
        <f t="shared" si="32"/>
        <v>3.1077321393122075</v>
      </c>
      <c r="G404" s="11">
        <f t="shared" si="33"/>
        <v>3.0644326036201193</v>
      </c>
    </row>
    <row r="405" spans="5:7" x14ac:dyDescent="0.25">
      <c r="E405" s="11">
        <f t="shared" si="31"/>
        <v>18</v>
      </c>
      <c r="F405" s="11">
        <f t="shared" si="32"/>
        <v>3.1919964232052269</v>
      </c>
      <c r="G405" s="11">
        <f t="shared" si="33"/>
        <v>3.1630153484996573</v>
      </c>
    </row>
    <row r="406" spans="5:7" x14ac:dyDescent="0.25">
      <c r="E406" s="11">
        <f t="shared" si="31"/>
        <v>19</v>
      </c>
      <c r="F406" s="11">
        <f t="shared" si="32"/>
        <v>3.268227307112789</v>
      </c>
      <c r="G406" s="11">
        <f t="shared" si="33"/>
        <v>3.2549860650903</v>
      </c>
    </row>
    <row r="407" spans="5:7" x14ac:dyDescent="0.25">
      <c r="E407" s="11">
        <f t="shared" si="31"/>
        <v>20</v>
      </c>
      <c r="F407" s="11">
        <f t="shared" si="32"/>
        <v>3.3372218589485421</v>
      </c>
      <c r="G407" s="11">
        <f t="shared" si="33"/>
        <v>3.3407336962325709</v>
      </c>
    </row>
    <row r="408" spans="5:7" x14ac:dyDescent="0.25">
      <c r="E408" s="11">
        <f t="shared" si="31"/>
        <v>21</v>
      </c>
      <c r="F408" s="11">
        <f t="shared" si="32"/>
        <v>3.3998575532695323</v>
      </c>
      <c r="G408" s="11">
        <f t="shared" si="33"/>
        <v>3.4206471847669935</v>
      </c>
    </row>
    <row r="409" spans="5:7" x14ac:dyDescent="0.25">
      <c r="E409" s="11">
        <f t="shared" si="31"/>
        <v>22</v>
      </c>
      <c r="F409" s="11">
        <f t="shared" si="32"/>
        <v>3.4570956480212383</v>
      </c>
      <c r="G409" s="11">
        <f t="shared" si="33"/>
        <v>3.4951154735340908</v>
      </c>
    </row>
    <row r="410" spans="5:7" x14ac:dyDescent="0.25">
      <c r="E410" s="11">
        <f t="shared" si="31"/>
        <v>23</v>
      </c>
      <c r="F410" s="11">
        <f t="shared" si="32"/>
        <v>3.5099846353291193</v>
      </c>
      <c r="G410" s="11">
        <f t="shared" si="33"/>
        <v>3.5645275053743855</v>
      </c>
    </row>
    <row r="411" spans="5:7" x14ac:dyDescent="0.25">
      <c r="E411" s="11">
        <f t="shared" si="31"/>
        <v>24</v>
      </c>
      <c r="F411" s="11">
        <f t="shared" si="32"/>
        <v>3.5596637669471285</v>
      </c>
      <c r="G411" s="11">
        <f t="shared" si="33"/>
        <v>3.6292722231284014</v>
      </c>
    </row>
    <row r="412" spans="5:7" x14ac:dyDescent="0.25">
      <c r="E412" s="11">
        <f t="shared" si="31"/>
        <v>25</v>
      </c>
      <c r="F412" s="11">
        <f t="shared" si="32"/>
        <v>3.6073666549704968</v>
      </c>
      <c r="G412" s="11">
        <f t="shared" si="33"/>
        <v>3.6897385696366616</v>
      </c>
    </row>
    <row r="413" spans="5:7" x14ac:dyDescent="0.25">
      <c r="E413" s="11">
        <f t="shared" si="31"/>
        <v>26</v>
      </c>
      <c r="F413" s="11">
        <f t="shared" si="32"/>
        <v>3.6544249484169979</v>
      </c>
      <c r="G413" s="11">
        <f t="shared" si="33"/>
        <v>3.7463154877396896</v>
      </c>
    </row>
    <row r="414" spans="5:7" x14ac:dyDescent="0.25">
      <c r="E414" s="11">
        <f t="shared" si="31"/>
        <v>27</v>
      </c>
      <c r="F414" s="11">
        <f t="shared" si="32"/>
        <v>3.702272086277794</v>
      </c>
      <c r="G414" s="11">
        <f t="shared" si="33"/>
        <v>3.7993919202780084</v>
      </c>
    </row>
    <row r="415" spans="5:7" x14ac:dyDescent="0.25">
      <c r="E415" s="11">
        <f t="shared" ref="E415:E422" si="34">E208</f>
        <v>28</v>
      </c>
      <c r="F415" s="11">
        <f t="shared" ref="F415:F422" si="35">$H$217*0+E415*$I$217+E415^2*$J$217+E415^3*$K$217+E415^4*$L$217+E415^5*$M$217+E415^6*$N$217+E415^7*$O$217+E415^8*$P$217</f>
        <v>3.7524471276358207</v>
      </c>
      <c r="G415" s="11">
        <f t="shared" ref="G415:G422" si="36">F208</f>
        <v>3.8493568100921411</v>
      </c>
    </row>
    <row r="416" spans="5:7" x14ac:dyDescent="0.25">
      <c r="E416" s="11">
        <f t="shared" si="34"/>
        <v>29</v>
      </c>
      <c r="F416" s="11">
        <f t="shared" si="35"/>
        <v>3.8065986594465868</v>
      </c>
      <c r="G416" s="11">
        <f t="shared" si="36"/>
        <v>3.8965991000226112</v>
      </c>
    </row>
    <row r="417" spans="5:7" x14ac:dyDescent="0.25">
      <c r="E417" s="11">
        <f t="shared" si="34"/>
        <v>30</v>
      </c>
      <c r="F417" s="11">
        <f t="shared" si="35"/>
        <v>3.8664887825731431</v>
      </c>
      <c r="G417" s="11">
        <f t="shared" si="36"/>
        <v>3.9415077329099417</v>
      </c>
    </row>
    <row r="418" spans="5:7" x14ac:dyDescent="0.25">
      <c r="E418" s="11">
        <f t="shared" si="34"/>
        <v>31</v>
      </c>
      <c r="F418" s="11">
        <f t="shared" si="35"/>
        <v>3.9339971766638273</v>
      </c>
      <c r="G418" s="11">
        <f t="shared" si="36"/>
        <v>3.9844716515946561</v>
      </c>
    </row>
    <row r="419" spans="5:7" x14ac:dyDescent="0.25">
      <c r="E419" s="11">
        <f t="shared" si="34"/>
        <v>32</v>
      </c>
      <c r="F419" s="11">
        <f t="shared" si="35"/>
        <v>4.0111252444583316</v>
      </c>
      <c r="G419" s="11">
        <f t="shared" si="36"/>
        <v>4.0258797989172779</v>
      </c>
    </row>
    <row r="420" spans="5:7" x14ac:dyDescent="0.25">
      <c r="E420" s="11">
        <f t="shared" si="34"/>
        <v>33</v>
      </c>
      <c r="F420" s="11">
        <f t="shared" si="35"/>
        <v>4.1000003361044879</v>
      </c>
      <c r="G420" s="11">
        <f t="shared" si="36"/>
        <v>4.0661211177183292</v>
      </c>
    </row>
    <row r="421" spans="5:7" x14ac:dyDescent="0.25">
      <c r="E421" s="11">
        <f t="shared" si="34"/>
        <v>34</v>
      </c>
      <c r="F421" s="11">
        <f t="shared" si="35"/>
        <v>4.2028800540650524</v>
      </c>
      <c r="G421" s="11">
        <f t="shared" si="36"/>
        <v>4.1055845508383353</v>
      </c>
    </row>
    <row r="422" spans="5:7" x14ac:dyDescent="0.25">
      <c r="E422" s="11">
        <f t="shared" si="34"/>
        <v>35</v>
      </c>
      <c r="F422" s="11">
        <f t="shared" si="35"/>
        <v>4.3221566391906743</v>
      </c>
      <c r="G422" s="11">
        <f t="shared" si="36"/>
        <v>4.1446590411178166</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9.412E-5</v>
      </c>
      <c r="C3" s="2">
        <v>1.76E-4</v>
      </c>
      <c r="D3" s="2">
        <v>-5.3620000000000002E-4</v>
      </c>
      <c r="E3" s="2">
        <v>0</v>
      </c>
      <c r="F3" s="2">
        <v>0</v>
      </c>
      <c r="G3" s="2">
        <v>0</v>
      </c>
      <c r="H3" s="2">
        <v>7.7503479000000003E-5</v>
      </c>
      <c r="I3" s="2">
        <v>1.8645478999999999E-5</v>
      </c>
      <c r="J3" s="2">
        <v>-2.1683746E-4</v>
      </c>
      <c r="K3" s="3"/>
      <c r="L3" s="3">
        <f>-B3/D3</f>
        <v>0.17553151809026482</v>
      </c>
      <c r="M3" s="3"/>
      <c r="N3" s="2">
        <f>IF('Modell einstellen'!$B$1="Voll",H3/0.35,H3/0.35*2)</f>
        <v>2.2143851142857147E-4</v>
      </c>
      <c r="O3" s="2">
        <f>IF('Modell einstellen'!$B$1="Voll",J3/0.35,J3/0.35*2)</f>
        <v>-6.1953560000000004E-4</v>
      </c>
      <c r="P3" s="3">
        <f>-N3/O3</f>
        <v>0.35742661346429722</v>
      </c>
      <c r="Q3" s="3"/>
      <c r="R3" s="3"/>
      <c r="S3" s="3"/>
      <c r="T3" s="3"/>
      <c r="U3" s="3"/>
      <c r="V3" s="3"/>
      <c r="W3" s="3"/>
    </row>
    <row r="4" spans="1:23" x14ac:dyDescent="0.25">
      <c r="A4" s="2">
        <v>1E-14</v>
      </c>
      <c r="B4" s="2">
        <v>9.412E-5</v>
      </c>
      <c r="C4" s="2">
        <v>1.76E-4</v>
      </c>
      <c r="D4" s="2">
        <v>-5.3620000000000002E-4</v>
      </c>
      <c r="E4" s="2">
        <v>0</v>
      </c>
      <c r="F4" s="2">
        <v>0</v>
      </c>
      <c r="G4" s="2">
        <v>0</v>
      </c>
      <c r="H4" s="2">
        <v>7.7505678999999995E-5</v>
      </c>
      <c r="I4" s="2">
        <v>1.8646080999999999E-5</v>
      </c>
      <c r="J4" s="2">
        <v>-2.1683341999999999E-4</v>
      </c>
      <c r="K4" s="3"/>
      <c r="L4" s="3">
        <f t="shared" ref="L4:L33" si="0">-B4/D4</f>
        <v>0.17553151809026482</v>
      </c>
      <c r="M4" s="3"/>
      <c r="N4" s="2">
        <f>IF('Modell einstellen'!$B$1="Voll",H4/0.35,H4/0.35*2)</f>
        <v>2.2144479714285715E-4</v>
      </c>
      <c r="O4" s="2">
        <f>IF('Modell einstellen'!$B$1="Voll",J4/0.35,J4/0.35*2)</f>
        <v>-6.1952405714285716E-4</v>
      </c>
      <c r="P4" s="3">
        <f t="shared" ref="P4:P33" si="1">-N4/O4</f>
        <v>0.35744341900801085</v>
      </c>
      <c r="Q4" s="3"/>
      <c r="R4" s="3"/>
      <c r="S4" s="3"/>
      <c r="T4" s="3"/>
      <c r="U4" s="3"/>
      <c r="V4" s="3"/>
      <c r="W4" s="3"/>
    </row>
    <row r="5" spans="1:23" x14ac:dyDescent="0.25">
      <c r="A5" s="2">
        <v>1E-13</v>
      </c>
      <c r="B5" s="2">
        <v>9.412E-5</v>
      </c>
      <c r="C5" s="2">
        <v>1.76E-4</v>
      </c>
      <c r="D5" s="2">
        <v>-5.3620000000000002E-4</v>
      </c>
      <c r="E5" s="2">
        <v>0</v>
      </c>
      <c r="F5" s="2">
        <v>0</v>
      </c>
      <c r="G5" s="2">
        <v>0</v>
      </c>
      <c r="H5" s="2">
        <v>7.7505983999999996E-5</v>
      </c>
      <c r="I5" s="2">
        <v>1.8646213E-5</v>
      </c>
      <c r="J5" s="2">
        <v>-2.1683423999999999E-4</v>
      </c>
      <c r="K5" s="3"/>
      <c r="L5" s="3">
        <f t="shared" si="0"/>
        <v>0.17553151809026482</v>
      </c>
      <c r="M5" s="3"/>
      <c r="N5" s="2">
        <f>IF('Modell einstellen'!$B$1="Voll",H5/0.35,H5/0.35*2)</f>
        <v>2.2144566857142857E-4</v>
      </c>
      <c r="O5" s="2">
        <f>IF('Modell einstellen'!$B$1="Voll",J5/0.35,J5/0.35*2)</f>
        <v>-6.1952640000000005E-4</v>
      </c>
      <c r="P5" s="3">
        <f t="shared" si="1"/>
        <v>0.35744347387202313</v>
      </c>
      <c r="Q5" s="3"/>
      <c r="R5" s="3"/>
      <c r="S5" s="3"/>
      <c r="T5" s="3"/>
      <c r="U5" s="3"/>
      <c r="V5" s="3"/>
      <c r="W5" s="3"/>
    </row>
    <row r="6" spans="1:23" x14ac:dyDescent="0.25">
      <c r="A6" s="2">
        <v>9.9999999999999998E-13</v>
      </c>
      <c r="B6" s="2">
        <v>9.412E-5</v>
      </c>
      <c r="C6" s="2">
        <v>1.76E-4</v>
      </c>
      <c r="D6" s="2">
        <v>-5.3620000000000002E-4</v>
      </c>
      <c r="E6" s="2">
        <v>0</v>
      </c>
      <c r="F6" s="2">
        <v>0</v>
      </c>
      <c r="G6" s="2">
        <v>0</v>
      </c>
      <c r="H6" s="2">
        <v>7.7506081999999997E-5</v>
      </c>
      <c r="I6" s="2">
        <v>1.8646247E-5</v>
      </c>
      <c r="J6" s="2">
        <v>-2.1683447E-4</v>
      </c>
      <c r="K6" s="3"/>
      <c r="L6" s="3">
        <f t="shared" si="0"/>
        <v>0.17553151809026482</v>
      </c>
      <c r="M6" s="3"/>
      <c r="N6" s="2">
        <f>IF('Modell einstellen'!$B$1="Voll",H6/0.35,H6/0.35*2)</f>
        <v>2.2144594857142859E-4</v>
      </c>
      <c r="O6" s="2">
        <f>IF('Modell einstellen'!$B$1="Voll",J6/0.35,J6/0.35*2)</f>
        <v>-6.1952705714285721E-4</v>
      </c>
      <c r="P6" s="3">
        <f t="shared" si="1"/>
        <v>0.35744354668332945</v>
      </c>
      <c r="Q6" s="3"/>
      <c r="R6" s="3"/>
      <c r="S6" s="3"/>
      <c r="T6" s="3"/>
      <c r="U6" s="3"/>
      <c r="V6" s="3"/>
      <c r="W6" s="3"/>
    </row>
    <row r="7" spans="1:23" x14ac:dyDescent="0.25">
      <c r="A7" s="2">
        <v>9.9999999999999994E-12</v>
      </c>
      <c r="B7" s="2">
        <v>9.412E-5</v>
      </c>
      <c r="C7" s="2">
        <v>1.76E-4</v>
      </c>
      <c r="D7" s="2">
        <v>-5.3620000000000002E-4</v>
      </c>
      <c r="E7" s="2">
        <v>0</v>
      </c>
      <c r="F7" s="2">
        <v>0</v>
      </c>
      <c r="G7" s="2">
        <v>0</v>
      </c>
      <c r="H7" s="2">
        <v>7.7506114000000005E-5</v>
      </c>
      <c r="I7" s="2">
        <v>1.8646257E-5</v>
      </c>
      <c r="J7" s="2">
        <v>-2.1683453999999999E-4</v>
      </c>
      <c r="K7" s="3"/>
      <c r="L7" s="3">
        <f t="shared" si="0"/>
        <v>0.17553151809026482</v>
      </c>
      <c r="M7" s="3"/>
      <c r="N7" s="2">
        <f>IF('Modell einstellen'!$B$1="Voll",H7/0.35,H7/0.35*2)</f>
        <v>2.2144604000000004E-4</v>
      </c>
      <c r="O7" s="2">
        <f>IF('Modell einstellen'!$B$1="Voll",J7/0.35,J7/0.35*2)</f>
        <v>-6.1952725714285717E-4</v>
      </c>
      <c r="P7" s="3">
        <f t="shared" si="1"/>
        <v>0.35744357886893852</v>
      </c>
      <c r="Q7" s="3"/>
      <c r="R7" s="3"/>
      <c r="S7" s="3"/>
      <c r="T7" s="3"/>
      <c r="U7" s="3"/>
      <c r="V7" s="3"/>
      <c r="W7" s="3"/>
    </row>
    <row r="8" spans="1:23" x14ac:dyDescent="0.25">
      <c r="A8" s="2">
        <v>1E-10</v>
      </c>
      <c r="B8" s="2">
        <v>9.412E-5</v>
      </c>
      <c r="C8" s="2">
        <v>1.76E-4</v>
      </c>
      <c r="D8" s="2">
        <v>-5.3620000000000002E-4</v>
      </c>
      <c r="E8" s="2">
        <v>0</v>
      </c>
      <c r="F8" s="2">
        <v>0</v>
      </c>
      <c r="G8" s="2">
        <v>0</v>
      </c>
      <c r="H8" s="2">
        <v>7.7506125000000002E-5</v>
      </c>
      <c r="I8" s="2">
        <v>1.8646259999999999E-5</v>
      </c>
      <c r="J8" s="2">
        <v>-2.1683457E-4</v>
      </c>
      <c r="K8" s="3"/>
      <c r="L8" s="3">
        <f t="shared" si="0"/>
        <v>0.17553151809026482</v>
      </c>
      <c r="M8" s="3"/>
      <c r="N8" s="2">
        <f>IF('Modell einstellen'!$B$1="Voll",H8/0.35,H8/0.35*2)</f>
        <v>2.2144607142857145E-4</v>
      </c>
      <c r="O8" s="2">
        <f>IF('Modell einstellen'!$B$1="Voll",J8/0.35,J8/0.35*2)</f>
        <v>-6.1952734285714288E-4</v>
      </c>
      <c r="P8" s="3">
        <f t="shared" si="1"/>
        <v>0.35744358014499261</v>
      </c>
      <c r="Q8" s="3"/>
      <c r="R8" s="3"/>
      <c r="S8" s="3"/>
      <c r="T8" s="3"/>
      <c r="U8" s="3"/>
      <c r="V8" s="3"/>
      <c r="W8" s="3"/>
    </row>
    <row r="9" spans="1:23" x14ac:dyDescent="0.25">
      <c r="A9" s="2">
        <v>1.0000000000000001E-9</v>
      </c>
      <c r="B9" s="2">
        <v>9.412E-5</v>
      </c>
      <c r="C9" s="2">
        <v>1.76E-4</v>
      </c>
      <c r="D9" s="2">
        <v>-5.3620000000000002E-4</v>
      </c>
      <c r="E9" s="2">
        <v>0</v>
      </c>
      <c r="F9" s="2">
        <v>0</v>
      </c>
      <c r="G9" s="2">
        <v>0</v>
      </c>
      <c r="H9" s="2">
        <v>7.7506128000000003E-5</v>
      </c>
      <c r="I9" s="2">
        <v>1.8646261000000001E-5</v>
      </c>
      <c r="J9" s="2">
        <v>-2.1683457999999999E-4</v>
      </c>
      <c r="K9" s="3"/>
      <c r="L9" s="3">
        <f t="shared" si="0"/>
        <v>0.17553151809026482</v>
      </c>
      <c r="M9" s="3"/>
      <c r="N9" s="2">
        <f>IF('Modell einstellen'!$B$1="Voll",H9/0.35,H9/0.35*2)</f>
        <v>2.2144608000000001E-4</v>
      </c>
      <c r="O9" s="2">
        <f>IF('Modell einstellen'!$B$1="Voll",J9/0.35,J9/0.35*2)</f>
        <v>-6.1952737142857142E-4</v>
      </c>
      <c r="P9" s="3">
        <f t="shared" si="1"/>
        <v>0.35744357749580352</v>
      </c>
      <c r="Q9" s="3"/>
      <c r="R9" s="3"/>
      <c r="S9" s="3"/>
      <c r="T9" s="3"/>
      <c r="U9" s="3"/>
      <c r="V9" s="3"/>
      <c r="W9" s="3"/>
    </row>
    <row r="10" spans="1:23" x14ac:dyDescent="0.25">
      <c r="A10" s="2">
        <v>1E-8</v>
      </c>
      <c r="B10" s="2">
        <v>9.412E-5</v>
      </c>
      <c r="C10" s="2">
        <v>1.76E-4</v>
      </c>
      <c r="D10" s="2">
        <v>-5.3620000000000002E-4</v>
      </c>
      <c r="E10" s="2">
        <v>0</v>
      </c>
      <c r="F10" s="2">
        <v>0</v>
      </c>
      <c r="G10" s="2">
        <v>0</v>
      </c>
      <c r="H10" s="2">
        <v>7.7506129999999995E-5</v>
      </c>
      <c r="I10" s="2">
        <v>1.8646262000000001E-5</v>
      </c>
      <c r="J10" s="2">
        <v>-2.1683457999999999E-4</v>
      </c>
      <c r="K10" s="3"/>
      <c r="L10" s="3">
        <f t="shared" si="0"/>
        <v>0.17553151809026482</v>
      </c>
      <c r="M10" s="3"/>
      <c r="N10" s="2">
        <f>IF('Modell einstellen'!$B$1="Voll",H10/0.35,H10/0.35*2)</f>
        <v>2.2144608571428572E-4</v>
      </c>
      <c r="O10" s="2">
        <f>IF('Modell einstellen'!$B$1="Voll",J10/0.35,J10/0.35*2)</f>
        <v>-6.1952737142857142E-4</v>
      </c>
      <c r="P10" s="3">
        <f t="shared" si="1"/>
        <v>0.35744358671942456</v>
      </c>
      <c r="Q10" s="3"/>
      <c r="R10" s="3"/>
      <c r="S10" s="3"/>
      <c r="T10" s="3"/>
      <c r="U10" s="3"/>
      <c r="V10" s="3"/>
      <c r="W10" s="3"/>
    </row>
    <row r="11" spans="1:23" x14ac:dyDescent="0.25">
      <c r="A11" s="2">
        <v>9.9999999999999995E-8</v>
      </c>
      <c r="B11" s="2">
        <v>9.412E-5</v>
      </c>
      <c r="C11" s="2">
        <v>1.76E-4</v>
      </c>
      <c r="D11" s="2">
        <v>-5.3620000000000002E-4</v>
      </c>
      <c r="E11" s="2">
        <v>0</v>
      </c>
      <c r="F11" s="2">
        <v>0</v>
      </c>
      <c r="G11" s="2">
        <v>0</v>
      </c>
      <c r="H11" s="2">
        <v>7.7506129999999995E-5</v>
      </c>
      <c r="I11" s="2">
        <v>1.8646262000000001E-5</v>
      </c>
      <c r="J11" s="2">
        <v>-2.1683457999999999E-4</v>
      </c>
      <c r="K11" s="3"/>
      <c r="L11" s="3">
        <f t="shared" si="0"/>
        <v>0.17553151809026482</v>
      </c>
      <c r="M11" s="3"/>
      <c r="N11" s="2">
        <f>IF('Modell einstellen'!$B$1="Voll",H11/0.35,H11/0.35*2)</f>
        <v>2.2144608571428572E-4</v>
      </c>
      <c r="O11" s="2">
        <f>IF('Modell einstellen'!$B$1="Voll",J11/0.35,J11/0.35*2)</f>
        <v>-6.1952737142857142E-4</v>
      </c>
      <c r="P11" s="3">
        <f t="shared" si="1"/>
        <v>0.35744358671942456</v>
      </c>
      <c r="Q11" s="3"/>
      <c r="R11" s="3"/>
      <c r="S11" s="3"/>
      <c r="T11" s="3"/>
      <c r="U11" s="3"/>
      <c r="V11" s="3"/>
      <c r="W11" s="3"/>
    </row>
    <row r="12" spans="1:23" x14ac:dyDescent="0.25">
      <c r="A12" s="2">
        <v>9.9999999999999995E-7</v>
      </c>
      <c r="B12" s="2">
        <v>9.412E-5</v>
      </c>
      <c r="C12" s="2">
        <v>1.76E-4</v>
      </c>
      <c r="D12" s="2">
        <v>-5.3620000000000002E-4</v>
      </c>
      <c r="E12" s="2">
        <v>0</v>
      </c>
      <c r="F12" s="2">
        <v>0</v>
      </c>
      <c r="G12" s="2">
        <v>0</v>
      </c>
      <c r="H12" s="2">
        <v>7.7506129999999995E-5</v>
      </c>
      <c r="I12" s="2">
        <v>1.8646262000000001E-5</v>
      </c>
      <c r="J12" s="2">
        <v>-2.1683457999999999E-4</v>
      </c>
      <c r="K12" s="3"/>
      <c r="L12" s="3">
        <f t="shared" si="0"/>
        <v>0.17553151809026482</v>
      </c>
      <c r="M12" s="3"/>
      <c r="N12" s="2">
        <f>IF('Modell einstellen'!$B$1="Voll",H12/0.35,H12/0.35*2)</f>
        <v>2.2144608571428572E-4</v>
      </c>
      <c r="O12" s="2">
        <f>IF('Modell einstellen'!$B$1="Voll",J12/0.35,J12/0.35*2)</f>
        <v>-6.1952737142857142E-4</v>
      </c>
      <c r="P12" s="3">
        <f t="shared" si="1"/>
        <v>0.35744358671942456</v>
      </c>
      <c r="Q12" s="3"/>
      <c r="R12" s="3"/>
      <c r="S12" s="3"/>
      <c r="T12" s="3"/>
      <c r="U12" s="3"/>
      <c r="V12" s="3"/>
      <c r="W12" s="3"/>
    </row>
    <row r="13" spans="1:23" x14ac:dyDescent="0.25">
      <c r="A13" s="2">
        <v>1.0000000000000001E-5</v>
      </c>
      <c r="B13" s="2">
        <v>9.412E-5</v>
      </c>
      <c r="C13" s="2">
        <v>1.76E-4</v>
      </c>
      <c r="D13" s="2">
        <v>-5.3620000000000002E-4</v>
      </c>
      <c r="E13" s="2">
        <v>0</v>
      </c>
      <c r="F13" s="2">
        <v>0</v>
      </c>
      <c r="G13" s="2">
        <v>0</v>
      </c>
      <c r="H13" s="2">
        <v>7.7506129999999995E-5</v>
      </c>
      <c r="I13" s="2">
        <v>1.8646262000000001E-5</v>
      </c>
      <c r="J13" s="2">
        <v>-2.1683457999999999E-4</v>
      </c>
      <c r="K13" s="3"/>
      <c r="L13" s="3">
        <f t="shared" si="0"/>
        <v>0.17553151809026482</v>
      </c>
      <c r="M13" s="3"/>
      <c r="N13" s="2">
        <f>IF('Modell einstellen'!$B$1="Voll",H13/0.35,H13/0.35*2)</f>
        <v>2.2144608571428572E-4</v>
      </c>
      <c r="O13" s="2">
        <f>IF('Modell einstellen'!$B$1="Voll",J13/0.35,J13/0.35*2)</f>
        <v>-6.1952737142857142E-4</v>
      </c>
      <c r="P13" s="3">
        <f t="shared" si="1"/>
        <v>0.35744358671942456</v>
      </c>
      <c r="Q13" s="3"/>
      <c r="R13" s="3"/>
      <c r="S13" s="3"/>
      <c r="T13" s="3"/>
      <c r="U13" s="3"/>
      <c r="V13" s="3"/>
      <c r="W13" s="3"/>
    </row>
    <row r="14" spans="1:23" x14ac:dyDescent="0.25">
      <c r="A14" s="2">
        <v>1E-4</v>
      </c>
      <c r="B14" s="2">
        <v>9.412E-5</v>
      </c>
      <c r="C14" s="2">
        <v>1.76E-4</v>
      </c>
      <c r="D14" s="2">
        <v>-5.3620000000000002E-4</v>
      </c>
      <c r="E14" s="2">
        <v>0</v>
      </c>
      <c r="F14" s="2">
        <v>0</v>
      </c>
      <c r="G14" s="2">
        <v>0</v>
      </c>
      <c r="H14" s="2">
        <v>7.7506132000000001E-5</v>
      </c>
      <c r="I14" s="2">
        <v>1.8646262000000001E-5</v>
      </c>
      <c r="J14" s="2">
        <v>-2.1683457999999999E-4</v>
      </c>
      <c r="K14" s="3"/>
      <c r="L14" s="3">
        <f t="shared" si="0"/>
        <v>0.17553151809026482</v>
      </c>
      <c r="M14" s="3"/>
      <c r="N14" s="2">
        <f>IF('Modell einstellen'!$B$1="Voll",H14/0.35,H14/0.35*2)</f>
        <v>2.2144609142857145E-4</v>
      </c>
      <c r="O14" s="2">
        <f>IF('Modell einstellen'!$B$1="Voll",J14/0.35,J14/0.35*2)</f>
        <v>-6.1952737142857142E-4</v>
      </c>
      <c r="P14" s="3">
        <f t="shared" si="1"/>
        <v>0.35744359594304564</v>
      </c>
      <c r="Q14" s="3"/>
      <c r="R14" s="3"/>
      <c r="S14" s="3"/>
      <c r="T14" s="3"/>
      <c r="U14" s="3"/>
      <c r="V14" s="3"/>
      <c r="W14" s="3"/>
    </row>
    <row r="15" spans="1:23" x14ac:dyDescent="0.25">
      <c r="A15" s="2">
        <v>1E-3</v>
      </c>
      <c r="B15" s="2">
        <v>9.412E-5</v>
      </c>
      <c r="C15" s="2">
        <v>1.76E-4</v>
      </c>
      <c r="D15" s="2">
        <v>-5.3620000000000002E-4</v>
      </c>
      <c r="E15" s="2">
        <v>0</v>
      </c>
      <c r="F15" s="2">
        <v>0</v>
      </c>
      <c r="G15" s="2">
        <v>0</v>
      </c>
      <c r="H15" s="2">
        <v>7.7506143999999993E-5</v>
      </c>
      <c r="I15" s="2">
        <v>1.8646264E-5</v>
      </c>
      <c r="J15" s="2">
        <v>-2.1683459999999999E-4</v>
      </c>
      <c r="K15" s="3"/>
      <c r="L15" s="3">
        <f t="shared" si="0"/>
        <v>0.17553151809026482</v>
      </c>
      <c r="M15" s="3"/>
      <c r="N15" s="2">
        <f>IF('Modell einstellen'!$B$1="Voll",H15/0.35,H15/0.35*2)</f>
        <v>2.2144612571428572E-4</v>
      </c>
      <c r="O15" s="2">
        <f>IF('Modell einstellen'!$B$1="Voll",J15/0.35,J15/0.35*2)</f>
        <v>-6.195274285714286E-4</v>
      </c>
      <c r="P15" s="3">
        <f t="shared" si="1"/>
        <v>0.35744361831552712</v>
      </c>
      <c r="Q15" s="3"/>
      <c r="R15" s="3"/>
      <c r="S15" s="3"/>
      <c r="T15" s="3"/>
      <c r="U15" s="3"/>
      <c r="V15" s="3"/>
      <c r="W15" s="3"/>
    </row>
    <row r="16" spans="1:23" x14ac:dyDescent="0.25">
      <c r="A16" s="2">
        <v>0.01</v>
      </c>
      <c r="B16" s="2">
        <v>9.412E-5</v>
      </c>
      <c r="C16" s="2">
        <v>1.76E-4</v>
      </c>
      <c r="D16" s="2">
        <v>-5.3620000000000002E-4</v>
      </c>
      <c r="E16" s="2">
        <v>0</v>
      </c>
      <c r="F16" s="2">
        <v>0</v>
      </c>
      <c r="G16" s="2">
        <v>0</v>
      </c>
      <c r="H16" s="2">
        <v>7.7506267000000003E-5</v>
      </c>
      <c r="I16" s="2">
        <v>1.8646286999999999E-5</v>
      </c>
      <c r="J16" s="2">
        <v>-2.1683482000000001E-4</v>
      </c>
      <c r="K16" s="3"/>
      <c r="L16" s="3">
        <f t="shared" si="0"/>
        <v>0.17553151809026482</v>
      </c>
      <c r="M16" s="3"/>
      <c r="N16" s="2">
        <f>IF('Modell einstellen'!$B$1="Voll",H16/0.35,H16/0.35*2)</f>
        <v>2.2144647714285716E-4</v>
      </c>
      <c r="O16" s="2">
        <f>IF('Modell einstellen'!$B$1="Voll",J16/0.35,J16/0.35*2)</f>
        <v>-6.1952805714285723E-4</v>
      </c>
      <c r="P16" s="3">
        <f t="shared" si="1"/>
        <v>0.35744382290630256</v>
      </c>
      <c r="Q16" s="3"/>
      <c r="R16" s="3"/>
      <c r="S16" s="3"/>
      <c r="T16" s="3"/>
      <c r="U16" s="3"/>
      <c r="V16" s="3"/>
      <c r="W16" s="3"/>
    </row>
    <row r="17" spans="1:23" x14ac:dyDescent="0.25">
      <c r="A17" s="2">
        <v>0.1</v>
      </c>
      <c r="B17" s="2">
        <v>9.412E-5</v>
      </c>
      <c r="C17" s="2">
        <v>1.76E-4</v>
      </c>
      <c r="D17" s="2">
        <v>-5.3620000000000002E-4</v>
      </c>
      <c r="E17" s="2">
        <v>0</v>
      </c>
      <c r="F17" s="2">
        <v>0</v>
      </c>
      <c r="G17" s="2">
        <v>0</v>
      </c>
      <c r="H17" s="2">
        <v>7.7507495000000003E-5</v>
      </c>
      <c r="I17" s="2">
        <v>1.8646513000000001E-5</v>
      </c>
      <c r="J17" s="2">
        <v>-2.16837E-4</v>
      </c>
      <c r="K17" s="3"/>
      <c r="L17" s="3">
        <f t="shared" si="0"/>
        <v>0.17553151809026482</v>
      </c>
      <c r="M17" s="3"/>
      <c r="N17" s="2">
        <f>IF('Modell einstellen'!$B$1="Voll",H17/0.35,H17/0.35*2)</f>
        <v>2.2144998571428575E-4</v>
      </c>
      <c r="O17" s="2">
        <f>IF('Modell einstellen'!$B$1="Voll",J17/0.35,J17/0.35*2)</f>
        <v>-6.1953428571428571E-4</v>
      </c>
      <c r="P17" s="3">
        <f t="shared" si="1"/>
        <v>0.35744589253679038</v>
      </c>
      <c r="Q17" s="3"/>
      <c r="R17" s="3"/>
      <c r="S17" s="3"/>
      <c r="T17" s="3"/>
      <c r="U17" s="3"/>
      <c r="V17" s="3"/>
      <c r="W17" s="3"/>
    </row>
    <row r="18" spans="1:23" x14ac:dyDescent="0.25">
      <c r="A18" s="2">
        <v>1</v>
      </c>
      <c r="B18" s="2">
        <v>9.412E-5</v>
      </c>
      <c r="C18" s="2">
        <v>1.76E-4</v>
      </c>
      <c r="D18" s="2">
        <v>-5.3620000000000002E-4</v>
      </c>
      <c r="E18" s="2">
        <v>0</v>
      </c>
      <c r="F18" s="2">
        <v>0</v>
      </c>
      <c r="G18" s="2">
        <v>0</v>
      </c>
      <c r="H18" s="2">
        <v>7.7519756000000002E-5</v>
      </c>
      <c r="I18" s="2">
        <v>1.8648768999999999E-5</v>
      </c>
      <c r="J18" s="2">
        <v>-2.1685874999999999E-4</v>
      </c>
      <c r="K18" s="3"/>
      <c r="L18" s="3">
        <f t="shared" si="0"/>
        <v>0.17553151809026482</v>
      </c>
      <c r="M18" s="3"/>
      <c r="N18" s="2">
        <f>IF('Modell einstellen'!$B$1="Voll",H18/0.35,H18/0.35*2)</f>
        <v>2.2148501714285717E-4</v>
      </c>
      <c r="O18" s="2">
        <f>IF('Modell einstellen'!$B$1="Voll",J18/0.35,J18/0.35*2)</f>
        <v>-6.195964285714286E-4</v>
      </c>
      <c r="P18" s="3">
        <f t="shared" si="1"/>
        <v>0.357466581357681</v>
      </c>
      <c r="Q18" s="3"/>
      <c r="R18" s="3"/>
      <c r="S18" s="3"/>
      <c r="T18" s="3"/>
      <c r="U18" s="3"/>
      <c r="V18" s="3"/>
      <c r="W18" s="3"/>
    </row>
    <row r="19" spans="1:23" x14ac:dyDescent="0.25">
      <c r="A19" s="2">
        <v>10</v>
      </c>
      <c r="B19" s="2">
        <v>9.4090000000000002E-5</v>
      </c>
      <c r="C19" s="2">
        <v>1.762E-4</v>
      </c>
      <c r="D19" s="2">
        <v>-5.3649999999999998E-4</v>
      </c>
      <c r="E19" s="2">
        <v>0</v>
      </c>
      <c r="F19" s="2">
        <v>0</v>
      </c>
      <c r="G19" s="2">
        <v>0</v>
      </c>
      <c r="H19" s="2">
        <v>7.7639781000000003E-5</v>
      </c>
      <c r="I19" s="2">
        <v>1.8670849000000002E-5</v>
      </c>
      <c r="J19" s="2">
        <v>-2.1707160000000001E-4</v>
      </c>
      <c r="K19" s="3"/>
      <c r="L19" s="3">
        <f t="shared" si="0"/>
        <v>0.17537744641192918</v>
      </c>
      <c r="M19" s="3"/>
      <c r="N19" s="2">
        <f>IF('Modell einstellen'!$B$1="Voll",H19/0.35,H19/0.35*2)</f>
        <v>2.2182794571428573E-4</v>
      </c>
      <c r="O19" s="2">
        <f>IF('Modell einstellen'!$B$1="Voll",J19/0.35,J19/0.35*2)</f>
        <v>-6.2020457142857152E-4</v>
      </c>
      <c r="P19" s="3">
        <f t="shared" si="1"/>
        <v>0.35766899493070486</v>
      </c>
      <c r="Q19" s="3"/>
      <c r="R19" s="3"/>
      <c r="S19" s="3"/>
      <c r="T19" s="3"/>
      <c r="U19" s="3"/>
      <c r="V19" s="3"/>
      <c r="W19" s="3"/>
    </row>
    <row r="20" spans="1:23" x14ac:dyDescent="0.25">
      <c r="A20" s="2">
        <v>100</v>
      </c>
      <c r="B20" s="2">
        <v>9.3880000000000002E-5</v>
      </c>
      <c r="C20" s="2">
        <v>1.7770000000000001E-4</v>
      </c>
      <c r="D20" s="2">
        <v>-5.3839999999999997E-4</v>
      </c>
      <c r="E20" s="2">
        <v>0</v>
      </c>
      <c r="F20" s="2">
        <v>0</v>
      </c>
      <c r="G20" s="2">
        <v>0</v>
      </c>
      <c r="H20" s="2">
        <v>7.8615143999999999E-5</v>
      </c>
      <c r="I20" s="2">
        <v>1.8850022000000001E-5</v>
      </c>
      <c r="J20" s="2">
        <v>-2.1879996999999999E-4</v>
      </c>
      <c r="K20" s="3"/>
      <c r="L20" s="3">
        <f t="shared" si="0"/>
        <v>0.17436849925705797</v>
      </c>
      <c r="M20" s="3"/>
      <c r="N20" s="2">
        <f>IF('Modell einstellen'!$B$1="Voll",H20/0.35,H20/0.35*2)</f>
        <v>2.2461469714285716E-4</v>
      </c>
      <c r="O20" s="2">
        <f>IF('Modell einstellen'!$B$1="Voll",J20/0.35,J20/0.35*2)</f>
        <v>-6.2514277142857149E-4</v>
      </c>
      <c r="P20" s="3">
        <f t="shared" si="1"/>
        <v>0.35930143866107478</v>
      </c>
      <c r="Q20" s="3"/>
      <c r="R20" s="3"/>
      <c r="S20" s="3"/>
      <c r="T20" s="3"/>
      <c r="U20" s="3"/>
      <c r="V20" s="3"/>
      <c r="W20" s="3"/>
    </row>
    <row r="21" spans="1:23" x14ac:dyDescent="0.25">
      <c r="A21" s="2">
        <v>1000</v>
      </c>
      <c r="B21" s="2">
        <v>9.4240000000000006E-5</v>
      </c>
      <c r="C21" s="2">
        <v>1.8210000000000001E-4</v>
      </c>
      <c r="D21" s="2">
        <v>-5.4469999999999996E-4</v>
      </c>
      <c r="E21" s="2">
        <v>0</v>
      </c>
      <c r="F21" s="2">
        <v>0</v>
      </c>
      <c r="G21" s="2">
        <v>0</v>
      </c>
      <c r="H21" s="2">
        <v>8.1310544000000001E-5</v>
      </c>
      <c r="I21" s="2">
        <v>1.9368717999999999E-5</v>
      </c>
      <c r="J21" s="2">
        <v>-2.2364379999999999E-4</v>
      </c>
      <c r="K21" s="3"/>
      <c r="L21" s="3">
        <f t="shared" si="0"/>
        <v>0.17301266752340741</v>
      </c>
      <c r="M21" s="3"/>
      <c r="N21" s="2">
        <f>IF('Modell einstellen'!$B$1="Voll",H21/0.35,H21/0.35*2)</f>
        <v>2.3231584000000001E-4</v>
      </c>
      <c r="O21" s="2">
        <f>IF('Modell einstellen'!$B$1="Voll",J21/0.35,J21/0.35*2)</f>
        <v>-6.3898228571428574E-4</v>
      </c>
      <c r="P21" s="3">
        <f t="shared" si="1"/>
        <v>0.36357164383720897</v>
      </c>
      <c r="Q21" s="3"/>
      <c r="R21" s="3"/>
      <c r="S21" s="3"/>
      <c r="T21" s="3"/>
      <c r="U21" s="3"/>
      <c r="V21" s="3"/>
      <c r="W21" s="3"/>
    </row>
    <row r="22" spans="1:23" x14ac:dyDescent="0.25">
      <c r="A22" s="2">
        <v>10000</v>
      </c>
      <c r="B22" s="2">
        <v>9.4350000000000003E-5</v>
      </c>
      <c r="C22" s="2">
        <v>1.8709999999999999E-4</v>
      </c>
      <c r="D22" s="2">
        <v>-5.5130000000000001E-4</v>
      </c>
      <c r="E22" s="2">
        <v>0</v>
      </c>
      <c r="F22" s="2">
        <v>0</v>
      </c>
      <c r="G22" s="2">
        <v>0</v>
      </c>
      <c r="H22" s="2">
        <v>8.4231238999999994E-5</v>
      </c>
      <c r="I22" s="2">
        <v>1.9953260000000001E-5</v>
      </c>
      <c r="J22" s="2">
        <v>-2.2892442000000001E-4</v>
      </c>
      <c r="K22" s="3"/>
      <c r="L22" s="3">
        <f t="shared" si="0"/>
        <v>0.17114093959731544</v>
      </c>
      <c r="M22" s="3"/>
      <c r="N22" s="2">
        <f>IF('Modell einstellen'!$B$1="Voll",H22/0.35,H22/0.35*2)</f>
        <v>2.4066068285714286E-4</v>
      </c>
      <c r="O22" s="2">
        <f>IF('Modell einstellen'!$B$1="Voll",J22/0.35,J22/0.35*2)</f>
        <v>-6.5406977142857148E-4</v>
      </c>
      <c r="P22" s="3">
        <f t="shared" si="1"/>
        <v>0.36794344176999549</v>
      </c>
      <c r="Q22" s="3"/>
      <c r="R22" s="3"/>
      <c r="S22" s="3"/>
      <c r="T22" s="3"/>
      <c r="U22" s="3"/>
      <c r="V22" s="3"/>
      <c r="W22" s="3"/>
    </row>
    <row r="23" spans="1:23" x14ac:dyDescent="0.25">
      <c r="A23" s="2">
        <v>100000</v>
      </c>
      <c r="B23" s="2">
        <v>9.6280000000000007E-5</v>
      </c>
      <c r="C23" s="2">
        <v>1.9579999999999999E-4</v>
      </c>
      <c r="D23" s="2">
        <v>-5.6280000000000002E-4</v>
      </c>
      <c r="E23" s="2">
        <v>0</v>
      </c>
      <c r="F23" s="2">
        <v>0</v>
      </c>
      <c r="G23" s="2">
        <v>0</v>
      </c>
      <c r="H23" s="2">
        <v>8.7867564E-5</v>
      </c>
      <c r="I23" s="2">
        <v>2.096882E-5</v>
      </c>
      <c r="J23" s="2">
        <v>-2.362369E-4</v>
      </c>
      <c r="K23" s="3"/>
      <c r="L23" s="3">
        <f t="shared" si="0"/>
        <v>0.17107320540156362</v>
      </c>
      <c r="M23" s="3"/>
      <c r="N23" s="2">
        <f>IF('Modell einstellen'!$B$1="Voll",H23/0.35,H23/0.35*2)</f>
        <v>2.510501828571429E-4</v>
      </c>
      <c r="O23" s="2">
        <f>IF('Modell einstellen'!$B$1="Voll",J23/0.35,J23/0.35*2)</f>
        <v>-6.7496257142857143E-4</v>
      </c>
      <c r="P23" s="3">
        <f t="shared" si="1"/>
        <v>0.37194682117823258</v>
      </c>
      <c r="Q23" s="3"/>
      <c r="R23" s="3"/>
      <c r="S23" s="3"/>
      <c r="T23" s="3"/>
      <c r="U23" s="3"/>
      <c r="V23" s="3"/>
      <c r="W23" s="3"/>
    </row>
    <row r="24" spans="1:23" x14ac:dyDescent="0.25">
      <c r="A24" s="2">
        <v>1000000</v>
      </c>
      <c r="B24" s="2">
        <v>1.043E-4</v>
      </c>
      <c r="C24" s="2">
        <v>2.1379999999999999E-4</v>
      </c>
      <c r="D24" s="2">
        <v>-5.8750000000000002E-4</v>
      </c>
      <c r="E24" s="2">
        <v>0</v>
      </c>
      <c r="F24" s="2">
        <v>0</v>
      </c>
      <c r="G24" s="2">
        <v>0</v>
      </c>
      <c r="H24" s="2">
        <v>9.2598409999999998E-5</v>
      </c>
      <c r="I24" s="2">
        <v>2.3050413000000001E-5</v>
      </c>
      <c r="J24" s="2">
        <v>-2.4774627999999999E-4</v>
      </c>
      <c r="K24" s="3"/>
      <c r="L24" s="3">
        <f t="shared" si="0"/>
        <v>0.17753191489361703</v>
      </c>
      <c r="M24" s="3"/>
      <c r="N24" s="2">
        <f>IF('Modell einstellen'!$B$1="Voll",H24/0.35,H24/0.35*2)</f>
        <v>2.645668857142857E-4</v>
      </c>
      <c r="O24" s="2">
        <f>IF('Modell einstellen'!$B$1="Voll",J24/0.35,J24/0.35*2)</f>
        <v>-7.0784651428571431E-4</v>
      </c>
      <c r="P24" s="3">
        <f t="shared" si="1"/>
        <v>0.37376306921742675</v>
      </c>
      <c r="Q24" s="3"/>
      <c r="R24" s="3"/>
      <c r="S24" s="3"/>
      <c r="T24" s="3"/>
      <c r="U24" s="3"/>
      <c r="V24" s="3"/>
      <c r="W24" s="3"/>
    </row>
    <row r="25" spans="1:23" x14ac:dyDescent="0.25">
      <c r="A25" s="2">
        <v>10000000</v>
      </c>
      <c r="B25" s="2">
        <v>1.1790000000000001E-4</v>
      </c>
      <c r="C25" s="2">
        <v>2.385E-4</v>
      </c>
      <c r="D25" s="2">
        <v>-6.2299999999999996E-4</v>
      </c>
      <c r="E25" s="2">
        <v>0</v>
      </c>
      <c r="F25" s="2">
        <v>0</v>
      </c>
      <c r="G25" s="2">
        <v>0</v>
      </c>
      <c r="H25" s="2">
        <v>9.8108349000000005E-5</v>
      </c>
      <c r="I25" s="2">
        <v>2.5906394999999999E-5</v>
      </c>
      <c r="J25" s="2">
        <v>-2.6231886000000002E-4</v>
      </c>
      <c r="K25" s="3"/>
      <c r="L25" s="3">
        <f t="shared" si="0"/>
        <v>0.18924558587479937</v>
      </c>
      <c r="M25" s="3"/>
      <c r="N25" s="2">
        <f>IF('Modell einstellen'!$B$1="Voll",H25/0.35,H25/0.35*2)</f>
        <v>2.8030956857142862E-4</v>
      </c>
      <c r="O25" s="2">
        <f>IF('Modell einstellen'!$B$1="Voll",J25/0.35,J25/0.35*2)</f>
        <v>-7.4948245714285731E-4</v>
      </c>
      <c r="P25" s="3">
        <f t="shared" si="1"/>
        <v>0.37400417568145877</v>
      </c>
      <c r="Q25" s="3"/>
      <c r="R25" s="3"/>
      <c r="S25" s="3"/>
      <c r="T25" s="3"/>
      <c r="U25" s="3"/>
      <c r="V25" s="3"/>
      <c r="W25" s="3"/>
    </row>
    <row r="26" spans="1:23" x14ac:dyDescent="0.25">
      <c r="A26" s="2">
        <v>100000000</v>
      </c>
      <c r="B26" s="2">
        <v>1.3300000000000001E-4</v>
      </c>
      <c r="C26" s="2">
        <v>2.6610000000000002E-4</v>
      </c>
      <c r="D26" s="2">
        <v>-6.6390000000000004E-4</v>
      </c>
      <c r="E26" s="2">
        <v>0</v>
      </c>
      <c r="F26" s="2">
        <v>0</v>
      </c>
      <c r="G26" s="2">
        <v>0</v>
      </c>
      <c r="H26" s="2">
        <v>1.0562747E-4</v>
      </c>
      <c r="I26" s="2">
        <v>2.918651E-5</v>
      </c>
      <c r="J26" s="2">
        <v>-2.8063570000000002E-4</v>
      </c>
      <c r="K26" s="3"/>
      <c r="L26" s="3">
        <f t="shared" si="0"/>
        <v>0.2003313752071095</v>
      </c>
      <c r="M26" s="3"/>
      <c r="N26" s="2">
        <f>IF('Modell einstellen'!$B$1="Voll",H26/0.35,H26/0.35*2)</f>
        <v>3.0179277142857147E-4</v>
      </c>
      <c r="O26" s="2">
        <f>IF('Modell einstellen'!$B$1="Voll",J26/0.35,J26/0.35*2)</f>
        <v>-8.0181628571428579E-4</v>
      </c>
      <c r="P26" s="3">
        <f t="shared" si="1"/>
        <v>0.3763864326598505</v>
      </c>
      <c r="Q26" s="3"/>
      <c r="R26" s="3"/>
      <c r="S26" s="3"/>
      <c r="T26" s="3"/>
      <c r="U26" s="3"/>
      <c r="V26" s="3"/>
      <c r="W26" s="3"/>
    </row>
    <row r="27" spans="1:23" x14ac:dyDescent="0.25">
      <c r="A27" s="2">
        <v>1000000000</v>
      </c>
      <c r="B27" s="2">
        <v>1.45E-4</v>
      </c>
      <c r="C27" s="2">
        <v>2.9369999999999998E-4</v>
      </c>
      <c r="D27" s="2">
        <v>-7.0319999999999996E-4</v>
      </c>
      <c r="E27" s="2">
        <v>0</v>
      </c>
      <c r="F27" s="2">
        <v>0</v>
      </c>
      <c r="G27" s="2">
        <v>0</v>
      </c>
      <c r="H27" s="2">
        <v>1.1435205E-4</v>
      </c>
      <c r="I27" s="2">
        <v>3.2549114000000001E-5</v>
      </c>
      <c r="J27" s="2">
        <v>-3.0081307999999999E-4</v>
      </c>
      <c r="K27" s="3"/>
      <c r="L27" s="3">
        <f t="shared" si="0"/>
        <v>0.20620022753128556</v>
      </c>
      <c r="M27" s="3"/>
      <c r="N27" s="2">
        <f>IF('Modell einstellen'!$B$1="Voll",H27/0.35,H27/0.35*2)</f>
        <v>3.2672014285714285E-4</v>
      </c>
      <c r="O27" s="2">
        <f>IF('Modell einstellen'!$B$1="Voll",J27/0.35,J27/0.35*2)</f>
        <v>-8.5946594285714285E-4</v>
      </c>
      <c r="P27" s="3">
        <f t="shared" si="1"/>
        <v>0.38014321052794647</v>
      </c>
      <c r="Q27" s="3"/>
      <c r="R27" s="3"/>
      <c r="S27" s="3"/>
      <c r="T27" s="3"/>
      <c r="U27" s="3"/>
      <c r="V27" s="3"/>
      <c r="W27" s="3"/>
    </row>
    <row r="28" spans="1:23" x14ac:dyDescent="0.25">
      <c r="A28" s="2">
        <v>10000000000</v>
      </c>
      <c r="B28" s="2">
        <v>1.5349999999999999E-4</v>
      </c>
      <c r="C28" s="2">
        <v>3.1990000000000002E-4</v>
      </c>
      <c r="D28" s="2">
        <v>-7.3870000000000001E-4</v>
      </c>
      <c r="E28" s="2">
        <v>0</v>
      </c>
      <c r="F28" s="2">
        <v>0</v>
      </c>
      <c r="G28" s="2">
        <v>0</v>
      </c>
      <c r="H28" s="2">
        <v>1.2372368999999999E-4</v>
      </c>
      <c r="I28" s="2">
        <v>3.5836363E-5</v>
      </c>
      <c r="J28" s="2">
        <v>-3.2167303000000001E-4</v>
      </c>
      <c r="K28" s="3"/>
      <c r="L28" s="3">
        <f t="shared" si="0"/>
        <v>0.20779748206308377</v>
      </c>
      <c r="M28" s="3"/>
      <c r="N28" s="2">
        <f>IF('Modell einstellen'!$B$1="Voll",H28/0.35,H28/0.35*2)</f>
        <v>3.5349625714285716E-4</v>
      </c>
      <c r="O28" s="2">
        <f>IF('Modell einstellen'!$B$1="Voll",J28/0.35,J28/0.35*2)</f>
        <v>-9.1906580000000011E-4</v>
      </c>
      <c r="P28" s="3">
        <f t="shared" si="1"/>
        <v>0.38462562434904785</v>
      </c>
      <c r="Q28" s="3"/>
      <c r="R28" s="3"/>
      <c r="S28" s="3"/>
      <c r="T28" s="3"/>
      <c r="U28" s="3"/>
      <c r="V28" s="3"/>
      <c r="W28" s="3"/>
    </row>
    <row r="29" spans="1:23" x14ac:dyDescent="0.25">
      <c r="A29" s="2">
        <v>100000000000</v>
      </c>
      <c r="B29" s="2">
        <v>1.571E-4</v>
      </c>
      <c r="C29" s="2">
        <v>3.478E-4</v>
      </c>
      <c r="D29" s="2">
        <v>-7.7209999999999996E-4</v>
      </c>
      <c r="E29" s="2">
        <v>0</v>
      </c>
      <c r="F29" s="2">
        <v>0</v>
      </c>
      <c r="G29" s="2">
        <v>0</v>
      </c>
      <c r="H29" s="2">
        <v>1.3487562E-4</v>
      </c>
      <c r="I29" s="2">
        <v>3.9441718999999997E-5</v>
      </c>
      <c r="J29" s="2">
        <v>-3.4572961999999999E-4</v>
      </c>
      <c r="K29" s="3"/>
      <c r="L29" s="3">
        <f t="shared" si="0"/>
        <v>0.20347105297241291</v>
      </c>
      <c r="M29" s="3"/>
      <c r="N29" s="2">
        <f>IF('Modell einstellen'!$B$1="Voll",H29/0.35,H29/0.35*2)</f>
        <v>3.8535891428571434E-4</v>
      </c>
      <c r="O29" s="2">
        <f>IF('Modell einstellen'!$B$1="Voll",J29/0.35,J29/0.35*2)</f>
        <v>-9.8779891428571421E-4</v>
      </c>
      <c r="P29" s="3">
        <f t="shared" si="1"/>
        <v>0.39011878704520608</v>
      </c>
      <c r="Q29" s="3"/>
      <c r="R29" s="3"/>
      <c r="S29" s="3"/>
      <c r="T29" s="3"/>
      <c r="U29" s="3"/>
      <c r="V29" s="3"/>
      <c r="W29" s="3"/>
    </row>
    <row r="30" spans="1:23" x14ac:dyDescent="0.25">
      <c r="A30" s="2">
        <v>1000000000000</v>
      </c>
      <c r="B30" s="2">
        <v>1.5440000000000001E-4</v>
      </c>
      <c r="C30" s="2">
        <v>3.7879999999999999E-4</v>
      </c>
      <c r="D30" s="2">
        <v>-8.0320000000000001E-4</v>
      </c>
      <c r="E30" s="2">
        <v>0</v>
      </c>
      <c r="F30" s="2">
        <v>0</v>
      </c>
      <c r="G30" s="2">
        <v>0</v>
      </c>
      <c r="H30" s="2">
        <v>1.4808662000000001E-4</v>
      </c>
      <c r="I30" s="2">
        <v>4.3572835E-5</v>
      </c>
      <c r="J30" s="2">
        <v>-3.7390851000000002E-4</v>
      </c>
      <c r="K30" s="3"/>
      <c r="L30" s="3">
        <f t="shared" si="0"/>
        <v>0.19223107569721118</v>
      </c>
      <c r="M30" s="3"/>
      <c r="N30" s="2">
        <f>IF('Modell einstellen'!$B$1="Voll",H30/0.35,H30/0.35*2)</f>
        <v>4.2310462857142862E-4</v>
      </c>
      <c r="O30" s="2">
        <f>IF('Modell einstellen'!$B$1="Voll",J30/0.35,J30/0.35*2)</f>
        <v>-1.0683100285714287E-3</v>
      </c>
      <c r="P30" s="3">
        <f t="shared" si="1"/>
        <v>0.39605041350890891</v>
      </c>
      <c r="Q30" s="3"/>
      <c r="R30" s="3"/>
      <c r="S30" s="3"/>
      <c r="T30" s="3"/>
      <c r="U30" s="3"/>
      <c r="V30" s="3"/>
      <c r="W30" s="3"/>
    </row>
    <row r="31" spans="1:23" x14ac:dyDescent="0.25">
      <c r="A31" s="2">
        <v>10000000000000</v>
      </c>
      <c r="B31" s="2">
        <v>1.3870000000000001E-4</v>
      </c>
      <c r="C31" s="2">
        <v>4.2279999999999998E-4</v>
      </c>
      <c r="D31" s="2">
        <v>-8.3589999999999999E-4</v>
      </c>
      <c r="E31" s="2">
        <v>0</v>
      </c>
      <c r="F31" s="2">
        <v>0</v>
      </c>
      <c r="G31" s="2">
        <v>0</v>
      </c>
      <c r="H31" s="2">
        <v>1.6799569E-4</v>
      </c>
      <c r="I31" s="2">
        <v>4.9639175000000002E-5</v>
      </c>
      <c r="J31" s="2">
        <v>-4.1599296999999998E-4</v>
      </c>
      <c r="K31" s="3"/>
      <c r="L31" s="3">
        <f t="shared" si="0"/>
        <v>0.16592893886828569</v>
      </c>
      <c r="M31" s="3"/>
      <c r="N31" s="2">
        <f>IF('Modell einstellen'!$B$1="Voll",H31/0.35,H31/0.35*2)</f>
        <v>4.7998768571428572E-4</v>
      </c>
      <c r="O31" s="2">
        <f>IF('Modell einstellen'!$B$1="Voll",J31/0.35,J31/0.35*2)</f>
        <v>-1.1885513428571428E-3</v>
      </c>
      <c r="P31" s="3">
        <f t="shared" si="1"/>
        <v>0.40384261782116176</v>
      </c>
      <c r="Q31" s="3"/>
      <c r="R31" s="3"/>
      <c r="S31" s="3"/>
      <c r="T31" s="3"/>
      <c r="U31" s="3"/>
      <c r="V31" s="3"/>
      <c r="W31" s="3"/>
    </row>
    <row r="32" spans="1:23" x14ac:dyDescent="0.25">
      <c r="A32" s="2">
        <v>100000000000000</v>
      </c>
      <c r="B32" s="2">
        <v>9.5039999999999998E-5</v>
      </c>
      <c r="C32" s="2">
        <v>4.8950000000000003E-4</v>
      </c>
      <c r="D32" s="2">
        <v>-8.6530000000000005E-4</v>
      </c>
      <c r="E32" s="2">
        <v>0</v>
      </c>
      <c r="F32" s="2">
        <v>0</v>
      </c>
      <c r="G32" s="2">
        <v>0</v>
      </c>
      <c r="H32" s="2">
        <v>1.9984399000000001E-4</v>
      </c>
      <c r="I32" s="2">
        <v>5.9228016E-5</v>
      </c>
      <c r="J32" s="2">
        <v>-4.8294788999999998E-4</v>
      </c>
      <c r="K32" s="3"/>
      <c r="L32" s="3">
        <f t="shared" si="0"/>
        <v>0.109834739396741</v>
      </c>
      <c r="M32" s="3"/>
      <c r="N32" s="2">
        <f>IF('Modell einstellen'!$B$1="Voll",H32/0.35,H32/0.35*2)</f>
        <v>5.7098282857142863E-4</v>
      </c>
      <c r="O32" s="2">
        <f>IF('Modell einstellen'!$B$1="Voll",J32/0.35,J32/0.35*2)</f>
        <v>-1.3798511142857142E-3</v>
      </c>
      <c r="P32" s="3">
        <f t="shared" si="1"/>
        <v>0.41380031704869863</v>
      </c>
      <c r="Q32" s="3"/>
      <c r="R32" s="3"/>
      <c r="S32" s="3"/>
      <c r="T32" s="3"/>
      <c r="U32" s="3"/>
      <c r="V32" s="3"/>
      <c r="W32" s="3"/>
    </row>
    <row r="33" spans="1:23" x14ac:dyDescent="0.25">
      <c r="A33" s="2">
        <v>1000000000000000</v>
      </c>
      <c r="B33" s="2">
        <v>-1.208E-5</v>
      </c>
      <c r="C33" s="2">
        <v>5.9389999999999996E-4</v>
      </c>
      <c r="D33" s="2">
        <v>-8.7120000000000003E-4</v>
      </c>
      <c r="E33" s="2">
        <v>0</v>
      </c>
      <c r="F33" s="2">
        <v>0</v>
      </c>
      <c r="G33" s="2">
        <v>0</v>
      </c>
      <c r="H33" s="2">
        <v>2.5420029999999999E-4</v>
      </c>
      <c r="I33" s="2">
        <v>7.5134281000000005E-5</v>
      </c>
      <c r="J33" s="2">
        <v>-5.9551497000000003E-4</v>
      </c>
      <c r="K33" s="3"/>
      <c r="L33" s="3">
        <f t="shared" si="0"/>
        <v>-1.3865932047750228E-2</v>
      </c>
      <c r="M33" s="3"/>
      <c r="N33" s="2">
        <f>IF('Modell einstellen'!$B$1="Voll",H33/0.35,H33/0.35*2)</f>
        <v>7.2628657142857149E-4</v>
      </c>
      <c r="O33" s="2">
        <f>IF('Modell einstellen'!$B$1="Voll",J33/0.35,J33/0.35*2)</f>
        <v>-1.701471342857143E-3</v>
      </c>
      <c r="P33" s="3">
        <f t="shared" si="1"/>
        <v>0.42685795119474496</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9.5149999999999995E-5</v>
      </c>
      <c r="C3" s="3">
        <v>1.772E-4</v>
      </c>
      <c r="D3" s="3">
        <v>-5.3799999999999996E-4</v>
      </c>
      <c r="E3" s="3">
        <v>0</v>
      </c>
      <c r="F3" s="3">
        <v>0</v>
      </c>
      <c r="G3" s="3">
        <v>0</v>
      </c>
      <c r="H3" s="3">
        <v>7.7556930999999994E-5</v>
      </c>
      <c r="I3" s="3">
        <v>1.8769906000000001E-5</v>
      </c>
      <c r="J3" s="3">
        <v>-2.1723734E-4</v>
      </c>
      <c r="L3" s="3">
        <f>-B3/D3</f>
        <v>0.17685873605947955</v>
      </c>
      <c r="M3" s="3"/>
      <c r="N3" s="2">
        <f>IF('Modell einstellen'!$B$1="Voll",H3/0.35,H3/0.35*2)</f>
        <v>2.2159123142857142E-4</v>
      </c>
      <c r="O3" s="2">
        <f>IF('Modell einstellen'!$B$1="Voll",J3/0.35,J3/0.35*2)</f>
        <v>-6.206781142857143E-4</v>
      </c>
      <c r="P3" s="3">
        <f>-N3/O3</f>
        <v>0.35701473328664396</v>
      </c>
    </row>
    <row r="4" spans="1:16" x14ac:dyDescent="0.25">
      <c r="A4" s="3">
        <v>1E-14</v>
      </c>
      <c r="B4" s="3">
        <v>9.5149999999999995E-5</v>
      </c>
      <c r="C4" s="3">
        <v>1.772E-4</v>
      </c>
      <c r="D4" s="3">
        <v>-5.3799999999999996E-4</v>
      </c>
      <c r="E4" s="3">
        <v>0</v>
      </c>
      <c r="F4" s="3">
        <v>0</v>
      </c>
      <c r="G4" s="3">
        <v>0</v>
      </c>
      <c r="H4" s="3">
        <v>7.7559174000000003E-5</v>
      </c>
      <c r="I4" s="3">
        <v>1.8770480000000001E-5</v>
      </c>
      <c r="J4" s="3">
        <v>-2.1723325999999999E-4</v>
      </c>
      <c r="L4" s="3">
        <f t="shared" ref="L4:L33" si="0">-B4/D4</f>
        <v>0.17685873605947955</v>
      </c>
      <c r="M4" s="3"/>
      <c r="N4" s="2">
        <f>IF('Modell einstellen'!$B$1="Voll",H4/0.35,H4/0.35*2)</f>
        <v>2.2159764000000002E-4</v>
      </c>
      <c r="O4" s="2">
        <f>IF('Modell einstellen'!$B$1="Voll",J4/0.35,J4/0.35*2)</f>
        <v>-6.2066645714285718E-4</v>
      </c>
      <c r="P4" s="3">
        <f t="shared" ref="P4:P33" si="1">-N4/O4</f>
        <v>0.35703176392049729</v>
      </c>
    </row>
    <row r="5" spans="1:16" x14ac:dyDescent="0.25">
      <c r="A5" s="3">
        <v>1E-13</v>
      </c>
      <c r="B5" s="3">
        <v>9.5149999999999995E-5</v>
      </c>
      <c r="C5" s="3">
        <v>1.772E-4</v>
      </c>
      <c r="D5" s="3">
        <v>-5.3799999999999996E-4</v>
      </c>
      <c r="E5" s="3">
        <v>0</v>
      </c>
      <c r="F5" s="3">
        <v>0</v>
      </c>
      <c r="G5" s="3">
        <v>0</v>
      </c>
      <c r="H5" s="3">
        <v>7.755948E-5</v>
      </c>
      <c r="I5" s="3">
        <v>1.8770611E-5</v>
      </c>
      <c r="J5" s="3">
        <v>-2.1723407000000001E-4</v>
      </c>
      <c r="L5" s="3">
        <f t="shared" si="0"/>
        <v>0.17685873605947955</v>
      </c>
      <c r="M5" s="3"/>
      <c r="N5" s="2">
        <f>IF('Modell einstellen'!$B$1="Voll",H5/0.35,H5/0.35*2)</f>
        <v>2.2159851428571429E-4</v>
      </c>
      <c r="O5" s="2">
        <f>IF('Modell einstellen'!$B$1="Voll",J5/0.35,J5/0.35*2)</f>
        <v>-6.2066877142857152E-4</v>
      </c>
      <c r="P5" s="3">
        <f t="shared" si="1"/>
        <v>0.35703184127609444</v>
      </c>
    </row>
    <row r="6" spans="1:16" x14ac:dyDescent="0.25">
      <c r="A6" s="3">
        <v>9.9999999999999998E-13</v>
      </c>
      <c r="B6" s="3">
        <v>9.5160000000000004E-5</v>
      </c>
      <c r="C6" s="3">
        <v>1.772E-4</v>
      </c>
      <c r="D6" s="3">
        <v>-5.3799999999999996E-4</v>
      </c>
      <c r="E6" s="3">
        <v>0</v>
      </c>
      <c r="F6" s="3">
        <v>0</v>
      </c>
      <c r="G6" s="3">
        <v>0</v>
      </c>
      <c r="H6" s="3">
        <v>7.7559578000000002E-5</v>
      </c>
      <c r="I6" s="3">
        <v>1.8770644999999999E-5</v>
      </c>
      <c r="J6" s="3">
        <v>-2.1723431E-4</v>
      </c>
      <c r="L6" s="3">
        <f t="shared" si="0"/>
        <v>0.17687732342007437</v>
      </c>
      <c r="M6" s="3"/>
      <c r="N6" s="2">
        <f>IF('Modell einstellen'!$B$1="Voll",H6/0.35,H6/0.35*2)</f>
        <v>2.2159879428571431E-4</v>
      </c>
      <c r="O6" s="2">
        <f>IF('Modell einstellen'!$B$1="Voll",J6/0.35,J6/0.35*2)</f>
        <v>-6.2066945714285722E-4</v>
      </c>
      <c r="P6" s="3">
        <f t="shared" si="1"/>
        <v>0.35703189795387291</v>
      </c>
    </row>
    <row r="7" spans="1:16" x14ac:dyDescent="0.25">
      <c r="A7" s="3">
        <v>9.9999999999999994E-12</v>
      </c>
      <c r="B7" s="3">
        <v>9.5160000000000004E-5</v>
      </c>
      <c r="C7" s="3">
        <v>1.772E-4</v>
      </c>
      <c r="D7" s="3">
        <v>-5.3799999999999996E-4</v>
      </c>
      <c r="E7" s="3">
        <v>0</v>
      </c>
      <c r="F7" s="3">
        <v>0</v>
      </c>
      <c r="G7" s="3">
        <v>0</v>
      </c>
      <c r="H7" s="3">
        <v>7.7559611000000005E-5</v>
      </c>
      <c r="I7" s="3">
        <v>1.8770655E-5</v>
      </c>
      <c r="J7" s="3">
        <v>-2.1723437999999999E-4</v>
      </c>
      <c r="L7" s="3">
        <f t="shared" si="0"/>
        <v>0.17687732342007437</v>
      </c>
      <c r="M7" s="3"/>
      <c r="N7" s="2">
        <f>IF('Modell einstellen'!$B$1="Voll",H7/0.35,H7/0.35*2)</f>
        <v>2.2159888857142861E-4</v>
      </c>
      <c r="O7" s="2">
        <f>IF('Modell einstellen'!$B$1="Voll",J7/0.35,J7/0.35*2)</f>
        <v>-6.2066965714285718E-4</v>
      </c>
      <c r="P7" s="3">
        <f t="shared" si="1"/>
        <v>0.35703193481621098</v>
      </c>
    </row>
    <row r="8" spans="1:16" x14ac:dyDescent="0.25">
      <c r="A8" s="3">
        <v>1E-10</v>
      </c>
      <c r="B8" s="3">
        <v>9.5160000000000004E-5</v>
      </c>
      <c r="C8" s="3">
        <v>1.772E-4</v>
      </c>
      <c r="D8" s="3">
        <v>-5.3799999999999996E-4</v>
      </c>
      <c r="E8" s="3">
        <v>0</v>
      </c>
      <c r="F8" s="3">
        <v>0</v>
      </c>
      <c r="G8" s="3">
        <v>0</v>
      </c>
      <c r="H8" s="3">
        <v>7.7559621000000006E-5</v>
      </c>
      <c r="I8" s="3">
        <v>1.8770658000000002E-5</v>
      </c>
      <c r="J8" s="3">
        <v>-2.1723439999999999E-4</v>
      </c>
      <c r="L8" s="3">
        <f t="shared" si="0"/>
        <v>0.17687732342007437</v>
      </c>
      <c r="M8" s="3"/>
      <c r="N8" s="2">
        <f>IF('Modell einstellen'!$B$1="Voll",H8/0.35,H8/0.35*2)</f>
        <v>2.2159891714285717E-4</v>
      </c>
      <c r="O8" s="2">
        <f>IF('Modell einstellen'!$B$1="Voll",J8/0.35,J8/0.35*2)</f>
        <v>-6.2066971428571425E-4</v>
      </c>
      <c r="P8" s="3">
        <f t="shared" si="1"/>
        <v>0.35703194797877325</v>
      </c>
    </row>
    <row r="9" spans="1:16" x14ac:dyDescent="0.25">
      <c r="A9" s="3">
        <v>1.0000000000000001E-9</v>
      </c>
      <c r="B9" s="3">
        <v>9.5160000000000004E-5</v>
      </c>
      <c r="C9" s="3">
        <v>1.772E-4</v>
      </c>
      <c r="D9" s="3">
        <v>-5.3799999999999996E-4</v>
      </c>
      <c r="E9" s="3">
        <v>0</v>
      </c>
      <c r="F9" s="3">
        <v>0</v>
      </c>
      <c r="G9" s="3">
        <v>0</v>
      </c>
      <c r="H9" s="3">
        <v>7.7559625000000004E-5</v>
      </c>
      <c r="I9" s="3">
        <v>1.8770659000000001E-5</v>
      </c>
      <c r="J9" s="3">
        <v>-2.1723441E-4</v>
      </c>
      <c r="L9" s="3">
        <f t="shared" si="0"/>
        <v>0.17687732342007437</v>
      </c>
      <c r="M9" s="3"/>
      <c r="N9" s="2">
        <f>IF('Modell einstellen'!$B$1="Voll",H9/0.35,H9/0.35*2)</f>
        <v>2.2159892857142859E-4</v>
      </c>
      <c r="O9" s="2">
        <f>IF('Modell einstellen'!$B$1="Voll",J9/0.35,J9/0.35*2)</f>
        <v>-6.2066974285714289E-4</v>
      </c>
      <c r="P9" s="3">
        <f t="shared" si="1"/>
        <v>0.3570319499567311</v>
      </c>
    </row>
    <row r="10" spans="1:16" x14ac:dyDescent="0.25">
      <c r="A10" s="3">
        <v>1E-8</v>
      </c>
      <c r="B10" s="3">
        <v>9.5160000000000004E-5</v>
      </c>
      <c r="C10" s="3">
        <v>1.772E-4</v>
      </c>
      <c r="D10" s="3">
        <v>-5.3799999999999996E-4</v>
      </c>
      <c r="E10" s="3">
        <v>0</v>
      </c>
      <c r="F10" s="3">
        <v>0</v>
      </c>
      <c r="G10" s="3">
        <v>0</v>
      </c>
      <c r="H10" s="3">
        <v>7.7559626E-5</v>
      </c>
      <c r="I10" s="3">
        <v>1.877066E-5</v>
      </c>
      <c r="J10" s="3">
        <v>-2.1723441E-4</v>
      </c>
      <c r="L10" s="3">
        <f t="shared" si="0"/>
        <v>0.17687732342007437</v>
      </c>
      <c r="M10" s="3"/>
      <c r="N10" s="2">
        <f>IF('Modell einstellen'!$B$1="Voll",H10/0.35,H10/0.35*2)</f>
        <v>2.2159893142857144E-4</v>
      </c>
      <c r="O10" s="2">
        <f>IF('Modell einstellen'!$B$1="Voll",J10/0.35,J10/0.35*2)</f>
        <v>-6.2066974285714289E-4</v>
      </c>
      <c r="P10" s="3">
        <f t="shared" si="1"/>
        <v>0.35703195456005338</v>
      </c>
    </row>
    <row r="11" spans="1:16" x14ac:dyDescent="0.25">
      <c r="A11" s="3">
        <v>9.9999999999999995E-8</v>
      </c>
      <c r="B11" s="3">
        <v>9.5160000000000004E-5</v>
      </c>
      <c r="C11" s="3">
        <v>1.772E-4</v>
      </c>
      <c r="D11" s="3">
        <v>-5.3799999999999996E-4</v>
      </c>
      <c r="E11" s="3">
        <v>0</v>
      </c>
      <c r="F11" s="3">
        <v>0</v>
      </c>
      <c r="G11" s="3">
        <v>0</v>
      </c>
      <c r="H11" s="3">
        <v>7.7559626999999996E-5</v>
      </c>
      <c r="I11" s="3">
        <v>1.877066E-5</v>
      </c>
      <c r="J11" s="3">
        <v>-2.1723441999999999E-4</v>
      </c>
      <c r="L11" s="3">
        <f t="shared" si="0"/>
        <v>0.17687732342007437</v>
      </c>
      <c r="M11" s="3"/>
      <c r="N11" s="2">
        <f>IF('Modell einstellen'!$B$1="Voll",H11/0.35,H11/0.35*2)</f>
        <v>2.2159893428571429E-4</v>
      </c>
      <c r="O11" s="2">
        <f>IF('Modell einstellen'!$B$1="Voll",J11/0.35,J11/0.35*2)</f>
        <v>-6.2066977142857143E-4</v>
      </c>
      <c r="P11" s="3">
        <f t="shared" si="1"/>
        <v>0.35703194272804467</v>
      </c>
    </row>
    <row r="12" spans="1:16" x14ac:dyDescent="0.25">
      <c r="A12" s="3">
        <v>9.9999999999999995E-7</v>
      </c>
      <c r="B12" s="3">
        <v>9.5160000000000004E-5</v>
      </c>
      <c r="C12" s="3">
        <v>1.772E-4</v>
      </c>
      <c r="D12" s="3">
        <v>-5.3799999999999996E-4</v>
      </c>
      <c r="E12" s="3">
        <v>0</v>
      </c>
      <c r="F12" s="3">
        <v>0</v>
      </c>
      <c r="G12" s="3">
        <v>0</v>
      </c>
      <c r="H12" s="3">
        <v>7.7559626999999996E-5</v>
      </c>
      <c r="I12" s="3">
        <v>1.877066E-5</v>
      </c>
      <c r="J12" s="3">
        <v>-2.1723441999999999E-4</v>
      </c>
      <c r="L12" s="3">
        <f t="shared" si="0"/>
        <v>0.17687732342007437</v>
      </c>
      <c r="M12" s="3"/>
      <c r="N12" s="2">
        <f>IF('Modell einstellen'!$B$1="Voll",H12/0.35,H12/0.35*2)</f>
        <v>2.2159893428571429E-4</v>
      </c>
      <c r="O12" s="2">
        <f>IF('Modell einstellen'!$B$1="Voll",J12/0.35,J12/0.35*2)</f>
        <v>-6.2066977142857143E-4</v>
      </c>
      <c r="P12" s="3">
        <f t="shared" si="1"/>
        <v>0.35703194272804467</v>
      </c>
    </row>
    <row r="13" spans="1:16" x14ac:dyDescent="0.25">
      <c r="A13" s="3">
        <v>1.0000000000000001E-5</v>
      </c>
      <c r="B13" s="3">
        <v>9.5160000000000004E-5</v>
      </c>
      <c r="C13" s="3">
        <v>1.772E-4</v>
      </c>
      <c r="D13" s="3">
        <v>-5.3799999999999996E-4</v>
      </c>
      <c r="E13" s="3">
        <v>0</v>
      </c>
      <c r="F13" s="3">
        <v>0</v>
      </c>
      <c r="G13" s="3">
        <v>0</v>
      </c>
      <c r="H13" s="3">
        <v>7.7559632000000003E-5</v>
      </c>
      <c r="I13" s="3">
        <v>1.8770661E-5</v>
      </c>
      <c r="J13" s="3">
        <v>-2.1723443E-4</v>
      </c>
      <c r="L13" s="3">
        <f t="shared" si="0"/>
        <v>0.17687732342007437</v>
      </c>
      <c r="M13" s="3"/>
      <c r="N13" s="2">
        <f>IF('Modell einstellen'!$B$1="Voll",H13/0.35,H13/0.35*2)</f>
        <v>2.2159894857142859E-4</v>
      </c>
      <c r="O13" s="2">
        <f>IF('Modell einstellen'!$B$1="Voll",J13/0.35,J13/0.35*2)</f>
        <v>-6.2066980000000007E-4</v>
      </c>
      <c r="P13" s="3">
        <f t="shared" si="1"/>
        <v>0.35703194930932447</v>
      </c>
    </row>
    <row r="14" spans="1:16" x14ac:dyDescent="0.25">
      <c r="A14" s="3">
        <v>1E-4</v>
      </c>
      <c r="B14" s="3">
        <v>9.5160000000000004E-5</v>
      </c>
      <c r="C14" s="3">
        <v>1.772E-4</v>
      </c>
      <c r="D14" s="3">
        <v>-5.3799999999999996E-4</v>
      </c>
      <c r="E14" s="3">
        <v>0</v>
      </c>
      <c r="F14" s="3">
        <v>0</v>
      </c>
      <c r="G14" s="3">
        <v>0</v>
      </c>
      <c r="H14" s="3">
        <v>7.7559676000000003E-5</v>
      </c>
      <c r="I14" s="3">
        <v>1.8770669000000002E-5</v>
      </c>
      <c r="J14" s="3">
        <v>-2.172345E-4</v>
      </c>
      <c r="L14" s="3">
        <f t="shared" si="0"/>
        <v>0.17687732342007437</v>
      </c>
      <c r="M14" s="3"/>
      <c r="N14" s="2">
        <f>IF('Modell einstellen'!$B$1="Voll",H14/0.35,H14/0.35*2)</f>
        <v>2.215990742857143E-4</v>
      </c>
      <c r="O14" s="2">
        <f>IF('Modell einstellen'!$B$1="Voll",J14/0.35,J14/0.35*2)</f>
        <v>-6.2067000000000003E-4</v>
      </c>
      <c r="P14" s="3">
        <f t="shared" si="1"/>
        <v>0.35703203680814971</v>
      </c>
    </row>
    <row r="15" spans="1:16" x14ac:dyDescent="0.25">
      <c r="A15" s="3">
        <v>1E-3</v>
      </c>
      <c r="B15" s="3">
        <v>9.5160000000000004E-5</v>
      </c>
      <c r="C15" s="3">
        <v>1.772E-4</v>
      </c>
      <c r="D15" s="3">
        <v>-5.3799999999999996E-4</v>
      </c>
      <c r="E15" s="3">
        <v>0</v>
      </c>
      <c r="F15" s="3">
        <v>0</v>
      </c>
      <c r="G15" s="3">
        <v>0</v>
      </c>
      <c r="H15" s="3">
        <v>7.7560123000000006E-5</v>
      </c>
      <c r="I15" s="3">
        <v>1.8770753000000001E-5</v>
      </c>
      <c r="J15" s="3">
        <v>-2.172353E-4</v>
      </c>
      <c r="L15" s="3">
        <f t="shared" si="0"/>
        <v>0.17687732342007437</v>
      </c>
      <c r="M15" s="3"/>
      <c r="N15" s="2">
        <f>IF('Modell einstellen'!$B$1="Voll",H15/0.35,H15/0.35*2)</f>
        <v>2.2160035142857146E-4</v>
      </c>
      <c r="O15" s="2">
        <f>IF('Modell einstellen'!$B$1="Voll",J15/0.35,J15/0.35*2)</f>
        <v>-6.2067228571428574E-4</v>
      </c>
      <c r="P15" s="3">
        <f t="shared" si="1"/>
        <v>0.35703277966334201</v>
      </c>
    </row>
    <row r="16" spans="1:16" x14ac:dyDescent="0.25">
      <c r="A16" s="3">
        <v>0.01</v>
      </c>
      <c r="B16" s="3">
        <v>9.5149999999999995E-5</v>
      </c>
      <c r="C16" s="3">
        <v>1.772E-4</v>
      </c>
      <c r="D16" s="3">
        <v>-5.3799999999999996E-4</v>
      </c>
      <c r="E16" s="3">
        <v>0</v>
      </c>
      <c r="F16" s="3">
        <v>0</v>
      </c>
      <c r="G16" s="3">
        <v>0</v>
      </c>
      <c r="H16" s="3">
        <v>7.7564587000000004E-5</v>
      </c>
      <c r="I16" s="3">
        <v>1.8771587999999999E-5</v>
      </c>
      <c r="J16" s="3">
        <v>-2.1724326000000001E-4</v>
      </c>
      <c r="L16" s="3">
        <f t="shared" si="0"/>
        <v>0.17685873605947955</v>
      </c>
      <c r="M16" s="3"/>
      <c r="N16" s="2">
        <f>IF('Modell einstellen'!$B$1="Voll",H16/0.35,H16/0.35*2)</f>
        <v>2.2161310571428575E-4</v>
      </c>
      <c r="O16" s="2">
        <f>IF('Modell einstellen'!$B$1="Voll",J16/0.35,J16/0.35*2)</f>
        <v>-6.2069502857142864E-4</v>
      </c>
      <c r="P16" s="3">
        <f t="shared" si="1"/>
        <v>0.35704024603571133</v>
      </c>
    </row>
    <row r="17" spans="1:16" x14ac:dyDescent="0.25">
      <c r="A17" s="3">
        <v>0.1</v>
      </c>
      <c r="B17" s="3">
        <v>9.5149999999999995E-5</v>
      </c>
      <c r="C17" s="3">
        <v>1.772E-4</v>
      </c>
      <c r="D17" s="3">
        <v>-5.3810000000000001E-4</v>
      </c>
      <c r="E17" s="3">
        <v>0</v>
      </c>
      <c r="F17" s="3">
        <v>0</v>
      </c>
      <c r="G17" s="3">
        <v>0</v>
      </c>
      <c r="H17" s="3">
        <v>7.7608879000000004E-5</v>
      </c>
      <c r="I17" s="3">
        <v>1.8779877999999999E-5</v>
      </c>
      <c r="J17" s="3">
        <v>-2.1732220999999999E-4</v>
      </c>
      <c r="L17" s="3">
        <f t="shared" si="0"/>
        <v>0.17682586879762124</v>
      </c>
      <c r="M17" s="3"/>
      <c r="N17" s="2">
        <f>IF('Modell einstellen'!$B$1="Voll",H17/0.35,H17/0.35*2)</f>
        <v>2.2173965428571432E-4</v>
      </c>
      <c r="O17" s="2">
        <f>IF('Modell einstellen'!$B$1="Voll",J17/0.35,J17/0.35*2)</f>
        <v>-6.2092060000000005E-4</v>
      </c>
      <c r="P17" s="3">
        <f t="shared" si="1"/>
        <v>0.35711434648119955</v>
      </c>
    </row>
    <row r="18" spans="1:16" x14ac:dyDescent="0.25">
      <c r="A18" s="3">
        <v>1</v>
      </c>
      <c r="B18" s="3">
        <v>9.5060000000000001E-5</v>
      </c>
      <c r="C18" s="3">
        <v>1.7789999999999999E-4</v>
      </c>
      <c r="D18" s="3">
        <v>-5.3890000000000003E-4</v>
      </c>
      <c r="E18" s="3">
        <v>0</v>
      </c>
      <c r="F18" s="3">
        <v>0</v>
      </c>
      <c r="G18" s="3">
        <v>0</v>
      </c>
      <c r="H18" s="3">
        <v>7.8018788000000006E-5</v>
      </c>
      <c r="I18" s="3">
        <v>1.8856556000000001E-5</v>
      </c>
      <c r="J18" s="3">
        <v>-2.1805267E-4</v>
      </c>
      <c r="L18" s="3">
        <f t="shared" si="0"/>
        <v>0.17639636296158842</v>
      </c>
      <c r="M18" s="3"/>
      <c r="N18" s="2">
        <f>IF('Modell einstellen'!$B$1="Voll",H18/0.35,H18/0.35*2)</f>
        <v>2.229108228571429E-4</v>
      </c>
      <c r="O18" s="2">
        <f>IF('Modell einstellen'!$B$1="Voll",J18/0.35,J18/0.35*2)</f>
        <v>-6.230076285714286E-4</v>
      </c>
      <c r="P18" s="3">
        <f t="shared" si="1"/>
        <v>0.35779790268103578</v>
      </c>
    </row>
    <row r="19" spans="1:16" x14ac:dyDescent="0.25">
      <c r="A19" s="3">
        <v>10</v>
      </c>
      <c r="B19" s="3">
        <v>9.5279999999999996E-5</v>
      </c>
      <c r="C19" s="3">
        <v>1.816E-4</v>
      </c>
      <c r="D19" s="3">
        <v>-5.4410000000000005E-4</v>
      </c>
      <c r="E19" s="3">
        <v>0</v>
      </c>
      <c r="F19" s="3">
        <v>0</v>
      </c>
      <c r="G19" s="3">
        <v>0</v>
      </c>
      <c r="H19" s="3">
        <v>8.0246115000000005E-5</v>
      </c>
      <c r="I19" s="3">
        <v>1.9289359999999999E-5</v>
      </c>
      <c r="J19" s="3">
        <v>-2.2207203000000001E-4</v>
      </c>
      <c r="L19" s="3">
        <f t="shared" si="0"/>
        <v>0.17511486859033262</v>
      </c>
      <c r="M19" s="3"/>
      <c r="N19" s="2">
        <f>IF('Modell einstellen'!$B$1="Voll",H19/0.35,H19/0.35*2)</f>
        <v>2.2927461428571432E-4</v>
      </c>
      <c r="O19" s="2">
        <f>IF('Modell einstellen'!$B$1="Voll",J19/0.35,J19/0.35*2)</f>
        <v>-6.3449151428571432E-4</v>
      </c>
      <c r="P19" s="3">
        <f t="shared" si="1"/>
        <v>0.36135174249544172</v>
      </c>
    </row>
    <row r="20" spans="1:16" x14ac:dyDescent="0.25">
      <c r="A20" s="3">
        <v>100</v>
      </c>
      <c r="B20" s="3">
        <v>9.535E-5</v>
      </c>
      <c r="C20" s="3">
        <v>1.861E-4</v>
      </c>
      <c r="D20" s="3">
        <v>-5.5020000000000004E-4</v>
      </c>
      <c r="E20" s="3">
        <v>0</v>
      </c>
      <c r="F20" s="3">
        <v>0</v>
      </c>
      <c r="G20" s="3">
        <v>0</v>
      </c>
      <c r="H20" s="3">
        <v>8.2983228999999995E-5</v>
      </c>
      <c r="I20" s="3">
        <v>1.9828931000000001E-5</v>
      </c>
      <c r="J20" s="3">
        <v>-2.2700925E-4</v>
      </c>
      <c r="L20" s="3">
        <f t="shared" si="0"/>
        <v>0.1733006179571065</v>
      </c>
      <c r="M20" s="3"/>
      <c r="N20" s="2">
        <f>IF('Modell einstellen'!$B$1="Voll",H20/0.35,H20/0.35*2)</f>
        <v>2.3709493999999999E-4</v>
      </c>
      <c r="O20" s="2">
        <f>IF('Modell einstellen'!$B$1="Voll",J20/0.35,J20/0.35*2)</f>
        <v>-6.4859785714285723E-4</v>
      </c>
      <c r="P20" s="3">
        <f t="shared" si="1"/>
        <v>0.36554998970306268</v>
      </c>
    </row>
    <row r="21" spans="1:16" x14ac:dyDescent="0.25">
      <c r="A21" s="3">
        <v>1000</v>
      </c>
      <c r="B21" s="3">
        <v>9.6429999999999997E-5</v>
      </c>
      <c r="C21" s="3">
        <v>1.93E-4</v>
      </c>
      <c r="D21" s="3">
        <v>-5.5940000000000004E-4</v>
      </c>
      <c r="E21" s="3">
        <v>0</v>
      </c>
      <c r="F21" s="3">
        <v>0</v>
      </c>
      <c r="G21" s="3">
        <v>0</v>
      </c>
      <c r="H21" s="3">
        <v>8.6231045000000005E-5</v>
      </c>
      <c r="I21" s="3">
        <v>2.0636291E-5</v>
      </c>
      <c r="J21" s="3">
        <v>-2.3328596999999999E-4</v>
      </c>
      <c r="L21" s="3">
        <f t="shared" si="0"/>
        <v>0.17238112263139074</v>
      </c>
      <c r="M21" s="3"/>
      <c r="N21" s="2">
        <f>IF('Modell einstellen'!$B$1="Voll",H21/0.35,H21/0.35*2)</f>
        <v>2.4637441428571429E-4</v>
      </c>
      <c r="O21" s="2">
        <f>IF('Modell einstellen'!$B$1="Voll",J21/0.35,J21/0.35*2)</f>
        <v>-6.665313428571429E-4</v>
      </c>
      <c r="P21" s="3">
        <f t="shared" si="1"/>
        <v>0.36963665238848264</v>
      </c>
    </row>
    <row r="22" spans="1:16" x14ac:dyDescent="0.25">
      <c r="A22" s="3">
        <v>10000</v>
      </c>
      <c r="B22" s="3">
        <v>1.025E-4</v>
      </c>
      <c r="C22" s="3">
        <v>2.0790000000000001E-4</v>
      </c>
      <c r="D22" s="3">
        <v>-5.7959999999999999E-4</v>
      </c>
      <c r="E22" s="3">
        <v>0</v>
      </c>
      <c r="F22" s="3">
        <v>0</v>
      </c>
      <c r="G22" s="3">
        <v>0</v>
      </c>
      <c r="H22" s="3">
        <v>9.0523705000000002E-5</v>
      </c>
      <c r="I22" s="3">
        <v>2.2347336E-5</v>
      </c>
      <c r="J22" s="3">
        <v>-2.4325732999999999E-4</v>
      </c>
      <c r="L22" s="3">
        <f t="shared" si="0"/>
        <v>0.17684610075914423</v>
      </c>
      <c r="M22" s="3"/>
      <c r="N22" s="2">
        <f>IF('Modell einstellen'!$B$1="Voll",H22/0.35,H22/0.35*2)</f>
        <v>2.5863915714285717E-4</v>
      </c>
      <c r="O22" s="2">
        <f>IF('Modell einstellen'!$B$1="Voll",J22/0.35,J22/0.35*2)</f>
        <v>-6.9502094285714292E-4</v>
      </c>
      <c r="P22" s="3">
        <f t="shared" si="1"/>
        <v>0.37213145848472479</v>
      </c>
    </row>
    <row r="23" spans="1:16" x14ac:dyDescent="0.25">
      <c r="A23" s="3">
        <v>100000</v>
      </c>
      <c r="B23" s="3">
        <v>1.1510000000000001E-4</v>
      </c>
      <c r="C23" s="3">
        <v>2.3059999999999999E-4</v>
      </c>
      <c r="D23" s="3">
        <v>-6.1240000000000003E-4</v>
      </c>
      <c r="E23" s="3">
        <v>0</v>
      </c>
      <c r="F23" s="3">
        <v>0</v>
      </c>
      <c r="G23" s="3">
        <v>0</v>
      </c>
      <c r="H23" s="3">
        <v>9.5633619000000004E-5</v>
      </c>
      <c r="I23" s="3">
        <v>2.4971773E-5</v>
      </c>
      <c r="J23" s="3">
        <v>-2.5668092999999999E-4</v>
      </c>
      <c r="L23" s="3">
        <f t="shared" si="0"/>
        <v>0.187949052906597</v>
      </c>
      <c r="M23" s="3"/>
      <c r="N23" s="2">
        <f>IF('Modell einstellen'!$B$1="Voll",H23/0.35,H23/0.35*2)</f>
        <v>2.7323891142857148E-4</v>
      </c>
      <c r="O23" s="2">
        <f>IF('Modell einstellen'!$B$1="Voll",J23/0.35,J23/0.35*2)</f>
        <v>-7.3337408571428567E-4</v>
      </c>
      <c r="P23" s="3">
        <f t="shared" si="1"/>
        <v>0.37257781090320979</v>
      </c>
    </row>
    <row r="24" spans="1:16" x14ac:dyDescent="0.25">
      <c r="A24" s="3">
        <v>1000000</v>
      </c>
      <c r="B24" s="3">
        <v>1.2970000000000001E-4</v>
      </c>
      <c r="C24" s="3">
        <v>2.566E-4</v>
      </c>
      <c r="D24" s="3">
        <v>-6.5070000000000004E-4</v>
      </c>
      <c r="E24" s="3">
        <v>0</v>
      </c>
      <c r="F24" s="3">
        <v>0</v>
      </c>
      <c r="G24" s="3">
        <v>0</v>
      </c>
      <c r="H24" s="3">
        <v>1.0216652000000001E-4</v>
      </c>
      <c r="I24" s="3">
        <v>2.8026249E-5</v>
      </c>
      <c r="J24" s="3">
        <v>-2.7311639000000002E-4</v>
      </c>
      <c r="L24" s="3">
        <f t="shared" si="0"/>
        <v>0.19932380513293377</v>
      </c>
      <c r="M24" s="3"/>
      <c r="N24" s="2">
        <f>IF('Modell einstellen'!$B$1="Voll",H24/0.35,H24/0.35*2)</f>
        <v>2.9190434285714291E-4</v>
      </c>
      <c r="O24" s="2">
        <f>IF('Modell einstellen'!$B$1="Voll",J24/0.35,J24/0.35*2)</f>
        <v>-7.8033254285714293E-4</v>
      </c>
      <c r="P24" s="3">
        <f t="shared" si="1"/>
        <v>0.37407685419392078</v>
      </c>
    </row>
    <row r="25" spans="1:16" x14ac:dyDescent="0.25">
      <c r="A25" s="3">
        <v>10000000</v>
      </c>
      <c r="B25" s="3">
        <v>1.4339999999999999E-4</v>
      </c>
      <c r="C25" s="3">
        <v>2.833E-4</v>
      </c>
      <c r="D25" s="3">
        <v>-6.9050000000000003E-4</v>
      </c>
      <c r="E25" s="3">
        <v>0</v>
      </c>
      <c r="F25" s="3">
        <v>0</v>
      </c>
      <c r="G25" s="3">
        <v>0</v>
      </c>
      <c r="H25" s="3">
        <v>1.1039706E-4</v>
      </c>
      <c r="I25" s="3">
        <v>3.1256302E-5</v>
      </c>
      <c r="J25" s="3">
        <v>-2.9224767999999998E-4</v>
      </c>
      <c r="L25" s="3">
        <f t="shared" si="0"/>
        <v>0.2076755973931933</v>
      </c>
      <c r="M25" s="3"/>
      <c r="N25" s="2">
        <f>IF('Modell einstellen'!$B$1="Voll",H25/0.35,H25/0.35*2)</f>
        <v>3.1542017142857144E-4</v>
      </c>
      <c r="O25" s="2">
        <f>IF('Modell einstellen'!$B$1="Voll",J25/0.35,J25/0.35*2)</f>
        <v>-8.349933714285714E-4</v>
      </c>
      <c r="P25" s="3">
        <f t="shared" si="1"/>
        <v>0.37775170704520222</v>
      </c>
    </row>
    <row r="26" spans="1:16" x14ac:dyDescent="0.25">
      <c r="A26" s="3">
        <v>100000000</v>
      </c>
      <c r="B26" s="3">
        <v>1.5320000000000001E-4</v>
      </c>
      <c r="C26" s="3">
        <v>3.0919999999999998E-4</v>
      </c>
      <c r="D26" s="3">
        <v>-7.2670000000000005E-4</v>
      </c>
      <c r="E26" s="3">
        <v>0</v>
      </c>
      <c r="F26" s="3">
        <v>0</v>
      </c>
      <c r="G26" s="3">
        <v>0</v>
      </c>
      <c r="H26" s="3">
        <v>1.1940260999999999E-4</v>
      </c>
      <c r="I26" s="3">
        <v>3.446786E-5</v>
      </c>
      <c r="J26" s="3">
        <v>-3.1240598999999998E-4</v>
      </c>
      <c r="L26" s="3">
        <f t="shared" si="0"/>
        <v>0.21081601761387092</v>
      </c>
      <c r="M26" s="3"/>
      <c r="N26" s="2">
        <f>IF('Modell einstellen'!$B$1="Voll",H26/0.35,H26/0.35*2)</f>
        <v>3.4115031428571429E-4</v>
      </c>
      <c r="O26" s="2">
        <f>IF('Modell einstellen'!$B$1="Voll",J26/0.35,J26/0.35*2)</f>
        <v>-8.9258854285714285E-4</v>
      </c>
      <c r="P26" s="3">
        <f t="shared" si="1"/>
        <v>0.38220333099246911</v>
      </c>
    </row>
    <row r="27" spans="1:16" x14ac:dyDescent="0.25">
      <c r="A27" s="3">
        <v>1000000000</v>
      </c>
      <c r="B27" s="3">
        <v>1.5870000000000001E-4</v>
      </c>
      <c r="C27" s="3">
        <v>3.3530000000000002E-4</v>
      </c>
      <c r="D27" s="3">
        <v>-7.5989999999999999E-4</v>
      </c>
      <c r="E27" s="3">
        <v>0</v>
      </c>
      <c r="F27" s="3">
        <v>0</v>
      </c>
      <c r="G27" s="3">
        <v>0</v>
      </c>
      <c r="H27" s="3">
        <v>1.2955883000000001E-4</v>
      </c>
      <c r="I27" s="3">
        <v>3.7809236000000002E-5</v>
      </c>
      <c r="J27" s="3">
        <v>-3.3444759000000001E-4</v>
      </c>
      <c r="L27" s="3">
        <f t="shared" si="0"/>
        <v>0.20884326885116464</v>
      </c>
      <c r="M27" s="3"/>
      <c r="N27" s="2">
        <f>IF('Modell einstellen'!$B$1="Voll",H27/0.35,H27/0.35*2)</f>
        <v>3.7016808571428575E-4</v>
      </c>
      <c r="O27" s="2">
        <f>IF('Modell einstellen'!$B$1="Voll",J27/0.35,J27/0.35*2)</f>
        <v>-9.5556454285714292E-4</v>
      </c>
      <c r="P27" s="3">
        <f t="shared" si="1"/>
        <v>0.38738156253420752</v>
      </c>
    </row>
    <row r="28" spans="1:16" x14ac:dyDescent="0.25">
      <c r="A28" s="3">
        <v>10000000000</v>
      </c>
      <c r="B28" s="3">
        <v>1.5870000000000001E-4</v>
      </c>
      <c r="C28" s="3">
        <v>3.6410000000000001E-4</v>
      </c>
      <c r="D28" s="3">
        <v>-7.9120000000000004E-4</v>
      </c>
      <c r="E28" s="3">
        <v>0</v>
      </c>
      <c r="F28" s="3">
        <v>0</v>
      </c>
      <c r="G28" s="3">
        <v>0</v>
      </c>
      <c r="H28" s="3">
        <v>1.4161413E-4</v>
      </c>
      <c r="I28" s="3">
        <v>4.1602125999999997E-5</v>
      </c>
      <c r="J28" s="3">
        <v>-3.6020775999999997E-4</v>
      </c>
      <c r="L28" s="3">
        <f t="shared" si="0"/>
        <v>0.2005813953488372</v>
      </c>
      <c r="M28" s="3"/>
      <c r="N28" s="2">
        <f>IF('Modell einstellen'!$B$1="Voll",H28/0.35,H28/0.35*2)</f>
        <v>4.0461180000000003E-4</v>
      </c>
      <c r="O28" s="2">
        <f>IF('Modell einstellen'!$B$1="Voll",J28/0.35,J28/0.35*2)</f>
        <v>-1.0291650285714285E-3</v>
      </c>
      <c r="P28" s="3">
        <f t="shared" si="1"/>
        <v>0.39314569458470305</v>
      </c>
    </row>
    <row r="29" spans="1:16" x14ac:dyDescent="0.25">
      <c r="A29" s="3">
        <v>100000000000</v>
      </c>
      <c r="B29" s="3">
        <v>1.4980000000000001E-4</v>
      </c>
      <c r="C29" s="3">
        <v>4.0049999999999998E-4</v>
      </c>
      <c r="D29" s="3">
        <v>-8.2229999999999998E-4</v>
      </c>
      <c r="E29" s="3">
        <v>0</v>
      </c>
      <c r="F29" s="3">
        <v>0</v>
      </c>
      <c r="G29" s="3">
        <v>0</v>
      </c>
      <c r="H29" s="3">
        <v>1.5763153000000001E-4</v>
      </c>
      <c r="I29" s="3">
        <v>4.6530151999999999E-5</v>
      </c>
      <c r="J29" s="3">
        <v>-3.9419360999999999E-4</v>
      </c>
      <c r="L29" s="3">
        <f t="shared" si="0"/>
        <v>0.18217195670679803</v>
      </c>
      <c r="M29" s="3"/>
      <c r="N29" s="2">
        <f>IF('Modell einstellen'!$B$1="Voll",H29/0.35,H29/0.35*2)</f>
        <v>4.5037580000000004E-4</v>
      </c>
      <c r="O29" s="2">
        <f>IF('Modell einstellen'!$B$1="Voll",J29/0.35,J29/0.35*2)</f>
        <v>-1.1262674571428572E-3</v>
      </c>
      <c r="P29" s="3">
        <f t="shared" si="1"/>
        <v>0.39988352424079121</v>
      </c>
    </row>
    <row r="30" spans="1:16" x14ac:dyDescent="0.25">
      <c r="A30" s="3">
        <v>1000000000000</v>
      </c>
      <c r="B30" s="3">
        <v>1.211E-4</v>
      </c>
      <c r="C30" s="3">
        <v>4.5560000000000002E-4</v>
      </c>
      <c r="D30" s="3">
        <v>-8.5400000000000005E-4</v>
      </c>
      <c r="E30" s="3">
        <v>0</v>
      </c>
      <c r="F30" s="3">
        <v>0</v>
      </c>
      <c r="G30" s="3">
        <v>0</v>
      </c>
      <c r="H30" s="3">
        <v>1.8320585E-4</v>
      </c>
      <c r="I30" s="3">
        <v>5.4289144999999998E-5</v>
      </c>
      <c r="J30" s="3">
        <v>-4.4817001999999999E-4</v>
      </c>
      <c r="L30" s="3">
        <f t="shared" si="0"/>
        <v>0.14180327868852458</v>
      </c>
      <c r="M30" s="3"/>
      <c r="N30" s="2">
        <f>IF('Modell einstellen'!$B$1="Voll",H30/0.35,H30/0.35*2)</f>
        <v>5.2344528571428577E-4</v>
      </c>
      <c r="O30" s="2">
        <f>IF('Modell einstellen'!$B$1="Voll",J30/0.35,J30/0.35*2)</f>
        <v>-1.2804857714285715E-3</v>
      </c>
      <c r="P30" s="3">
        <f t="shared" si="1"/>
        <v>0.40878649134094247</v>
      </c>
    </row>
    <row r="31" spans="1:16" x14ac:dyDescent="0.25">
      <c r="A31" s="3">
        <v>10000000000000</v>
      </c>
      <c r="B31" s="3">
        <v>4.8340000000000001E-5</v>
      </c>
      <c r="C31" s="3">
        <v>5.4080000000000003E-4</v>
      </c>
      <c r="D31" s="3">
        <v>-8.742E-4</v>
      </c>
      <c r="E31" s="3">
        <v>0</v>
      </c>
      <c r="F31" s="3">
        <v>0</v>
      </c>
      <c r="G31" s="3">
        <v>0</v>
      </c>
      <c r="H31" s="3">
        <v>2.2569775999999999E-4</v>
      </c>
      <c r="I31" s="3">
        <v>6.6929802999999999E-5</v>
      </c>
      <c r="J31" s="3">
        <v>-5.3693275999999995E-4</v>
      </c>
      <c r="L31" s="3">
        <f t="shared" si="0"/>
        <v>5.5296270876229695E-2</v>
      </c>
      <c r="M31" s="3"/>
      <c r="N31" s="2">
        <f>IF('Modell einstellen'!$B$1="Voll",H31/0.35,H31/0.35*2)</f>
        <v>6.4485074285714286E-4</v>
      </c>
      <c r="O31" s="2">
        <f>IF('Modell einstellen'!$B$1="Voll",J31/0.35,J31/0.35*2)</f>
        <v>-1.5340936E-3</v>
      </c>
      <c r="P31" s="3">
        <f t="shared" si="1"/>
        <v>0.42034641358072472</v>
      </c>
    </row>
    <row r="32" spans="1:16" x14ac:dyDescent="0.25">
      <c r="A32" s="3">
        <v>100000000000000</v>
      </c>
      <c r="B32" s="3">
        <v>-1.3569999999999999E-4</v>
      </c>
      <c r="C32" s="3">
        <v>6.8269999999999995E-4</v>
      </c>
      <c r="D32" s="3">
        <v>-8.4250000000000004E-4</v>
      </c>
      <c r="E32" s="3">
        <v>0</v>
      </c>
      <c r="F32" s="3">
        <v>0</v>
      </c>
      <c r="G32" s="3">
        <v>0</v>
      </c>
      <c r="H32" s="3">
        <v>3.0482333E-4</v>
      </c>
      <c r="I32" s="3">
        <v>8.9475178E-5</v>
      </c>
      <c r="J32" s="3">
        <v>-6.9851101000000004E-4</v>
      </c>
      <c r="L32" s="3">
        <f t="shared" si="0"/>
        <v>-0.16106824925816021</v>
      </c>
      <c r="M32" s="3"/>
      <c r="N32" s="2">
        <f>IF('Modell einstellen'!$B$1="Voll",H32/0.35,H32/0.35*2)</f>
        <v>8.7092380000000007E-4</v>
      </c>
      <c r="O32" s="2">
        <f>IF('Modell einstellen'!$B$1="Voll",J32/0.35,J32/0.35*2)</f>
        <v>-1.9957457428571431E-3</v>
      </c>
      <c r="P32" s="3">
        <f t="shared" si="1"/>
        <v>0.43639015797331526</v>
      </c>
    </row>
    <row r="33" spans="1:16" x14ac:dyDescent="0.25">
      <c r="A33" s="3">
        <v>1000000000000000</v>
      </c>
      <c r="B33" s="3">
        <v>-6.4809999999999998E-4</v>
      </c>
      <c r="C33" s="3">
        <v>9.5E-4</v>
      </c>
      <c r="D33" s="3">
        <v>-6.1090000000000005E-4</v>
      </c>
      <c r="E33" s="3">
        <v>0</v>
      </c>
      <c r="F33" s="3">
        <v>0</v>
      </c>
      <c r="G33" s="3">
        <v>0</v>
      </c>
      <c r="H33" s="3">
        <v>4.7958627E-4</v>
      </c>
      <c r="I33" s="3">
        <v>1.3580800000000001E-4</v>
      </c>
      <c r="J33" s="3">
        <v>-1.0423800999999999E-3</v>
      </c>
      <c r="L33" s="3">
        <f t="shared" si="0"/>
        <v>-1.060893763300049</v>
      </c>
      <c r="M33" s="3"/>
      <c r="N33" s="2">
        <f>IF('Modell einstellen'!$B$1="Voll",H33/0.35,H33/0.35*2)</f>
        <v>1.3702464857142857E-3</v>
      </c>
      <c r="O33" s="2">
        <f>IF('Modell einstellen'!$B$1="Voll",J33/0.35,J33/0.35*2)</f>
        <v>-2.978228857142857E-3</v>
      </c>
      <c r="P33" s="3">
        <f t="shared" si="1"/>
        <v>0.46008770696984719</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3" t="s">
        <v>117</v>
      </c>
      <c r="M1" s="83"/>
      <c r="N1" s="83" t="s">
        <v>39</v>
      </c>
      <c r="O1" s="3" t="s">
        <v>116</v>
      </c>
      <c r="P1" s="83"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3"/>
      <c r="O2" s="83"/>
      <c r="P2" s="3"/>
      <c r="Q2" s="3"/>
      <c r="R2" s="3"/>
      <c r="S2" s="3"/>
      <c r="T2" s="3"/>
      <c r="U2" s="3"/>
    </row>
    <row r="3" spans="1:21" x14ac:dyDescent="0.25">
      <c r="A3" s="3">
        <v>1.0000000000000001E-15</v>
      </c>
      <c r="B3" s="3">
        <v>9.5829999999999996E-5</v>
      </c>
      <c r="C3" s="3">
        <v>1.7789999999999999E-4</v>
      </c>
      <c r="D3" s="3">
        <v>-5.3919999999999999E-4</v>
      </c>
      <c r="E3" s="3">
        <v>0</v>
      </c>
      <c r="F3" s="3">
        <v>0</v>
      </c>
      <c r="G3" s="3">
        <v>0</v>
      </c>
      <c r="H3" s="3">
        <v>7.7593030000000003E-5</v>
      </c>
      <c r="I3" s="3">
        <v>1.8849818E-5</v>
      </c>
      <c r="J3" s="3">
        <v>-2.1749635999999999E-4</v>
      </c>
      <c r="K3" s="3"/>
      <c r="L3" s="3">
        <f>-B3/D3</f>
        <v>0.17772626112759643</v>
      </c>
      <c r="M3" s="3"/>
      <c r="N3" s="2">
        <f>IF('Modell einstellen'!$B$1="Voll",H3/0.35,H3/0.35*2)</f>
        <v>2.2169437142857145E-4</v>
      </c>
      <c r="O3" s="2">
        <f>IF('Modell einstellen'!$B$1="Voll",J3/0.35,J3/0.35*2)</f>
        <v>-6.2141817142857142E-4</v>
      </c>
      <c r="P3" s="3">
        <f>-N3/O3</f>
        <v>0.35675553374778324</v>
      </c>
      <c r="Q3" s="3"/>
      <c r="R3" s="3"/>
      <c r="S3" s="3"/>
      <c r="T3" s="3"/>
      <c r="U3" s="3"/>
    </row>
    <row r="4" spans="1:21" x14ac:dyDescent="0.25">
      <c r="A4" s="3">
        <v>1E-14</v>
      </c>
      <c r="B4" s="3">
        <v>9.5829999999999996E-5</v>
      </c>
      <c r="C4" s="3">
        <v>1.7789999999999999E-4</v>
      </c>
      <c r="D4" s="3">
        <v>-5.3919999999999999E-4</v>
      </c>
      <c r="E4" s="3">
        <v>0</v>
      </c>
      <c r="F4" s="3">
        <v>0</v>
      </c>
      <c r="G4" s="3">
        <v>0</v>
      </c>
      <c r="H4" s="3">
        <v>7.7595300999999995E-5</v>
      </c>
      <c r="I4" s="3">
        <v>1.8850374000000001E-5</v>
      </c>
      <c r="J4" s="3">
        <v>-2.1749226E-4</v>
      </c>
      <c r="K4" s="3"/>
      <c r="L4" s="3">
        <f t="shared" ref="L4:L33" si="0">-B4/D4</f>
        <v>0.17772626112759643</v>
      </c>
      <c r="M4" s="3"/>
      <c r="N4" s="2">
        <f>IF('Modell einstellen'!$B$1="Voll",H4/0.35,H4/0.35*2)</f>
        <v>2.2170086E-4</v>
      </c>
      <c r="O4" s="2">
        <f>IF('Modell einstellen'!$B$1="Voll",J4/0.35,J4/0.35*2)</f>
        <v>-6.2140645714285723E-4</v>
      </c>
      <c r="P4" s="3">
        <f t="shared" ref="P4:P33" si="1">-N4/O4</f>
        <v>0.3567727007848463</v>
      </c>
      <c r="Q4" s="3"/>
      <c r="R4" s="3"/>
      <c r="S4" s="3"/>
      <c r="T4" s="3"/>
      <c r="U4" s="3"/>
    </row>
    <row r="5" spans="1:21" x14ac:dyDescent="0.25">
      <c r="A5" s="3">
        <v>1E-13</v>
      </c>
      <c r="B5" s="3">
        <v>9.5829999999999996E-5</v>
      </c>
      <c r="C5" s="3">
        <v>1.7789999999999999E-4</v>
      </c>
      <c r="D5" s="3">
        <v>-5.3919999999999999E-4</v>
      </c>
      <c r="E5" s="3">
        <v>0</v>
      </c>
      <c r="F5" s="3">
        <v>0</v>
      </c>
      <c r="G5" s="3">
        <v>0</v>
      </c>
      <c r="H5" s="3">
        <v>7.7595608000000001E-5</v>
      </c>
      <c r="I5" s="3">
        <v>1.8850503999999999E-5</v>
      </c>
      <c r="J5" s="3">
        <v>-2.1749306999999999E-4</v>
      </c>
      <c r="K5" s="3"/>
      <c r="L5" s="3">
        <f t="shared" si="0"/>
        <v>0.17772626112759643</v>
      </c>
      <c r="M5" s="3"/>
      <c r="N5" s="2">
        <f>IF('Modell einstellen'!$B$1="Voll",H5/0.35,H5/0.35*2)</f>
        <v>2.2170173714285715E-4</v>
      </c>
      <c r="O5" s="2">
        <f>IF('Modell einstellen'!$B$1="Voll",J5/0.35,J5/0.35*2)</f>
        <v>-6.2140877142857146E-4</v>
      </c>
      <c r="P5" s="3">
        <f t="shared" si="1"/>
        <v>0.35677278361099046</v>
      </c>
      <c r="Q5" s="3"/>
      <c r="R5" s="3"/>
      <c r="S5" s="3"/>
      <c r="T5" s="3"/>
      <c r="U5" s="3"/>
    </row>
    <row r="6" spans="1:21" x14ac:dyDescent="0.25">
      <c r="A6" s="3">
        <v>9.9999999999999998E-13</v>
      </c>
      <c r="B6" s="3">
        <v>9.5829999999999996E-5</v>
      </c>
      <c r="C6" s="3">
        <v>1.7789999999999999E-4</v>
      </c>
      <c r="D6" s="3">
        <v>-5.3919999999999999E-4</v>
      </c>
      <c r="E6" s="3">
        <v>0</v>
      </c>
      <c r="F6" s="3">
        <v>0</v>
      </c>
      <c r="G6" s="3">
        <v>0</v>
      </c>
      <c r="H6" s="3">
        <v>7.7595706000000003E-5</v>
      </c>
      <c r="I6" s="3">
        <v>1.8850537999999999E-5</v>
      </c>
      <c r="J6" s="3">
        <v>-2.1749331000000001E-4</v>
      </c>
      <c r="K6" s="3"/>
      <c r="L6" s="3">
        <f t="shared" si="0"/>
        <v>0.17772626112759643</v>
      </c>
      <c r="M6" s="3"/>
      <c r="N6" s="2">
        <f>IF('Modell einstellen'!$B$1="Voll",H6/0.35,H6/0.35*2)</f>
        <v>2.2170201714285717E-4</v>
      </c>
      <c r="O6" s="2">
        <f>IF('Modell einstellen'!$B$1="Voll",J6/0.35,J6/0.35*2)</f>
        <v>-6.2140945714285716E-4</v>
      </c>
      <c r="P6" s="3">
        <f t="shared" si="1"/>
        <v>0.35677284050714025</v>
      </c>
      <c r="Q6" s="3"/>
      <c r="R6" s="3"/>
      <c r="S6" s="3"/>
      <c r="T6" s="3"/>
      <c r="U6" s="3"/>
    </row>
    <row r="7" spans="1:21" x14ac:dyDescent="0.25">
      <c r="A7" s="3">
        <v>9.9999999999999994E-12</v>
      </c>
      <c r="B7" s="3">
        <v>9.5829999999999996E-5</v>
      </c>
      <c r="C7" s="3">
        <v>1.7789999999999999E-4</v>
      </c>
      <c r="D7" s="3">
        <v>-5.3919999999999999E-4</v>
      </c>
      <c r="E7" s="3">
        <v>0</v>
      </c>
      <c r="F7" s="3">
        <v>0</v>
      </c>
      <c r="G7" s="3">
        <v>0</v>
      </c>
      <c r="H7" s="3">
        <v>7.7595739000000007E-5</v>
      </c>
      <c r="I7" s="3">
        <v>1.8850548E-5</v>
      </c>
      <c r="J7" s="3">
        <v>-2.1749338E-4</v>
      </c>
      <c r="K7" s="3"/>
      <c r="L7" s="3">
        <f t="shared" si="0"/>
        <v>0.17772626112759643</v>
      </c>
      <c r="M7" s="3"/>
      <c r="N7" s="2">
        <f>IF('Modell einstellen'!$B$1="Voll",H7/0.35,H7/0.35*2)</f>
        <v>2.2170211142857147E-4</v>
      </c>
      <c r="O7" s="2">
        <f>IF('Modell einstellen'!$B$1="Voll",J7/0.35,J7/0.35*2)</f>
        <v>-6.2140965714285723E-4</v>
      </c>
      <c r="P7" s="3">
        <f t="shared" si="1"/>
        <v>0.35677287740895841</v>
      </c>
      <c r="Q7" s="3"/>
      <c r="R7" s="3"/>
      <c r="S7" s="3"/>
      <c r="T7" s="3"/>
      <c r="U7" s="3"/>
    </row>
    <row r="8" spans="1:21" x14ac:dyDescent="0.25">
      <c r="A8" s="3">
        <v>1E-10</v>
      </c>
      <c r="B8" s="3">
        <v>9.5829999999999996E-5</v>
      </c>
      <c r="C8" s="3">
        <v>1.7789999999999999E-4</v>
      </c>
      <c r="D8" s="3">
        <v>-5.3919999999999999E-4</v>
      </c>
      <c r="E8" s="3">
        <v>0</v>
      </c>
      <c r="F8" s="3">
        <v>0</v>
      </c>
      <c r="G8" s="3">
        <v>0</v>
      </c>
      <c r="H8" s="3">
        <v>7.7595748999999994E-5</v>
      </c>
      <c r="I8" s="3">
        <v>1.8850551000000001E-5</v>
      </c>
      <c r="J8" s="3">
        <v>-2.1749340999999999E-4</v>
      </c>
      <c r="K8" s="3"/>
      <c r="L8" s="3">
        <f t="shared" si="0"/>
        <v>0.17772626112759643</v>
      </c>
      <c r="M8" s="3"/>
      <c r="N8" s="2">
        <f>IF('Modell einstellen'!$B$1="Voll",H8/0.35,H8/0.35*2)</f>
        <v>2.2170214000000001E-4</v>
      </c>
      <c r="O8" s="2">
        <f>IF('Modell einstellen'!$B$1="Voll",J8/0.35,J8/0.35*2)</f>
        <v>-6.2140974285714284E-4</v>
      </c>
      <c r="P8" s="3">
        <f t="shared" si="1"/>
        <v>0.35677287417581988</v>
      </c>
      <c r="Q8" s="3"/>
      <c r="R8" s="3"/>
      <c r="S8" s="3"/>
      <c r="T8" s="3"/>
      <c r="U8" s="3"/>
    </row>
    <row r="9" spans="1:21" x14ac:dyDescent="0.25">
      <c r="A9" s="3">
        <v>1.0000000000000001E-9</v>
      </c>
      <c r="B9" s="3">
        <v>9.5829999999999996E-5</v>
      </c>
      <c r="C9" s="3">
        <v>1.7789999999999999E-4</v>
      </c>
      <c r="D9" s="3">
        <v>-5.3919999999999999E-4</v>
      </c>
      <c r="E9" s="3">
        <v>0</v>
      </c>
      <c r="F9" s="3">
        <v>0</v>
      </c>
      <c r="G9" s="3">
        <v>0</v>
      </c>
      <c r="H9" s="3">
        <v>7.7595753000000005E-5</v>
      </c>
      <c r="I9" s="3">
        <v>1.8850552000000001E-5</v>
      </c>
      <c r="J9" s="3">
        <v>-2.1749340999999999E-4</v>
      </c>
      <c r="K9" s="3"/>
      <c r="L9" s="3">
        <f t="shared" si="0"/>
        <v>0.17772626112759643</v>
      </c>
      <c r="M9" s="3"/>
      <c r="N9" s="2">
        <f>IF('Modell einstellen'!$B$1="Voll",H9/0.35,H9/0.35*2)</f>
        <v>2.2170215142857145E-4</v>
      </c>
      <c r="O9" s="2">
        <f>IF('Modell einstellen'!$B$1="Voll",J9/0.35,J9/0.35*2)</f>
        <v>-6.2140974285714284E-4</v>
      </c>
      <c r="P9" s="3">
        <f t="shared" si="1"/>
        <v>0.35677289256718175</v>
      </c>
      <c r="Q9" s="3"/>
      <c r="R9" s="3"/>
      <c r="S9" s="3"/>
      <c r="T9" s="3"/>
      <c r="U9" s="3"/>
    </row>
    <row r="10" spans="1:21" x14ac:dyDescent="0.25">
      <c r="A10" s="3">
        <v>1E-8</v>
      </c>
      <c r="B10" s="3">
        <v>9.5829999999999996E-5</v>
      </c>
      <c r="C10" s="3">
        <v>1.7789999999999999E-4</v>
      </c>
      <c r="D10" s="3">
        <v>-5.3919999999999999E-4</v>
      </c>
      <c r="E10" s="3">
        <v>0</v>
      </c>
      <c r="F10" s="3">
        <v>0</v>
      </c>
      <c r="G10" s="3">
        <v>0</v>
      </c>
      <c r="H10" s="3">
        <v>7.7595754999999997E-5</v>
      </c>
      <c r="I10" s="3">
        <v>1.8850552000000001E-5</v>
      </c>
      <c r="J10" s="3">
        <v>-2.1749342E-4</v>
      </c>
      <c r="K10" s="3"/>
      <c r="L10" s="3">
        <f t="shared" si="0"/>
        <v>0.17772626112759643</v>
      </c>
      <c r="M10" s="3"/>
      <c r="N10" s="2">
        <f>IF('Modell einstellen'!$B$1="Voll",H10/0.35,H10/0.35*2)</f>
        <v>2.2170215714285716E-4</v>
      </c>
      <c r="O10" s="2">
        <f>IF('Modell einstellen'!$B$1="Voll",J10/0.35,J10/0.35*2)</f>
        <v>-6.2140977142857148E-4</v>
      </c>
      <c r="P10" s="3">
        <f t="shared" si="1"/>
        <v>0.35677288535901452</v>
      </c>
      <c r="Q10" s="3"/>
      <c r="R10" s="3"/>
      <c r="S10" s="3"/>
      <c r="T10" s="3"/>
      <c r="U10" s="3"/>
    </row>
    <row r="11" spans="1:21" x14ac:dyDescent="0.25">
      <c r="A11" s="3">
        <v>9.9999999999999995E-8</v>
      </c>
      <c r="B11" s="3">
        <v>9.5829999999999996E-5</v>
      </c>
      <c r="C11" s="3">
        <v>1.7789999999999999E-4</v>
      </c>
      <c r="D11" s="3">
        <v>-5.3919999999999999E-4</v>
      </c>
      <c r="E11" s="3">
        <v>0</v>
      </c>
      <c r="F11" s="3">
        <v>0</v>
      </c>
      <c r="G11" s="3">
        <v>0</v>
      </c>
      <c r="H11" s="3">
        <v>7.7595758999999994E-5</v>
      </c>
      <c r="I11" s="3">
        <v>1.8850553E-5</v>
      </c>
      <c r="J11" s="3">
        <v>-2.1749342999999999E-4</v>
      </c>
      <c r="K11" s="3"/>
      <c r="L11" s="3">
        <f t="shared" si="0"/>
        <v>0.17772626112759643</v>
      </c>
      <c r="M11" s="3"/>
      <c r="N11" s="2">
        <f>IF('Modell einstellen'!$B$1="Voll",H11/0.35,H11/0.35*2)</f>
        <v>2.2170216857142857E-4</v>
      </c>
      <c r="O11" s="2">
        <f>IF('Modell einstellen'!$B$1="Voll",J11/0.35,J11/0.35*2)</f>
        <v>-6.2140980000000001E-4</v>
      </c>
      <c r="P11" s="3">
        <f t="shared" si="1"/>
        <v>0.35677288734652812</v>
      </c>
      <c r="Q11" s="3"/>
      <c r="R11" s="3"/>
      <c r="S11" s="3"/>
      <c r="T11" s="3"/>
      <c r="U11" s="3"/>
    </row>
    <row r="12" spans="1:21" x14ac:dyDescent="0.25">
      <c r="A12" s="3">
        <v>9.9999999999999995E-7</v>
      </c>
      <c r="B12" s="3">
        <v>9.5829999999999996E-5</v>
      </c>
      <c r="C12" s="3">
        <v>1.7789999999999999E-4</v>
      </c>
      <c r="D12" s="3">
        <v>-5.3919999999999999E-4</v>
      </c>
      <c r="E12" s="3">
        <v>0</v>
      </c>
      <c r="F12" s="3">
        <v>0</v>
      </c>
      <c r="G12" s="3">
        <v>0</v>
      </c>
      <c r="H12" s="3">
        <v>7.7595801000000003E-5</v>
      </c>
      <c r="I12" s="3">
        <v>1.8850560999999999E-5</v>
      </c>
      <c r="J12" s="3">
        <v>-2.1749350000000001E-4</v>
      </c>
      <c r="K12" s="3"/>
      <c r="L12" s="3">
        <f t="shared" si="0"/>
        <v>0.17772626112759643</v>
      </c>
      <c r="M12" s="3"/>
      <c r="N12" s="2">
        <f>IF('Modell einstellen'!$B$1="Voll",H12/0.35,H12/0.35*2)</f>
        <v>2.2170228857142861E-4</v>
      </c>
      <c r="O12" s="2">
        <f>IF('Modell einstellen'!$B$1="Voll",J12/0.35,J12/0.35*2)</f>
        <v>-6.2141000000000008E-4</v>
      </c>
      <c r="P12" s="3">
        <f t="shared" si="1"/>
        <v>0.35677296562885791</v>
      </c>
      <c r="Q12" s="3"/>
      <c r="R12" s="3"/>
      <c r="S12" s="3"/>
      <c r="T12" s="3"/>
      <c r="U12" s="3"/>
    </row>
    <row r="13" spans="1:21" x14ac:dyDescent="0.25">
      <c r="A13" s="3">
        <v>1.0000000000000001E-5</v>
      </c>
      <c r="B13" s="3">
        <v>9.5829999999999996E-5</v>
      </c>
      <c r="C13" s="3">
        <v>1.7789999999999999E-4</v>
      </c>
      <c r="D13" s="3">
        <v>-5.3919999999999999E-4</v>
      </c>
      <c r="E13" s="3">
        <v>0</v>
      </c>
      <c r="F13" s="3">
        <v>0</v>
      </c>
      <c r="G13" s="3">
        <v>0</v>
      </c>
      <c r="H13" s="3">
        <v>7.7596218999999999E-5</v>
      </c>
      <c r="I13" s="3">
        <v>1.8850640000000002E-5</v>
      </c>
      <c r="J13" s="3">
        <v>-2.1749424999999999E-4</v>
      </c>
      <c r="K13" s="3"/>
      <c r="L13" s="3">
        <f t="shared" si="0"/>
        <v>0.17772626112759643</v>
      </c>
      <c r="M13" s="3"/>
      <c r="N13" s="2">
        <f>IF('Modell einstellen'!$B$1="Voll",H13/0.35,H13/0.35*2)</f>
        <v>2.2170348285714288E-4</v>
      </c>
      <c r="O13" s="2">
        <f>IF('Modell einstellen'!$B$1="Voll",J13/0.35,J13/0.35*2)</f>
        <v>-6.214121428571429E-4</v>
      </c>
      <c r="P13" s="3">
        <f t="shared" si="1"/>
        <v>0.35677365723461657</v>
      </c>
      <c r="Q13" s="3"/>
      <c r="R13" s="3"/>
      <c r="S13" s="3"/>
      <c r="T13" s="3"/>
      <c r="U13" s="3"/>
    </row>
    <row r="14" spans="1:21" x14ac:dyDescent="0.25">
      <c r="A14" s="3">
        <v>1E-4</v>
      </c>
      <c r="B14" s="3">
        <v>9.5829999999999996E-5</v>
      </c>
      <c r="C14" s="3">
        <v>1.7789999999999999E-4</v>
      </c>
      <c r="D14" s="3">
        <v>-5.3919999999999999E-4</v>
      </c>
      <c r="E14" s="3">
        <v>0</v>
      </c>
      <c r="F14" s="3">
        <v>0</v>
      </c>
      <c r="G14" s="3">
        <v>0</v>
      </c>
      <c r="H14" s="3">
        <v>7.7600393000000004E-5</v>
      </c>
      <c r="I14" s="3">
        <v>1.8851428E-5</v>
      </c>
      <c r="J14" s="3">
        <v>-2.1750171E-4</v>
      </c>
      <c r="K14" s="3"/>
      <c r="L14" s="3">
        <f t="shared" si="0"/>
        <v>0.17772626112759643</v>
      </c>
      <c r="M14" s="3"/>
      <c r="N14" s="2">
        <f>IF('Modell einstellen'!$B$1="Voll",H14/0.35,H14/0.35*2)</f>
        <v>2.217154085714286E-4</v>
      </c>
      <c r="O14" s="2">
        <f>IF('Modell einstellen'!$B$1="Voll",J14/0.35,J14/0.35*2)</f>
        <v>-6.2143345714285722E-4</v>
      </c>
      <c r="P14" s="3">
        <f t="shared" si="1"/>
        <v>0.35678061105818432</v>
      </c>
      <c r="Q14" s="3"/>
      <c r="R14" s="3"/>
      <c r="S14" s="3"/>
      <c r="T14" s="3"/>
      <c r="U14" s="3"/>
    </row>
    <row r="15" spans="1:21" x14ac:dyDescent="0.25">
      <c r="A15" s="3">
        <v>1E-3</v>
      </c>
      <c r="B15" s="3">
        <v>9.5820000000000001E-5</v>
      </c>
      <c r="C15" s="3">
        <v>1.7799999999999999E-4</v>
      </c>
      <c r="D15" s="3">
        <v>-5.3930000000000004E-4</v>
      </c>
      <c r="E15" s="3">
        <v>0</v>
      </c>
      <c r="F15" s="3">
        <v>0</v>
      </c>
      <c r="G15" s="3">
        <v>0</v>
      </c>
      <c r="H15" s="3">
        <v>7.7641833000000003E-5</v>
      </c>
      <c r="I15" s="3">
        <v>1.8859251E-5</v>
      </c>
      <c r="J15" s="3">
        <v>-2.1757577E-4</v>
      </c>
      <c r="K15" s="3"/>
      <c r="L15" s="3">
        <f t="shared" si="0"/>
        <v>0.17767476358242165</v>
      </c>
      <c r="M15" s="3"/>
      <c r="N15" s="2">
        <f>IF('Modell einstellen'!$B$1="Voll",H15/0.35,H15/0.35*2)</f>
        <v>2.2183380857142859E-4</v>
      </c>
      <c r="O15" s="2">
        <f>IF('Modell einstellen'!$B$1="Voll",J15/0.35,J15/0.35*2)</f>
        <v>-6.2164505714285717E-4</v>
      </c>
      <c r="P15" s="3">
        <f t="shared" si="1"/>
        <v>0.35684962990134428</v>
      </c>
      <c r="Q15" s="3"/>
      <c r="R15" s="3"/>
      <c r="S15" s="3"/>
      <c r="T15" s="3"/>
      <c r="U15" s="3"/>
    </row>
    <row r="16" spans="1:21" x14ac:dyDescent="0.25">
      <c r="A16" s="3">
        <v>0.01</v>
      </c>
      <c r="B16" s="3">
        <v>9.5740000000000002E-5</v>
      </c>
      <c r="C16" s="3">
        <v>1.786E-4</v>
      </c>
      <c r="D16" s="3">
        <v>-5.4000000000000001E-4</v>
      </c>
      <c r="E16" s="3">
        <v>0</v>
      </c>
      <c r="F16" s="3">
        <v>0</v>
      </c>
      <c r="G16" s="3">
        <v>0</v>
      </c>
      <c r="H16" s="3">
        <v>7.8027208999999995E-5</v>
      </c>
      <c r="I16" s="3">
        <v>1.8931956000000001E-5</v>
      </c>
      <c r="J16" s="3">
        <v>-2.1826431999999999E-4</v>
      </c>
      <c r="K16" s="3"/>
      <c r="L16" s="3">
        <f t="shared" si="0"/>
        <v>0.17729629629629629</v>
      </c>
      <c r="M16" s="3"/>
      <c r="N16" s="2">
        <f>IF('Modell einstellen'!$B$1="Voll",H16/0.35,H16/0.35*2)</f>
        <v>2.2293488285714285E-4</v>
      </c>
      <c r="O16" s="2">
        <f>IF('Modell einstellen'!$B$1="Voll",J16/0.35,J16/0.35*2)</f>
        <v>-6.2361234285714291E-4</v>
      </c>
      <c r="P16" s="3">
        <f t="shared" si="1"/>
        <v>0.35748952920935495</v>
      </c>
      <c r="Q16" s="3"/>
      <c r="R16" s="3"/>
      <c r="S16" s="3"/>
      <c r="T16" s="3"/>
      <c r="U16" s="3"/>
    </row>
    <row r="17" spans="1:25" x14ac:dyDescent="0.25">
      <c r="A17" s="3">
        <v>0.1</v>
      </c>
      <c r="B17" s="3">
        <v>9.5950000000000001E-5</v>
      </c>
      <c r="C17" s="3">
        <v>1.8220000000000001E-4</v>
      </c>
      <c r="D17" s="3">
        <v>-5.4509999999999997E-4</v>
      </c>
      <c r="E17" s="3">
        <v>0</v>
      </c>
      <c r="F17" s="3">
        <v>0</v>
      </c>
      <c r="G17" s="3">
        <v>0</v>
      </c>
      <c r="H17" s="3">
        <v>8.0196196000000006E-5</v>
      </c>
      <c r="I17" s="3">
        <v>1.9355408E-5</v>
      </c>
      <c r="J17" s="3">
        <v>-2.2218503999999999E-4</v>
      </c>
      <c r="K17" s="3"/>
      <c r="L17" s="3">
        <f t="shared" si="0"/>
        <v>0.17602274811961111</v>
      </c>
      <c r="M17" s="3"/>
      <c r="N17" s="2">
        <f>IF('Modell einstellen'!$B$1="Voll",H17/0.35,H17/0.35*2)</f>
        <v>2.2913198857142861E-4</v>
      </c>
      <c r="O17" s="2">
        <f>IF('Modell einstellen'!$B$1="Voll",J17/0.35,J17/0.35*2)</f>
        <v>-6.3481440000000007E-4</v>
      </c>
      <c r="P17" s="3">
        <f t="shared" si="1"/>
        <v>0.36094327502877782</v>
      </c>
      <c r="Q17" s="3"/>
      <c r="R17" s="3"/>
      <c r="S17" s="3"/>
      <c r="T17" s="3"/>
      <c r="U17" s="3"/>
      <c r="V17" s="3"/>
      <c r="W17" s="3"/>
      <c r="X17" s="3"/>
      <c r="Y17" s="3"/>
    </row>
    <row r="18" spans="1:25" x14ac:dyDescent="0.25">
      <c r="A18" s="3">
        <v>1</v>
      </c>
      <c r="B18" s="3">
        <v>9.5870000000000002E-5</v>
      </c>
      <c r="C18" s="3">
        <v>1.8660000000000001E-4</v>
      </c>
      <c r="D18" s="3">
        <v>-5.5099999999999995E-4</v>
      </c>
      <c r="E18" s="3">
        <v>0</v>
      </c>
      <c r="F18" s="3">
        <v>0</v>
      </c>
      <c r="G18" s="3">
        <v>0</v>
      </c>
      <c r="H18" s="3">
        <v>8.2915054000000003E-5</v>
      </c>
      <c r="I18" s="3">
        <v>1.9875882000000001E-5</v>
      </c>
      <c r="J18" s="3">
        <v>-2.2705132E-4</v>
      </c>
      <c r="K18" s="3"/>
      <c r="L18" s="3">
        <f t="shared" si="0"/>
        <v>0.17399274047186936</v>
      </c>
      <c r="M18" s="3"/>
      <c r="N18" s="2">
        <f>IF('Modell einstellen'!$B$1="Voll",H18/0.35,H18/0.35*2)</f>
        <v>2.3690015428571432E-4</v>
      </c>
      <c r="O18" s="2">
        <f>IF('Modell einstellen'!$B$1="Voll",J18/0.35,J18/0.35*2)</f>
        <v>-6.4871805714285724E-4</v>
      </c>
      <c r="P18" s="3">
        <f t="shared" si="1"/>
        <v>0.36518199497805165</v>
      </c>
      <c r="Q18" s="3"/>
      <c r="R18" s="3"/>
      <c r="S18" s="3"/>
      <c r="T18" s="3"/>
      <c r="U18" s="3"/>
      <c r="V18" s="3"/>
      <c r="W18" s="3"/>
      <c r="X18" s="3"/>
      <c r="Y18" s="3"/>
    </row>
    <row r="19" spans="1:25" x14ac:dyDescent="0.25">
      <c r="A19" s="3">
        <v>10</v>
      </c>
      <c r="B19" s="3">
        <v>9.5660000000000002E-5</v>
      </c>
      <c r="C19" s="3">
        <v>1.917E-4</v>
      </c>
      <c r="D19" s="3">
        <v>-5.576E-4</v>
      </c>
      <c r="E19" s="3">
        <v>0</v>
      </c>
      <c r="F19" s="3">
        <v>0</v>
      </c>
      <c r="G19" s="3">
        <v>0</v>
      </c>
      <c r="H19" s="3">
        <v>8.6096283000000005E-5</v>
      </c>
      <c r="I19" s="3">
        <v>2.0489436999999999E-5</v>
      </c>
      <c r="J19" s="3">
        <v>-2.3273597E-4</v>
      </c>
      <c r="K19" s="3"/>
      <c r="L19" s="3">
        <f t="shared" si="0"/>
        <v>0.17155667144906744</v>
      </c>
      <c r="M19" s="3"/>
      <c r="N19" s="2">
        <f>IF('Modell einstellen'!$B$1="Voll",H19/0.35,H19/0.35*2)</f>
        <v>2.4598938000000001E-4</v>
      </c>
      <c r="O19" s="2">
        <f>IF('Modell einstellen'!$B$1="Voll",J19/0.35,J19/0.35*2)</f>
        <v>-6.6495991428571432E-4</v>
      </c>
      <c r="P19" s="3">
        <f t="shared" si="1"/>
        <v>0.36993114128426302</v>
      </c>
      <c r="Q19" s="3"/>
      <c r="R19" s="3"/>
      <c r="S19" s="3"/>
      <c r="T19" s="3"/>
      <c r="U19" s="3"/>
      <c r="V19" s="3"/>
      <c r="W19" s="3"/>
      <c r="X19" s="3"/>
      <c r="Y19" s="3"/>
    </row>
    <row r="20" spans="1:25" x14ac:dyDescent="0.25">
      <c r="A20" s="3">
        <v>100</v>
      </c>
      <c r="B20" s="3">
        <v>9.6050000000000004E-5</v>
      </c>
      <c r="C20" s="3">
        <v>1.994E-4</v>
      </c>
      <c r="D20" s="3">
        <v>-5.6729999999999997E-4</v>
      </c>
      <c r="E20" s="3">
        <v>0</v>
      </c>
      <c r="F20" s="3">
        <v>0</v>
      </c>
      <c r="G20" s="3">
        <v>0</v>
      </c>
      <c r="H20" s="3">
        <v>9.0150247999999994E-5</v>
      </c>
      <c r="I20" s="3">
        <v>2.1404931E-5</v>
      </c>
      <c r="J20" s="3">
        <v>-2.4030849E-4</v>
      </c>
      <c r="K20" s="3"/>
      <c r="L20" s="3">
        <f t="shared" si="0"/>
        <v>0.16931077031552971</v>
      </c>
      <c r="M20" s="3"/>
      <c r="N20" s="2">
        <f>IF('Modell einstellen'!$B$1="Voll",H20/0.35,H20/0.35*2)</f>
        <v>2.5757213714285715E-4</v>
      </c>
      <c r="O20" s="2">
        <f>IF('Modell einstellen'!$B$1="Voll",J20/0.35,J20/0.35*2)</f>
        <v>-6.8659568571428572E-4</v>
      </c>
      <c r="P20" s="3">
        <f t="shared" si="1"/>
        <v>0.37514383282921049</v>
      </c>
      <c r="Q20" s="3"/>
      <c r="R20" s="3"/>
      <c r="S20" s="3"/>
      <c r="T20" s="3"/>
      <c r="U20" s="3"/>
      <c r="V20" s="3"/>
      <c r="W20" s="3"/>
      <c r="X20" s="3"/>
      <c r="Y20" s="3"/>
    </row>
    <row r="21" spans="1:25" x14ac:dyDescent="0.25">
      <c r="A21" s="3">
        <v>1000</v>
      </c>
      <c r="B21" s="3">
        <v>1.008E-4</v>
      </c>
      <c r="C21" s="3">
        <v>2.142E-4</v>
      </c>
      <c r="D21" s="3">
        <v>-5.867E-4</v>
      </c>
      <c r="E21" s="3">
        <v>0</v>
      </c>
      <c r="F21" s="3">
        <v>0</v>
      </c>
      <c r="G21" s="3">
        <v>0</v>
      </c>
      <c r="H21" s="3">
        <v>9.4835808000000006E-5</v>
      </c>
      <c r="I21" s="3">
        <v>2.3131613999999999E-5</v>
      </c>
      <c r="J21" s="3">
        <v>-2.5083263999999998E-4</v>
      </c>
      <c r="K21" s="3"/>
      <c r="L21" s="3">
        <f t="shared" si="0"/>
        <v>0.17180841997613772</v>
      </c>
      <c r="M21" s="3"/>
      <c r="N21" s="2">
        <f>IF('Modell einstellen'!$B$1="Voll",H21/0.35,H21/0.35*2)</f>
        <v>2.7095945142857148E-4</v>
      </c>
      <c r="O21" s="2">
        <f>IF('Modell einstellen'!$B$1="Voll",J21/0.35,J21/0.35*2)</f>
        <v>-7.1666468571428569E-4</v>
      </c>
      <c r="P21" s="3">
        <f t="shared" si="1"/>
        <v>0.37808400055112451</v>
      </c>
      <c r="Q21" s="3"/>
      <c r="R21" s="3"/>
      <c r="S21" s="3"/>
      <c r="T21" s="3"/>
      <c r="U21" s="3"/>
      <c r="V21" s="3"/>
      <c r="W21" s="3"/>
      <c r="X21" s="3"/>
      <c r="Y21" s="3"/>
    </row>
    <row r="22" spans="1:25" x14ac:dyDescent="0.25">
      <c r="A22" s="3">
        <v>10000</v>
      </c>
      <c r="B22" s="3">
        <v>1.121E-4</v>
      </c>
      <c r="C22" s="3">
        <v>2.3910000000000001E-4</v>
      </c>
      <c r="D22" s="3">
        <v>-6.2080000000000002E-4</v>
      </c>
      <c r="E22" s="3">
        <v>0</v>
      </c>
      <c r="F22" s="3">
        <v>0</v>
      </c>
      <c r="G22" s="3">
        <v>0</v>
      </c>
      <c r="H22" s="3">
        <v>1.010157E-4</v>
      </c>
      <c r="I22" s="3">
        <v>2.6050137000000001E-5</v>
      </c>
      <c r="J22" s="3">
        <v>-2.6645873999999999E-4</v>
      </c>
      <c r="K22" s="3"/>
      <c r="L22" s="3">
        <f t="shared" si="0"/>
        <v>0.18057345360824742</v>
      </c>
      <c r="M22" s="3"/>
      <c r="N22" s="2">
        <f>IF('Modell einstellen'!$B$1="Voll",H22/0.35,H22/0.35*2)</f>
        <v>2.8861628571428573E-4</v>
      </c>
      <c r="O22" s="2">
        <f>IF('Modell einstellen'!$B$1="Voll",J22/0.35,J22/0.35*2)</f>
        <v>-7.6131068571428577E-4</v>
      </c>
      <c r="P22" s="3">
        <f t="shared" si="1"/>
        <v>0.37910447223461313</v>
      </c>
      <c r="Q22" s="3"/>
      <c r="R22" s="3"/>
      <c r="S22" s="3"/>
      <c r="T22" s="3"/>
      <c r="U22" s="3"/>
      <c r="V22" s="3"/>
      <c r="W22" s="3"/>
      <c r="X22" s="3"/>
      <c r="Y22" s="3"/>
    </row>
    <row r="23" spans="1:25" x14ac:dyDescent="0.25">
      <c r="A23" s="3">
        <v>100000</v>
      </c>
      <c r="B23" s="3">
        <v>1.2540000000000001E-4</v>
      </c>
      <c r="C23" s="3">
        <v>2.6909999999999998E-4</v>
      </c>
      <c r="D23" s="3">
        <v>-6.6220000000000005E-4</v>
      </c>
      <c r="E23" s="3">
        <v>0</v>
      </c>
      <c r="F23" s="3">
        <v>0</v>
      </c>
      <c r="G23" s="3">
        <v>0</v>
      </c>
      <c r="H23" s="3">
        <v>1.0895603999999999E-4</v>
      </c>
      <c r="I23" s="3">
        <v>2.9624218999999999E-5</v>
      </c>
      <c r="J23" s="3">
        <v>-2.861723E-4</v>
      </c>
      <c r="K23" s="3"/>
      <c r="L23" s="3">
        <f t="shared" si="0"/>
        <v>0.18936877076411959</v>
      </c>
      <c r="M23" s="3"/>
      <c r="N23" s="2">
        <f>IF('Modell einstellen'!$B$1="Voll",H23/0.35,H23/0.35*2)</f>
        <v>3.1130297142857144E-4</v>
      </c>
      <c r="O23" s="2">
        <f>IF('Modell einstellen'!$B$1="Voll",J23/0.35,J23/0.35*2)</f>
        <v>-8.1763514285714293E-4</v>
      </c>
      <c r="P23" s="3">
        <f t="shared" si="1"/>
        <v>0.38073580147344799</v>
      </c>
      <c r="Q23" s="3"/>
      <c r="R23" s="3"/>
      <c r="S23" s="3"/>
      <c r="T23" s="3"/>
      <c r="U23" s="3"/>
      <c r="V23" s="3"/>
      <c r="W23" s="3"/>
      <c r="X23" s="3"/>
      <c r="Y23" s="3"/>
    </row>
    <row r="24" spans="1:25" x14ac:dyDescent="0.25">
      <c r="A24" s="3">
        <v>1000000</v>
      </c>
      <c r="B24" s="3">
        <v>1.381E-4</v>
      </c>
      <c r="C24" s="3">
        <v>2.99E-4</v>
      </c>
      <c r="D24" s="3">
        <v>-7.0390000000000003E-4</v>
      </c>
      <c r="E24" s="3">
        <v>0</v>
      </c>
      <c r="F24" s="3">
        <v>0</v>
      </c>
      <c r="G24" s="3">
        <v>0</v>
      </c>
      <c r="H24" s="3">
        <v>1.1802469E-4</v>
      </c>
      <c r="I24" s="3">
        <v>3.3274714E-5</v>
      </c>
      <c r="J24" s="3">
        <v>-3.0758834999999998E-4</v>
      </c>
      <c r="K24" s="3"/>
      <c r="L24" s="3">
        <f t="shared" si="0"/>
        <v>0.19619264100014205</v>
      </c>
      <c r="M24" s="3"/>
      <c r="N24" s="2">
        <f>IF('Modell einstellen'!$B$1="Voll",H24/0.35,H24/0.35*2)</f>
        <v>3.3721340000000003E-4</v>
      </c>
      <c r="O24" s="2">
        <f>IF('Modell einstellen'!$B$1="Voll",J24/0.35,J24/0.35*2)</f>
        <v>-8.7882385714285716E-4</v>
      </c>
      <c r="P24" s="3">
        <f t="shared" si="1"/>
        <v>0.38370988368057507</v>
      </c>
      <c r="Q24" s="3"/>
      <c r="R24" s="3"/>
      <c r="S24" s="3"/>
      <c r="T24" s="3"/>
      <c r="U24" s="3"/>
      <c r="V24" s="3"/>
      <c r="W24" s="3"/>
      <c r="X24" s="3"/>
      <c r="Y24" s="3"/>
    </row>
    <row r="25" spans="1:25" x14ac:dyDescent="0.25">
      <c r="A25" s="3">
        <v>10000000</v>
      </c>
      <c r="B25" s="3">
        <v>1.462E-4</v>
      </c>
      <c r="C25" s="3">
        <v>3.2820000000000001E-4</v>
      </c>
      <c r="D25" s="3">
        <v>-7.4180000000000003E-4</v>
      </c>
      <c r="E25" s="3">
        <v>0</v>
      </c>
      <c r="F25" s="3">
        <v>0</v>
      </c>
      <c r="G25" s="3">
        <v>0</v>
      </c>
      <c r="H25" s="3">
        <v>1.2821594E-4</v>
      </c>
      <c r="I25" s="3">
        <v>3.6958442000000003E-5</v>
      </c>
      <c r="J25" s="3">
        <v>-3.3059263999999999E-4</v>
      </c>
      <c r="K25" s="3"/>
      <c r="L25" s="3">
        <f t="shared" si="0"/>
        <v>0.1970881639255864</v>
      </c>
      <c r="M25" s="3"/>
      <c r="N25" s="2">
        <f>IF('Modell einstellen'!$B$1="Voll",H25/0.35,H25/0.35*2)</f>
        <v>3.6633125714285715E-4</v>
      </c>
      <c r="O25" s="2">
        <f>IF('Modell einstellen'!$B$1="Voll",J25/0.35,J25/0.35*2)</f>
        <v>-9.4455039999999997E-4</v>
      </c>
      <c r="P25" s="3">
        <f t="shared" si="1"/>
        <v>0.38783664391318573</v>
      </c>
      <c r="Q25" s="3"/>
      <c r="R25" s="3"/>
      <c r="S25" s="3"/>
      <c r="T25" s="3"/>
      <c r="U25" s="3"/>
      <c r="V25" s="3"/>
      <c r="W25" s="3"/>
      <c r="X25" s="3"/>
      <c r="Y25" s="3"/>
    </row>
    <row r="26" spans="1:25" x14ac:dyDescent="0.25">
      <c r="A26" s="3">
        <v>100000000</v>
      </c>
      <c r="B26" s="3">
        <v>1.4870000000000001E-4</v>
      </c>
      <c r="C26" s="3">
        <v>3.59E-4</v>
      </c>
      <c r="D26" s="3">
        <v>-7.7700000000000002E-4</v>
      </c>
      <c r="E26" s="3">
        <v>0</v>
      </c>
      <c r="F26" s="3">
        <v>0</v>
      </c>
      <c r="G26" s="3">
        <v>0</v>
      </c>
      <c r="H26" s="3">
        <v>1.4039883000000001E-4</v>
      </c>
      <c r="I26" s="3">
        <v>4.0969612999999997E-5</v>
      </c>
      <c r="J26" s="3">
        <v>-3.5707395999999997E-4</v>
      </c>
      <c r="K26" s="3"/>
      <c r="L26" s="3">
        <f t="shared" si="0"/>
        <v>0.19137709137709139</v>
      </c>
      <c r="M26" s="3"/>
      <c r="N26" s="2">
        <f>IF('Modell einstellen'!$B$1="Voll",H26/0.35,H26/0.35*2)</f>
        <v>4.0113951428571434E-4</v>
      </c>
      <c r="O26" s="2">
        <f>IF('Modell einstellen'!$B$1="Voll",J26/0.35,J26/0.35*2)</f>
        <v>-1.0202113142857142E-3</v>
      </c>
      <c r="P26" s="3">
        <f t="shared" si="1"/>
        <v>0.39319257556613768</v>
      </c>
      <c r="Q26" s="3"/>
      <c r="R26" s="3"/>
      <c r="S26" s="3"/>
      <c r="T26" s="3"/>
      <c r="U26" s="3"/>
      <c r="V26" s="3"/>
      <c r="W26" s="3"/>
      <c r="X26" s="3"/>
      <c r="Y26" s="3"/>
    </row>
    <row r="27" spans="1:25" x14ac:dyDescent="0.25">
      <c r="A27" s="3">
        <v>1000000000</v>
      </c>
      <c r="B27" s="3">
        <v>1.4249999999999999E-4</v>
      </c>
      <c r="C27" s="3">
        <v>3.9599999999999998E-4</v>
      </c>
      <c r="D27" s="3">
        <v>-8.1099999999999998E-4</v>
      </c>
      <c r="E27" s="3">
        <v>0</v>
      </c>
      <c r="F27" s="3">
        <v>0</v>
      </c>
      <c r="G27" s="3">
        <v>0</v>
      </c>
      <c r="H27" s="3">
        <v>1.5646152999999999E-4</v>
      </c>
      <c r="I27" s="3">
        <v>4.5963247000000003E-5</v>
      </c>
      <c r="J27" s="3">
        <v>-3.9122791000000001E-4</v>
      </c>
      <c r="K27" s="3"/>
      <c r="L27" s="3">
        <f t="shared" si="0"/>
        <v>0.17570900123304561</v>
      </c>
      <c r="M27" s="3"/>
      <c r="N27" s="2">
        <f>IF('Modell einstellen'!$B$1="Voll",H27/0.35,H27/0.35*2)</f>
        <v>4.4703294285714288E-4</v>
      </c>
      <c r="O27" s="2">
        <f>IF('Modell einstellen'!$B$1="Voll",J27/0.35,J27/0.35*2)</f>
        <v>-1.1177940285714287E-3</v>
      </c>
      <c r="P27" s="3">
        <f t="shared" si="1"/>
        <v>0.39992425387033348</v>
      </c>
      <c r="Q27" s="3"/>
      <c r="R27" s="3"/>
      <c r="S27" s="3"/>
      <c r="T27" s="3"/>
      <c r="U27" s="3"/>
      <c r="V27" s="3"/>
      <c r="W27" s="3"/>
      <c r="X27" s="3"/>
      <c r="Y27" s="3"/>
    </row>
    <row r="28" spans="1:25" x14ac:dyDescent="0.25">
      <c r="A28" s="3">
        <v>10000000000</v>
      </c>
      <c r="B28" s="3">
        <v>1.1629999999999999E-4</v>
      </c>
      <c r="C28" s="3">
        <v>4.5090000000000001E-4</v>
      </c>
      <c r="D28" s="3">
        <v>-8.4500000000000005E-4</v>
      </c>
      <c r="E28" s="3">
        <v>0</v>
      </c>
      <c r="F28" s="3">
        <v>0</v>
      </c>
      <c r="G28" s="3">
        <v>0</v>
      </c>
      <c r="H28" s="3">
        <v>1.8200816000000001E-4</v>
      </c>
      <c r="I28" s="3">
        <v>5.3666555999999998E-5</v>
      </c>
      <c r="J28" s="3">
        <v>-4.4491387000000001E-4</v>
      </c>
      <c r="K28" s="3"/>
      <c r="L28" s="3">
        <f t="shared" si="0"/>
        <v>0.13763313609467454</v>
      </c>
      <c r="M28" s="3"/>
      <c r="N28" s="2">
        <f>IF('Modell einstellen'!$B$1="Voll",H28/0.35,H28/0.35*2)</f>
        <v>5.2002331428571431E-4</v>
      </c>
      <c r="O28" s="2">
        <f>IF('Modell einstellen'!$B$1="Voll",J28/0.35,J28/0.35*2)</f>
        <v>-1.2711824857142859E-3</v>
      </c>
      <c r="P28" s="3">
        <f t="shared" si="1"/>
        <v>0.4090862800029138</v>
      </c>
      <c r="Q28" s="3"/>
      <c r="R28" s="3"/>
      <c r="S28" s="3"/>
      <c r="T28" s="3"/>
      <c r="U28" s="3"/>
      <c r="V28" s="3"/>
      <c r="W28" s="3"/>
      <c r="X28" s="3"/>
      <c r="Y28" s="3"/>
    </row>
    <row r="29" spans="1:25" x14ac:dyDescent="0.25">
      <c r="A29" s="3">
        <v>100000000000</v>
      </c>
      <c r="B29" s="3">
        <v>4.6600000000000001E-5</v>
      </c>
      <c r="C29" s="3">
        <v>5.3529999999999995E-4</v>
      </c>
      <c r="D29" s="3">
        <v>-8.6720000000000005E-4</v>
      </c>
      <c r="E29" s="3">
        <v>0</v>
      </c>
      <c r="F29" s="3">
        <v>0</v>
      </c>
      <c r="G29" s="3">
        <v>0</v>
      </c>
      <c r="H29" s="3">
        <v>2.2416568000000001E-4</v>
      </c>
      <c r="I29" s="3">
        <v>6.6142421999999999E-5</v>
      </c>
      <c r="J29" s="3">
        <v>-5.3269576000000002E-4</v>
      </c>
      <c r="K29" s="3"/>
      <c r="L29" s="3">
        <f t="shared" si="0"/>
        <v>5.3736162361623617E-2</v>
      </c>
      <c r="M29" s="3"/>
      <c r="N29" s="2">
        <f>IF('Modell einstellen'!$B$1="Voll",H29/0.35,H29/0.35*2)</f>
        <v>6.4047337142857151E-4</v>
      </c>
      <c r="O29" s="2">
        <f>IF('Modell einstellen'!$B$1="Voll",J29/0.35,J29/0.35*2)</f>
        <v>-1.5219878857142858E-3</v>
      </c>
      <c r="P29" s="3">
        <f t="shared" si="1"/>
        <v>0.42081371175171361</v>
      </c>
      <c r="Q29" s="3"/>
      <c r="R29" s="3"/>
      <c r="S29" s="3"/>
      <c r="T29" s="3"/>
      <c r="U29" s="3"/>
      <c r="V29" s="3"/>
      <c r="W29" s="3"/>
      <c r="X29" s="3"/>
      <c r="Y29" s="3"/>
    </row>
    <row r="30" spans="1:25" x14ac:dyDescent="0.25">
      <c r="A30" s="3">
        <v>1000000000000</v>
      </c>
      <c r="B30" s="3">
        <v>-1.3200000000000001E-4</v>
      </c>
      <c r="C30" s="3">
        <v>6.7500000000000004E-4</v>
      </c>
      <c r="D30" s="3">
        <v>-8.386E-4</v>
      </c>
      <c r="E30" s="3">
        <v>0</v>
      </c>
      <c r="F30" s="3">
        <v>0</v>
      </c>
      <c r="G30" s="3">
        <v>0</v>
      </c>
      <c r="H30" s="3">
        <v>3.0204899000000002E-4</v>
      </c>
      <c r="I30" s="3">
        <v>8.8270947000000004E-5</v>
      </c>
      <c r="J30" s="3">
        <v>-6.9146845999999999E-4</v>
      </c>
      <c r="K30" s="3"/>
      <c r="L30" s="3">
        <f t="shared" si="0"/>
        <v>-0.1574051991414262</v>
      </c>
      <c r="M30" s="3"/>
      <c r="N30" s="2">
        <f>IF('Modell einstellen'!$B$1="Voll",H30/0.35,H30/0.35*2)</f>
        <v>8.6299711428571436E-4</v>
      </c>
      <c r="O30" s="2">
        <f>IF('Modell einstellen'!$B$1="Voll",J30/0.35,J30/0.35*2)</f>
        <v>-1.9756241714285715E-3</v>
      </c>
      <c r="P30" s="3">
        <f t="shared" si="1"/>
        <v>0.43682251248307119</v>
      </c>
      <c r="Q30" s="3"/>
      <c r="R30" s="3"/>
      <c r="S30" s="3"/>
      <c r="T30" s="3"/>
      <c r="U30" s="3"/>
      <c r="V30" s="3"/>
      <c r="W30" s="3"/>
      <c r="X30" s="3"/>
      <c r="Y30" s="3"/>
    </row>
    <row r="31" spans="1:25" x14ac:dyDescent="0.25">
      <c r="A31" s="3">
        <v>10000000000000</v>
      </c>
      <c r="B31" s="3">
        <v>-6.311E-4</v>
      </c>
      <c r="C31" s="3">
        <v>9.3769999999999997E-4</v>
      </c>
      <c r="D31" s="3">
        <v>-6.1550000000000005E-4</v>
      </c>
      <c r="E31" s="3">
        <v>0</v>
      </c>
      <c r="F31" s="3">
        <v>0</v>
      </c>
      <c r="G31" s="3">
        <v>0</v>
      </c>
      <c r="H31" s="3">
        <v>4.7349873E-4</v>
      </c>
      <c r="I31" s="3">
        <v>1.3365451E-4</v>
      </c>
      <c r="J31" s="3">
        <v>-1.028532E-3</v>
      </c>
      <c r="K31" s="3"/>
      <c r="L31" s="3">
        <f t="shared" si="0"/>
        <v>-1.0253452477660439</v>
      </c>
      <c r="M31" s="3"/>
      <c r="N31" s="2">
        <f>IF('Modell einstellen'!$B$1="Voll",H31/0.35,H31/0.35*2)</f>
        <v>1.3528535142857143E-3</v>
      </c>
      <c r="O31" s="2">
        <f>IF('Modell einstellen'!$B$1="Voll",J31/0.35,J31/0.35*2)</f>
        <v>-2.9386628571428574E-3</v>
      </c>
      <c r="P31" s="3">
        <f t="shared" si="1"/>
        <v>0.46036363477266623</v>
      </c>
      <c r="Q31" s="3"/>
      <c r="R31" s="3"/>
      <c r="S31" s="3"/>
      <c r="T31" s="3"/>
      <c r="U31" s="3"/>
      <c r="V31" s="3"/>
      <c r="W31" s="3"/>
      <c r="X31" s="3"/>
      <c r="Y31" s="3"/>
    </row>
    <row r="32" spans="1:25" x14ac:dyDescent="0.25">
      <c r="A32" s="3">
        <v>100000000000000</v>
      </c>
      <c r="B32" s="3">
        <v>-1.818E-3</v>
      </c>
      <c r="C32" s="3">
        <v>1.4009999999999999E-3</v>
      </c>
      <c r="D32" s="3">
        <v>9.5730000000000007E-5</v>
      </c>
      <c r="E32" s="3">
        <v>0</v>
      </c>
      <c r="F32" s="3">
        <v>0</v>
      </c>
      <c r="G32" s="3">
        <v>0</v>
      </c>
      <c r="H32" s="3">
        <v>8.2813440000000004E-4</v>
      </c>
      <c r="I32" s="3">
        <v>2.2018955E-4</v>
      </c>
      <c r="J32" s="3">
        <v>-1.6975768E-3</v>
      </c>
      <c r="K32" s="3"/>
      <c r="L32" s="3">
        <f t="shared" si="0"/>
        <v>18.990911939830774</v>
      </c>
      <c r="M32" s="3"/>
      <c r="N32" s="2">
        <f>IF('Modell einstellen'!$B$1="Voll",H32/0.35,H32/0.35*2)</f>
        <v>2.3660982857142861E-3</v>
      </c>
      <c r="O32" s="2">
        <f>IF('Modell einstellen'!$B$1="Voll",J32/0.35,J32/0.35*2)</f>
        <v>-4.8502194285714286E-3</v>
      </c>
      <c r="P32" s="3">
        <f t="shared" si="1"/>
        <v>0.48783324560043478</v>
      </c>
      <c r="Q32" s="3"/>
      <c r="R32" s="3"/>
      <c r="S32" s="3"/>
      <c r="T32" s="3"/>
      <c r="U32" s="3"/>
      <c r="V32" s="3"/>
      <c r="W32" s="3"/>
      <c r="X32" s="3"/>
      <c r="Y32" s="3"/>
    </row>
    <row r="33" spans="1:25" x14ac:dyDescent="0.25">
      <c r="A33" s="2">
        <v>1000000000000000</v>
      </c>
      <c r="B33" s="3">
        <v>-4.2180000000000004E-3</v>
      </c>
      <c r="C33" s="3">
        <v>2.2000000000000001E-3</v>
      </c>
      <c r="D33" s="3">
        <v>1.689E-3</v>
      </c>
      <c r="E33" s="3">
        <v>0</v>
      </c>
      <c r="F33" s="3">
        <v>0</v>
      </c>
      <c r="G33" s="3">
        <v>0</v>
      </c>
      <c r="H33" s="3">
        <v>1.5062456E-3</v>
      </c>
      <c r="I33" s="3">
        <v>3.7595868999999997E-4</v>
      </c>
      <c r="J33" s="3">
        <v>-2.9366087000000001E-3</v>
      </c>
      <c r="K33" s="3"/>
      <c r="L33" s="3">
        <f t="shared" si="0"/>
        <v>2.4973357015985793</v>
      </c>
      <c r="M33" s="3"/>
      <c r="N33" s="2">
        <f>IF('Modell einstellen'!$B$1="Voll",H33/0.35,H33/0.35*2)</f>
        <v>4.3035588571428574E-3</v>
      </c>
      <c r="O33" s="2">
        <f>IF('Modell einstellen'!$B$1="Voll",J33/0.35,J33/0.35*2)</f>
        <v>-8.3903105714285726E-3</v>
      </c>
      <c r="P33" s="3">
        <f t="shared" si="1"/>
        <v>0.51292009044310194</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3" t="s">
        <v>117</v>
      </c>
      <c r="M1" s="83"/>
      <c r="N1" s="83" t="s">
        <v>39</v>
      </c>
      <c r="O1" s="3" t="s">
        <v>116</v>
      </c>
      <c r="P1" s="83"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3"/>
      <c r="O2" s="83"/>
      <c r="P2" s="3"/>
      <c r="Q2" s="3"/>
      <c r="R2" s="3"/>
      <c r="S2" s="3"/>
      <c r="T2" s="3"/>
      <c r="U2" s="3"/>
    </row>
    <row r="3" spans="1:21" x14ac:dyDescent="0.25">
      <c r="A3" s="3">
        <v>1.0000000000000001E-15</v>
      </c>
      <c r="B3" s="3">
        <v>9.6539999999999994E-5</v>
      </c>
      <c r="C3" s="3">
        <v>1.786E-4</v>
      </c>
      <c r="D3" s="3">
        <v>-5.4040000000000002E-4</v>
      </c>
      <c r="E3" s="3">
        <v>0</v>
      </c>
      <c r="F3" s="3">
        <v>0</v>
      </c>
      <c r="G3" s="3">
        <v>0</v>
      </c>
      <c r="H3" s="3">
        <v>7.7631371999999993E-5</v>
      </c>
      <c r="I3" s="3">
        <v>1.8931443000000001E-5</v>
      </c>
      <c r="J3" s="3">
        <v>-2.1776280000000001E-4</v>
      </c>
      <c r="K3" s="3"/>
      <c r="L3" s="3">
        <f>-B3/D3</f>
        <v>0.17864544781643227</v>
      </c>
      <c r="M3" s="3"/>
      <c r="N3" s="2">
        <f>IF('Modell einstellen'!$B$1="Voll",H3/0.35,H3/0.35*2)</f>
        <v>2.2180392E-4</v>
      </c>
      <c r="O3" s="2">
        <f>IF('Modell einstellen'!$B$1="Voll",J3/0.35,J3/0.35*2)</f>
        <v>-6.2217942857142861E-4</v>
      </c>
      <c r="P3" s="3">
        <f>-N3/O3</f>
        <v>0.356495103846938</v>
      </c>
      <c r="Q3" s="3"/>
      <c r="R3" s="3"/>
      <c r="S3" s="3"/>
      <c r="T3" s="3"/>
      <c r="U3" s="3"/>
    </row>
    <row r="4" spans="1:21" x14ac:dyDescent="0.25">
      <c r="A4" s="3">
        <v>1E-14</v>
      </c>
      <c r="B4" s="3">
        <v>9.6539999999999994E-5</v>
      </c>
      <c r="C4" s="3">
        <v>1.786E-4</v>
      </c>
      <c r="D4" s="3">
        <v>-5.4040000000000002E-4</v>
      </c>
      <c r="E4" s="3">
        <v>0</v>
      </c>
      <c r="F4" s="3">
        <v>0</v>
      </c>
      <c r="G4" s="3">
        <v>0</v>
      </c>
      <c r="H4" s="3">
        <v>7.7633672000000005E-5</v>
      </c>
      <c r="I4" s="3">
        <v>1.8931980999999999E-5</v>
      </c>
      <c r="J4" s="3">
        <v>-2.1775867E-4</v>
      </c>
      <c r="K4" s="3"/>
      <c r="L4" s="3">
        <f t="shared" ref="L4:L33" si="0">-B4/D4</f>
        <v>0.17864544781643227</v>
      </c>
      <c r="M4" s="3"/>
      <c r="N4" s="2">
        <f>IF('Modell einstellen'!$B$1="Voll",H4/0.35,H4/0.35*2)</f>
        <v>2.2181049142857147E-4</v>
      </c>
      <c r="O4" s="2">
        <f>IF('Modell einstellen'!$B$1="Voll",J4/0.35,J4/0.35*2)</f>
        <v>-6.221676285714286E-4</v>
      </c>
      <c r="P4" s="3">
        <f t="shared" ref="P4:P33" si="1">-N4/O4</f>
        <v>0.35651242726638627</v>
      </c>
      <c r="Q4" s="3"/>
      <c r="R4" s="3"/>
      <c r="S4" s="3"/>
      <c r="T4" s="3"/>
      <c r="U4" s="3"/>
    </row>
    <row r="5" spans="1:21" x14ac:dyDescent="0.25">
      <c r="A5" s="3">
        <v>1E-13</v>
      </c>
      <c r="B5" s="3">
        <v>9.6539999999999994E-5</v>
      </c>
      <c r="C5" s="3">
        <v>1.786E-4</v>
      </c>
      <c r="D5" s="3">
        <v>-5.4040000000000002E-4</v>
      </c>
      <c r="E5" s="3">
        <v>0</v>
      </c>
      <c r="F5" s="3">
        <v>0</v>
      </c>
      <c r="G5" s="3">
        <v>0</v>
      </c>
      <c r="H5" s="3">
        <v>7.7633979999999994E-5</v>
      </c>
      <c r="I5" s="3">
        <v>1.8932109999999999E-5</v>
      </c>
      <c r="J5" s="3">
        <v>-2.1775947999999999E-4</v>
      </c>
      <c r="K5" s="3"/>
      <c r="L5" s="3">
        <f t="shared" si="0"/>
        <v>0.17864544781643227</v>
      </c>
      <c r="M5" s="3"/>
      <c r="N5" s="2">
        <f>IF('Modell einstellen'!$B$1="Voll",H5/0.35,H5/0.35*2)</f>
        <v>2.2181137142857142E-4</v>
      </c>
      <c r="O5" s="2">
        <f>IF('Modell einstellen'!$B$1="Voll",J5/0.35,J5/0.35*2)</f>
        <v>-6.2216994285714284E-4</v>
      </c>
      <c r="P5" s="3">
        <f t="shared" si="1"/>
        <v>0.35651251555156177</v>
      </c>
      <c r="Q5" s="3"/>
      <c r="R5" s="3"/>
      <c r="S5" s="3"/>
      <c r="T5" s="3"/>
      <c r="U5" s="3"/>
    </row>
    <row r="6" spans="1:21" x14ac:dyDescent="0.25">
      <c r="A6" s="3">
        <v>9.9999999999999998E-13</v>
      </c>
      <c r="B6" s="3">
        <v>9.6539999999999994E-5</v>
      </c>
      <c r="C6" s="3">
        <v>1.786E-4</v>
      </c>
      <c r="D6" s="3">
        <v>-5.4040000000000002E-4</v>
      </c>
      <c r="E6" s="3">
        <v>0</v>
      </c>
      <c r="F6" s="3">
        <v>0</v>
      </c>
      <c r="G6" s="3">
        <v>0</v>
      </c>
      <c r="H6" s="3">
        <v>7.7634077999999996E-5</v>
      </c>
      <c r="I6" s="3">
        <v>1.8932144000000002E-5</v>
      </c>
      <c r="J6" s="3">
        <v>-2.1775972000000001E-4</v>
      </c>
      <c r="K6" s="3"/>
      <c r="L6" s="3">
        <f t="shared" si="0"/>
        <v>0.17864544781643227</v>
      </c>
      <c r="M6" s="3"/>
      <c r="N6" s="2">
        <f>IF('Modell einstellen'!$B$1="Voll",H6/0.35,H6/0.35*2)</f>
        <v>2.2181165142857144E-4</v>
      </c>
      <c r="O6" s="2">
        <f>IF('Modell einstellen'!$B$1="Voll",J6/0.35,J6/0.35*2)</f>
        <v>-6.2217062857142865E-4</v>
      </c>
      <c r="P6" s="3">
        <f t="shared" si="1"/>
        <v>0.35651257266495379</v>
      </c>
      <c r="Q6" s="3"/>
      <c r="R6" s="3"/>
      <c r="S6" s="3"/>
      <c r="T6" s="3"/>
      <c r="U6" s="3"/>
    </row>
    <row r="7" spans="1:21" x14ac:dyDescent="0.25">
      <c r="A7" s="3">
        <v>9.9999999999999994E-12</v>
      </c>
      <c r="B7" s="3">
        <v>9.6539999999999994E-5</v>
      </c>
      <c r="C7" s="3">
        <v>1.786E-4</v>
      </c>
      <c r="D7" s="3">
        <v>-5.4040000000000002E-4</v>
      </c>
      <c r="E7" s="3">
        <v>0</v>
      </c>
      <c r="F7" s="3">
        <v>0</v>
      </c>
      <c r="G7" s="3">
        <v>0</v>
      </c>
      <c r="H7" s="3">
        <v>7.7634110999999999E-5</v>
      </c>
      <c r="I7" s="3">
        <v>1.8932153999999999E-5</v>
      </c>
      <c r="J7" s="3">
        <v>-2.1775979E-4</v>
      </c>
      <c r="K7" s="3"/>
      <c r="L7" s="3">
        <f t="shared" si="0"/>
        <v>0.17864544781643227</v>
      </c>
      <c r="M7" s="3"/>
      <c r="N7" s="2">
        <f>IF('Modell einstellen'!$B$1="Voll",H7/0.35,H7/0.35*2)</f>
        <v>2.2181174571428574E-4</v>
      </c>
      <c r="O7" s="2">
        <f>IF('Modell einstellen'!$B$1="Voll",J7/0.35,J7/0.35*2)</f>
        <v>-6.2217082857142861E-4</v>
      </c>
      <c r="P7" s="3">
        <f t="shared" si="1"/>
        <v>0.35651260960529035</v>
      </c>
      <c r="Q7" s="3"/>
      <c r="R7" s="3"/>
      <c r="S7" s="3"/>
      <c r="T7" s="3"/>
      <c r="U7" s="3"/>
    </row>
    <row r="8" spans="1:21" x14ac:dyDescent="0.25">
      <c r="A8" s="3">
        <v>1E-10</v>
      </c>
      <c r="B8" s="3">
        <v>9.6539999999999994E-5</v>
      </c>
      <c r="C8" s="3">
        <v>1.786E-4</v>
      </c>
      <c r="D8" s="3">
        <v>-5.4040000000000002E-4</v>
      </c>
      <c r="E8" s="3">
        <v>0</v>
      </c>
      <c r="F8" s="3">
        <v>0</v>
      </c>
      <c r="G8" s="3">
        <v>0</v>
      </c>
      <c r="H8" s="3">
        <v>7.7634124999999998E-5</v>
      </c>
      <c r="I8" s="3">
        <v>1.8932158E-5</v>
      </c>
      <c r="J8" s="3">
        <v>-2.1775981999999999E-4</v>
      </c>
      <c r="K8" s="3"/>
      <c r="L8" s="3">
        <f t="shared" si="0"/>
        <v>0.17864544781643227</v>
      </c>
      <c r="M8" s="3"/>
      <c r="N8" s="2">
        <f>IF('Modell einstellen'!$B$1="Voll",H8/0.35,H8/0.35*2)</f>
        <v>2.2181178571428572E-4</v>
      </c>
      <c r="O8" s="2">
        <f>IF('Modell einstellen'!$B$1="Voll",J8/0.35,J8/0.35*2)</f>
        <v>-6.2217091428571432E-4</v>
      </c>
      <c r="P8" s="3">
        <f t="shared" si="1"/>
        <v>0.35651262478082502</v>
      </c>
      <c r="Q8" s="3"/>
      <c r="R8" s="3"/>
      <c r="S8" s="3"/>
      <c r="T8" s="3"/>
      <c r="U8" s="3"/>
    </row>
    <row r="9" spans="1:21" x14ac:dyDescent="0.25">
      <c r="A9" s="3">
        <v>1.0000000000000001E-9</v>
      </c>
      <c r="B9" s="3">
        <v>9.6539999999999994E-5</v>
      </c>
      <c r="C9" s="3">
        <v>1.786E-4</v>
      </c>
      <c r="D9" s="3">
        <v>-5.4040000000000002E-4</v>
      </c>
      <c r="E9" s="3">
        <v>0</v>
      </c>
      <c r="F9" s="3">
        <v>0</v>
      </c>
      <c r="G9" s="3">
        <v>0</v>
      </c>
      <c r="H9" s="3">
        <v>7.7634165999999996E-5</v>
      </c>
      <c r="I9" s="3">
        <v>1.8932165999999998E-5</v>
      </c>
      <c r="J9" s="3">
        <v>-2.177599E-4</v>
      </c>
      <c r="K9" s="3"/>
      <c r="L9" s="3">
        <f t="shared" si="0"/>
        <v>0.17864544781643227</v>
      </c>
      <c r="M9" s="3"/>
      <c r="N9" s="2">
        <f>IF('Modell einstellen'!$B$1="Voll",H9/0.35,H9/0.35*2)</f>
        <v>2.2181190285714287E-4</v>
      </c>
      <c r="O9" s="2">
        <f>IF('Modell einstellen'!$B$1="Voll",J9/0.35,J9/0.35*2)</f>
        <v>-6.2217114285714292E-4</v>
      </c>
      <c r="P9" s="3">
        <f t="shared" si="1"/>
        <v>0.35651268208701414</v>
      </c>
      <c r="Q9" s="3"/>
      <c r="R9" s="3"/>
      <c r="S9" s="3"/>
      <c r="T9" s="3"/>
      <c r="U9" s="3"/>
    </row>
    <row r="10" spans="1:21" x14ac:dyDescent="0.25">
      <c r="A10" s="3">
        <v>1E-8</v>
      </c>
      <c r="B10" s="3">
        <v>9.6539999999999994E-5</v>
      </c>
      <c r="C10" s="3">
        <v>1.786E-4</v>
      </c>
      <c r="D10" s="3">
        <v>-5.4040000000000002E-4</v>
      </c>
      <c r="E10" s="3">
        <v>0</v>
      </c>
      <c r="F10" s="3">
        <v>0</v>
      </c>
      <c r="G10" s="3">
        <v>0</v>
      </c>
      <c r="H10" s="3">
        <v>7.7634541999999998E-5</v>
      </c>
      <c r="I10" s="3">
        <v>1.8932237999999999E-5</v>
      </c>
      <c r="J10" s="3">
        <v>-2.1776057E-4</v>
      </c>
      <c r="K10" s="3"/>
      <c r="L10" s="3">
        <f t="shared" si="0"/>
        <v>0.17864544781643227</v>
      </c>
      <c r="M10" s="3"/>
      <c r="N10" s="2">
        <f>IF('Modell einstellen'!$B$1="Voll",H10/0.35,H10/0.35*2)</f>
        <v>2.2181297714285716E-4</v>
      </c>
      <c r="O10" s="2">
        <f>IF('Modell einstellen'!$B$1="Voll",J10/0.35,J10/0.35*2)</f>
        <v>-6.2217305714285724E-4</v>
      </c>
      <c r="P10" s="3">
        <f t="shared" si="1"/>
        <v>0.35651331184520685</v>
      </c>
      <c r="Q10" s="3"/>
      <c r="R10" s="3"/>
      <c r="S10" s="3"/>
      <c r="T10" s="3"/>
      <c r="U10" s="3"/>
    </row>
    <row r="11" spans="1:21" x14ac:dyDescent="0.25">
      <c r="A11" s="3">
        <v>9.9999999999999995E-8</v>
      </c>
      <c r="B11" s="3">
        <v>9.6539999999999994E-5</v>
      </c>
      <c r="C11" s="3">
        <v>1.786E-4</v>
      </c>
      <c r="D11" s="3">
        <v>-5.4040000000000002E-4</v>
      </c>
      <c r="E11" s="3">
        <v>0</v>
      </c>
      <c r="F11" s="3">
        <v>0</v>
      </c>
      <c r="G11" s="3">
        <v>0</v>
      </c>
      <c r="H11" s="3">
        <v>7.7638286E-5</v>
      </c>
      <c r="I11" s="3">
        <v>1.8932953000000001E-5</v>
      </c>
      <c r="J11" s="3">
        <v>-2.1776728E-4</v>
      </c>
      <c r="K11" s="3"/>
      <c r="L11" s="3">
        <f t="shared" si="0"/>
        <v>0.17864544781643227</v>
      </c>
      <c r="M11" s="3"/>
      <c r="N11" s="2">
        <f>IF('Modell einstellen'!$B$1="Voll",H11/0.35,H11/0.35*2)</f>
        <v>2.2182367428571429E-4</v>
      </c>
      <c r="O11" s="2">
        <f>IF('Modell einstellen'!$B$1="Voll",J11/0.35,J11/0.35*2)</f>
        <v>-6.2219222857142864E-4</v>
      </c>
      <c r="P11" s="3">
        <f t="shared" si="1"/>
        <v>0.35651951936948467</v>
      </c>
      <c r="Q11" s="3"/>
      <c r="R11" s="3"/>
      <c r="S11" s="3"/>
      <c r="T11" s="3"/>
      <c r="U11" s="3"/>
    </row>
    <row r="12" spans="1:21" x14ac:dyDescent="0.25">
      <c r="A12" s="3">
        <v>9.9999999999999995E-7</v>
      </c>
      <c r="B12" s="3">
        <v>9.6529999999999999E-5</v>
      </c>
      <c r="C12" s="3">
        <v>1.7870000000000001E-4</v>
      </c>
      <c r="D12" s="3">
        <v>-5.4040000000000002E-4</v>
      </c>
      <c r="E12" s="3">
        <v>0</v>
      </c>
      <c r="F12" s="3">
        <v>0</v>
      </c>
      <c r="G12" s="3">
        <v>0</v>
      </c>
      <c r="H12" s="3">
        <v>7.7675479999999997E-5</v>
      </c>
      <c r="I12" s="3">
        <v>1.8940048999999999E-5</v>
      </c>
      <c r="J12" s="3">
        <v>-2.1783397000000001E-4</v>
      </c>
      <c r="K12" s="3"/>
      <c r="L12" s="3">
        <f t="shared" si="0"/>
        <v>0.17862694300518134</v>
      </c>
      <c r="M12" s="3"/>
      <c r="N12" s="2">
        <f>IF('Modell einstellen'!$B$1="Voll",H12/0.35,H12/0.35*2)</f>
        <v>2.2192994285714286E-4</v>
      </c>
      <c r="O12" s="2">
        <f>IF('Modell einstellen'!$B$1="Voll",J12/0.35,J12/0.35*2)</f>
        <v>-6.2238277142857151E-4</v>
      </c>
      <c r="P12" s="3">
        <f t="shared" si="1"/>
        <v>0.35658111542474297</v>
      </c>
      <c r="Q12" s="3"/>
      <c r="R12" s="3"/>
      <c r="S12" s="3"/>
      <c r="T12" s="3"/>
      <c r="U12" s="3"/>
    </row>
    <row r="13" spans="1:21" x14ac:dyDescent="0.25">
      <c r="A13" s="3">
        <v>1.0000000000000001E-5</v>
      </c>
      <c r="B13" s="3">
        <v>9.645E-5</v>
      </c>
      <c r="C13" s="3">
        <v>1.7919999999999999E-4</v>
      </c>
      <c r="D13" s="3">
        <v>-5.4109999999999998E-4</v>
      </c>
      <c r="E13" s="3">
        <v>0</v>
      </c>
      <c r="F13" s="3">
        <v>0</v>
      </c>
      <c r="G13" s="3">
        <v>0</v>
      </c>
      <c r="H13" s="3">
        <v>7.8023918999999995E-5</v>
      </c>
      <c r="I13" s="3">
        <v>1.9006492999999999E-5</v>
      </c>
      <c r="J13" s="3">
        <v>-2.1845855000000001E-4</v>
      </c>
      <c r="K13" s="3"/>
      <c r="L13" s="3">
        <f t="shared" si="0"/>
        <v>0.17824801330622805</v>
      </c>
      <c r="M13" s="3"/>
      <c r="N13" s="2">
        <f>IF('Modell einstellen'!$B$1="Voll",H13/0.35,H13/0.35*2)</f>
        <v>2.2292548285714287E-4</v>
      </c>
      <c r="O13" s="2">
        <f>IF('Modell einstellen'!$B$1="Voll",J13/0.35,J13/0.35*2)</f>
        <v>-6.241672857142858E-4</v>
      </c>
      <c r="P13" s="3">
        <f t="shared" si="1"/>
        <v>0.35715662765316347</v>
      </c>
      <c r="Q13" s="3"/>
      <c r="R13" s="3"/>
      <c r="S13" s="3"/>
      <c r="T13" s="3"/>
      <c r="U13" s="3"/>
    </row>
    <row r="14" spans="1:21" x14ac:dyDescent="0.25">
      <c r="A14" s="3">
        <v>1E-4</v>
      </c>
      <c r="B14" s="3">
        <v>9.6650000000000005E-5</v>
      </c>
      <c r="C14" s="3">
        <v>1.827E-4</v>
      </c>
      <c r="D14" s="3">
        <v>-5.4600000000000004E-4</v>
      </c>
      <c r="E14" s="3">
        <v>0</v>
      </c>
      <c r="F14" s="3">
        <v>0</v>
      </c>
      <c r="G14" s="3">
        <v>0</v>
      </c>
      <c r="H14" s="3">
        <v>8.0095437999999996E-5</v>
      </c>
      <c r="I14" s="3">
        <v>1.9414576E-5</v>
      </c>
      <c r="J14" s="3">
        <v>-2.2221407999999999E-4</v>
      </c>
      <c r="K14" s="3"/>
      <c r="L14" s="3">
        <f t="shared" si="0"/>
        <v>0.177014652014652</v>
      </c>
      <c r="M14" s="3"/>
      <c r="N14" s="2">
        <f>IF('Modell einstellen'!$B$1="Voll",H14/0.35,H14/0.35*2)</f>
        <v>2.2884410857142859E-4</v>
      </c>
      <c r="O14" s="2">
        <f>IF('Modell einstellen'!$B$1="Voll",J14/0.35,J14/0.35*2)</f>
        <v>-6.3489737142857143E-4</v>
      </c>
      <c r="P14" s="3">
        <f t="shared" si="1"/>
        <v>0.360442677619708</v>
      </c>
      <c r="Q14" s="3"/>
      <c r="R14" s="3"/>
      <c r="S14" s="3"/>
      <c r="T14" s="3"/>
      <c r="U14" s="3"/>
    </row>
    <row r="15" spans="1:21" x14ac:dyDescent="0.25">
      <c r="A15" s="3">
        <v>1E-3</v>
      </c>
      <c r="B15" s="3">
        <v>9.658E-5</v>
      </c>
      <c r="C15" s="3">
        <v>1.8709999999999999E-4</v>
      </c>
      <c r="D15" s="3">
        <v>-5.5190000000000003E-4</v>
      </c>
      <c r="E15" s="3">
        <v>0</v>
      </c>
      <c r="F15" s="3">
        <v>0</v>
      </c>
      <c r="G15" s="3">
        <v>0</v>
      </c>
      <c r="H15" s="3">
        <v>8.2796534000000006E-5</v>
      </c>
      <c r="I15" s="3">
        <v>1.9935585000000002E-5</v>
      </c>
      <c r="J15" s="3">
        <v>-2.2706144999999999E-4</v>
      </c>
      <c r="K15" s="3"/>
      <c r="L15" s="3">
        <f t="shared" si="0"/>
        <v>0.17499547019387571</v>
      </c>
      <c r="M15" s="3"/>
      <c r="N15" s="2">
        <f>IF('Modell einstellen'!$B$1="Voll",H15/0.35,H15/0.35*2)</f>
        <v>2.3656152571428576E-4</v>
      </c>
      <c r="O15" s="2">
        <f>IF('Modell einstellen'!$B$1="Voll",J15/0.35,J15/0.35*2)</f>
        <v>-6.4874699999999997E-4</v>
      </c>
      <c r="P15" s="3">
        <f t="shared" si="1"/>
        <v>0.36464372970400755</v>
      </c>
      <c r="Q15" s="3"/>
      <c r="R15" s="3"/>
      <c r="S15" s="3"/>
      <c r="T15" s="3"/>
      <c r="U15" s="3"/>
    </row>
    <row r="16" spans="1:21" x14ac:dyDescent="0.25">
      <c r="A16" s="3">
        <v>0.01</v>
      </c>
      <c r="B16" s="3">
        <v>9.6269999999999998E-5</v>
      </c>
      <c r="C16" s="3">
        <v>1.9210000000000001E-4</v>
      </c>
      <c r="D16" s="3">
        <v>-5.5829999999999996E-4</v>
      </c>
      <c r="E16" s="3">
        <v>0</v>
      </c>
      <c r="F16" s="3">
        <v>0</v>
      </c>
      <c r="G16" s="3">
        <v>0</v>
      </c>
      <c r="H16" s="3">
        <v>8.5936029000000005E-5</v>
      </c>
      <c r="I16" s="3">
        <v>2.0530447000000001E-5</v>
      </c>
      <c r="J16" s="3">
        <v>-2.3264657999999999E-4</v>
      </c>
      <c r="K16" s="3"/>
      <c r="L16" s="3">
        <f t="shared" si="0"/>
        <v>0.1724341751746373</v>
      </c>
      <c r="M16" s="3"/>
      <c r="N16" s="2">
        <f>IF('Modell einstellen'!$B$1="Voll",H16/0.35,H16/0.35*2)</f>
        <v>2.4553151142857148E-4</v>
      </c>
      <c r="O16" s="2">
        <f>IF('Modell einstellen'!$B$1="Voll",J16/0.35,J16/0.35*2)</f>
        <v>-6.6470451428571429E-4</v>
      </c>
      <c r="P16" s="3">
        <f t="shared" si="1"/>
        <v>0.369384450009968</v>
      </c>
      <c r="Q16" s="3"/>
      <c r="R16" s="3"/>
      <c r="S16" s="3"/>
      <c r="T16" s="3"/>
      <c r="U16" s="3"/>
    </row>
    <row r="17" spans="1:21" x14ac:dyDescent="0.25">
      <c r="A17" s="3">
        <v>0.1</v>
      </c>
      <c r="B17" s="3">
        <v>9.5550000000000005E-5</v>
      </c>
      <c r="C17" s="3">
        <v>1.9819999999999999E-4</v>
      </c>
      <c r="D17" s="3">
        <v>-5.6579999999999998E-4</v>
      </c>
      <c r="E17" s="3">
        <v>0</v>
      </c>
      <c r="F17" s="3">
        <v>0</v>
      </c>
      <c r="G17" s="3">
        <v>0</v>
      </c>
      <c r="H17" s="3">
        <v>8.9909781000000006E-5</v>
      </c>
      <c r="I17" s="3">
        <v>2.1268023E-5</v>
      </c>
      <c r="J17" s="3">
        <v>-2.3964637E-4</v>
      </c>
      <c r="K17" s="3"/>
      <c r="L17" s="3">
        <f t="shared" si="0"/>
        <v>0.1688759278897137</v>
      </c>
      <c r="M17" s="3"/>
      <c r="N17" s="2">
        <f>IF('Modell einstellen'!$B$1="Voll",H17/0.35,H17/0.35*2)</f>
        <v>2.5688508857142861E-4</v>
      </c>
      <c r="O17" s="2">
        <f>IF('Modell einstellen'!$B$1="Voll",J17/0.35,J17/0.35*2)</f>
        <v>-6.8470391428571435E-4</v>
      </c>
      <c r="P17" s="3">
        <f t="shared" si="1"/>
        <v>0.37517689502244495</v>
      </c>
      <c r="Q17" s="3"/>
      <c r="R17" s="3"/>
      <c r="S17" s="3"/>
      <c r="T17" s="3"/>
      <c r="U17" s="3"/>
    </row>
    <row r="18" spans="1:21" x14ac:dyDescent="0.25">
      <c r="A18" s="3">
        <v>1</v>
      </c>
      <c r="B18" s="3">
        <v>9.4339999999999995E-5</v>
      </c>
      <c r="C18" s="3">
        <v>2.05E-4</v>
      </c>
      <c r="D18" s="3">
        <v>-5.7359999999999996E-4</v>
      </c>
      <c r="E18" s="3">
        <v>0</v>
      </c>
      <c r="F18" s="3">
        <v>0</v>
      </c>
      <c r="G18" s="3">
        <v>0</v>
      </c>
      <c r="H18" s="3">
        <v>9.4442092E-5</v>
      </c>
      <c r="I18" s="3">
        <v>2.2097461E-5</v>
      </c>
      <c r="J18" s="3">
        <v>-2.4756063E-4</v>
      </c>
      <c r="K18" s="3"/>
      <c r="L18" s="3">
        <f t="shared" si="0"/>
        <v>0.16447001394700139</v>
      </c>
      <c r="M18" s="3"/>
      <c r="N18" s="2">
        <f>IF('Modell einstellen'!$B$1="Voll",H18/0.35,H18/0.35*2)</f>
        <v>2.6983454857142856E-4</v>
      </c>
      <c r="O18" s="2">
        <f>IF('Modell einstellen'!$B$1="Voll",J18/0.35,J18/0.35*2)</f>
        <v>-7.0731608571428576E-4</v>
      </c>
      <c r="P18" s="3">
        <f t="shared" si="1"/>
        <v>0.38149075642601166</v>
      </c>
      <c r="Q18" s="3"/>
      <c r="R18" s="3"/>
      <c r="S18" s="3"/>
      <c r="T18" s="3"/>
      <c r="U18" s="3"/>
    </row>
    <row r="19" spans="1:21" x14ac:dyDescent="0.25">
      <c r="A19" s="3">
        <v>10</v>
      </c>
      <c r="B19" s="3">
        <v>9.2919999999999998E-5</v>
      </c>
      <c r="C19" s="3">
        <v>2.143E-4</v>
      </c>
      <c r="D19" s="3">
        <v>-5.8399999999999999E-4</v>
      </c>
      <c r="E19" s="3">
        <v>0</v>
      </c>
      <c r="F19" s="3">
        <v>0</v>
      </c>
      <c r="G19" s="3">
        <v>0</v>
      </c>
      <c r="H19" s="3">
        <v>1.0017242E-4</v>
      </c>
      <c r="I19" s="3">
        <v>2.3237120999999999E-5</v>
      </c>
      <c r="J19" s="3">
        <v>-2.5777345999999999E-4</v>
      </c>
      <c r="K19" s="3"/>
      <c r="L19" s="3">
        <f t="shared" si="0"/>
        <v>0.1591095890410959</v>
      </c>
      <c r="M19" s="3"/>
      <c r="N19" s="2">
        <f>IF('Modell einstellen'!$B$1="Voll",H19/0.35,H19/0.35*2)</f>
        <v>2.8620691428571431E-4</v>
      </c>
      <c r="O19" s="2">
        <f>IF('Modell einstellen'!$B$1="Voll",J19/0.35,J19/0.35*2)</f>
        <v>-7.3649559999999998E-4</v>
      </c>
      <c r="P19" s="3">
        <f t="shared" si="1"/>
        <v>0.38860641432985388</v>
      </c>
      <c r="Q19" s="3"/>
      <c r="R19" s="3"/>
      <c r="S19" s="3"/>
      <c r="T19" s="3"/>
      <c r="U19" s="3"/>
    </row>
    <row r="20" spans="1:21" x14ac:dyDescent="0.25">
      <c r="A20" s="3">
        <v>100</v>
      </c>
      <c r="B20" s="3">
        <v>9.4019999999999998E-5</v>
      </c>
      <c r="C20" s="3">
        <v>2.321E-4</v>
      </c>
      <c r="D20" s="3">
        <v>-6.0409999999999999E-4</v>
      </c>
      <c r="E20" s="3">
        <v>0</v>
      </c>
      <c r="F20" s="3">
        <v>0</v>
      </c>
      <c r="G20" s="3">
        <v>0</v>
      </c>
      <c r="H20" s="3">
        <v>1.0762859999999999E-4</v>
      </c>
      <c r="I20" s="3">
        <v>2.5386235E-5</v>
      </c>
      <c r="J20" s="3">
        <v>-2.7287724E-4</v>
      </c>
      <c r="K20" s="3"/>
      <c r="L20" s="3">
        <f t="shared" si="0"/>
        <v>0.15563648402582353</v>
      </c>
      <c r="M20" s="3"/>
      <c r="N20" s="2">
        <f>IF('Modell einstellen'!$B$1="Voll",H20/0.35,H20/0.35*2)</f>
        <v>3.0751028571428571E-4</v>
      </c>
      <c r="O20" s="2">
        <f>IF('Modell einstellen'!$B$1="Voll",J20/0.35,J20/0.35*2)</f>
        <v>-7.7964925714285723E-4</v>
      </c>
      <c r="P20" s="3">
        <f t="shared" si="1"/>
        <v>0.39442131560697397</v>
      </c>
      <c r="Q20" s="3"/>
      <c r="R20" s="3"/>
      <c r="S20" s="3"/>
      <c r="T20" s="3"/>
      <c r="U20" s="3"/>
    </row>
    <row r="21" spans="1:21" x14ac:dyDescent="0.25">
      <c r="A21" s="3">
        <v>1000</v>
      </c>
      <c r="B21" s="3">
        <v>1.0119999999999999E-4</v>
      </c>
      <c r="C21" s="3">
        <v>2.6209999999999997E-4</v>
      </c>
      <c r="D21" s="3">
        <v>-6.399E-4</v>
      </c>
      <c r="E21" s="3">
        <v>0</v>
      </c>
      <c r="F21" s="3">
        <v>0</v>
      </c>
      <c r="G21" s="3">
        <v>0</v>
      </c>
      <c r="H21" s="3">
        <v>1.1615105E-4</v>
      </c>
      <c r="I21" s="3">
        <v>2.9004699000000001E-5</v>
      </c>
      <c r="J21" s="3">
        <v>-2.9345549999999998E-4</v>
      </c>
      <c r="K21" s="3"/>
      <c r="L21" s="3">
        <f t="shared" si="0"/>
        <v>0.15814971089232691</v>
      </c>
      <c r="M21" s="3"/>
      <c r="N21" s="2">
        <f>IF('Modell einstellen'!$B$1="Voll",H21/0.35,H21/0.35*2)</f>
        <v>3.3186014285714285E-4</v>
      </c>
      <c r="O21" s="2">
        <f>IF('Modell einstellen'!$B$1="Voll",J21/0.35,J21/0.35*2)</f>
        <v>-8.3844428571428571E-4</v>
      </c>
      <c r="P21" s="3">
        <f t="shared" si="1"/>
        <v>0.39580464499728235</v>
      </c>
      <c r="Q21" s="3"/>
      <c r="R21" s="3"/>
      <c r="S21" s="3"/>
      <c r="T21" s="3"/>
      <c r="U21" s="3"/>
    </row>
    <row r="22" spans="1:21" x14ac:dyDescent="0.25">
      <c r="A22" s="3">
        <v>10000</v>
      </c>
      <c r="B22" s="3">
        <v>1.1069999999999999E-4</v>
      </c>
      <c r="C22" s="3">
        <v>2.9849999999999999E-4</v>
      </c>
      <c r="D22" s="3">
        <v>-6.8400000000000004E-4</v>
      </c>
      <c r="E22" s="3">
        <v>0</v>
      </c>
      <c r="F22" s="3">
        <v>0</v>
      </c>
      <c r="G22" s="3">
        <v>0</v>
      </c>
      <c r="H22" s="3">
        <v>1.2593217000000001E-4</v>
      </c>
      <c r="I22" s="3">
        <v>3.3466334000000001E-5</v>
      </c>
      <c r="J22" s="3">
        <v>-3.18101E-4</v>
      </c>
      <c r="K22" s="3"/>
      <c r="L22" s="3">
        <f t="shared" si="0"/>
        <v>0.16184210526315787</v>
      </c>
      <c r="M22" s="3"/>
      <c r="N22" s="2">
        <f>IF('Modell einstellen'!$B$1="Voll",H22/0.35,H22/0.35*2)</f>
        <v>3.5980620000000007E-4</v>
      </c>
      <c r="O22" s="2">
        <f>IF('Modell einstellen'!$B$1="Voll",J22/0.35,J22/0.35*2)</f>
        <v>-9.0886000000000005E-4</v>
      </c>
      <c r="P22" s="3">
        <f t="shared" si="1"/>
        <v>0.39588737539334995</v>
      </c>
      <c r="Q22" s="3"/>
      <c r="R22" s="3"/>
      <c r="S22" s="3"/>
      <c r="T22" s="3"/>
      <c r="U22" s="3"/>
    </row>
    <row r="23" spans="1:21" x14ac:dyDescent="0.25">
      <c r="A23" s="3">
        <v>100000</v>
      </c>
      <c r="B23" s="3">
        <v>1.182E-4</v>
      </c>
      <c r="C23" s="3">
        <v>3.3740000000000002E-4</v>
      </c>
      <c r="D23" s="3">
        <v>-7.2970000000000001E-4</v>
      </c>
      <c r="E23" s="3">
        <v>0</v>
      </c>
      <c r="F23" s="3">
        <v>0</v>
      </c>
      <c r="G23" s="3">
        <v>0</v>
      </c>
      <c r="H23" s="3">
        <v>1.3801944E-4</v>
      </c>
      <c r="I23" s="3">
        <v>3.8366693000000001E-5</v>
      </c>
      <c r="J23" s="3">
        <v>-3.4694727999999998E-4</v>
      </c>
      <c r="K23" s="3"/>
      <c r="L23" s="3">
        <f t="shared" si="0"/>
        <v>0.16198437714129094</v>
      </c>
      <c r="M23" s="3"/>
      <c r="N23" s="2">
        <f>IF('Modell einstellen'!$B$1="Voll",H23/0.35,H23/0.35*2)</f>
        <v>3.9434125714285718E-4</v>
      </c>
      <c r="O23" s="2">
        <f>IF('Modell einstellen'!$B$1="Voll",J23/0.35,J23/0.35*2)</f>
        <v>-9.9127794285714288E-4</v>
      </c>
      <c r="P23" s="3">
        <f t="shared" si="1"/>
        <v>0.39781098730619824</v>
      </c>
      <c r="Q23" s="3"/>
      <c r="R23" s="3"/>
      <c r="S23" s="3"/>
      <c r="T23" s="3"/>
      <c r="U23" s="3"/>
    </row>
    <row r="24" spans="1:21" x14ac:dyDescent="0.25">
      <c r="A24" s="3">
        <v>1000000</v>
      </c>
      <c r="B24" s="3">
        <v>1.17E-4</v>
      </c>
      <c r="C24" s="3">
        <v>3.7980000000000002E-4</v>
      </c>
      <c r="D24" s="3">
        <v>-7.7229999999999996E-4</v>
      </c>
      <c r="E24" s="3">
        <v>0</v>
      </c>
      <c r="F24" s="3">
        <v>0</v>
      </c>
      <c r="G24" s="3">
        <v>0</v>
      </c>
      <c r="H24" s="3">
        <v>1.5391170000000001E-4</v>
      </c>
      <c r="I24" s="3">
        <v>4.3943005999999999E-5</v>
      </c>
      <c r="J24" s="3">
        <v>-3.8247916999999999E-4</v>
      </c>
      <c r="K24" s="3"/>
      <c r="L24" s="3">
        <f t="shared" si="0"/>
        <v>0.15149553282403211</v>
      </c>
      <c r="M24" s="3"/>
      <c r="N24" s="2">
        <f>IF('Modell einstellen'!$B$1="Voll",H24/0.35,H24/0.35*2)</f>
        <v>4.3974771428571433E-4</v>
      </c>
      <c r="O24" s="2">
        <f>IF('Modell einstellen'!$B$1="Voll",J24/0.35,J24/0.35*2)</f>
        <v>-1.0927976285714286E-3</v>
      </c>
      <c r="P24" s="3">
        <f t="shared" si="1"/>
        <v>0.40240544341277462</v>
      </c>
      <c r="Q24" s="3"/>
      <c r="R24" s="3"/>
      <c r="S24" s="3"/>
      <c r="T24" s="3"/>
      <c r="U24" s="3"/>
    </row>
    <row r="25" spans="1:21" x14ac:dyDescent="0.25">
      <c r="A25" s="3">
        <v>10000000</v>
      </c>
      <c r="B25" s="3">
        <v>9.6550000000000002E-5</v>
      </c>
      <c r="C25" s="3">
        <v>4.3679999999999999E-4</v>
      </c>
      <c r="D25" s="3">
        <v>-8.1309999999999998E-4</v>
      </c>
      <c r="E25" s="3">
        <v>0</v>
      </c>
      <c r="F25" s="3">
        <v>0</v>
      </c>
      <c r="G25" s="3">
        <v>0</v>
      </c>
      <c r="H25" s="3">
        <v>1.7943125999999999E-4</v>
      </c>
      <c r="I25" s="3">
        <v>5.1829400999999998E-5</v>
      </c>
      <c r="J25" s="3">
        <v>-4.3648082999999999E-4</v>
      </c>
      <c r="K25" s="3"/>
      <c r="L25" s="3">
        <f t="shared" si="0"/>
        <v>0.11874308203173042</v>
      </c>
      <c r="M25" s="3"/>
      <c r="N25" s="2">
        <f>IF('Modell einstellen'!$B$1="Voll",H25/0.35,H25/0.35*2)</f>
        <v>5.1266074285714284E-4</v>
      </c>
      <c r="O25" s="2">
        <f>IF('Modell einstellen'!$B$1="Voll",J25/0.35,J25/0.35*2)</f>
        <v>-1.2470880857142859E-3</v>
      </c>
      <c r="P25" s="3">
        <f t="shared" si="1"/>
        <v>0.41108623258437255</v>
      </c>
      <c r="Q25" s="3"/>
      <c r="R25" s="3"/>
      <c r="S25" s="3"/>
      <c r="T25" s="3"/>
      <c r="U25" s="3"/>
    </row>
    <row r="26" spans="1:21" x14ac:dyDescent="0.25">
      <c r="A26" s="3">
        <v>100000000</v>
      </c>
      <c r="B26" s="3">
        <v>3.3760000000000002E-5</v>
      </c>
      <c r="C26" s="3">
        <v>5.2059999999999997E-4</v>
      </c>
      <c r="D26" s="3">
        <v>-8.409E-4</v>
      </c>
      <c r="E26" s="3">
        <v>0</v>
      </c>
      <c r="F26" s="3">
        <v>0</v>
      </c>
      <c r="G26" s="3">
        <v>0</v>
      </c>
      <c r="H26" s="3">
        <v>2.2138377999999999E-4</v>
      </c>
      <c r="I26" s="3">
        <v>6.4109951E-5</v>
      </c>
      <c r="J26" s="3">
        <v>-5.2317021000000002E-4</v>
      </c>
      <c r="K26" s="3"/>
      <c r="L26" s="3">
        <f t="shared" si="0"/>
        <v>4.0147461053633017E-2</v>
      </c>
      <c r="M26" s="3"/>
      <c r="N26" s="2">
        <f>IF('Modell einstellen'!$B$1="Voll",H26/0.35,H26/0.35*2)</f>
        <v>6.3252508571428571E-4</v>
      </c>
      <c r="O26" s="2">
        <f>IF('Modell einstellen'!$B$1="Voll",J26/0.35,J26/0.35*2)</f>
        <v>-1.4947720285714288E-3</v>
      </c>
      <c r="P26" s="3">
        <f t="shared" si="1"/>
        <v>0.42315822989997837</v>
      </c>
      <c r="Q26" s="3"/>
      <c r="R26" s="3"/>
      <c r="S26" s="3"/>
      <c r="T26" s="3"/>
      <c r="U26" s="3"/>
    </row>
    <row r="27" spans="1:21" x14ac:dyDescent="0.25">
      <c r="A27" s="3">
        <v>1000000000</v>
      </c>
      <c r="B27" s="3">
        <v>-1.3439999999999999E-4</v>
      </c>
      <c r="C27" s="3">
        <v>6.5649999999999997E-4</v>
      </c>
      <c r="D27" s="3">
        <v>-8.1859999999999995E-4</v>
      </c>
      <c r="E27" s="3">
        <v>0</v>
      </c>
      <c r="F27" s="3">
        <v>0</v>
      </c>
      <c r="G27" s="3">
        <v>0</v>
      </c>
      <c r="H27" s="3">
        <v>2.9774826000000001E-4</v>
      </c>
      <c r="I27" s="3">
        <v>8.5490698999999995E-5</v>
      </c>
      <c r="J27" s="3">
        <v>-6.7757343999999998E-4</v>
      </c>
      <c r="K27" s="3"/>
      <c r="L27" s="3">
        <f t="shared" si="0"/>
        <v>-0.16418275103835817</v>
      </c>
      <c r="M27" s="3"/>
      <c r="N27" s="2">
        <f>IF('Modell einstellen'!$B$1="Voll",H27/0.35,H27/0.35*2)</f>
        <v>8.5070931428571437E-4</v>
      </c>
      <c r="O27" s="2">
        <f>IF('Modell einstellen'!$B$1="Voll",J27/0.35,J27/0.35*2)</f>
        <v>-1.9359241142857142E-3</v>
      </c>
      <c r="P27" s="3">
        <f t="shared" si="1"/>
        <v>0.43943319265879138</v>
      </c>
      <c r="Q27" s="3"/>
      <c r="R27" s="3"/>
      <c r="S27" s="3"/>
      <c r="T27" s="3"/>
      <c r="U27" s="3"/>
    </row>
    <row r="28" spans="1:21" x14ac:dyDescent="0.25">
      <c r="A28" s="3">
        <v>10000000000</v>
      </c>
      <c r="B28" s="3">
        <v>-6.1180000000000002E-4</v>
      </c>
      <c r="C28" s="3">
        <v>9.1009999999999995E-4</v>
      </c>
      <c r="D28" s="3">
        <v>-6.0780000000000003E-4</v>
      </c>
      <c r="E28" s="3">
        <v>0</v>
      </c>
      <c r="F28" s="3">
        <v>0</v>
      </c>
      <c r="G28" s="3">
        <v>0</v>
      </c>
      <c r="H28" s="3">
        <v>4.6429122999999998E-4</v>
      </c>
      <c r="I28" s="3">
        <v>1.2902951000000001E-4</v>
      </c>
      <c r="J28" s="3">
        <v>-1.0029031999999999E-3</v>
      </c>
      <c r="K28" s="3"/>
      <c r="L28" s="3">
        <f t="shared" si="0"/>
        <v>-1.0065811122079631</v>
      </c>
      <c r="M28" s="3"/>
      <c r="N28" s="2">
        <f>IF('Modell einstellen'!$B$1="Voll",H28/0.35,H28/0.35*2)</f>
        <v>1.3265463714285716E-3</v>
      </c>
      <c r="O28" s="2">
        <f>IF('Modell einstellen'!$B$1="Voll",J28/0.35,J28/0.35*2)</f>
        <v>-2.8654377142857141E-3</v>
      </c>
      <c r="P28" s="3">
        <f t="shared" si="1"/>
        <v>0.46294720168407089</v>
      </c>
      <c r="Q28" s="3"/>
      <c r="R28" s="3"/>
      <c r="S28" s="3"/>
      <c r="T28" s="3"/>
      <c r="U28" s="3"/>
    </row>
    <row r="29" spans="1:21" x14ac:dyDescent="0.25">
      <c r="A29" s="3">
        <v>100000000000</v>
      </c>
      <c r="B29" s="3">
        <v>-1.7539999999999999E-3</v>
      </c>
      <c r="C29" s="3">
        <v>1.356E-3</v>
      </c>
      <c r="D29" s="3">
        <v>7.6229999999999994E-5</v>
      </c>
      <c r="E29" s="3">
        <v>0</v>
      </c>
      <c r="F29" s="3">
        <v>0</v>
      </c>
      <c r="G29" s="3">
        <v>0</v>
      </c>
      <c r="H29" s="3">
        <v>8.0787079000000002E-4</v>
      </c>
      <c r="I29" s="3">
        <v>2.1204323999999999E-4</v>
      </c>
      <c r="J29" s="3">
        <v>-1.6480556E-3</v>
      </c>
      <c r="K29" s="3"/>
      <c r="L29" s="3">
        <f t="shared" si="0"/>
        <v>23.009313918404828</v>
      </c>
      <c r="M29" s="3"/>
      <c r="N29" s="2">
        <f>IF('Modell einstellen'!$B$1="Voll",H29/0.35,H29/0.35*2)</f>
        <v>2.3082022571428574E-3</v>
      </c>
      <c r="O29" s="2">
        <f>IF('Modell einstellen'!$B$1="Voll",J29/0.35,J29/0.35*2)</f>
        <v>-4.7087302857142859E-3</v>
      </c>
      <c r="P29" s="3">
        <f t="shared" si="1"/>
        <v>0.49019631983289891</v>
      </c>
      <c r="Q29" s="3"/>
      <c r="R29" s="3"/>
      <c r="S29" s="3"/>
      <c r="T29" s="3"/>
      <c r="U29" s="3"/>
    </row>
    <row r="30" spans="1:21" x14ac:dyDescent="0.25">
      <c r="A30" s="3">
        <v>1000000000000</v>
      </c>
      <c r="B30" s="3">
        <v>-4.0790000000000002E-3</v>
      </c>
      <c r="C30" s="3">
        <v>2.127E-3</v>
      </c>
      <c r="D30" s="3">
        <v>1.6230000000000001E-3</v>
      </c>
      <c r="E30" s="3">
        <v>0</v>
      </c>
      <c r="F30" s="3">
        <v>0</v>
      </c>
      <c r="G30" s="3">
        <v>0</v>
      </c>
      <c r="H30" s="3">
        <v>1.4661330999999999E-3</v>
      </c>
      <c r="I30" s="3">
        <v>3.6197542000000001E-4</v>
      </c>
      <c r="J30" s="3">
        <v>-2.8464050999999998E-3</v>
      </c>
      <c r="K30" s="3"/>
      <c r="L30" s="3">
        <f t="shared" si="0"/>
        <v>2.5132470733210104</v>
      </c>
      <c r="M30" s="3"/>
      <c r="N30" s="2">
        <f>IF('Modell einstellen'!$B$1="Voll",H30/0.35,H30/0.35*2)</f>
        <v>4.1889517142857146E-3</v>
      </c>
      <c r="O30" s="2">
        <f>IF('Modell einstellen'!$B$1="Voll",J30/0.35,J30/0.35*2)</f>
        <v>-8.1325860000000007E-3</v>
      </c>
      <c r="P30" s="3">
        <f t="shared" si="1"/>
        <v>0.51508237530912238</v>
      </c>
      <c r="Q30" s="3"/>
      <c r="R30" s="3"/>
      <c r="S30" s="3"/>
      <c r="T30" s="3"/>
      <c r="U30" s="3"/>
    </row>
    <row r="31" spans="1:21" x14ac:dyDescent="0.25">
      <c r="A31" s="3">
        <v>10000000000000</v>
      </c>
      <c r="B31" s="3">
        <v>-8.4340000000000005E-3</v>
      </c>
      <c r="C31" s="3">
        <v>3.47E-3</v>
      </c>
      <c r="D31" s="3">
        <v>4.6299999999999996E-3</v>
      </c>
      <c r="E31" s="3">
        <v>0</v>
      </c>
      <c r="F31" s="3">
        <v>0</v>
      </c>
      <c r="G31" s="3">
        <v>0</v>
      </c>
      <c r="H31" s="3">
        <v>2.6779826E-3</v>
      </c>
      <c r="I31" s="3">
        <v>6.2933985999999995E-4</v>
      </c>
      <c r="J31" s="3">
        <v>-5.0056618000000001E-3</v>
      </c>
      <c r="K31" s="3"/>
      <c r="L31" s="3">
        <f t="shared" si="0"/>
        <v>1.8215982721382293</v>
      </c>
      <c r="M31" s="3"/>
      <c r="N31" s="2">
        <f>IF('Modell einstellen'!$B$1="Voll",H31/0.35,H31/0.35*2)</f>
        <v>7.6513788571428579E-3</v>
      </c>
      <c r="O31" s="2">
        <f>IF('Modell einstellen'!$B$1="Voll",J31/0.35,J31/0.35*2)</f>
        <v>-1.4301890857142858E-2</v>
      </c>
      <c r="P31" s="3">
        <f t="shared" si="1"/>
        <v>0.53499071791066666</v>
      </c>
      <c r="Q31" s="3"/>
      <c r="R31" s="3"/>
      <c r="S31" s="3"/>
      <c r="T31" s="3"/>
      <c r="U31" s="3"/>
    </row>
    <row r="32" spans="1:21" x14ac:dyDescent="0.25">
      <c r="A32" s="3">
        <v>100000000000000</v>
      </c>
      <c r="B32" s="3">
        <v>-1.291E-2</v>
      </c>
      <c r="C32" s="3">
        <v>4.8079999999999998E-3</v>
      </c>
      <c r="D32" s="3">
        <v>7.7720000000000003E-3</v>
      </c>
      <c r="E32" s="3">
        <v>0</v>
      </c>
      <c r="F32" s="3">
        <v>0</v>
      </c>
      <c r="G32" s="3">
        <v>0</v>
      </c>
      <c r="H32" s="3">
        <v>3.9266487000000003E-3</v>
      </c>
      <c r="I32" s="3">
        <v>9.0225028000000002E-4</v>
      </c>
      <c r="J32" s="3">
        <v>-7.2003694E-3</v>
      </c>
      <c r="K32" s="3"/>
      <c r="L32" s="3">
        <f t="shared" si="0"/>
        <v>1.6610910962429233</v>
      </c>
      <c r="M32" s="3"/>
      <c r="N32" s="2">
        <f>IF('Modell einstellen'!$B$1="Voll",H32/0.35,H32/0.35*2)</f>
        <v>1.1218996285714287E-2</v>
      </c>
      <c r="O32" s="2">
        <f>IF('Modell einstellen'!$B$1="Voll",J32/0.35,J32/0.35*2)</f>
        <v>-2.0572484000000002E-2</v>
      </c>
      <c r="P32" s="3">
        <f t="shared" si="1"/>
        <v>0.54533989603366739</v>
      </c>
      <c r="Q32" s="3"/>
      <c r="R32" s="3"/>
      <c r="S32" s="3"/>
      <c r="T32" s="3"/>
      <c r="U32" s="3"/>
    </row>
    <row r="33" spans="1:21" x14ac:dyDescent="0.25">
      <c r="A33" s="2">
        <v>1000000000000000</v>
      </c>
      <c r="B33" s="3">
        <v>-1.4999999999999999E-2</v>
      </c>
      <c r="C33" s="3">
        <v>5.4339999999999996E-3</v>
      </c>
      <c r="D33" s="3">
        <v>9.2309999999999996E-3</v>
      </c>
      <c r="E33" s="3">
        <v>0</v>
      </c>
      <c r="F33" s="3">
        <v>0</v>
      </c>
      <c r="G33" s="3">
        <v>0</v>
      </c>
      <c r="H33" s="3">
        <v>4.5118653999999996E-3</v>
      </c>
      <c r="I33" s="3">
        <v>1.0328608000000001E-3</v>
      </c>
      <c r="J33" s="3">
        <v>-8.2313199000000007E-3</v>
      </c>
      <c r="K33" s="3"/>
      <c r="L33" s="3">
        <f t="shared" si="0"/>
        <v>1.6249593760155996</v>
      </c>
      <c r="M33" s="3"/>
      <c r="N33" s="2">
        <f>IF('Modell einstellen'!$B$1="Voll",H33/0.35,H33/0.35*2)</f>
        <v>1.2891043999999999E-2</v>
      </c>
      <c r="O33" s="2">
        <f>IF('Modell einstellen'!$B$1="Voll",J33/0.35,J33/0.35*2)</f>
        <v>-2.3518056857142859E-2</v>
      </c>
      <c r="P33" s="3">
        <f t="shared" si="1"/>
        <v>0.54813389041045524</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3"/>
      <c r="M1" s="83"/>
      <c r="N1" s="101" t="s">
        <v>39</v>
      </c>
      <c r="O1" s="3" t="s">
        <v>116</v>
      </c>
      <c r="P1" s="101"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1"/>
      <c r="O2" s="101"/>
      <c r="P2" s="3"/>
      <c r="Q2" s="3"/>
      <c r="R2" s="3"/>
      <c r="S2" s="3"/>
      <c r="T2" s="3"/>
      <c r="U2" s="3"/>
    </row>
    <row r="3" spans="1:21" x14ac:dyDescent="0.25">
      <c r="A3" s="3">
        <v>1.0000000000000001E-15</v>
      </c>
      <c r="B3" s="3">
        <v>9.7419999999999999E-5</v>
      </c>
      <c r="C3" s="3">
        <v>1.796E-4</v>
      </c>
      <c r="D3" s="3">
        <v>-5.4180000000000005E-4</v>
      </c>
      <c r="E3" s="3">
        <v>0</v>
      </c>
      <c r="F3" s="3">
        <v>0</v>
      </c>
      <c r="G3" s="3">
        <v>0</v>
      </c>
      <c r="H3" s="3">
        <v>7.7680573000000002E-5</v>
      </c>
      <c r="I3" s="3">
        <v>1.9031738E-5</v>
      </c>
      <c r="J3" s="3">
        <v>-2.1809282999999999E-4</v>
      </c>
      <c r="K3" s="2"/>
      <c r="L3" s="3"/>
      <c r="M3" s="3"/>
      <c r="N3" s="2">
        <f>IF('Modell einstellen'!$B$1="Voll",H3/0.35,H3/0.35*2)</f>
        <v>2.2194449428571432E-4</v>
      </c>
      <c r="O3" s="2">
        <f>IF('Modell einstellen'!$B$1="Voll",J3/0.35,J3/0.35*2)</f>
        <v>-6.2312237142857143E-4</v>
      </c>
      <c r="P3" s="3">
        <f>-N3/O3</f>
        <v>0.35618123255129486</v>
      </c>
      <c r="Q3" s="3"/>
      <c r="R3" s="3"/>
      <c r="S3" s="3"/>
      <c r="T3" s="3"/>
      <c r="U3" s="3"/>
    </row>
    <row r="4" spans="1:21" x14ac:dyDescent="0.25">
      <c r="A4" s="3">
        <v>1E-14</v>
      </c>
      <c r="B4" s="3">
        <v>9.7419999999999999E-5</v>
      </c>
      <c r="C4" s="3">
        <v>1.796E-4</v>
      </c>
      <c r="D4" s="3">
        <v>-5.4180000000000005E-4</v>
      </c>
      <c r="E4" s="3">
        <v>0</v>
      </c>
      <c r="F4" s="3">
        <v>0</v>
      </c>
      <c r="G4" s="3">
        <v>0</v>
      </c>
      <c r="H4" s="3">
        <v>7.7683005999999998E-5</v>
      </c>
      <c r="I4" s="3">
        <v>1.9032271000000001E-5</v>
      </c>
      <c r="J4" s="3">
        <v>-2.1808883999999999E-4</v>
      </c>
      <c r="K4" s="2"/>
      <c r="L4" s="3"/>
      <c r="M4" s="3"/>
      <c r="N4" s="2">
        <f>IF('Modell einstellen'!$B$1="Voll",H4/0.35,H4/0.35*2)</f>
        <v>2.2195144571428573E-4</v>
      </c>
      <c r="O4" s="2">
        <f>IF('Modell einstellen'!$B$1="Voll",J4/0.35,J4/0.35*2)</f>
        <v>-6.2311097142857144E-4</v>
      </c>
      <c r="P4" s="3">
        <f t="shared" ref="P4:P33" si="0">-N4/O4</f>
        <v>0.35619890499669771</v>
      </c>
      <c r="Q4" s="3"/>
      <c r="R4" s="3"/>
      <c r="S4" s="3"/>
      <c r="T4" s="3"/>
      <c r="U4" s="3"/>
    </row>
    <row r="5" spans="1:21" x14ac:dyDescent="0.25">
      <c r="A5" s="3">
        <v>1E-13</v>
      </c>
      <c r="B5" s="3">
        <v>9.7419999999999999E-5</v>
      </c>
      <c r="C5" s="3">
        <v>1.796E-4</v>
      </c>
      <c r="D5" s="3">
        <v>-5.4180000000000005E-4</v>
      </c>
      <c r="E5" s="3">
        <v>0</v>
      </c>
      <c r="F5" s="3">
        <v>0</v>
      </c>
      <c r="G5" s="3">
        <v>0</v>
      </c>
      <c r="H5" s="3">
        <v>7.7684308999999995E-5</v>
      </c>
      <c r="I5" s="3">
        <v>1.9032591999999999E-5</v>
      </c>
      <c r="J5" s="3">
        <v>-2.1809144000000001E-4</v>
      </c>
      <c r="K5" s="2"/>
      <c r="L5" s="3"/>
      <c r="M5" s="3"/>
      <c r="N5" s="2">
        <f>IF('Modell einstellen'!$B$1="Voll",H5/0.35,H5/0.35*2)</f>
        <v>2.2195516857142857E-4</v>
      </c>
      <c r="O5" s="2">
        <f>IF('Modell einstellen'!$B$1="Voll",J5/0.35,J5/0.35*2)</f>
        <v>-6.2311840000000012E-4</v>
      </c>
      <c r="P5" s="3">
        <f t="shared" si="0"/>
        <v>0.35620063309224786</v>
      </c>
      <c r="Q5" s="3"/>
      <c r="R5" s="3"/>
      <c r="S5" s="3"/>
      <c r="T5" s="3"/>
      <c r="U5" s="3"/>
    </row>
    <row r="6" spans="1:21" x14ac:dyDescent="0.25">
      <c r="A6" s="3">
        <v>9.9999999999999998E-13</v>
      </c>
      <c r="B6" s="3">
        <v>9.7419999999999999E-5</v>
      </c>
      <c r="C6" s="3">
        <v>1.796E-4</v>
      </c>
      <c r="D6" s="3">
        <v>-5.419E-4</v>
      </c>
      <c r="E6" s="3">
        <v>0</v>
      </c>
      <c r="F6" s="3">
        <v>0</v>
      </c>
      <c r="G6" s="3">
        <v>0</v>
      </c>
      <c r="H6" s="3">
        <v>7.7694327E-5</v>
      </c>
      <c r="I6" s="3">
        <v>1.9034543999999999E-5</v>
      </c>
      <c r="J6" s="3">
        <v>-2.1810954000000001E-4</v>
      </c>
      <c r="K6" s="2"/>
      <c r="L6" s="3"/>
      <c r="M6" s="3"/>
      <c r="N6" s="2">
        <f>IF('Modell einstellen'!$B$1="Voll",H6/0.35,H6/0.35*2)</f>
        <v>2.2198379142857145E-4</v>
      </c>
      <c r="O6" s="2">
        <f>IF('Modell einstellen'!$B$1="Voll",J6/0.35,J6/0.35*2)</f>
        <v>-6.2317011428571439E-4</v>
      </c>
      <c r="P6" s="3">
        <f t="shared" si="0"/>
        <v>0.35621700453817834</v>
      </c>
      <c r="Q6" s="3"/>
      <c r="R6" s="3"/>
      <c r="S6" s="3"/>
      <c r="T6" s="3"/>
      <c r="U6" s="3"/>
    </row>
    <row r="7" spans="1:21" x14ac:dyDescent="0.25">
      <c r="A7" s="3">
        <v>9.9999999999999994E-12</v>
      </c>
      <c r="B7" s="3">
        <v>9.7390000000000001E-5</v>
      </c>
      <c r="C7" s="3">
        <v>1.797E-4</v>
      </c>
      <c r="D7" s="3">
        <v>-5.421E-4</v>
      </c>
      <c r="E7" s="3">
        <v>0</v>
      </c>
      <c r="F7" s="3">
        <v>0</v>
      </c>
      <c r="G7" s="3">
        <v>0</v>
      </c>
      <c r="H7" s="3">
        <v>7.7791859999999993E-5</v>
      </c>
      <c r="I7" s="3">
        <v>1.9053403000000001E-5</v>
      </c>
      <c r="J7" s="3">
        <v>-2.1828512000000001E-4</v>
      </c>
      <c r="K7" s="2"/>
      <c r="L7" s="3"/>
      <c r="M7" s="3"/>
      <c r="N7" s="2">
        <f>IF('Modell einstellen'!$B$1="Voll",H7/0.35,H7/0.35*2)</f>
        <v>2.2226245714285713E-4</v>
      </c>
      <c r="O7" s="2">
        <f>IF('Modell einstellen'!$B$1="Voll",J7/0.35,J7/0.35*2)</f>
        <v>-6.2367177142857153E-4</v>
      </c>
      <c r="P7" s="3">
        <f t="shared" si="0"/>
        <v>0.35637729223137143</v>
      </c>
      <c r="Q7" s="3"/>
      <c r="R7" s="3"/>
      <c r="S7" s="3"/>
      <c r="T7" s="3"/>
      <c r="U7" s="3"/>
    </row>
    <row r="8" spans="1:21" x14ac:dyDescent="0.25">
      <c r="A8" s="3">
        <v>1E-10</v>
      </c>
      <c r="B8" s="3">
        <v>9.7219999999999994E-5</v>
      </c>
      <c r="C8" s="3">
        <v>1.8100000000000001E-4</v>
      </c>
      <c r="D8" s="3">
        <v>-5.4370000000000004E-4</v>
      </c>
      <c r="E8" s="3">
        <v>0</v>
      </c>
      <c r="F8" s="3">
        <v>0</v>
      </c>
      <c r="G8" s="3">
        <v>0</v>
      </c>
      <c r="H8" s="3">
        <v>7.8614047000000005E-5</v>
      </c>
      <c r="I8" s="3">
        <v>1.9212113000000001E-5</v>
      </c>
      <c r="J8" s="3">
        <v>-2.1976407E-4</v>
      </c>
      <c r="K8" s="2"/>
      <c r="L8" s="3"/>
      <c r="M8" s="3"/>
      <c r="N8" s="2">
        <f>IF('Modell einstellen'!$B$1="Voll",H8/0.35,H8/0.35*2)</f>
        <v>2.2461156285714289E-4</v>
      </c>
      <c r="O8" s="2">
        <f>IF('Modell einstellen'!$B$1="Voll",J8/0.35,J8/0.35*2)</f>
        <v>-6.2789734285714294E-4</v>
      </c>
      <c r="P8" s="3">
        <f t="shared" si="0"/>
        <v>0.35772019966685181</v>
      </c>
      <c r="Q8" s="3"/>
      <c r="R8" s="3"/>
      <c r="S8" s="3"/>
      <c r="T8" s="3"/>
      <c r="U8" s="3"/>
    </row>
    <row r="9" spans="1:21" x14ac:dyDescent="0.25">
      <c r="A9" s="3">
        <v>1.0000000000000001E-9</v>
      </c>
      <c r="B9" s="3">
        <v>9.7529999999999996E-5</v>
      </c>
      <c r="C9" s="3">
        <v>1.8550000000000001E-4</v>
      </c>
      <c r="D9" s="3">
        <v>-5.5000000000000003E-4</v>
      </c>
      <c r="E9" s="3">
        <v>0</v>
      </c>
      <c r="F9" s="3">
        <v>0</v>
      </c>
      <c r="G9" s="3">
        <v>0</v>
      </c>
      <c r="H9" s="3">
        <v>8.1252416000000005E-5</v>
      </c>
      <c r="I9" s="3">
        <v>1.9737429000000001E-5</v>
      </c>
      <c r="J9" s="3">
        <v>-2.2455931E-4</v>
      </c>
      <c r="K9" s="2"/>
      <c r="L9" s="3"/>
      <c r="M9" s="3"/>
      <c r="N9" s="2">
        <f>IF('Modell einstellen'!$B$1="Voll",H9/0.35,H9/0.35*2)</f>
        <v>2.3214976000000004E-4</v>
      </c>
      <c r="O9" s="2">
        <f>IF('Modell einstellen'!$B$1="Voll",J9/0.35,J9/0.35*2)</f>
        <v>-6.4159802857142859E-4</v>
      </c>
      <c r="P9" s="3">
        <f t="shared" si="0"/>
        <v>0.36183053822172867</v>
      </c>
      <c r="Q9" s="3"/>
      <c r="R9" s="3"/>
      <c r="S9" s="3"/>
      <c r="T9" s="3"/>
      <c r="U9" s="3"/>
    </row>
    <row r="10" spans="1:21" x14ac:dyDescent="0.25">
      <c r="A10" s="3">
        <v>1E-8</v>
      </c>
      <c r="B10" s="3">
        <v>9.7369999999999998E-5</v>
      </c>
      <c r="C10" s="3">
        <v>1.9019999999999999E-4</v>
      </c>
      <c r="D10" s="3">
        <v>-5.5610000000000002E-4</v>
      </c>
      <c r="E10" s="3">
        <v>0</v>
      </c>
      <c r="F10" s="3">
        <v>0</v>
      </c>
      <c r="G10" s="3">
        <v>0</v>
      </c>
      <c r="H10" s="3">
        <v>8.4107339E-5</v>
      </c>
      <c r="I10" s="3">
        <v>2.0290677999999999E-5</v>
      </c>
      <c r="J10" s="3">
        <v>-2.296834E-4</v>
      </c>
      <c r="K10" s="2"/>
      <c r="L10" s="3"/>
      <c r="M10" s="3"/>
      <c r="N10" s="2">
        <f>IF('Modell einstellen'!$B$1="Voll",H10/0.35,H10/0.35*2)</f>
        <v>2.4030668285714287E-4</v>
      </c>
      <c r="O10" s="2">
        <f>IF('Modell einstellen'!$B$1="Voll",J10/0.35,J10/0.35*2)</f>
        <v>-6.5623828571428574E-4</v>
      </c>
      <c r="P10" s="3">
        <f t="shared" si="0"/>
        <v>0.36618814855579462</v>
      </c>
      <c r="Q10" s="3"/>
      <c r="R10" s="3"/>
      <c r="S10" s="3"/>
      <c r="T10" s="3"/>
      <c r="U10" s="3"/>
    </row>
    <row r="11" spans="1:21" x14ac:dyDescent="0.25">
      <c r="A11" s="3">
        <v>9.9999999999999995E-8</v>
      </c>
      <c r="B11" s="3">
        <v>9.6910000000000006E-5</v>
      </c>
      <c r="C11" s="3">
        <v>1.9570000000000001E-4</v>
      </c>
      <c r="D11" s="3">
        <v>-5.6300000000000002E-4</v>
      </c>
      <c r="E11" s="3">
        <v>0</v>
      </c>
      <c r="F11" s="3">
        <v>0</v>
      </c>
      <c r="G11" s="3">
        <v>0</v>
      </c>
      <c r="H11" s="3">
        <v>8.7580439000000006E-5</v>
      </c>
      <c r="I11" s="3">
        <v>2.0950973999999999E-5</v>
      </c>
      <c r="J11" s="3">
        <v>-2.358603E-4</v>
      </c>
      <c r="K11" s="2"/>
      <c r="L11" s="3"/>
      <c r="M11" s="3"/>
      <c r="N11" s="2">
        <f>IF('Modell einstellen'!$B$1="Voll",H11/0.35,H11/0.35*2)</f>
        <v>2.5022982571428577E-4</v>
      </c>
      <c r="O11" s="2">
        <f>IF('Modell einstellen'!$B$1="Voll",J11/0.35,J11/0.35*2)</f>
        <v>-6.7388657142857151E-4</v>
      </c>
      <c r="P11" s="3">
        <f t="shared" si="0"/>
        <v>0.37132335963279961</v>
      </c>
      <c r="Q11" s="3"/>
      <c r="R11" s="3"/>
      <c r="S11" s="3"/>
      <c r="T11" s="3"/>
      <c r="U11" s="3"/>
    </row>
    <row r="12" spans="1:21" x14ac:dyDescent="0.25">
      <c r="A12" s="3">
        <v>9.9999999999999995E-7</v>
      </c>
      <c r="B12" s="3">
        <v>9.5929999999999998E-5</v>
      </c>
      <c r="C12" s="3">
        <v>2.0230000000000001E-4</v>
      </c>
      <c r="D12" s="3">
        <v>-5.71E-4</v>
      </c>
      <c r="E12" s="3">
        <v>0</v>
      </c>
      <c r="F12" s="3">
        <v>0</v>
      </c>
      <c r="G12" s="3">
        <v>0</v>
      </c>
      <c r="H12" s="3">
        <v>9.1951071000000002E-5</v>
      </c>
      <c r="I12" s="3">
        <v>2.1762066E-5</v>
      </c>
      <c r="J12" s="3">
        <v>-2.4354684999999999E-4</v>
      </c>
      <c r="K12" s="2"/>
      <c r="L12" s="3"/>
      <c r="M12" s="3"/>
      <c r="N12" s="2">
        <f>IF('Modell einstellen'!$B$1="Voll",H12/0.35,H12/0.35*2)</f>
        <v>2.6271734571428574E-4</v>
      </c>
      <c r="O12" s="2">
        <f>IF('Modell einstellen'!$B$1="Voll",J12/0.35,J12/0.35*2)</f>
        <v>-6.9584814285714289E-4</v>
      </c>
      <c r="P12" s="3">
        <f t="shared" si="0"/>
        <v>0.3775498266555285</v>
      </c>
      <c r="Q12" s="3"/>
      <c r="R12" s="3"/>
      <c r="S12" s="3"/>
      <c r="T12" s="3"/>
      <c r="U12" s="3"/>
    </row>
    <row r="13" spans="1:21" x14ac:dyDescent="0.25">
      <c r="A13" s="3">
        <v>1.0000000000000001E-5</v>
      </c>
      <c r="B13" s="3">
        <v>9.4339999999999995E-5</v>
      </c>
      <c r="C13" s="3">
        <v>2.0939999999999999E-4</v>
      </c>
      <c r="D13" s="3">
        <v>-5.7890000000000003E-4</v>
      </c>
      <c r="E13" s="3">
        <v>0</v>
      </c>
      <c r="F13" s="3">
        <v>0</v>
      </c>
      <c r="G13" s="3">
        <v>0</v>
      </c>
      <c r="H13" s="3">
        <v>9.6780605E-5</v>
      </c>
      <c r="I13" s="3">
        <v>2.2632850000000001E-5</v>
      </c>
      <c r="J13" s="3">
        <v>-2.5193089E-4</v>
      </c>
      <c r="K13" s="2"/>
      <c r="L13" s="3"/>
      <c r="M13" s="3"/>
      <c r="N13" s="2">
        <f>IF('Modell einstellen'!$B$1="Voll",H13/0.35,H13/0.35*2)</f>
        <v>2.765160142857143E-4</v>
      </c>
      <c r="O13" s="2">
        <f>IF('Modell einstellen'!$B$1="Voll",J13/0.35,J13/0.35*2)</f>
        <v>-7.1980254285714288E-4</v>
      </c>
      <c r="P13" s="3">
        <f t="shared" si="0"/>
        <v>0.38415537292786922</v>
      </c>
      <c r="Q13" s="3"/>
      <c r="R13" s="3"/>
      <c r="S13" s="3"/>
      <c r="T13" s="3"/>
      <c r="U13" s="3"/>
    </row>
    <row r="14" spans="1:21" x14ac:dyDescent="0.25">
      <c r="A14" s="3">
        <v>1E-4</v>
      </c>
      <c r="B14" s="3">
        <v>9.1390000000000004E-5</v>
      </c>
      <c r="C14" s="3">
        <v>2.187E-4</v>
      </c>
      <c r="D14" s="3">
        <v>-5.8839999999999999E-4</v>
      </c>
      <c r="E14" s="3">
        <v>0</v>
      </c>
      <c r="F14" s="3">
        <v>0</v>
      </c>
      <c r="G14" s="3">
        <v>0</v>
      </c>
      <c r="H14" s="3">
        <v>1.0344374E-4</v>
      </c>
      <c r="I14" s="3">
        <v>2.3795202000000001E-5</v>
      </c>
      <c r="J14" s="3">
        <v>-2.6333314999999998E-4</v>
      </c>
      <c r="K14" s="2"/>
      <c r="L14" s="3"/>
      <c r="M14" s="3"/>
      <c r="N14" s="2">
        <f>IF('Modell einstellen'!$B$1="Voll",H14/0.35,H14/0.35*2)</f>
        <v>2.9555354285714286E-4</v>
      </c>
      <c r="O14" s="2">
        <f>IF('Modell einstellen'!$B$1="Voll",J14/0.35,J14/0.35*2)</f>
        <v>-7.5238042857142854E-4</v>
      </c>
      <c r="P14" s="3">
        <f t="shared" si="0"/>
        <v>0.39282460259940688</v>
      </c>
      <c r="Q14" s="3"/>
      <c r="R14" s="3"/>
      <c r="S14" s="3"/>
      <c r="T14" s="3"/>
      <c r="U14" s="3"/>
    </row>
    <row r="15" spans="1:21" x14ac:dyDescent="0.25">
      <c r="A15" s="3">
        <v>1E-3</v>
      </c>
      <c r="B15" s="3">
        <v>8.6570000000000006E-5</v>
      </c>
      <c r="C15" s="3">
        <v>2.2939999999999999E-4</v>
      </c>
      <c r="D15" s="3">
        <v>-5.9800000000000001E-4</v>
      </c>
      <c r="E15" s="3">
        <v>0</v>
      </c>
      <c r="F15" s="3">
        <v>0</v>
      </c>
      <c r="G15" s="3">
        <v>0</v>
      </c>
      <c r="H15" s="3">
        <v>1.116257E-4</v>
      </c>
      <c r="I15" s="3">
        <v>2.515909E-5</v>
      </c>
      <c r="J15" s="3">
        <v>-2.7706794999999998E-4</v>
      </c>
      <c r="K15" s="2"/>
      <c r="L15" s="3"/>
      <c r="M15" s="3"/>
      <c r="N15" s="2">
        <f>IF('Modell einstellen'!$B$1="Voll",H15/0.35,H15/0.35*2)</f>
        <v>3.1893057142857144E-4</v>
      </c>
      <c r="O15" s="2">
        <f>IF('Modell einstellen'!$B$1="Voll",J15/0.35,J15/0.35*2)</f>
        <v>-7.9162271428571431E-4</v>
      </c>
      <c r="P15" s="3">
        <f t="shared" si="0"/>
        <v>0.40288203669893974</v>
      </c>
      <c r="Q15" s="3"/>
      <c r="R15" s="3"/>
      <c r="S15" s="3"/>
      <c r="T15" s="3"/>
      <c r="U15" s="3"/>
    </row>
    <row r="16" spans="1:21" x14ac:dyDescent="0.25">
      <c r="A16" s="3">
        <v>0.01</v>
      </c>
      <c r="B16" s="3">
        <v>7.9789999999999993E-5</v>
      </c>
      <c r="C16" s="3">
        <v>2.4049999999999999E-4</v>
      </c>
      <c r="D16" s="3">
        <v>-6.0599999999999998E-4</v>
      </c>
      <c r="E16" s="3">
        <v>0</v>
      </c>
      <c r="F16" s="3">
        <v>0</v>
      </c>
      <c r="G16" s="3">
        <v>0</v>
      </c>
      <c r="H16" s="3">
        <v>1.2072337E-4</v>
      </c>
      <c r="I16" s="3">
        <v>2.6599936000000001E-5</v>
      </c>
      <c r="J16" s="3">
        <v>-2.9202296999999999E-4</v>
      </c>
      <c r="K16" s="2"/>
      <c r="L16" s="3"/>
      <c r="M16" s="3"/>
      <c r="N16" s="2">
        <f>IF('Modell einstellen'!$B$1="Voll",H16/0.35,H16/0.35*2)</f>
        <v>3.4492391428571432E-4</v>
      </c>
      <c r="O16" s="2">
        <f>IF('Modell einstellen'!$B$1="Voll",J16/0.35,J16/0.35*2)</f>
        <v>-8.3435134285714284E-4</v>
      </c>
      <c r="P16" s="3">
        <f t="shared" si="0"/>
        <v>0.41340367848460691</v>
      </c>
      <c r="Q16" s="3"/>
      <c r="R16" s="3"/>
      <c r="S16" s="3"/>
      <c r="T16" s="3"/>
      <c r="U16" s="3"/>
    </row>
    <row r="17" spans="1:21" x14ac:dyDescent="0.25">
      <c r="A17" s="3">
        <v>0.1</v>
      </c>
      <c r="B17" s="3">
        <v>6.9770000000000005E-5</v>
      </c>
      <c r="C17" s="3">
        <v>2.5329999999999998E-4</v>
      </c>
      <c r="D17" s="3">
        <v>-6.1300000000000005E-4</v>
      </c>
      <c r="E17" s="3">
        <v>0</v>
      </c>
      <c r="F17" s="3">
        <v>0</v>
      </c>
      <c r="G17" s="3">
        <v>0</v>
      </c>
      <c r="H17" s="3">
        <v>1.3195036000000001E-4</v>
      </c>
      <c r="I17" s="3">
        <v>2.8301339E-5</v>
      </c>
      <c r="J17" s="3">
        <v>-3.1013763999999998E-4</v>
      </c>
      <c r="K17" s="2"/>
      <c r="L17" s="3"/>
      <c r="M17" s="3"/>
      <c r="N17" s="2">
        <f>IF('Modell einstellen'!$B$1="Voll",H17/0.35,H17/0.35*2)</f>
        <v>3.7700102857142861E-4</v>
      </c>
      <c r="O17" s="2">
        <f>IF('Modell einstellen'!$B$1="Voll",J17/0.35,J17/0.35*2)</f>
        <v>-8.8610754285714283E-4</v>
      </c>
      <c r="P17" s="3">
        <f t="shared" si="0"/>
        <v>0.42545741948639326</v>
      </c>
      <c r="Q17" s="3"/>
      <c r="R17" s="3"/>
      <c r="S17" s="3"/>
      <c r="T17" s="3"/>
      <c r="U17" s="3"/>
    </row>
    <row r="18" spans="1:21" x14ac:dyDescent="0.25">
      <c r="A18" s="3">
        <v>1</v>
      </c>
      <c r="B18" s="3">
        <v>5.5940000000000003E-5</v>
      </c>
      <c r="C18" s="3">
        <v>2.6959999999999999E-4</v>
      </c>
      <c r="D18" s="3">
        <v>-6.198E-4</v>
      </c>
      <c r="E18" s="3">
        <v>0</v>
      </c>
      <c r="F18" s="3">
        <v>0</v>
      </c>
      <c r="G18" s="3">
        <v>0</v>
      </c>
      <c r="H18" s="3">
        <v>1.4568046999999999E-4</v>
      </c>
      <c r="I18" s="3">
        <v>3.0498186000000001E-5</v>
      </c>
      <c r="J18" s="3">
        <v>-3.3249229999999998E-4</v>
      </c>
      <c r="K18" s="2"/>
      <c r="L18" s="3"/>
      <c r="M18" s="3"/>
      <c r="N18" s="2">
        <f>IF('Modell einstellen'!$B$1="Voll",H18/0.35,H18/0.35*2)</f>
        <v>4.1622991428571431E-4</v>
      </c>
      <c r="O18" s="2">
        <f>IF('Modell einstellen'!$B$1="Voll",J18/0.35,J18/0.35*2)</f>
        <v>-9.4997799999999998E-4</v>
      </c>
      <c r="P18" s="3">
        <f t="shared" si="0"/>
        <v>0.43814689843945259</v>
      </c>
      <c r="Q18" s="3"/>
      <c r="R18" s="3"/>
      <c r="S18" s="3"/>
      <c r="T18" s="3"/>
      <c r="U18" s="3"/>
    </row>
    <row r="19" spans="1:21" x14ac:dyDescent="0.25">
      <c r="A19" s="3">
        <v>10</v>
      </c>
      <c r="B19" s="3">
        <v>3.5179999999999999E-5</v>
      </c>
      <c r="C19" s="3">
        <v>3.0400000000000002E-4</v>
      </c>
      <c r="D19" s="3">
        <v>-6.3679999999999997E-4</v>
      </c>
      <c r="E19" s="3">
        <v>0</v>
      </c>
      <c r="F19" s="3">
        <v>0</v>
      </c>
      <c r="G19" s="3">
        <v>0</v>
      </c>
      <c r="H19" s="3">
        <v>1.6601609E-4</v>
      </c>
      <c r="I19" s="3">
        <v>3.5067829999999999E-5</v>
      </c>
      <c r="J19" s="3">
        <v>-3.6945895999999998E-4</v>
      </c>
      <c r="K19" s="2"/>
      <c r="L19" s="3"/>
      <c r="M19" s="3"/>
      <c r="N19" s="2">
        <f>IF('Modell einstellen'!$B$1="Voll",H19/0.35,H19/0.35*2)</f>
        <v>4.7433168571428574E-4</v>
      </c>
      <c r="O19" s="2">
        <f>IF('Modell einstellen'!$B$1="Voll",J19/0.35,J19/0.35*2)</f>
        <v>-1.0555970285714286E-3</v>
      </c>
      <c r="P19" s="3">
        <f t="shared" si="0"/>
        <v>0.44934920511874987</v>
      </c>
      <c r="Q19" s="3"/>
      <c r="R19" s="3"/>
      <c r="S19" s="3"/>
      <c r="T19" s="3"/>
      <c r="U19" s="3"/>
    </row>
    <row r="20" spans="1:21" x14ac:dyDescent="0.25">
      <c r="A20" s="3">
        <v>100</v>
      </c>
      <c r="B20" s="3">
        <v>-2.5629999999999999E-6</v>
      </c>
      <c r="C20" s="3">
        <v>3.7290000000000001E-4</v>
      </c>
      <c r="D20" s="3">
        <v>-6.6969999999999996E-4</v>
      </c>
      <c r="E20" s="3">
        <v>0</v>
      </c>
      <c r="F20" s="3">
        <v>0</v>
      </c>
      <c r="G20" s="3">
        <v>0</v>
      </c>
      <c r="H20" s="3">
        <v>1.9791078000000001E-4</v>
      </c>
      <c r="I20" s="3">
        <v>4.4350425999999999E-5</v>
      </c>
      <c r="J20" s="3">
        <v>-4.3409414999999999E-4</v>
      </c>
      <c r="K20" s="2"/>
      <c r="L20" s="3"/>
      <c r="M20" s="3"/>
      <c r="N20" s="2">
        <f>IF('Modell einstellen'!$B$1="Voll",H20/0.35,H20/0.35*2)</f>
        <v>5.6545937142857153E-4</v>
      </c>
      <c r="O20" s="2">
        <f>IF('Modell einstellen'!$B$1="Voll",J20/0.35,J20/0.35*2)</f>
        <v>-1.240269E-3</v>
      </c>
      <c r="P20" s="3">
        <f t="shared" si="0"/>
        <v>0.45591671760607699</v>
      </c>
      <c r="Q20" s="3"/>
      <c r="R20" s="3"/>
      <c r="S20" s="3"/>
      <c r="T20" s="3"/>
      <c r="U20" s="3"/>
    </row>
    <row r="21" spans="1:21" x14ac:dyDescent="0.25">
      <c r="A21" s="3">
        <v>1000</v>
      </c>
      <c r="B21" s="3">
        <v>-9.5210000000000005E-5</v>
      </c>
      <c r="C21" s="3">
        <v>4.797E-4</v>
      </c>
      <c r="D21" s="3">
        <v>-6.8729999999999996E-4</v>
      </c>
      <c r="E21" s="3">
        <v>0</v>
      </c>
      <c r="F21" s="3">
        <v>0</v>
      </c>
      <c r="G21" s="3">
        <v>0</v>
      </c>
      <c r="H21" s="3">
        <v>2.5151140999999999E-4</v>
      </c>
      <c r="I21" s="3">
        <v>5.9677701999999998E-5</v>
      </c>
      <c r="J21" s="3">
        <v>-5.4228429999999997E-4</v>
      </c>
      <c r="K21" s="2"/>
      <c r="L21" s="3"/>
      <c r="M21" s="3"/>
      <c r="N21" s="2">
        <f>IF('Modell einstellen'!$B$1="Voll",H21/0.35,H21/0.35*2)</f>
        <v>7.1860402857142861E-4</v>
      </c>
      <c r="O21" s="2">
        <f>IF('Modell einstellen'!$B$1="Voll",J21/0.35,J21/0.35*2)</f>
        <v>-1.5493837142857142E-3</v>
      </c>
      <c r="P21" s="3">
        <f t="shared" si="0"/>
        <v>0.46379991085856631</v>
      </c>
      <c r="Q21" s="3"/>
      <c r="R21" s="3"/>
      <c r="S21" s="3"/>
      <c r="T21" s="3"/>
      <c r="U21" s="3"/>
    </row>
    <row r="22" spans="1:21" x14ac:dyDescent="0.25">
      <c r="A22" s="3">
        <v>10000</v>
      </c>
      <c r="B22" s="3">
        <v>-3.4709999999999998E-4</v>
      </c>
      <c r="C22" s="3">
        <v>6.4919999999999995E-4</v>
      </c>
      <c r="D22" s="3">
        <v>-6.1269999999999999E-4</v>
      </c>
      <c r="E22" s="3">
        <v>0</v>
      </c>
      <c r="F22" s="3">
        <v>0</v>
      </c>
      <c r="G22" s="3">
        <v>0</v>
      </c>
      <c r="H22" s="3">
        <v>3.5782369000000001E-4</v>
      </c>
      <c r="I22" s="3">
        <v>8.6423284999999995E-5</v>
      </c>
      <c r="J22" s="3">
        <v>-7.4526522000000004E-4</v>
      </c>
      <c r="K22" s="2"/>
      <c r="L22" s="3"/>
      <c r="M22" s="3"/>
      <c r="N22" s="2">
        <f>IF('Modell einstellen'!$B$1="Voll",H22/0.35,H22/0.35*2)</f>
        <v>1.0223534000000001E-3</v>
      </c>
      <c r="O22" s="2">
        <f>IF('Modell einstellen'!$B$1="Voll",J22/0.35,J22/0.35*2)</f>
        <v>-2.1293292000000002E-3</v>
      </c>
      <c r="P22" s="3">
        <f t="shared" si="0"/>
        <v>0.48012932899243571</v>
      </c>
      <c r="Q22" s="3"/>
      <c r="R22" s="3"/>
      <c r="S22" s="3"/>
      <c r="T22" s="3"/>
      <c r="U22" s="3"/>
    </row>
    <row r="23" spans="1:21" x14ac:dyDescent="0.25">
      <c r="A23" s="3">
        <v>100000</v>
      </c>
      <c r="B23" s="3">
        <v>-1.0280000000000001E-3</v>
      </c>
      <c r="C23" s="3">
        <v>9.4510000000000004E-4</v>
      </c>
      <c r="D23" s="3">
        <v>-2.387E-4</v>
      </c>
      <c r="E23" s="3">
        <v>0</v>
      </c>
      <c r="F23" s="3">
        <v>0</v>
      </c>
      <c r="G23" s="3">
        <v>0</v>
      </c>
      <c r="H23" s="3">
        <v>5.8719743000000004E-4</v>
      </c>
      <c r="I23" s="3">
        <v>1.3826906999999999E-4</v>
      </c>
      <c r="J23" s="3">
        <v>-1.1627618000000001E-3</v>
      </c>
      <c r="K23" s="2"/>
      <c r="L23" s="3"/>
      <c r="M23" s="3"/>
      <c r="N23" s="2">
        <f>IF('Modell einstellen'!$B$1="Voll",H23/0.35,H23/0.35*2)</f>
        <v>1.677706942857143E-3</v>
      </c>
      <c r="O23" s="2">
        <f>IF('Modell einstellen'!$B$1="Voll",J23/0.35,J23/0.35*2)</f>
        <v>-3.3221765714285716E-3</v>
      </c>
      <c r="P23" s="3">
        <f t="shared" si="0"/>
        <v>0.50500234011815659</v>
      </c>
      <c r="Q23" s="3"/>
      <c r="R23" s="3"/>
      <c r="S23" s="3"/>
      <c r="T23" s="3"/>
      <c r="U23" s="3"/>
    </row>
    <row r="24" spans="1:21" x14ac:dyDescent="0.25">
      <c r="A24" s="3">
        <v>1000000</v>
      </c>
      <c r="B24" s="3">
        <v>-2.5929999999999998E-3</v>
      </c>
      <c r="C24" s="3">
        <v>1.469E-3</v>
      </c>
      <c r="D24" s="3">
        <v>7.9390000000000005E-4</v>
      </c>
      <c r="E24" s="3">
        <v>0</v>
      </c>
      <c r="F24" s="3">
        <v>0</v>
      </c>
      <c r="G24" s="3">
        <v>0</v>
      </c>
      <c r="H24" s="3">
        <v>1.0529059999999999E-3</v>
      </c>
      <c r="I24" s="3">
        <v>2.3698472E-4</v>
      </c>
      <c r="J24" s="3">
        <v>-1.9852536E-3</v>
      </c>
      <c r="K24" s="2"/>
      <c r="L24" s="3"/>
      <c r="M24" s="3"/>
      <c r="N24" s="2">
        <f>IF('Modell einstellen'!$B$1="Voll",H24/0.35,H24/0.35*2)</f>
        <v>3.0083028571428572E-3</v>
      </c>
      <c r="O24" s="2">
        <f>IF('Modell einstellen'!$B$1="Voll",J24/0.35,J24/0.35*2)</f>
        <v>-5.6721531428571429E-3</v>
      </c>
      <c r="P24" s="3">
        <f t="shared" si="0"/>
        <v>0.53036347598110389</v>
      </c>
      <c r="Q24" s="3"/>
      <c r="R24" s="3"/>
      <c r="S24" s="3"/>
      <c r="T24" s="3"/>
      <c r="U24" s="3"/>
    </row>
    <row r="25" spans="1:21" x14ac:dyDescent="0.25">
      <c r="A25" s="3">
        <v>10000000</v>
      </c>
      <c r="B25" s="3">
        <v>-5.6750000000000004E-3</v>
      </c>
      <c r="C25" s="3">
        <v>2.4030000000000002E-3</v>
      </c>
      <c r="D25" s="3">
        <v>2.9359999999999998E-3</v>
      </c>
      <c r="E25" s="3">
        <v>0</v>
      </c>
      <c r="F25" s="3">
        <v>0</v>
      </c>
      <c r="G25" s="3">
        <v>0</v>
      </c>
      <c r="H25" s="3">
        <v>1.9269425E-3</v>
      </c>
      <c r="I25" s="3">
        <v>4.1926585000000001E-4</v>
      </c>
      <c r="J25" s="3">
        <v>-3.5112160000000002E-3</v>
      </c>
      <c r="K25" s="2"/>
      <c r="L25" s="3"/>
      <c r="M25" s="3"/>
      <c r="N25" s="2">
        <f>IF('Modell einstellen'!$B$1="Voll",H25/0.35,H25/0.35*2)</f>
        <v>5.5055500000000005E-3</v>
      </c>
      <c r="O25" s="2">
        <f>IF('Modell einstellen'!$B$1="Voll",J25/0.35,J25/0.35*2)</f>
        <v>-1.0032045714285715E-2</v>
      </c>
      <c r="P25" s="3">
        <f t="shared" si="0"/>
        <v>0.54879634291937607</v>
      </c>
      <c r="Q25" s="3"/>
      <c r="R25" s="3"/>
      <c r="S25" s="3"/>
      <c r="T25" s="3"/>
      <c r="U25" s="3"/>
    </row>
    <row r="26" spans="1:21" x14ac:dyDescent="0.25">
      <c r="A26" s="3">
        <v>100000000</v>
      </c>
      <c r="B26" s="3">
        <v>-1.076E-2</v>
      </c>
      <c r="C26" s="3">
        <v>3.8899999999999998E-3</v>
      </c>
      <c r="D26" s="3">
        <v>6.5329999999999997E-3</v>
      </c>
      <c r="E26" s="3">
        <v>0</v>
      </c>
      <c r="F26" s="3">
        <v>0</v>
      </c>
      <c r="G26" s="3">
        <v>0</v>
      </c>
      <c r="H26" s="3">
        <v>3.3445340000000001E-3</v>
      </c>
      <c r="I26" s="3">
        <v>7.1582773000000005E-4</v>
      </c>
      <c r="J26" s="3">
        <v>-5.9690409999999996E-3</v>
      </c>
      <c r="K26" s="2"/>
      <c r="L26" s="3"/>
      <c r="M26" s="3"/>
      <c r="N26" s="2">
        <f>IF('Modell einstellen'!$B$1="Voll",H26/0.35,H26/0.35*2)</f>
        <v>9.5558114285714292E-3</v>
      </c>
      <c r="O26" s="2">
        <f>IF('Modell einstellen'!$B$1="Voll",J26/0.35,J26/0.35*2)</f>
        <v>-1.7054402857142856E-2</v>
      </c>
      <c r="P26" s="3">
        <f t="shared" si="0"/>
        <v>0.56031345738787863</v>
      </c>
      <c r="Q26" s="3"/>
      <c r="R26" s="3"/>
      <c r="S26" s="3"/>
      <c r="T26" s="3"/>
      <c r="U26" s="3"/>
    </row>
    <row r="27" spans="1:21" x14ac:dyDescent="0.25">
      <c r="A27" s="3">
        <v>1000000000</v>
      </c>
      <c r="B27" s="3">
        <v>-1.421E-2</v>
      </c>
      <c r="C27" s="3">
        <v>4.96E-3</v>
      </c>
      <c r="D27" s="3">
        <v>8.914E-3</v>
      </c>
      <c r="E27" s="3">
        <v>0</v>
      </c>
      <c r="F27" s="3">
        <v>0</v>
      </c>
      <c r="G27" s="3">
        <v>0</v>
      </c>
      <c r="H27" s="3">
        <v>4.2917488E-3</v>
      </c>
      <c r="I27" s="3">
        <v>9.3402712999999995E-4</v>
      </c>
      <c r="J27" s="3">
        <v>-7.6679744999999999E-3</v>
      </c>
      <c r="K27" s="2"/>
      <c r="L27" s="3"/>
      <c r="M27" s="3"/>
      <c r="N27" s="2">
        <f>IF('Modell einstellen'!$B$1="Voll",H27/0.35,H27/0.35*2)</f>
        <v>1.226213942857143E-2</v>
      </c>
      <c r="O27" s="2">
        <f>IF('Modell einstellen'!$B$1="Voll",J27/0.35,J27/0.35*2)</f>
        <v>-2.1908498571428573E-2</v>
      </c>
      <c r="P27" s="3">
        <f t="shared" si="0"/>
        <v>0.55969784458725058</v>
      </c>
      <c r="Q27" s="3"/>
      <c r="R27" s="3"/>
      <c r="S27" s="3"/>
      <c r="T27" s="3"/>
      <c r="U27" s="3"/>
    </row>
    <row r="28" spans="1:21" x14ac:dyDescent="0.25">
      <c r="A28" s="3">
        <v>10000000000</v>
      </c>
      <c r="B28" s="3">
        <v>-1.5769999999999999E-2</v>
      </c>
      <c r="C28" s="3">
        <v>5.4999999999999997E-3</v>
      </c>
      <c r="D28" s="3">
        <v>9.9389999999999999E-3</v>
      </c>
      <c r="E28" s="3">
        <v>0</v>
      </c>
      <c r="F28" s="3">
        <v>0</v>
      </c>
      <c r="G28" s="3">
        <v>0</v>
      </c>
      <c r="H28" s="3">
        <v>4.7147951000000004E-3</v>
      </c>
      <c r="I28" s="3">
        <v>1.0463344E-3</v>
      </c>
      <c r="J28" s="3">
        <v>-8.4752735999999995E-3</v>
      </c>
      <c r="K28" s="2"/>
      <c r="L28" s="3"/>
      <c r="M28" s="3"/>
      <c r="N28" s="2">
        <f>IF('Modell einstellen'!$B$1="Voll",H28/0.35,H28/0.35*2)</f>
        <v>1.3470843142857144E-2</v>
      </c>
      <c r="O28" s="2">
        <f>IF('Modell einstellen'!$B$1="Voll",J28/0.35,J28/0.35*2)</f>
        <v>-2.4215067428571428E-2</v>
      </c>
      <c r="P28" s="3">
        <f t="shared" si="0"/>
        <v>0.55630004676191225</v>
      </c>
      <c r="Q28" s="3"/>
      <c r="R28" s="3"/>
      <c r="S28" s="3"/>
      <c r="T28" s="3"/>
      <c r="U28" s="3"/>
    </row>
    <row r="29" spans="1:21" x14ac:dyDescent="0.25">
      <c r="A29" s="3">
        <v>100000000000</v>
      </c>
      <c r="B29" s="3">
        <v>-1.6910000000000001E-2</v>
      </c>
      <c r="C29" s="3">
        <v>5.8869999999999999E-3</v>
      </c>
      <c r="D29" s="3">
        <v>1.069E-2</v>
      </c>
      <c r="E29" s="3">
        <v>0</v>
      </c>
      <c r="F29" s="3">
        <v>0</v>
      </c>
      <c r="G29" s="3">
        <v>0</v>
      </c>
      <c r="H29" s="3">
        <v>5.0319281999999998E-3</v>
      </c>
      <c r="I29" s="3">
        <v>1.1281901999999999E-3</v>
      </c>
      <c r="J29" s="3">
        <v>-9.0704361000000008E-3</v>
      </c>
      <c r="K29" s="2"/>
      <c r="L29" s="3"/>
      <c r="M29" s="3"/>
      <c r="N29" s="2">
        <f>IF('Modell einstellen'!$B$1="Voll",H29/0.35,H29/0.35*2)</f>
        <v>1.4376937714285715E-2</v>
      </c>
      <c r="O29" s="2">
        <f>IF('Modell einstellen'!$B$1="Voll",J29/0.35,J29/0.35*2)</f>
        <v>-2.5915531714285719E-2</v>
      </c>
      <c r="P29" s="3">
        <f t="shared" si="0"/>
        <v>0.55476144085288237</v>
      </c>
      <c r="Q29" s="3"/>
      <c r="R29" s="3"/>
      <c r="S29" s="3"/>
      <c r="T29" s="3"/>
      <c r="U29" s="3"/>
    </row>
    <row r="30" spans="1:21" x14ac:dyDescent="0.25">
      <c r="A30" s="3">
        <v>1000000000000</v>
      </c>
      <c r="B30" s="3">
        <v>-1.6930000000000001E-2</v>
      </c>
      <c r="C30" s="3">
        <v>5.8929999999999998E-3</v>
      </c>
      <c r="D30" s="3">
        <v>1.0699999999999999E-2</v>
      </c>
      <c r="E30" s="3">
        <v>0</v>
      </c>
      <c r="F30" s="3">
        <v>0</v>
      </c>
      <c r="G30" s="3">
        <v>0</v>
      </c>
      <c r="H30" s="3">
        <v>5.0368977999999997E-3</v>
      </c>
      <c r="I30" s="3">
        <v>1.1293097E-3</v>
      </c>
      <c r="J30" s="3">
        <v>-9.0791696000000009E-3</v>
      </c>
      <c r="K30" s="2"/>
      <c r="L30" s="3"/>
      <c r="M30" s="3"/>
      <c r="N30" s="2">
        <f>IF('Modell einstellen'!$B$1="Voll",H30/0.35,H30/0.35*2)</f>
        <v>1.4391136571428572E-2</v>
      </c>
      <c r="O30" s="2">
        <f>IF('Modell einstellen'!$B$1="Voll",J30/0.35,J30/0.35*2)</f>
        <v>-2.5940484571428574E-2</v>
      </c>
      <c r="P30" s="3">
        <f t="shared" si="0"/>
        <v>0.55477516357883649</v>
      </c>
      <c r="Q30" s="3"/>
      <c r="R30" s="3"/>
      <c r="S30" s="3"/>
      <c r="T30" s="3"/>
      <c r="U30" s="3"/>
    </row>
    <row r="31" spans="1:21" x14ac:dyDescent="0.25">
      <c r="A31" s="3">
        <v>10000000000000</v>
      </c>
      <c r="B31" s="3">
        <v>-1.6930000000000001E-2</v>
      </c>
      <c r="C31" s="3">
        <v>5.8970000000000003E-3</v>
      </c>
      <c r="D31" s="3">
        <v>1.0699999999999999E-2</v>
      </c>
      <c r="E31" s="3">
        <v>0</v>
      </c>
      <c r="F31" s="3">
        <v>0</v>
      </c>
      <c r="G31" s="3">
        <v>0</v>
      </c>
      <c r="H31" s="3">
        <v>5.0354518000000001E-3</v>
      </c>
      <c r="I31" s="3">
        <v>1.1301810000000001E-3</v>
      </c>
      <c r="J31" s="3">
        <v>-9.0808455000000003E-3</v>
      </c>
      <c r="K31" s="2"/>
      <c r="L31" s="3"/>
      <c r="M31" s="3"/>
      <c r="N31" s="2">
        <f>IF('Modell einstellen'!$B$1="Voll",H31/0.35,H31/0.35*2)</f>
        <v>1.4387005142857144E-2</v>
      </c>
      <c r="O31" s="2">
        <f>IF('Modell einstellen'!$B$1="Voll",J31/0.35,J31/0.35*2)</f>
        <v>-2.5945272857142859E-2</v>
      </c>
      <c r="P31" s="3">
        <f t="shared" si="0"/>
        <v>0.55451354171811429</v>
      </c>
      <c r="Q31" s="3"/>
      <c r="R31" s="3"/>
      <c r="S31" s="3"/>
      <c r="T31" s="3"/>
      <c r="U31" s="3"/>
    </row>
    <row r="32" spans="1:21" x14ac:dyDescent="0.25">
      <c r="A32" s="3">
        <v>100000000000000</v>
      </c>
      <c r="B32" s="3">
        <v>-1.6930000000000001E-2</v>
      </c>
      <c r="C32" s="3">
        <v>5.8999999999999999E-3</v>
      </c>
      <c r="D32" s="3">
        <v>1.0699999999999999E-2</v>
      </c>
      <c r="E32" s="3">
        <v>0</v>
      </c>
      <c r="F32" s="3">
        <v>0</v>
      </c>
      <c r="G32" s="3">
        <v>0</v>
      </c>
      <c r="H32" s="3">
        <v>5.0342601000000001E-3</v>
      </c>
      <c r="I32" s="3">
        <v>1.1309001E-3</v>
      </c>
      <c r="J32" s="3">
        <v>-9.0822299000000006E-3</v>
      </c>
      <c r="K32" s="2"/>
      <c r="L32" s="3"/>
      <c r="M32" s="3"/>
      <c r="N32" s="2">
        <f>IF('Modell einstellen'!$B$1="Voll",H32/0.35,H32/0.35*2)</f>
        <v>1.4383600285714287E-2</v>
      </c>
      <c r="O32" s="2">
        <f>IF('Modell einstellen'!$B$1="Voll",J32/0.35,J32/0.35*2)</f>
        <v>-2.594922828571429E-2</v>
      </c>
      <c r="P32" s="3">
        <f t="shared" si="0"/>
        <v>0.55429780521191163</v>
      </c>
      <c r="Q32" s="3"/>
      <c r="R32" s="3"/>
      <c r="S32" s="3"/>
      <c r="T32" s="3"/>
      <c r="U32" s="3"/>
    </row>
    <row r="33" spans="1:21" x14ac:dyDescent="0.25">
      <c r="A33" s="2">
        <v>1000000000000000</v>
      </c>
      <c r="B33" s="3">
        <v>-1.6930000000000001E-2</v>
      </c>
      <c r="C33" s="3">
        <v>5.9030000000000003E-3</v>
      </c>
      <c r="D33" s="3">
        <v>1.069E-2</v>
      </c>
      <c r="E33" s="3">
        <v>0</v>
      </c>
      <c r="F33" s="3">
        <v>0</v>
      </c>
      <c r="G33" s="3">
        <v>0</v>
      </c>
      <c r="H33" s="3">
        <v>5.0331786000000003E-3</v>
      </c>
      <c r="I33" s="3">
        <v>1.1315526000000001E-3</v>
      </c>
      <c r="J33" s="3">
        <v>-9.0834868000000003E-3</v>
      </c>
      <c r="K33" s="2"/>
      <c r="L33" s="3"/>
      <c r="M33" s="3"/>
      <c r="N33" s="2">
        <f>IF('Modell einstellen'!$B$1="Voll",H33/0.35,H33/0.35*2)</f>
        <v>1.4380510285714288E-2</v>
      </c>
      <c r="O33" s="2">
        <f>IF('Modell einstellen'!$B$1="Voll",J33/0.35,J33/0.35*2)</f>
        <v>-2.595281942857143E-2</v>
      </c>
      <c r="P33" s="3">
        <f t="shared" si="0"/>
        <v>0.55410204372180083</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9.7990000000000002E-5</v>
      </c>
      <c r="C3" s="3">
        <v>1.9929999999999999E-4</v>
      </c>
      <c r="D3" s="3">
        <v>-5.6789999999999998E-4</v>
      </c>
      <c r="E3" s="3">
        <v>0</v>
      </c>
      <c r="F3" s="3">
        <v>0</v>
      </c>
      <c r="G3" s="3">
        <v>0</v>
      </c>
      <c r="H3" s="3">
        <v>8.8978270000000006E-5</v>
      </c>
      <c r="I3" s="3">
        <v>2.1384642999999999E-5</v>
      </c>
      <c r="J3" s="3">
        <v>-2.3877429000000001E-4</v>
      </c>
      <c r="L3" s="3">
        <f>-B3/D3</f>
        <v>0.1725479837999648</v>
      </c>
      <c r="M3" s="3"/>
      <c r="N3" s="2">
        <f>IF('Modell einstellen'!$B$1="Voll",H3/0.35,H3/0.35*2)</f>
        <v>2.5422362857142861E-4</v>
      </c>
      <c r="O3" s="2">
        <f>IF('Modell einstellen'!$B$1="Voll",J3/0.35,J3/0.35*2)</f>
        <v>-6.8221225714285721E-4</v>
      </c>
      <c r="P3" s="3">
        <f>-N3/O3</f>
        <v>0.3726459410684459</v>
      </c>
    </row>
    <row r="4" spans="1:16" x14ac:dyDescent="0.25">
      <c r="A4" s="3">
        <v>1E-14</v>
      </c>
      <c r="B4" s="3">
        <v>9.6509999999999996E-5</v>
      </c>
      <c r="C4" s="3">
        <v>2.0809999999999999E-4</v>
      </c>
      <c r="D4" s="3">
        <v>-5.7819999999999996E-4</v>
      </c>
      <c r="E4" s="3">
        <v>0</v>
      </c>
      <c r="F4" s="3">
        <v>0</v>
      </c>
      <c r="G4" s="3">
        <v>0</v>
      </c>
      <c r="H4" s="3">
        <v>9.4730627999999994E-5</v>
      </c>
      <c r="I4" s="3">
        <v>2.2461944E-5</v>
      </c>
      <c r="J4" s="3">
        <v>-2.4890904000000001E-4</v>
      </c>
      <c r="L4" s="3">
        <f t="shared" ref="L4:L33" si="0">-B4/D4</f>
        <v>0.16691456243514355</v>
      </c>
      <c r="M4" s="3"/>
      <c r="N4" s="2">
        <f>IF('Modell einstellen'!$B$1="Voll",H4/0.35,H4/0.35*2)</f>
        <v>2.7065893714285714E-4</v>
      </c>
      <c r="O4" s="2">
        <f>IF('Modell einstellen'!$B$1="Voll",J4/0.35,J4/0.35*2)</f>
        <v>-7.1116868571428579E-4</v>
      </c>
      <c r="P4" s="3">
        <f t="shared" ref="P4:P33" si="1">-N4/O4</f>
        <v>0.38058331670075135</v>
      </c>
    </row>
    <row r="5" spans="1:16" x14ac:dyDescent="0.25">
      <c r="A5" s="3">
        <v>1E-13</v>
      </c>
      <c r="B5" s="3">
        <v>9.4149999999999998E-5</v>
      </c>
      <c r="C5" s="3">
        <v>2.1680000000000001E-4</v>
      </c>
      <c r="D5" s="3">
        <v>-5.8739999999999997E-4</v>
      </c>
      <c r="E5" s="3">
        <v>0</v>
      </c>
      <c r="F5" s="3">
        <v>0</v>
      </c>
      <c r="G5" s="3">
        <v>0</v>
      </c>
      <c r="H5" s="3">
        <v>1.0068326E-4</v>
      </c>
      <c r="I5" s="3">
        <v>2.3538458E-5</v>
      </c>
      <c r="J5" s="3">
        <v>-2.5923557000000002E-4</v>
      </c>
      <c r="L5" s="3">
        <f t="shared" si="0"/>
        <v>0.16028260129383726</v>
      </c>
      <c r="M5" s="3"/>
      <c r="N5" s="2">
        <f>IF('Modell einstellen'!$B$1="Voll",H5/0.35,H5/0.35*2)</f>
        <v>2.8766645714285716E-4</v>
      </c>
      <c r="O5" s="2">
        <f>IF('Modell einstellen'!$B$1="Voll",J5/0.35,J5/0.35*2)</f>
        <v>-7.4067305714285725E-4</v>
      </c>
      <c r="P5" s="3">
        <f t="shared" si="1"/>
        <v>0.38838520500871077</v>
      </c>
    </row>
    <row r="6" spans="1:16" x14ac:dyDescent="0.25">
      <c r="A6" s="3">
        <v>9.9999999999999998E-13</v>
      </c>
      <c r="B6" s="3">
        <v>9.0099999999999995E-5</v>
      </c>
      <c r="C6" s="3">
        <v>2.273E-4</v>
      </c>
      <c r="D6" s="3">
        <v>-5.9730000000000004E-4</v>
      </c>
      <c r="E6" s="3">
        <v>0</v>
      </c>
      <c r="F6" s="3">
        <v>0</v>
      </c>
      <c r="G6" s="3">
        <v>0</v>
      </c>
      <c r="H6" s="3">
        <v>1.082682E-4</v>
      </c>
      <c r="I6" s="3">
        <v>2.4855804000000001E-5</v>
      </c>
      <c r="J6" s="3">
        <v>-2.7216288000000001E-4</v>
      </c>
      <c r="L6" s="3">
        <f t="shared" si="0"/>
        <v>0.15084547128746023</v>
      </c>
      <c r="M6" s="3"/>
      <c r="N6" s="2">
        <f>IF('Modell einstellen'!$B$1="Voll",H6/0.35,H6/0.35*2)</f>
        <v>3.0933771428571431E-4</v>
      </c>
      <c r="O6" s="2">
        <f>IF('Modell einstellen'!$B$1="Voll",J6/0.35,J6/0.35*2)</f>
        <v>-7.7760822857142866E-4</v>
      </c>
      <c r="P6" s="3">
        <f t="shared" si="1"/>
        <v>0.39780663696680457</v>
      </c>
    </row>
    <row r="7" spans="1:16" x14ac:dyDescent="0.25">
      <c r="A7" s="3">
        <v>9.9999999999999994E-12</v>
      </c>
      <c r="B7" s="3">
        <v>8.4090000000000003E-5</v>
      </c>
      <c r="C7" s="3">
        <v>2.385E-4</v>
      </c>
      <c r="D7" s="3">
        <v>-6.0610000000000004E-4</v>
      </c>
      <c r="E7" s="3">
        <v>0</v>
      </c>
      <c r="F7" s="3">
        <v>0</v>
      </c>
      <c r="G7" s="3">
        <v>0</v>
      </c>
      <c r="H7" s="3">
        <v>1.1696488999999999E-4</v>
      </c>
      <c r="I7" s="3">
        <v>2.6293913000000001E-5</v>
      </c>
      <c r="J7" s="3">
        <v>-2.8668235999999999E-4</v>
      </c>
      <c r="L7" s="3">
        <f t="shared" si="0"/>
        <v>0.1387394819336743</v>
      </c>
      <c r="M7" s="3"/>
      <c r="N7" s="2">
        <f>IF('Modell einstellen'!$B$1="Voll",H7/0.35,H7/0.35*2)</f>
        <v>3.341854E-4</v>
      </c>
      <c r="O7" s="2">
        <f>IF('Modell einstellen'!$B$1="Voll",J7/0.35,J7/0.35*2)</f>
        <v>-8.190924571428572E-4</v>
      </c>
      <c r="P7" s="3">
        <f t="shared" si="1"/>
        <v>0.40799472280052385</v>
      </c>
    </row>
    <row r="8" spans="1:16" x14ac:dyDescent="0.25">
      <c r="A8" s="3">
        <v>1E-10</v>
      </c>
      <c r="B8" s="3">
        <v>7.5450000000000004E-5</v>
      </c>
      <c r="C8" s="3">
        <v>2.5060000000000002E-4</v>
      </c>
      <c r="D8" s="3">
        <v>-6.1370000000000001E-4</v>
      </c>
      <c r="E8" s="3">
        <v>0</v>
      </c>
      <c r="F8" s="3">
        <v>0</v>
      </c>
      <c r="G8" s="3">
        <v>0</v>
      </c>
      <c r="H8" s="3">
        <v>1.2719055E-4</v>
      </c>
      <c r="I8" s="3">
        <v>2.7897587999999999E-5</v>
      </c>
      <c r="J8" s="3">
        <v>-3.0339377000000001E-4</v>
      </c>
      <c r="L8" s="3">
        <f t="shared" si="0"/>
        <v>0.12294280593123677</v>
      </c>
      <c r="M8" s="3"/>
      <c r="N8" s="2">
        <f>IF('Modell einstellen'!$B$1="Voll",H8/0.35,H8/0.35*2)</f>
        <v>3.6340157142857147E-4</v>
      </c>
      <c r="O8" s="2">
        <f>IF('Modell einstellen'!$B$1="Voll",J8/0.35,J8/0.35*2)</f>
        <v>-8.6683934285714296E-4</v>
      </c>
      <c r="P8" s="3">
        <f t="shared" si="1"/>
        <v>0.41922597817351359</v>
      </c>
    </row>
    <row r="9" spans="1:16" x14ac:dyDescent="0.25">
      <c r="A9" s="3">
        <v>1.0000000000000001E-9</v>
      </c>
      <c r="B9" s="3">
        <v>6.2580000000000001E-5</v>
      </c>
      <c r="C9" s="3">
        <v>2.6449999999999998E-4</v>
      </c>
      <c r="D9" s="3">
        <v>-6.1919999999999998E-4</v>
      </c>
      <c r="E9" s="3">
        <v>0</v>
      </c>
      <c r="F9" s="3">
        <v>0</v>
      </c>
      <c r="G9" s="3">
        <v>0</v>
      </c>
      <c r="H9" s="3">
        <v>1.3990635000000001E-4</v>
      </c>
      <c r="I9" s="3">
        <v>2.9768210000000001E-5</v>
      </c>
      <c r="J9" s="3">
        <v>-3.2366778E-4</v>
      </c>
      <c r="L9" s="3">
        <f t="shared" si="0"/>
        <v>0.10106589147286822</v>
      </c>
      <c r="M9" s="3"/>
      <c r="N9" s="2">
        <f>IF('Modell einstellen'!$B$1="Voll",H9/0.35,H9/0.35*2)</f>
        <v>3.9973242857142864E-4</v>
      </c>
      <c r="O9" s="2">
        <f>IF('Modell einstellen'!$B$1="Voll",J9/0.35,J9/0.35*2)</f>
        <v>-9.2476508571428574E-4</v>
      </c>
      <c r="P9" s="3">
        <f t="shared" si="1"/>
        <v>0.4322529415810249</v>
      </c>
    </row>
    <row r="10" spans="1:16" x14ac:dyDescent="0.25">
      <c r="A10" s="3">
        <v>1E-8</v>
      </c>
      <c r="B10" s="3">
        <v>4.1539999999999999E-5</v>
      </c>
      <c r="C10" s="3">
        <v>2.8170000000000002E-4</v>
      </c>
      <c r="D10" s="3">
        <v>-6.2100000000000002E-4</v>
      </c>
      <c r="E10" s="3">
        <v>0</v>
      </c>
      <c r="F10" s="3">
        <v>0</v>
      </c>
      <c r="G10" s="3">
        <v>0</v>
      </c>
      <c r="H10" s="3">
        <v>1.5756017999999999E-4</v>
      </c>
      <c r="I10" s="3">
        <v>3.2173070999999999E-5</v>
      </c>
      <c r="J10" s="3">
        <v>-3.5103074999999999E-4</v>
      </c>
      <c r="L10" s="3">
        <f t="shared" si="0"/>
        <v>6.6892109500805152E-2</v>
      </c>
      <c r="M10" s="3"/>
      <c r="N10" s="2">
        <f>IF('Modell einstellen'!$B$1="Voll",H10/0.35,H10/0.35*2)</f>
        <v>4.5017194285714286E-4</v>
      </c>
      <c r="O10" s="2">
        <f>IF('Modell einstellen'!$B$1="Voll",J10/0.35,J10/0.35*2)</f>
        <v>-1.0029450000000001E-3</v>
      </c>
      <c r="P10" s="3">
        <f t="shared" si="1"/>
        <v>0.44885007937338817</v>
      </c>
    </row>
    <row r="11" spans="1:16" x14ac:dyDescent="0.25">
      <c r="A11" s="3">
        <v>9.9999999999999995E-8</v>
      </c>
      <c r="B11" s="3">
        <v>-2.9540000000000001E-7</v>
      </c>
      <c r="C11" s="3">
        <v>3.0620000000000002E-4</v>
      </c>
      <c r="D11" s="3">
        <v>-6.1169999999999996E-4</v>
      </c>
      <c r="E11" s="3">
        <v>0</v>
      </c>
      <c r="F11" s="3">
        <v>0</v>
      </c>
      <c r="G11" s="3">
        <v>0</v>
      </c>
      <c r="H11" s="3">
        <v>1.8703211999999999E-4</v>
      </c>
      <c r="I11" s="3">
        <v>3.5751323000000001E-5</v>
      </c>
      <c r="J11" s="3">
        <v>-3.9493790999999999E-4</v>
      </c>
      <c r="L11" s="3">
        <f t="shared" si="0"/>
        <v>-4.8291646231812986E-4</v>
      </c>
      <c r="M11" s="3"/>
      <c r="N11" s="2">
        <f>IF('Modell einstellen'!$B$1="Voll",H11/0.35,H11/0.35*2)</f>
        <v>5.3437748571428568E-4</v>
      </c>
      <c r="O11" s="2">
        <f>IF('Modell einstellen'!$B$1="Voll",J11/0.35,J11/0.35*2)</f>
        <v>-1.1283940285714287E-3</v>
      </c>
      <c r="P11" s="3">
        <f t="shared" si="1"/>
        <v>0.47357347892989043</v>
      </c>
    </row>
    <row r="12" spans="1:16" x14ac:dyDescent="0.25">
      <c r="A12" s="3">
        <v>9.9999999999999995E-7</v>
      </c>
      <c r="B12" s="3">
        <v>-8.7029999999999999E-5</v>
      </c>
      <c r="C12" s="3">
        <v>3.39E-4</v>
      </c>
      <c r="D12" s="3">
        <v>-5.687E-4</v>
      </c>
      <c r="E12" s="3">
        <v>0</v>
      </c>
      <c r="F12" s="3">
        <v>0</v>
      </c>
      <c r="G12" s="3">
        <v>0</v>
      </c>
      <c r="H12" s="3">
        <v>2.3801333000000001E-4</v>
      </c>
      <c r="I12" s="3">
        <v>4.0913603000000002E-5</v>
      </c>
      <c r="J12" s="3">
        <v>-4.6672697000000002E-4</v>
      </c>
      <c r="L12" s="3">
        <f t="shared" si="0"/>
        <v>-0.15303323369087393</v>
      </c>
      <c r="M12" s="3"/>
      <c r="N12" s="2">
        <f>IF('Modell einstellen'!$B$1="Voll",H12/0.35,H12/0.35*2)</f>
        <v>6.8003808571428582E-4</v>
      </c>
      <c r="O12" s="2">
        <f>IF('Modell einstellen'!$B$1="Voll",J12/0.35,J12/0.35*2)</f>
        <v>-1.3335056285714287E-3</v>
      </c>
      <c r="P12" s="3">
        <f t="shared" si="1"/>
        <v>0.50996266618147224</v>
      </c>
    </row>
    <row r="13" spans="1:16" x14ac:dyDescent="0.25">
      <c r="A13" s="3">
        <v>1.0000000000000001E-5</v>
      </c>
      <c r="B13" s="3">
        <v>-2.8459999999999998E-4</v>
      </c>
      <c r="C13" s="3">
        <v>3.8170000000000001E-4</v>
      </c>
      <c r="D13" s="3">
        <v>-4.282E-4</v>
      </c>
      <c r="E13" s="3">
        <v>0</v>
      </c>
      <c r="F13" s="3">
        <v>0</v>
      </c>
      <c r="G13" s="3">
        <v>0</v>
      </c>
      <c r="H13" s="3">
        <v>3.3663247999999999E-4</v>
      </c>
      <c r="I13" s="3">
        <v>4.8421102000000002E-5</v>
      </c>
      <c r="J13" s="3">
        <v>-5.9555557E-4</v>
      </c>
      <c r="L13" s="3">
        <f t="shared" si="0"/>
        <v>-0.66464269033162071</v>
      </c>
      <c r="M13" s="3"/>
      <c r="N13" s="2">
        <f>IF('Modell einstellen'!$B$1="Voll",H13/0.35,H13/0.35*2)</f>
        <v>9.6180708571428578E-4</v>
      </c>
      <c r="O13" s="2">
        <f>IF('Modell einstellen'!$B$1="Voll",J13/0.35,J13/0.35*2)</f>
        <v>-1.7015873428571429E-3</v>
      </c>
      <c r="P13" s="3">
        <f t="shared" si="1"/>
        <v>0.56524109076840645</v>
      </c>
    </row>
    <row r="14" spans="1:16" x14ac:dyDescent="0.25">
      <c r="A14" s="3">
        <v>1E-4</v>
      </c>
      <c r="B14" s="3">
        <v>-8.0060000000000005E-4</v>
      </c>
      <c r="C14" s="3">
        <v>4.3239999999999999E-4</v>
      </c>
      <c r="D14" s="3">
        <v>1.959E-5</v>
      </c>
      <c r="E14" s="3">
        <v>0</v>
      </c>
      <c r="F14" s="3">
        <v>0</v>
      </c>
      <c r="G14" s="3">
        <v>0</v>
      </c>
      <c r="H14" s="3">
        <v>5.6307153999999996E-4</v>
      </c>
      <c r="I14" s="3">
        <v>5.9062421999999999E-5</v>
      </c>
      <c r="J14" s="3">
        <v>-8.6452413E-4</v>
      </c>
      <c r="L14" s="3">
        <f t="shared" si="0"/>
        <v>40.867789688616639</v>
      </c>
      <c r="M14" s="3"/>
      <c r="N14" s="2">
        <f>IF('Modell einstellen'!$B$1="Voll",H14/0.35,H14/0.35*2)</f>
        <v>1.6087758285714285E-3</v>
      </c>
      <c r="O14" s="2">
        <f>IF('Modell einstellen'!$B$1="Voll",J14/0.35,J14/0.35*2)</f>
        <v>-2.4700689428571432E-3</v>
      </c>
      <c r="P14" s="3">
        <f t="shared" si="1"/>
        <v>0.65130806701716915</v>
      </c>
    </row>
    <row r="15" spans="1:16" x14ac:dyDescent="0.25">
      <c r="A15" s="3">
        <v>1E-3</v>
      </c>
      <c r="B15" s="3">
        <v>-1.9810000000000001E-3</v>
      </c>
      <c r="C15" s="3">
        <v>4.7919999999999999E-4</v>
      </c>
      <c r="D15" s="3">
        <v>1.139E-3</v>
      </c>
      <c r="E15" s="3">
        <v>0</v>
      </c>
      <c r="F15" s="3">
        <v>0</v>
      </c>
      <c r="G15" s="3">
        <v>0</v>
      </c>
      <c r="H15" s="3">
        <v>1.0456093E-3</v>
      </c>
      <c r="I15" s="3">
        <v>7.0593486000000003E-5</v>
      </c>
      <c r="J15" s="3">
        <v>-1.3911080000000001E-3</v>
      </c>
      <c r="L15" s="3">
        <f t="shared" si="0"/>
        <v>1.7392449517120281</v>
      </c>
      <c r="M15" s="3"/>
      <c r="N15" s="2">
        <f>IF('Modell einstellen'!$B$1="Voll",H15/0.35,H15/0.35*2)</f>
        <v>2.9874551428571428E-3</v>
      </c>
      <c r="O15" s="2">
        <f>IF('Modell einstellen'!$B$1="Voll",J15/0.35,J15/0.35*2)</f>
        <v>-3.9745942857142861E-3</v>
      </c>
      <c r="P15" s="3">
        <f t="shared" si="1"/>
        <v>0.75163775925377463</v>
      </c>
    </row>
    <row r="16" spans="1:16" x14ac:dyDescent="0.25">
      <c r="A16" s="3">
        <v>0.01</v>
      </c>
      <c r="B16" s="3">
        <v>-4.333E-3</v>
      </c>
      <c r="C16" s="3">
        <v>5.7569999999999995E-4</v>
      </c>
      <c r="D16" s="3">
        <v>3.388E-3</v>
      </c>
      <c r="E16" s="3">
        <v>0</v>
      </c>
      <c r="F16" s="3">
        <v>0</v>
      </c>
      <c r="G16" s="3">
        <v>0</v>
      </c>
      <c r="H16" s="3">
        <v>1.9677128000000002E-3</v>
      </c>
      <c r="I16" s="3">
        <v>8.9697834000000007E-5</v>
      </c>
      <c r="J16" s="3">
        <v>-2.3766009999999999E-3</v>
      </c>
      <c r="L16" s="3">
        <f t="shared" si="0"/>
        <v>1.2789256198347108</v>
      </c>
      <c r="M16" s="3"/>
      <c r="N16" s="2">
        <f>IF('Modell einstellen'!$B$1="Voll",H16/0.35,H16/0.35*2)</f>
        <v>5.6220365714285724E-3</v>
      </c>
      <c r="O16" s="2">
        <f>IF('Modell einstellen'!$B$1="Voll",J16/0.35,J16/0.35*2)</f>
        <v>-6.7902885714285714E-3</v>
      </c>
      <c r="P16" s="3">
        <f t="shared" si="1"/>
        <v>0.82795252547651055</v>
      </c>
    </row>
    <row r="17" spans="1:16" x14ac:dyDescent="0.25">
      <c r="A17" s="3">
        <v>0.1</v>
      </c>
      <c r="B17" s="3">
        <v>-8.7250000000000001E-3</v>
      </c>
      <c r="C17" s="3">
        <v>9.1819999999999998E-4</v>
      </c>
      <c r="D17" s="3">
        <v>7.4380000000000002E-3</v>
      </c>
      <c r="E17" s="3">
        <v>0</v>
      </c>
      <c r="F17" s="3">
        <v>0</v>
      </c>
      <c r="G17" s="3">
        <v>0</v>
      </c>
      <c r="H17" s="3">
        <v>3.6055184E-3</v>
      </c>
      <c r="I17" s="3">
        <v>1.4885880000000001E-4</v>
      </c>
      <c r="J17" s="3">
        <v>-4.2007872999999998E-3</v>
      </c>
      <c r="L17" s="3">
        <f t="shared" si="0"/>
        <v>1.1730303845119656</v>
      </c>
      <c r="M17" s="3"/>
      <c r="N17" s="2">
        <f>IF('Modell einstellen'!$B$1="Voll",H17/0.35,H17/0.35*2)</f>
        <v>1.0301481142857144E-2</v>
      </c>
      <c r="O17" s="2">
        <f>IF('Modell einstellen'!$B$1="Voll",J17/0.35,J17/0.35*2)</f>
        <v>-1.2002249428571428E-2</v>
      </c>
      <c r="P17" s="3">
        <f t="shared" si="1"/>
        <v>0.85829587229993787</v>
      </c>
    </row>
    <row r="18" spans="1:16" x14ac:dyDescent="0.25">
      <c r="A18" s="3">
        <v>1</v>
      </c>
      <c r="B18" s="3">
        <v>-1.306E-2</v>
      </c>
      <c r="C18" s="3">
        <v>1.6119999999999999E-3</v>
      </c>
      <c r="D18" s="3">
        <v>1.1089999999999999E-2</v>
      </c>
      <c r="E18" s="3">
        <v>0</v>
      </c>
      <c r="F18" s="3">
        <v>0</v>
      </c>
      <c r="G18" s="3">
        <v>0</v>
      </c>
      <c r="H18" s="3">
        <v>5.0629152000000004E-3</v>
      </c>
      <c r="I18" s="3">
        <v>2.7177739000000002E-4</v>
      </c>
      <c r="J18" s="3">
        <v>-6.0605036000000003E-3</v>
      </c>
      <c r="L18" s="3">
        <f t="shared" si="0"/>
        <v>1.1776375112714159</v>
      </c>
      <c r="M18" s="3"/>
      <c r="N18" s="2">
        <f>IF('Modell einstellen'!$B$1="Voll",H18/0.35,H18/0.35*2)</f>
        <v>1.4465472000000002E-2</v>
      </c>
      <c r="O18" s="2">
        <f>IF('Modell einstellen'!$B$1="Voll",J18/0.35,J18/0.35*2)</f>
        <v>-1.7315724571428572E-2</v>
      </c>
      <c r="P18" s="3">
        <f t="shared" si="1"/>
        <v>0.83539513119008801</v>
      </c>
    </row>
    <row r="19" spans="1:16" x14ac:dyDescent="0.25">
      <c r="A19" s="3">
        <v>10</v>
      </c>
      <c r="B19" s="3">
        <v>-1.5219999999999999E-2</v>
      </c>
      <c r="C19" s="3">
        <v>2.5500000000000002E-3</v>
      </c>
      <c r="D19" s="3">
        <v>1.231E-2</v>
      </c>
      <c r="E19" s="3">
        <v>0</v>
      </c>
      <c r="F19" s="3">
        <v>0</v>
      </c>
      <c r="G19" s="3">
        <v>0</v>
      </c>
      <c r="H19" s="3">
        <v>5.5109555000000003E-3</v>
      </c>
      <c r="I19" s="3">
        <v>4.4917520000000002E-4</v>
      </c>
      <c r="J19" s="3">
        <v>-7.1267355000000001E-3</v>
      </c>
      <c r="L19" s="3">
        <f t="shared" si="0"/>
        <v>1.2363931762794476</v>
      </c>
      <c r="M19" s="3"/>
      <c r="N19" s="2">
        <f>IF('Modell einstellen'!$B$1="Voll",H19/0.35,H19/0.35*2)</f>
        <v>1.5745587142857145E-2</v>
      </c>
      <c r="O19" s="2">
        <f>IF('Modell einstellen'!$B$1="Voll",J19/0.35,J19/0.35*2)</f>
        <v>-2.0362101428571429E-2</v>
      </c>
      <c r="P19" s="3">
        <f t="shared" si="1"/>
        <v>0.77327908409116641</v>
      </c>
    </row>
    <row r="20" spans="1:16" x14ac:dyDescent="0.25">
      <c r="A20" s="3">
        <v>100</v>
      </c>
      <c r="B20" s="3">
        <v>-1.695E-2</v>
      </c>
      <c r="C20" s="3">
        <v>3.5869999999999999E-3</v>
      </c>
      <c r="D20" s="3">
        <v>1.3010000000000001E-2</v>
      </c>
      <c r="E20" s="3">
        <v>0</v>
      </c>
      <c r="F20" s="3">
        <v>0</v>
      </c>
      <c r="G20" s="3">
        <v>0</v>
      </c>
      <c r="H20" s="3">
        <v>5.7297861000000002E-3</v>
      </c>
      <c r="I20" s="3">
        <v>6.5186558999999998E-4</v>
      </c>
      <c r="J20" s="3">
        <v>-8.0582356999999993E-3</v>
      </c>
      <c r="L20" s="3">
        <f t="shared" si="0"/>
        <v>1.3028439661798616</v>
      </c>
      <c r="M20" s="3"/>
      <c r="N20" s="2">
        <f>IF('Modell einstellen'!$B$1="Voll",H20/0.35,H20/0.35*2)</f>
        <v>1.6370817428571431E-2</v>
      </c>
      <c r="O20" s="2">
        <f>IF('Modell einstellen'!$B$1="Voll",J20/0.35,J20/0.35*2)</f>
        <v>-2.3023530571428572E-2</v>
      </c>
      <c r="P20" s="3">
        <f t="shared" si="1"/>
        <v>0.71104722091958672</v>
      </c>
    </row>
    <row r="21" spans="1:16" x14ac:dyDescent="0.25">
      <c r="A21" s="3">
        <v>1000</v>
      </c>
      <c r="B21" s="3">
        <v>-1.7340000000000001E-2</v>
      </c>
      <c r="C21" s="3">
        <v>4.3870000000000003E-3</v>
      </c>
      <c r="D21" s="3">
        <v>1.261E-2</v>
      </c>
      <c r="E21" s="3">
        <v>0</v>
      </c>
      <c r="F21" s="3">
        <v>0</v>
      </c>
      <c r="G21" s="3">
        <v>0</v>
      </c>
      <c r="H21" s="3">
        <v>5.5257318999999997E-3</v>
      </c>
      <c r="I21" s="3">
        <v>8.1462837999999997E-4</v>
      </c>
      <c r="J21" s="3">
        <v>-8.4384712000000004E-3</v>
      </c>
      <c r="L21" s="3">
        <f t="shared" si="0"/>
        <v>1.3750991276764475</v>
      </c>
      <c r="M21" s="3"/>
      <c r="N21" s="2">
        <f>IF('Modell einstellen'!$B$1="Voll",H21/0.35,H21/0.35*2)</f>
        <v>1.578780542857143E-2</v>
      </c>
      <c r="O21" s="2">
        <f>IF('Modell einstellen'!$B$1="Voll",J21/0.35,J21/0.35*2)</f>
        <v>-2.4109917714285715E-2</v>
      </c>
      <c r="P21" s="3">
        <f t="shared" si="1"/>
        <v>0.65482618462927267</v>
      </c>
    </row>
    <row r="22" spans="1:16" x14ac:dyDescent="0.25">
      <c r="A22" s="3">
        <v>10000</v>
      </c>
      <c r="B22" s="3">
        <v>-1.7430000000000001E-2</v>
      </c>
      <c r="C22" s="3">
        <v>4.9430000000000003E-3</v>
      </c>
      <c r="D22" s="3">
        <v>1.214E-2</v>
      </c>
      <c r="E22" s="3">
        <v>0</v>
      </c>
      <c r="F22" s="3">
        <v>0</v>
      </c>
      <c r="G22" s="3">
        <v>0</v>
      </c>
      <c r="H22" s="3">
        <v>5.3267536999999998E-3</v>
      </c>
      <c r="I22" s="3">
        <v>9.2922448000000001E-4</v>
      </c>
      <c r="J22" s="3">
        <v>-8.6520259000000006E-3</v>
      </c>
      <c r="L22" s="3">
        <f t="shared" si="0"/>
        <v>1.4357495881383857</v>
      </c>
      <c r="M22" s="3"/>
      <c r="N22" s="2">
        <f>IF('Modell einstellen'!$B$1="Voll",H22/0.35,H22/0.35*2)</f>
        <v>1.5219296285714286E-2</v>
      </c>
      <c r="O22" s="2">
        <f>IF('Modell einstellen'!$B$1="Voll",J22/0.35,J22/0.35*2)</f>
        <v>-2.4720074000000002E-2</v>
      </c>
      <c r="P22" s="3">
        <f t="shared" si="1"/>
        <v>0.61566548246232133</v>
      </c>
    </row>
    <row r="23" spans="1:16" x14ac:dyDescent="0.25">
      <c r="A23" s="3">
        <v>100000</v>
      </c>
      <c r="B23" s="3">
        <v>-1.745E-2</v>
      </c>
      <c r="C23" s="3">
        <v>5.3099999999999996E-3</v>
      </c>
      <c r="D23" s="3">
        <v>1.18E-2</v>
      </c>
      <c r="E23" s="3">
        <v>0</v>
      </c>
      <c r="F23" s="3">
        <v>0</v>
      </c>
      <c r="G23" s="3">
        <v>0</v>
      </c>
      <c r="H23" s="3">
        <v>5.1966143000000001E-3</v>
      </c>
      <c r="I23" s="3">
        <v>1.0058087E-3</v>
      </c>
      <c r="J23" s="3">
        <v>-8.7971347000000005E-3</v>
      </c>
      <c r="L23" s="3">
        <f t="shared" si="0"/>
        <v>1.478813559322034</v>
      </c>
      <c r="M23" s="3"/>
      <c r="N23" s="2">
        <f>IF('Modell einstellen'!$B$1="Voll",H23/0.35,H23/0.35*2)</f>
        <v>1.484746942857143E-2</v>
      </c>
      <c r="O23" s="2">
        <f>IF('Modell einstellen'!$B$1="Voll",J23/0.35,J23/0.35*2)</f>
        <v>-2.5134670571428576E-2</v>
      </c>
      <c r="P23" s="3">
        <f t="shared" si="1"/>
        <v>0.59071669096984492</v>
      </c>
    </row>
    <row r="24" spans="1:16" x14ac:dyDescent="0.25">
      <c r="A24" s="3">
        <v>1000000</v>
      </c>
      <c r="B24" s="3">
        <v>-1.7430000000000001E-2</v>
      </c>
      <c r="C24" s="3">
        <v>5.574E-3</v>
      </c>
      <c r="D24" s="3">
        <v>1.1520000000000001E-2</v>
      </c>
      <c r="E24" s="3">
        <v>0</v>
      </c>
      <c r="F24" s="3">
        <v>0</v>
      </c>
      <c r="G24" s="3">
        <v>0</v>
      </c>
      <c r="H24" s="3">
        <v>5.1062785000000003E-3</v>
      </c>
      <c r="I24" s="3">
        <v>1.0612643E-3</v>
      </c>
      <c r="J24" s="3">
        <v>-8.9058081000000008E-3</v>
      </c>
      <c r="L24" s="3">
        <f t="shared" si="0"/>
        <v>1.5130208333333333</v>
      </c>
      <c r="M24" s="3"/>
      <c r="N24" s="2">
        <f>IF('Modell einstellen'!$B$1="Voll",H24/0.35,H24/0.35*2)</f>
        <v>1.4589367142857145E-2</v>
      </c>
      <c r="O24" s="2">
        <f>IF('Modell einstellen'!$B$1="Voll",J24/0.35,J24/0.35*2)</f>
        <v>-2.5445166000000005E-2</v>
      </c>
      <c r="P24" s="3">
        <f t="shared" si="1"/>
        <v>0.57336498189310858</v>
      </c>
    </row>
    <row r="25" spans="1:16" x14ac:dyDescent="0.25">
      <c r="A25" s="3">
        <v>10000000</v>
      </c>
      <c r="B25" s="3">
        <v>-1.737E-2</v>
      </c>
      <c r="C25" s="3">
        <v>5.7540000000000004E-3</v>
      </c>
      <c r="D25" s="3">
        <v>1.128E-2</v>
      </c>
      <c r="E25" s="3">
        <v>0</v>
      </c>
      <c r="F25" s="3">
        <v>0</v>
      </c>
      <c r="G25" s="3">
        <v>0</v>
      </c>
      <c r="H25" s="3">
        <v>5.0484047999999997E-3</v>
      </c>
      <c r="I25" s="3">
        <v>1.0993395999999999E-3</v>
      </c>
      <c r="J25" s="3">
        <v>-8.9843583999999997E-3</v>
      </c>
      <c r="L25" s="3">
        <f t="shared" si="0"/>
        <v>1.5398936170212767</v>
      </c>
      <c r="M25" s="3"/>
      <c r="N25" s="2">
        <f>IF('Modell einstellen'!$B$1="Voll",H25/0.35,H25/0.35*2)</f>
        <v>1.4424013714285715E-2</v>
      </c>
      <c r="O25" s="2">
        <f>IF('Modell einstellen'!$B$1="Voll",J25/0.35,J25/0.35*2)</f>
        <v>-2.5669595428571428E-2</v>
      </c>
      <c r="P25" s="3">
        <f t="shared" si="1"/>
        <v>0.56191044204113683</v>
      </c>
    </row>
    <row r="26" spans="1:16" x14ac:dyDescent="0.25">
      <c r="A26" s="3">
        <v>100000000</v>
      </c>
      <c r="B26" s="3">
        <v>-1.728E-2</v>
      </c>
      <c r="C26" s="3">
        <v>5.8690000000000001E-3</v>
      </c>
      <c r="D26" s="3">
        <v>1.108E-2</v>
      </c>
      <c r="E26" s="3">
        <v>0</v>
      </c>
      <c r="F26" s="3">
        <v>0</v>
      </c>
      <c r="G26" s="3">
        <v>0</v>
      </c>
      <c r="H26" s="3">
        <v>5.0156562999999999E-3</v>
      </c>
      <c r="I26" s="3">
        <v>1.1237183E-3</v>
      </c>
      <c r="J26" s="3">
        <v>-9.0387776000000006E-3</v>
      </c>
      <c r="L26" s="3">
        <f t="shared" si="0"/>
        <v>1.5595667870036103</v>
      </c>
      <c r="M26" s="3"/>
      <c r="N26" s="2">
        <f>IF('Modell einstellen'!$B$1="Voll",H26/0.35,H26/0.35*2)</f>
        <v>1.4330446571428573E-2</v>
      </c>
      <c r="O26" s="2">
        <f>IF('Modell einstellen'!$B$1="Voll",J26/0.35,J26/0.35*2)</f>
        <v>-2.5825078857142861E-2</v>
      </c>
      <c r="P26" s="3">
        <f t="shared" si="1"/>
        <v>0.55490427156875721</v>
      </c>
    </row>
    <row r="27" spans="1:16" x14ac:dyDescent="0.25">
      <c r="A27" s="3">
        <v>1000000000</v>
      </c>
      <c r="B27" s="3">
        <v>-1.7250000000000001E-2</v>
      </c>
      <c r="C27" s="3">
        <v>5.8950000000000001E-3</v>
      </c>
      <c r="D27" s="3">
        <v>1.102E-2</v>
      </c>
      <c r="E27" s="3">
        <v>0</v>
      </c>
      <c r="F27" s="3">
        <v>0</v>
      </c>
      <c r="G27" s="3">
        <v>0</v>
      </c>
      <c r="H27" s="3">
        <v>5.0090546E-3</v>
      </c>
      <c r="I27" s="3">
        <v>1.1293099000000001E-3</v>
      </c>
      <c r="J27" s="3">
        <v>-9.0521257000000001E-3</v>
      </c>
      <c r="L27" s="3">
        <f t="shared" si="0"/>
        <v>1.5653357531760437</v>
      </c>
      <c r="M27" s="3"/>
      <c r="N27" s="2">
        <f>IF('Modell einstellen'!$B$1="Voll",H27/0.35,H27/0.35*2)</f>
        <v>1.4311584571428572E-2</v>
      </c>
      <c r="O27" s="2">
        <f>IF('Modell einstellen'!$B$1="Voll",J27/0.35,J27/0.35*2)</f>
        <v>-2.5863216285714287E-2</v>
      </c>
      <c r="P27" s="3">
        <f t="shared" si="1"/>
        <v>0.55335672150465165</v>
      </c>
    </row>
    <row r="28" spans="1:16" x14ac:dyDescent="0.25">
      <c r="A28" s="3">
        <v>10000000000</v>
      </c>
      <c r="B28" s="3">
        <v>-1.72E-2</v>
      </c>
      <c r="C28" s="3">
        <v>5.927E-3</v>
      </c>
      <c r="D28" s="3">
        <v>1.094E-2</v>
      </c>
      <c r="E28" s="3">
        <v>0</v>
      </c>
      <c r="F28" s="3">
        <v>0</v>
      </c>
      <c r="G28" s="3">
        <v>0</v>
      </c>
      <c r="H28" s="3">
        <v>5.0023432999999999E-3</v>
      </c>
      <c r="I28" s="3">
        <v>1.1360000000000001E-3</v>
      </c>
      <c r="J28" s="3">
        <v>-9.0692376000000002E-3</v>
      </c>
      <c r="L28" s="3">
        <f t="shared" si="0"/>
        <v>1.5722120658135283</v>
      </c>
      <c r="M28" s="3"/>
      <c r="N28" s="2">
        <f>IF('Modell einstellen'!$B$1="Voll",H28/0.35,H28/0.35*2)</f>
        <v>1.4292409428571429E-2</v>
      </c>
      <c r="O28" s="2">
        <f>IF('Modell einstellen'!$B$1="Voll",J28/0.35,J28/0.35*2)</f>
        <v>-2.5912107428571432E-2</v>
      </c>
      <c r="P28" s="3">
        <f t="shared" si="1"/>
        <v>0.55157263715309424</v>
      </c>
    </row>
    <row r="29" spans="1:16" x14ac:dyDescent="0.25">
      <c r="A29" s="3">
        <v>100000000000</v>
      </c>
      <c r="B29" s="3">
        <v>-1.7129999999999999E-2</v>
      </c>
      <c r="C29" s="3">
        <v>5.9519999999999998E-3</v>
      </c>
      <c r="D29" s="3">
        <v>1.085E-2</v>
      </c>
      <c r="E29" s="3">
        <v>0</v>
      </c>
      <c r="F29" s="3">
        <v>0</v>
      </c>
      <c r="G29" s="3">
        <v>0</v>
      </c>
      <c r="H29" s="3">
        <v>4.9990720000000002E-3</v>
      </c>
      <c r="I29" s="3">
        <v>1.1414998999999999E-3</v>
      </c>
      <c r="J29" s="3">
        <v>-9.0854827999999992E-3</v>
      </c>
      <c r="L29" s="3">
        <f t="shared" si="0"/>
        <v>1.5788018433179722</v>
      </c>
      <c r="M29" s="3"/>
      <c r="N29" s="2">
        <f>IF('Modell einstellen'!$B$1="Voll",H29/0.35,H29/0.35*2)</f>
        <v>1.4283062857142859E-2</v>
      </c>
      <c r="O29" s="2">
        <f>IF('Modell einstellen'!$B$1="Voll",J29/0.35,J29/0.35*2)</f>
        <v>-2.5958522285714283E-2</v>
      </c>
      <c r="P29" s="3">
        <f t="shared" si="1"/>
        <v>0.55022634570394002</v>
      </c>
    </row>
    <row r="30" spans="1:16" x14ac:dyDescent="0.25">
      <c r="A30" s="3">
        <v>1000000000000</v>
      </c>
      <c r="B30" s="3">
        <v>-1.7059999999999999E-2</v>
      </c>
      <c r="C30" s="3">
        <v>5.9680000000000002E-3</v>
      </c>
      <c r="D30" s="3">
        <v>1.076E-2</v>
      </c>
      <c r="E30" s="3">
        <v>0</v>
      </c>
      <c r="F30" s="3">
        <v>0</v>
      </c>
      <c r="G30" s="3">
        <v>0</v>
      </c>
      <c r="H30" s="3">
        <v>5.0000408000000001E-3</v>
      </c>
      <c r="I30" s="3">
        <v>1.1449788999999999E-3</v>
      </c>
      <c r="J30" s="3">
        <v>-9.0986903999999997E-3</v>
      </c>
      <c r="L30" s="3">
        <f t="shared" si="0"/>
        <v>1.5855018587360592</v>
      </c>
      <c r="M30" s="3"/>
      <c r="N30" s="2">
        <f>IF('Modell einstellen'!$B$1="Voll",H30/0.35,H30/0.35*2)</f>
        <v>1.4285830857142858E-2</v>
      </c>
      <c r="O30" s="2">
        <f>IF('Modell einstellen'!$B$1="Voll",J30/0.35,J30/0.35*2)</f>
        <v>-2.5996258285714287E-2</v>
      </c>
      <c r="P30" s="3">
        <f t="shared" si="1"/>
        <v>0.54953411756927129</v>
      </c>
    </row>
    <row r="31" spans="1:16" x14ac:dyDescent="0.25">
      <c r="A31" s="3">
        <v>10000000000000</v>
      </c>
      <c r="B31" s="3">
        <v>-1.7049999999999999E-2</v>
      </c>
      <c r="C31" s="3">
        <v>5.9680000000000002E-3</v>
      </c>
      <c r="D31" s="3">
        <v>1.0749999999999999E-2</v>
      </c>
      <c r="E31" s="3">
        <v>0</v>
      </c>
      <c r="F31" s="3">
        <v>0</v>
      </c>
      <c r="G31" s="3">
        <v>0</v>
      </c>
      <c r="H31" s="3">
        <v>5.0002047000000001E-3</v>
      </c>
      <c r="I31" s="3">
        <v>1.1451344E-3</v>
      </c>
      <c r="J31" s="3">
        <v>-9.0993984E-3</v>
      </c>
      <c r="L31" s="3">
        <f t="shared" si="0"/>
        <v>1.586046511627907</v>
      </c>
      <c r="M31" s="3"/>
      <c r="N31" s="2">
        <f>IF('Modell einstellen'!$B$1="Voll",H31/0.35,H31/0.35*2)</f>
        <v>1.4286299142857143E-2</v>
      </c>
      <c r="O31" s="2">
        <f>IF('Modell einstellen'!$B$1="Voll",J31/0.35,J31/0.35*2)</f>
        <v>-2.5998281142857144E-2</v>
      </c>
      <c r="P31" s="3">
        <f t="shared" si="1"/>
        <v>0.54950937196023864</v>
      </c>
    </row>
    <row r="32" spans="1:16" x14ac:dyDescent="0.25">
      <c r="A32" s="3">
        <v>100000000000000</v>
      </c>
      <c r="B32" s="3">
        <v>-1.7049999999999999E-2</v>
      </c>
      <c r="C32" s="3">
        <v>5.9690000000000003E-3</v>
      </c>
      <c r="D32" s="3">
        <v>1.0749999999999999E-2</v>
      </c>
      <c r="E32" s="3">
        <v>0</v>
      </c>
      <c r="F32" s="3">
        <v>0</v>
      </c>
      <c r="G32" s="3">
        <v>0</v>
      </c>
      <c r="H32" s="3">
        <v>5.0003447000000001E-3</v>
      </c>
      <c r="I32" s="3">
        <v>1.1451930000000001E-3</v>
      </c>
      <c r="J32" s="3">
        <v>-9.0997392999999996E-3</v>
      </c>
      <c r="L32" s="3">
        <f t="shared" si="0"/>
        <v>1.586046511627907</v>
      </c>
      <c r="M32" s="3"/>
      <c r="N32" s="2">
        <f>IF('Modell einstellen'!$B$1="Voll",H32/0.35,H32/0.35*2)</f>
        <v>1.4286699142857144E-2</v>
      </c>
      <c r="O32" s="2">
        <f>IF('Modell einstellen'!$B$1="Voll",J32/0.35,J32/0.35*2)</f>
        <v>-2.5999255142857142E-2</v>
      </c>
      <c r="P32" s="3">
        <f t="shared" si="1"/>
        <v>0.54950417096015058</v>
      </c>
    </row>
    <row r="33" spans="1:16" x14ac:dyDescent="0.25">
      <c r="A33" s="3">
        <v>1000000000000000</v>
      </c>
      <c r="B33" s="3">
        <v>-1.7049999999999999E-2</v>
      </c>
      <c r="C33" s="3">
        <v>5.9690000000000003E-3</v>
      </c>
      <c r="D33" s="3">
        <v>1.0749999999999999E-2</v>
      </c>
      <c r="E33" s="3">
        <v>0</v>
      </c>
      <c r="F33" s="3">
        <v>0</v>
      </c>
      <c r="G33" s="3">
        <v>0</v>
      </c>
      <c r="H33" s="3">
        <v>5.0004956999999996E-3</v>
      </c>
      <c r="I33" s="3">
        <v>1.1452194E-3</v>
      </c>
      <c r="J33" s="3">
        <v>-9.0999780999999995E-3</v>
      </c>
      <c r="L33" s="3">
        <f t="shared" si="0"/>
        <v>1.586046511627907</v>
      </c>
      <c r="M33" s="3"/>
      <c r="N33" s="2">
        <f>IF('Modell einstellen'!$B$1="Voll",H33/0.35,H33/0.35*2)</f>
        <v>1.4287130571428571E-2</v>
      </c>
      <c r="O33" s="2">
        <f>IF('Modell einstellen'!$B$1="Voll",J33/0.35,J33/0.35*2)</f>
        <v>-2.5999937428571429E-2</v>
      </c>
      <c r="P33" s="3">
        <f t="shared" si="1"/>
        <v>0.54950634441636736</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9.6520000000000004E-5</v>
      </c>
      <c r="C3" s="3">
        <v>2.1369999999999999E-4</v>
      </c>
      <c r="D3" s="3">
        <v>-5.8469999999999996E-4</v>
      </c>
      <c r="E3" s="3">
        <v>0</v>
      </c>
      <c r="F3" s="3">
        <v>0</v>
      </c>
      <c r="G3" s="3">
        <v>0</v>
      </c>
      <c r="H3" s="3">
        <v>9.7581284999999999E-5</v>
      </c>
      <c r="I3" s="3">
        <v>2.3145066E-5</v>
      </c>
      <c r="J3" s="3">
        <v>-2.5430735999999997E-4</v>
      </c>
      <c r="L3" s="3">
        <f>-B3/D3</f>
        <v>0.16507610740550713</v>
      </c>
      <c r="M3" s="3"/>
      <c r="N3" s="2">
        <f>IF('Modell einstellen'!$B$1="Voll",H3/0.35,H3/0.35*2)</f>
        <v>2.7880367142857143E-4</v>
      </c>
      <c r="O3" s="2">
        <f>IF('Modell einstellen'!$B$1="Voll",J3/0.35,J3/0.35*2)</f>
        <v>-7.2659245714285707E-4</v>
      </c>
      <c r="P3" s="3">
        <f>-N3/O3</f>
        <v>0.38371396329229329</v>
      </c>
    </row>
    <row r="4" spans="1:16" x14ac:dyDescent="0.25">
      <c r="A4" s="3">
        <v>1E-14</v>
      </c>
      <c r="B4" s="3">
        <v>9.2440000000000003E-5</v>
      </c>
      <c r="C4" s="3">
        <v>2.262E-4</v>
      </c>
      <c r="D4" s="3">
        <v>-5.9719999999999999E-4</v>
      </c>
      <c r="E4" s="3">
        <v>0</v>
      </c>
      <c r="F4" s="3">
        <v>0</v>
      </c>
      <c r="G4" s="3">
        <v>0</v>
      </c>
      <c r="H4" s="3">
        <v>1.0626425E-4</v>
      </c>
      <c r="I4" s="3">
        <v>2.4706648999999999E-5</v>
      </c>
      <c r="J4" s="3">
        <v>-2.6930474999999998E-4</v>
      </c>
      <c r="L4" s="3">
        <f t="shared" ref="L4:L33" si="0">-B4/D4</f>
        <v>0.15478901540522438</v>
      </c>
      <c r="M4" s="3"/>
      <c r="N4" s="2">
        <f>IF('Modell einstellen'!$B$1="Voll",H4/0.35,H4/0.35*2)</f>
        <v>3.0361214285714287E-4</v>
      </c>
      <c r="O4" s="2">
        <f>IF('Modell einstellen'!$B$1="Voll",J4/0.35,J4/0.35*2)</f>
        <v>-7.6944214285714285E-4</v>
      </c>
      <c r="P4" s="3">
        <f t="shared" ref="P4:P33" si="1">-N4/O4</f>
        <v>0.39458735874506484</v>
      </c>
    </row>
    <row r="5" spans="1:16" x14ac:dyDescent="0.25">
      <c r="A5" s="3">
        <v>1E-13</v>
      </c>
      <c r="B5" s="3">
        <v>8.6719999999999996E-5</v>
      </c>
      <c r="C5" s="3">
        <v>2.3790000000000001E-4</v>
      </c>
      <c r="D5" s="3">
        <v>-6.0689999999999995E-4</v>
      </c>
      <c r="E5" s="3">
        <v>0</v>
      </c>
      <c r="F5" s="3">
        <v>0</v>
      </c>
      <c r="G5" s="3">
        <v>0</v>
      </c>
      <c r="H5" s="3">
        <v>1.1498033E-4</v>
      </c>
      <c r="I5" s="3">
        <v>2.6193175E-5</v>
      </c>
      <c r="J5" s="3">
        <v>-2.8402088000000002E-4</v>
      </c>
      <c r="L5" s="3">
        <f t="shared" si="0"/>
        <v>0.14289009721535673</v>
      </c>
      <c r="M5" s="3"/>
      <c r="N5" s="2">
        <f>IF('Modell einstellen'!$B$1="Voll",H5/0.35,H5/0.35*2)</f>
        <v>3.2851522857142858E-4</v>
      </c>
      <c r="O5" s="2">
        <f>IF('Modell einstellen'!$B$1="Voll",J5/0.35,J5/0.35*2)</f>
        <v>-8.1148822857142868E-4</v>
      </c>
      <c r="P5" s="3">
        <f t="shared" si="1"/>
        <v>0.40483055330298245</v>
      </c>
    </row>
    <row r="6" spans="1:16" x14ac:dyDescent="0.25">
      <c r="A6" s="3">
        <v>9.9999999999999998E-13</v>
      </c>
      <c r="B6" s="3">
        <v>7.8750000000000003E-5</v>
      </c>
      <c r="C6" s="3">
        <v>2.5000000000000001E-4</v>
      </c>
      <c r="D6" s="3">
        <v>-6.1490000000000004E-4</v>
      </c>
      <c r="E6" s="3">
        <v>0</v>
      </c>
      <c r="F6" s="3">
        <v>0</v>
      </c>
      <c r="G6" s="3">
        <v>0</v>
      </c>
      <c r="H6" s="3">
        <v>1.2475392999999999E-4</v>
      </c>
      <c r="I6" s="3">
        <v>2.7775871E-5</v>
      </c>
      <c r="J6" s="3">
        <v>-3.0017280999999999E-4</v>
      </c>
      <c r="L6" s="3">
        <f t="shared" si="0"/>
        <v>0.12806960481379084</v>
      </c>
      <c r="M6" s="3"/>
      <c r="N6" s="2">
        <f>IF('Modell einstellen'!$B$1="Voll",H6/0.35,H6/0.35*2)</f>
        <v>3.5643980000000001E-4</v>
      </c>
      <c r="O6" s="2">
        <f>IF('Modell einstellen'!$B$1="Voll",J6/0.35,J6/0.35*2)</f>
        <v>-8.5763660000000004E-4</v>
      </c>
      <c r="P6" s="3">
        <f t="shared" si="1"/>
        <v>0.41560702983058323</v>
      </c>
    </row>
    <row r="7" spans="1:16" x14ac:dyDescent="0.25">
      <c r="A7" s="3">
        <v>9.9999999999999994E-12</v>
      </c>
      <c r="B7" s="3">
        <v>6.6740000000000001E-5</v>
      </c>
      <c r="C7" s="3">
        <v>2.6390000000000002E-4</v>
      </c>
      <c r="D7" s="3">
        <v>-6.2129999999999998E-4</v>
      </c>
      <c r="E7" s="3">
        <v>0</v>
      </c>
      <c r="F7" s="3">
        <v>0</v>
      </c>
      <c r="G7" s="3">
        <v>0</v>
      </c>
      <c r="H7" s="3">
        <v>1.3700296000000001E-4</v>
      </c>
      <c r="I7" s="3">
        <v>2.9643422000000002E-5</v>
      </c>
      <c r="J7" s="3">
        <v>-3.1993968999999999E-4</v>
      </c>
      <c r="L7" s="3">
        <f t="shared" si="0"/>
        <v>0.10741992596169322</v>
      </c>
      <c r="M7" s="3"/>
      <c r="N7" s="2">
        <f>IF('Modell einstellen'!$B$1="Voll",H7/0.35,H7/0.35*2)</f>
        <v>3.9143702857142866E-4</v>
      </c>
      <c r="O7" s="2">
        <f>IF('Modell einstellen'!$B$1="Voll",J7/0.35,J7/0.35*2)</f>
        <v>-9.1411340000000006E-4</v>
      </c>
      <c r="P7" s="3">
        <f t="shared" si="1"/>
        <v>0.4282149551373261</v>
      </c>
    </row>
    <row r="8" spans="1:16" x14ac:dyDescent="0.25">
      <c r="A8" s="3">
        <v>1E-10</v>
      </c>
      <c r="B8" s="3">
        <v>4.8189999999999998E-5</v>
      </c>
      <c r="C8" s="3">
        <v>2.8029999999999998E-4</v>
      </c>
      <c r="D8" s="3">
        <v>-6.244E-4</v>
      </c>
      <c r="E8" s="3">
        <v>0</v>
      </c>
      <c r="F8" s="3">
        <v>0</v>
      </c>
      <c r="G8" s="3">
        <v>0</v>
      </c>
      <c r="H8" s="3">
        <v>1.5301135999999999E-4</v>
      </c>
      <c r="I8" s="3">
        <v>3.1912446999999998E-5</v>
      </c>
      <c r="J8" s="3">
        <v>-3.4507377000000001E-4</v>
      </c>
      <c r="L8" s="3">
        <f t="shared" si="0"/>
        <v>7.7178090967328639E-2</v>
      </c>
      <c r="M8" s="3"/>
      <c r="N8" s="2">
        <f>IF('Modell einstellen'!$B$1="Voll",H8/0.35,H8/0.35*2)</f>
        <v>4.371753142857143E-4</v>
      </c>
      <c r="O8" s="2">
        <f>IF('Modell einstellen'!$B$1="Voll",J8/0.35,J8/0.35*2)</f>
        <v>-9.859250571428572E-4</v>
      </c>
      <c r="P8" s="3">
        <f t="shared" si="1"/>
        <v>0.44341637441756293</v>
      </c>
    </row>
    <row r="9" spans="1:16" x14ac:dyDescent="0.25">
      <c r="A9" s="3">
        <v>1.0000000000000001E-9</v>
      </c>
      <c r="B9" s="3">
        <v>1.168E-5</v>
      </c>
      <c r="C9" s="3">
        <v>3.0390000000000001E-4</v>
      </c>
      <c r="D9" s="3">
        <v>-6.1899999999999998E-4</v>
      </c>
      <c r="E9" s="3">
        <v>0</v>
      </c>
      <c r="F9" s="3">
        <v>0</v>
      </c>
      <c r="G9" s="3">
        <v>0</v>
      </c>
      <c r="H9" s="3">
        <v>1.7958409000000001E-4</v>
      </c>
      <c r="I9" s="3">
        <v>3.5312848000000003E-5</v>
      </c>
      <c r="J9" s="3">
        <v>-3.8531199E-4</v>
      </c>
      <c r="L9" s="3">
        <f t="shared" si="0"/>
        <v>1.8869143780290792E-2</v>
      </c>
      <c r="M9" s="3"/>
      <c r="N9" s="2">
        <f>IF('Modell einstellen'!$B$1="Voll",H9/0.35,H9/0.35*2)</f>
        <v>5.1309740000000004E-4</v>
      </c>
      <c r="O9" s="2">
        <f>IF('Modell einstellen'!$B$1="Voll",J9/0.35,J9/0.35*2)</f>
        <v>-1.1008914E-3</v>
      </c>
      <c r="P9" s="3">
        <f t="shared" si="1"/>
        <v>0.46607449199802997</v>
      </c>
    </row>
    <row r="10" spans="1:16" x14ac:dyDescent="0.25">
      <c r="A10" s="3">
        <v>1E-8</v>
      </c>
      <c r="B10" s="3">
        <v>-6.3050000000000001E-5</v>
      </c>
      <c r="C10" s="3">
        <v>3.3589999999999998E-4</v>
      </c>
      <c r="D10" s="3">
        <v>-5.8659999999999995E-4</v>
      </c>
      <c r="E10" s="3">
        <v>0</v>
      </c>
      <c r="F10" s="3">
        <v>0</v>
      </c>
      <c r="G10" s="3">
        <v>0</v>
      </c>
      <c r="H10" s="3">
        <v>2.2491987000000001E-4</v>
      </c>
      <c r="I10" s="3">
        <v>4.0241321000000001E-5</v>
      </c>
      <c r="J10" s="3">
        <v>-4.5043809999999998E-4</v>
      </c>
      <c r="L10" s="3">
        <f t="shared" si="0"/>
        <v>-0.1074838049778384</v>
      </c>
      <c r="M10" s="3"/>
      <c r="N10" s="2">
        <f>IF('Modell einstellen'!$B$1="Voll",H10/0.35,H10/0.35*2)</f>
        <v>6.4262820000000008E-4</v>
      </c>
      <c r="O10" s="2">
        <f>IF('Modell einstellen'!$B$1="Voll",J10/0.35,J10/0.35*2)</f>
        <v>-1.2869660000000001E-3</v>
      </c>
      <c r="P10" s="3">
        <f t="shared" si="1"/>
        <v>0.49933580218902446</v>
      </c>
    </row>
    <row r="11" spans="1:16" x14ac:dyDescent="0.25">
      <c r="A11" s="3">
        <v>9.9999999999999995E-8</v>
      </c>
      <c r="B11" s="3">
        <v>-2.276E-4</v>
      </c>
      <c r="C11" s="3">
        <v>3.7770000000000002E-4</v>
      </c>
      <c r="D11" s="3">
        <v>-4.774E-4</v>
      </c>
      <c r="E11" s="3">
        <v>0</v>
      </c>
      <c r="F11" s="3">
        <v>0</v>
      </c>
      <c r="G11" s="3">
        <v>0</v>
      </c>
      <c r="H11" s="3">
        <v>3.0930828999999998E-4</v>
      </c>
      <c r="I11" s="3">
        <v>4.7355911999999998E-5</v>
      </c>
      <c r="J11" s="3">
        <v>-5.6335621000000002E-4</v>
      </c>
      <c r="L11" s="3">
        <f t="shared" si="0"/>
        <v>-0.47674905739421869</v>
      </c>
      <c r="M11" s="3"/>
      <c r="N11" s="2">
        <f>IF('Modell einstellen'!$B$1="Voll",H11/0.35,H11/0.35*2)</f>
        <v>8.8373797142857148E-4</v>
      </c>
      <c r="O11" s="2">
        <f>IF('Modell einstellen'!$B$1="Voll",J11/0.35,J11/0.35*2)</f>
        <v>-1.6095891714285717E-3</v>
      </c>
      <c r="P11" s="3">
        <f t="shared" si="1"/>
        <v>0.54904567396177273</v>
      </c>
    </row>
    <row r="12" spans="1:16" x14ac:dyDescent="0.25">
      <c r="A12" s="3">
        <v>9.9999999999999995E-7</v>
      </c>
      <c r="B12" s="3">
        <v>-6.4820000000000003E-4</v>
      </c>
      <c r="C12" s="3">
        <v>4.2989999999999999E-4</v>
      </c>
      <c r="D12" s="3">
        <v>-1.2630000000000001E-4</v>
      </c>
      <c r="E12" s="3">
        <v>0</v>
      </c>
      <c r="F12" s="3">
        <v>0</v>
      </c>
      <c r="G12" s="3">
        <v>0</v>
      </c>
      <c r="H12" s="3">
        <v>4.9761670999999997E-4</v>
      </c>
      <c r="I12" s="3">
        <v>5.7771454000000002E-5</v>
      </c>
      <c r="J12" s="3">
        <v>-7.9325827999999999E-4</v>
      </c>
      <c r="L12" s="3">
        <f t="shared" si="0"/>
        <v>-5.1322248614410135</v>
      </c>
      <c r="M12" s="3"/>
      <c r="N12" s="2">
        <f>IF('Modell einstellen'!$B$1="Voll",H12/0.35,H12/0.35*2)</f>
        <v>1.4217620285714287E-3</v>
      </c>
      <c r="O12" s="2">
        <f>IF('Modell einstellen'!$B$1="Voll",J12/0.35,J12/0.35*2)</f>
        <v>-2.2664522285714287E-3</v>
      </c>
      <c r="P12" s="3">
        <f t="shared" si="1"/>
        <v>0.62730730021500691</v>
      </c>
    </row>
    <row r="13" spans="1:16" x14ac:dyDescent="0.25">
      <c r="A13" s="3">
        <v>1.0000000000000001E-5</v>
      </c>
      <c r="B13" s="3">
        <v>-1.6260000000000001E-3</v>
      </c>
      <c r="C13" s="3">
        <v>4.7629999999999998E-4</v>
      </c>
      <c r="D13" s="3">
        <v>7.8980000000000001E-4</v>
      </c>
      <c r="E13" s="3">
        <v>0</v>
      </c>
      <c r="F13" s="3">
        <v>0</v>
      </c>
      <c r="G13" s="3">
        <v>0</v>
      </c>
      <c r="H13" s="3">
        <v>9.0110012999999997E-4</v>
      </c>
      <c r="I13" s="3">
        <v>6.9146140000000001E-5</v>
      </c>
      <c r="J13" s="3">
        <v>-1.2410085E-3</v>
      </c>
      <c r="L13" s="3">
        <f t="shared" si="0"/>
        <v>2.0587490503925046</v>
      </c>
      <c r="M13" s="3"/>
      <c r="N13" s="2">
        <f>IF('Modell einstellen'!$B$1="Voll",H13/0.35,H13/0.35*2)</f>
        <v>2.5745718000000002E-3</v>
      </c>
      <c r="O13" s="2">
        <f>IF('Modell einstellen'!$B$1="Voll",J13/0.35,J13/0.35*2)</f>
        <v>-3.5457385714285717E-3</v>
      </c>
      <c r="P13" s="3">
        <f t="shared" si="1"/>
        <v>0.72610310888281582</v>
      </c>
    </row>
    <row r="14" spans="1:16" x14ac:dyDescent="0.25">
      <c r="A14" s="3">
        <v>1E-4</v>
      </c>
      <c r="B14" s="3">
        <v>-3.6250000000000002E-3</v>
      </c>
      <c r="C14" s="3">
        <v>5.1559999999999996E-4</v>
      </c>
      <c r="D14" s="3">
        <v>2.7399999999999998E-3</v>
      </c>
      <c r="E14" s="3">
        <v>0</v>
      </c>
      <c r="F14" s="3">
        <v>0</v>
      </c>
      <c r="G14" s="3">
        <v>0</v>
      </c>
      <c r="H14" s="3">
        <v>1.7017776E-3</v>
      </c>
      <c r="I14" s="3">
        <v>7.9029865000000005E-5</v>
      </c>
      <c r="J14" s="3">
        <v>-2.0748886000000002E-3</v>
      </c>
      <c r="L14" s="3">
        <f t="shared" si="0"/>
        <v>1.3229927007299271</v>
      </c>
      <c r="M14" s="3"/>
      <c r="N14" s="2">
        <f>IF('Modell einstellen'!$B$1="Voll",H14/0.35,H14/0.35*2)</f>
        <v>4.8622217142857147E-3</v>
      </c>
      <c r="O14" s="2">
        <f>IF('Modell einstellen'!$B$1="Voll",J14/0.35,J14/0.35*2)</f>
        <v>-5.9282531428571442E-3</v>
      </c>
      <c r="P14" s="3">
        <f t="shared" si="1"/>
        <v>0.82017781581141258</v>
      </c>
    </row>
    <row r="15" spans="1:16" x14ac:dyDescent="0.25">
      <c r="A15" s="3">
        <v>1E-3</v>
      </c>
      <c r="B15" s="3">
        <v>-7.4330000000000004E-3</v>
      </c>
      <c r="C15" s="3">
        <v>6.0559999999999998E-4</v>
      </c>
      <c r="D15" s="3">
        <v>6.4549999999999998E-3</v>
      </c>
      <c r="E15" s="3">
        <v>0</v>
      </c>
      <c r="F15" s="3">
        <v>0</v>
      </c>
      <c r="G15" s="3">
        <v>0</v>
      </c>
      <c r="H15" s="3">
        <v>3.2021558999999998E-3</v>
      </c>
      <c r="I15" s="3">
        <v>9.3644373E-5</v>
      </c>
      <c r="J15" s="3">
        <v>-3.6079428000000001E-3</v>
      </c>
      <c r="L15" s="3">
        <f t="shared" si="0"/>
        <v>1.1515104570100698</v>
      </c>
      <c r="M15" s="3"/>
      <c r="N15" s="2">
        <f>IF('Modell einstellen'!$B$1="Voll",H15/0.35,H15/0.35*2)</f>
        <v>9.1490168571428578E-3</v>
      </c>
      <c r="O15" s="2">
        <f>IF('Modell einstellen'!$B$1="Voll",J15/0.35,J15/0.35*2)</f>
        <v>-1.0308408000000002E-2</v>
      </c>
      <c r="P15" s="3">
        <f t="shared" si="1"/>
        <v>0.88752956393876303</v>
      </c>
    </row>
    <row r="16" spans="1:16" x14ac:dyDescent="0.25">
      <c r="A16" s="3">
        <v>0.01</v>
      </c>
      <c r="B16" s="3">
        <v>-1.2070000000000001E-2</v>
      </c>
      <c r="C16" s="3">
        <v>8.9840000000000004E-4</v>
      </c>
      <c r="D16" s="3">
        <v>1.0800000000000001E-2</v>
      </c>
      <c r="E16" s="3">
        <v>0</v>
      </c>
      <c r="F16" s="3">
        <v>0</v>
      </c>
      <c r="G16" s="3">
        <v>0</v>
      </c>
      <c r="H16" s="3">
        <v>4.9615466999999996E-3</v>
      </c>
      <c r="I16" s="3">
        <v>1.3862793E-4</v>
      </c>
      <c r="J16" s="3">
        <v>-5.4865321000000002E-3</v>
      </c>
      <c r="L16" s="3">
        <f t="shared" si="0"/>
        <v>1.1175925925925927</v>
      </c>
      <c r="M16" s="3"/>
      <c r="N16" s="2">
        <f>IF('Modell einstellen'!$B$1="Voll",H16/0.35,H16/0.35*2)</f>
        <v>1.4175847714285714E-2</v>
      </c>
      <c r="O16" s="2">
        <f>IF('Modell einstellen'!$B$1="Voll",J16/0.35,J16/0.35*2)</f>
        <v>-1.5675806E-2</v>
      </c>
      <c r="P16" s="3">
        <f t="shared" si="1"/>
        <v>0.90431380142658779</v>
      </c>
    </row>
    <row r="17" spans="1:16" x14ac:dyDescent="0.25">
      <c r="A17" s="3">
        <v>0.1</v>
      </c>
      <c r="B17" s="3">
        <v>-1.457E-2</v>
      </c>
      <c r="C17" s="3">
        <v>1.459E-3</v>
      </c>
      <c r="D17" s="3">
        <v>1.2749999999999999E-2</v>
      </c>
      <c r="E17" s="3">
        <v>0</v>
      </c>
      <c r="F17" s="3">
        <v>0</v>
      </c>
      <c r="G17" s="3">
        <v>0</v>
      </c>
      <c r="H17" s="3">
        <v>5.7426331999999997E-3</v>
      </c>
      <c r="I17" s="3">
        <v>2.3814826E-4</v>
      </c>
      <c r="J17" s="3">
        <v>-6.5983804000000002E-3</v>
      </c>
      <c r="L17" s="3">
        <f t="shared" si="0"/>
        <v>1.1427450980392158</v>
      </c>
      <c r="M17" s="3"/>
      <c r="N17" s="2">
        <f>IF('Modell einstellen'!$B$1="Voll",H17/0.35,H17/0.35*2)</f>
        <v>1.6407523428571429E-2</v>
      </c>
      <c r="O17" s="2">
        <f>IF('Modell einstellen'!$B$1="Voll",J17/0.35,J17/0.35*2)</f>
        <v>-1.8852515428571429E-2</v>
      </c>
      <c r="P17" s="3">
        <f t="shared" si="1"/>
        <v>0.87030950807261731</v>
      </c>
    </row>
    <row r="18" spans="1:16" x14ac:dyDescent="0.25">
      <c r="A18" s="3">
        <v>1</v>
      </c>
      <c r="B18" s="3">
        <v>-1.6320000000000001E-2</v>
      </c>
      <c r="C18" s="3">
        <v>2.3259999999999999E-3</v>
      </c>
      <c r="D18" s="3">
        <v>1.363E-2</v>
      </c>
      <c r="E18" s="3">
        <v>0</v>
      </c>
      <c r="F18" s="3">
        <v>0</v>
      </c>
      <c r="G18" s="3">
        <v>0</v>
      </c>
      <c r="H18" s="3">
        <v>6.0596314000000004E-3</v>
      </c>
      <c r="I18" s="3">
        <v>4.0149339999999997E-4</v>
      </c>
      <c r="J18" s="3">
        <v>-7.4861698000000003E-3</v>
      </c>
      <c r="L18" s="3">
        <f t="shared" si="0"/>
        <v>1.1973587674247983</v>
      </c>
      <c r="M18" s="3"/>
      <c r="N18" s="2">
        <f>IF('Modell einstellen'!$B$1="Voll",H18/0.35,H18/0.35*2)</f>
        <v>1.7313232571428572E-2</v>
      </c>
      <c r="O18" s="2">
        <f>IF('Modell einstellen'!$B$1="Voll",J18/0.35,J18/0.35*2)</f>
        <v>-2.1389056571428575E-2</v>
      </c>
      <c r="P18" s="3">
        <f t="shared" si="1"/>
        <v>0.80944348871167726</v>
      </c>
    </row>
    <row r="19" spans="1:16" x14ac:dyDescent="0.25">
      <c r="A19" s="3">
        <v>10</v>
      </c>
      <c r="B19" s="3">
        <v>-1.7090000000000001E-2</v>
      </c>
      <c r="C19" s="3">
        <v>3.3059999999999999E-3</v>
      </c>
      <c r="D19" s="3">
        <v>1.3429999999999999E-2</v>
      </c>
      <c r="E19" s="3">
        <v>0</v>
      </c>
      <c r="F19" s="3">
        <v>0</v>
      </c>
      <c r="G19" s="3">
        <v>0</v>
      </c>
      <c r="H19" s="3">
        <v>5.9149700000000003E-3</v>
      </c>
      <c r="I19" s="3">
        <v>5.9484648000000004E-4</v>
      </c>
      <c r="J19" s="3">
        <v>-8.0341635999999998E-3</v>
      </c>
      <c r="L19" s="3">
        <f t="shared" si="0"/>
        <v>1.2725241995532393</v>
      </c>
      <c r="M19" s="3"/>
      <c r="N19" s="2">
        <f>IF('Modell einstellen'!$B$1="Voll",H19/0.35,H19/0.35*2)</f>
        <v>1.6899914285714288E-2</v>
      </c>
      <c r="O19" s="2">
        <f>IF('Modell einstellen'!$B$1="Voll",J19/0.35,J19/0.35*2)</f>
        <v>-2.2954753142857144E-2</v>
      </c>
      <c r="P19" s="3">
        <f t="shared" si="1"/>
        <v>0.73622722843234112</v>
      </c>
    </row>
    <row r="20" spans="1:16" x14ac:dyDescent="0.25">
      <c r="A20" s="3">
        <v>100</v>
      </c>
      <c r="B20" s="3">
        <v>-1.7299999999999999E-2</v>
      </c>
      <c r="C20" s="3">
        <v>4.1229999999999999E-3</v>
      </c>
      <c r="D20" s="3">
        <v>1.2829999999999999E-2</v>
      </c>
      <c r="E20" s="3">
        <v>0</v>
      </c>
      <c r="F20" s="3">
        <v>0</v>
      </c>
      <c r="G20" s="3">
        <v>0</v>
      </c>
      <c r="H20" s="3">
        <v>5.6204480000000001E-3</v>
      </c>
      <c r="I20" s="3">
        <v>7.6037288E-4</v>
      </c>
      <c r="J20" s="3">
        <v>-8.3373975999999992E-3</v>
      </c>
      <c r="L20" s="3">
        <f t="shared" si="0"/>
        <v>1.3484021823850352</v>
      </c>
      <c r="M20" s="3"/>
      <c r="N20" s="2">
        <f>IF('Modell einstellen'!$B$1="Voll",H20/0.35,H20/0.35*2)</f>
        <v>1.6058422857142859E-2</v>
      </c>
      <c r="O20" s="2">
        <f>IF('Modell einstellen'!$B$1="Voll",J20/0.35,J20/0.35*2)</f>
        <v>-2.3821136E-2</v>
      </c>
      <c r="P20" s="3">
        <f t="shared" si="1"/>
        <v>0.67412498115719</v>
      </c>
    </row>
    <row r="21" spans="1:16" x14ac:dyDescent="0.25">
      <c r="A21" s="3">
        <v>1000</v>
      </c>
      <c r="B21" s="3">
        <v>-1.7409999999999998E-2</v>
      </c>
      <c r="C21" s="3">
        <v>4.7419999999999997E-3</v>
      </c>
      <c r="D21" s="3">
        <v>1.2330000000000001E-2</v>
      </c>
      <c r="E21" s="3">
        <v>0</v>
      </c>
      <c r="F21" s="3">
        <v>0</v>
      </c>
      <c r="G21" s="3">
        <v>0</v>
      </c>
      <c r="H21" s="3">
        <v>5.3977252E-3</v>
      </c>
      <c r="I21" s="3">
        <v>8.8756356E-4</v>
      </c>
      <c r="J21" s="3">
        <v>-8.5729460999999993E-3</v>
      </c>
      <c r="L21" s="3">
        <f t="shared" si="0"/>
        <v>1.4120032441200323</v>
      </c>
      <c r="M21" s="3"/>
      <c r="N21" s="2">
        <f>IF('Modell einstellen'!$B$1="Voll",H21/0.35,H21/0.35*2)</f>
        <v>1.5422072E-2</v>
      </c>
      <c r="O21" s="2">
        <f>IF('Modell einstellen'!$B$1="Voll",J21/0.35,J21/0.35*2)</f>
        <v>-2.4494131714285713E-2</v>
      </c>
      <c r="P21" s="3">
        <f t="shared" si="1"/>
        <v>0.6296231350387238</v>
      </c>
    </row>
    <row r="22" spans="1:16" x14ac:dyDescent="0.25">
      <c r="A22" s="3">
        <v>10000</v>
      </c>
      <c r="B22" s="3">
        <v>-1.746E-2</v>
      </c>
      <c r="C22" s="3">
        <v>5.1669999999999997E-3</v>
      </c>
      <c r="D22" s="3">
        <v>1.196E-2</v>
      </c>
      <c r="E22" s="3">
        <v>0</v>
      </c>
      <c r="F22" s="3">
        <v>0</v>
      </c>
      <c r="G22" s="3">
        <v>0</v>
      </c>
      <c r="H22" s="3">
        <v>5.2459843999999997E-3</v>
      </c>
      <c r="I22" s="3">
        <v>9.7583505999999996E-4</v>
      </c>
      <c r="J22" s="3">
        <v>-8.7386956000000005E-3</v>
      </c>
      <c r="L22" s="3">
        <f t="shared" si="0"/>
        <v>1.459866220735786</v>
      </c>
      <c r="M22" s="3"/>
      <c r="N22" s="2">
        <f>IF('Modell einstellen'!$B$1="Voll",H22/0.35,H22/0.35*2)</f>
        <v>1.4988526857142857E-2</v>
      </c>
      <c r="O22" s="2">
        <f>IF('Modell einstellen'!$B$1="Voll",J22/0.35,J22/0.35*2)</f>
        <v>-2.4967701714285716E-2</v>
      </c>
      <c r="P22" s="3">
        <f t="shared" si="1"/>
        <v>0.60031664222289649</v>
      </c>
    </row>
    <row r="23" spans="1:16" x14ac:dyDescent="0.25">
      <c r="A23" s="3">
        <v>100000</v>
      </c>
      <c r="B23" s="3">
        <v>-1.746E-2</v>
      </c>
      <c r="C23" s="3">
        <v>5.476E-3</v>
      </c>
      <c r="D23" s="3">
        <v>1.1639999999999999E-2</v>
      </c>
      <c r="E23" s="3">
        <v>0</v>
      </c>
      <c r="F23" s="3">
        <v>0</v>
      </c>
      <c r="G23" s="3">
        <v>0</v>
      </c>
      <c r="H23" s="3">
        <v>5.1386332999999998E-3</v>
      </c>
      <c r="I23" s="3">
        <v>1.0405575000000001E-3</v>
      </c>
      <c r="J23" s="3">
        <v>-8.8637649999999991E-3</v>
      </c>
      <c r="L23" s="3">
        <f t="shared" si="0"/>
        <v>1.5</v>
      </c>
      <c r="M23" s="3"/>
      <c r="N23" s="2">
        <f>IF('Modell einstellen'!$B$1="Voll",H23/0.35,H23/0.35*2)</f>
        <v>1.4681809428571429E-2</v>
      </c>
      <c r="O23" s="2">
        <f>IF('Modell einstellen'!$B$1="Voll",J23/0.35,J23/0.35*2)</f>
        <v>-2.5325042857142856E-2</v>
      </c>
      <c r="P23" s="3">
        <f t="shared" si="1"/>
        <v>0.57973483051502384</v>
      </c>
    </row>
    <row r="24" spans="1:16" x14ac:dyDescent="0.25">
      <c r="A24" s="3">
        <v>1000000</v>
      </c>
      <c r="B24" s="3">
        <v>-1.7399999999999999E-2</v>
      </c>
      <c r="C24" s="3">
        <v>5.6899999999999997E-3</v>
      </c>
      <c r="D24" s="3">
        <v>1.1379999999999999E-2</v>
      </c>
      <c r="E24" s="3">
        <v>0</v>
      </c>
      <c r="F24" s="3">
        <v>0</v>
      </c>
      <c r="G24" s="3">
        <v>0</v>
      </c>
      <c r="H24" s="3">
        <v>5.0680270000000001E-3</v>
      </c>
      <c r="I24" s="3">
        <v>1.0856793999999999E-3</v>
      </c>
      <c r="J24" s="3">
        <v>-8.9549469E-3</v>
      </c>
      <c r="L24" s="3">
        <f t="shared" si="0"/>
        <v>1.5289982425307558</v>
      </c>
      <c r="M24" s="3"/>
      <c r="N24" s="2">
        <f>IF('Modell einstellen'!$B$1="Voll",H24/0.35,H24/0.35*2)</f>
        <v>1.4480077142857144E-2</v>
      </c>
      <c r="O24" s="2">
        <f>IF('Modell einstellen'!$B$1="Voll",J24/0.35,J24/0.35*2)</f>
        <v>-2.5585562571428574E-2</v>
      </c>
      <c r="P24" s="3">
        <f t="shared" si="1"/>
        <v>0.56594718613016004</v>
      </c>
    </row>
    <row r="25" spans="1:16" x14ac:dyDescent="0.25">
      <c r="A25" s="3">
        <v>10000000</v>
      </c>
      <c r="B25" s="3">
        <v>-1.7319999999999999E-2</v>
      </c>
      <c r="C25" s="3">
        <v>5.8300000000000001E-3</v>
      </c>
      <c r="D25" s="3">
        <v>1.116E-2</v>
      </c>
      <c r="E25" s="3">
        <v>0</v>
      </c>
      <c r="F25" s="3">
        <v>0</v>
      </c>
      <c r="G25" s="3">
        <v>0</v>
      </c>
      <c r="H25" s="3">
        <v>5.0259364999999997E-3</v>
      </c>
      <c r="I25" s="3">
        <v>1.1153176E-3</v>
      </c>
      <c r="J25" s="3">
        <v>-9.0189325999999997E-3</v>
      </c>
      <c r="L25" s="3">
        <f t="shared" si="0"/>
        <v>1.5519713261648744</v>
      </c>
      <c r="M25" s="3"/>
      <c r="N25" s="2">
        <f>IF('Modell einstellen'!$B$1="Voll",H25/0.35,H25/0.35*2)</f>
        <v>1.4359818571428571E-2</v>
      </c>
      <c r="O25" s="2">
        <f>IF('Modell einstellen'!$B$1="Voll",J25/0.35,J25/0.35*2)</f>
        <v>-2.5768378857142858E-2</v>
      </c>
      <c r="P25" s="3">
        <f t="shared" si="1"/>
        <v>0.55726511361222497</v>
      </c>
    </row>
    <row r="26" spans="1:16" x14ac:dyDescent="0.25">
      <c r="A26" s="3">
        <v>100000000</v>
      </c>
      <c r="B26" s="3">
        <v>-1.7219999999999999E-2</v>
      </c>
      <c r="C26" s="3">
        <v>5.9129999999999999E-3</v>
      </c>
      <c r="D26" s="3">
        <v>1.0970000000000001E-2</v>
      </c>
      <c r="E26" s="3">
        <v>0</v>
      </c>
      <c r="F26" s="3">
        <v>0</v>
      </c>
      <c r="G26" s="3">
        <v>0</v>
      </c>
      <c r="H26" s="3">
        <v>5.0053407999999999E-3</v>
      </c>
      <c r="I26" s="3">
        <v>1.133104E-3</v>
      </c>
      <c r="J26" s="3">
        <v>-9.0618146000000007E-3</v>
      </c>
      <c r="L26" s="3">
        <f t="shared" si="0"/>
        <v>1.5697356426618048</v>
      </c>
      <c r="M26" s="3"/>
      <c r="N26" s="2">
        <f>IF('Modell einstellen'!$B$1="Voll",H26/0.35,H26/0.35*2)</f>
        <v>1.4300973714285715E-2</v>
      </c>
      <c r="O26" s="2">
        <f>IF('Modell einstellen'!$B$1="Voll",J26/0.35,J26/0.35*2)</f>
        <v>-2.5890898857142859E-2</v>
      </c>
      <c r="P26" s="3">
        <f t="shared" si="1"/>
        <v>0.55235524240365719</v>
      </c>
    </row>
    <row r="27" spans="1:16" x14ac:dyDescent="0.25">
      <c r="A27" s="3">
        <v>1000000000</v>
      </c>
      <c r="B27" s="3">
        <v>-1.7219999999999999E-2</v>
      </c>
      <c r="C27" s="3">
        <v>5.914E-3</v>
      </c>
      <c r="D27" s="3">
        <v>1.0970000000000001E-2</v>
      </c>
      <c r="E27" s="3">
        <v>0</v>
      </c>
      <c r="F27" s="3">
        <v>0</v>
      </c>
      <c r="G27" s="3">
        <v>0</v>
      </c>
      <c r="H27" s="3">
        <v>5.0052578000000002E-3</v>
      </c>
      <c r="I27" s="3">
        <v>1.1332868999999999E-3</v>
      </c>
      <c r="J27" s="3">
        <v>-9.0623826000000001E-3</v>
      </c>
      <c r="L27" s="3">
        <f t="shared" si="0"/>
        <v>1.5697356426618048</v>
      </c>
      <c r="M27" s="3"/>
      <c r="N27" s="2">
        <f>IF('Modell einstellen'!$B$1="Voll",H27/0.35,H27/0.35*2)</f>
        <v>1.4300736571428573E-2</v>
      </c>
      <c r="O27" s="2">
        <f>IF('Modell einstellen'!$B$1="Voll",J27/0.35,J27/0.35*2)</f>
        <v>-2.5892521714285716E-2</v>
      </c>
      <c r="P27" s="3">
        <f t="shared" si="1"/>
        <v>0.55231146387485341</v>
      </c>
    </row>
    <row r="28" spans="1:16" x14ac:dyDescent="0.25">
      <c r="A28" s="3">
        <v>10000000000</v>
      </c>
      <c r="B28" s="3">
        <v>-1.7170000000000001E-2</v>
      </c>
      <c r="C28" s="3">
        <v>5.9389999999999998E-3</v>
      </c>
      <c r="D28" s="3">
        <v>1.089E-2</v>
      </c>
      <c r="E28" s="3">
        <v>0</v>
      </c>
      <c r="F28" s="3">
        <v>0</v>
      </c>
      <c r="G28" s="3">
        <v>0</v>
      </c>
      <c r="H28" s="3">
        <v>5.0010107999999996E-3</v>
      </c>
      <c r="I28" s="3">
        <v>1.1386241E-3</v>
      </c>
      <c r="J28" s="3">
        <v>-9.0770976999999999E-3</v>
      </c>
      <c r="L28" s="3">
        <f t="shared" si="0"/>
        <v>1.5766758494031221</v>
      </c>
      <c r="M28" s="3"/>
      <c r="N28" s="2">
        <f>IF('Modell einstellen'!$B$1="Voll",H28/0.35,H28/0.35*2)</f>
        <v>1.4288602285714285E-2</v>
      </c>
      <c r="O28" s="2">
        <f>IF('Modell einstellen'!$B$1="Voll",J28/0.35,J28/0.35*2)</f>
        <v>-2.5934564857142857E-2</v>
      </c>
      <c r="P28" s="3">
        <f t="shared" si="1"/>
        <v>0.55094821773263492</v>
      </c>
    </row>
    <row r="29" spans="1:16" x14ac:dyDescent="0.25">
      <c r="A29" s="3">
        <v>100000000000</v>
      </c>
      <c r="B29" s="3">
        <v>-1.7090000000000001E-2</v>
      </c>
      <c r="C29" s="3">
        <v>5.9610000000000002E-3</v>
      </c>
      <c r="D29" s="3">
        <v>1.0800000000000001E-2</v>
      </c>
      <c r="E29" s="3">
        <v>0</v>
      </c>
      <c r="F29" s="3">
        <v>0</v>
      </c>
      <c r="G29" s="3">
        <v>0</v>
      </c>
      <c r="H29" s="3">
        <v>4.9995142000000001E-3</v>
      </c>
      <c r="I29" s="3">
        <v>1.1434696E-3</v>
      </c>
      <c r="J29" s="3">
        <v>-9.0927452000000002E-3</v>
      </c>
      <c r="L29" s="3">
        <f t="shared" si="0"/>
        <v>1.5824074074074075</v>
      </c>
      <c r="M29" s="3"/>
      <c r="N29" s="2">
        <f>IF('Modell einstellen'!$B$1="Voll",H29/0.35,H29/0.35*2)</f>
        <v>1.4284326285714287E-2</v>
      </c>
      <c r="O29" s="2">
        <f>IF('Modell einstellen'!$B$1="Voll",J29/0.35,J29/0.35*2)</f>
        <v>-2.5979272000000001E-2</v>
      </c>
      <c r="P29" s="3">
        <f t="shared" si="1"/>
        <v>0.54983551062224867</v>
      </c>
    </row>
    <row r="30" spans="1:16" x14ac:dyDescent="0.25">
      <c r="A30" s="3">
        <v>1000000000000</v>
      </c>
      <c r="B30" s="3">
        <v>-1.7010000000000001E-2</v>
      </c>
      <c r="C30" s="3">
        <v>5.9740000000000001E-3</v>
      </c>
      <c r="D30" s="3">
        <v>1.0710000000000001E-2</v>
      </c>
      <c r="E30" s="3">
        <v>0</v>
      </c>
      <c r="F30" s="3">
        <v>0</v>
      </c>
      <c r="G30" s="3">
        <v>0</v>
      </c>
      <c r="H30" s="3">
        <v>5.0018231000000003E-3</v>
      </c>
      <c r="I30" s="3">
        <v>1.146317E-3</v>
      </c>
      <c r="J30" s="3">
        <v>-9.1050173000000005E-3</v>
      </c>
      <c r="L30" s="3">
        <f t="shared" si="0"/>
        <v>1.588235294117647</v>
      </c>
      <c r="M30" s="3"/>
      <c r="N30" s="2">
        <f>IF('Modell einstellen'!$B$1="Voll",H30/0.35,H30/0.35*2)</f>
        <v>1.4290923142857145E-2</v>
      </c>
      <c r="O30" s="2">
        <f>IF('Modell einstellen'!$B$1="Voll",J30/0.35,J30/0.35*2)</f>
        <v>-2.6014335142857146E-2</v>
      </c>
      <c r="P30" s="3">
        <f t="shared" si="1"/>
        <v>0.54934800618116342</v>
      </c>
    </row>
    <row r="31" spans="1:16" x14ac:dyDescent="0.25">
      <c r="A31" s="3">
        <v>10000000000000</v>
      </c>
      <c r="B31" s="3">
        <v>-1.7010000000000001E-2</v>
      </c>
      <c r="C31" s="3">
        <v>5.9740000000000001E-3</v>
      </c>
      <c r="D31" s="3">
        <v>1.0699999999999999E-2</v>
      </c>
      <c r="E31" s="3">
        <v>0</v>
      </c>
      <c r="F31" s="3">
        <v>0</v>
      </c>
      <c r="G31" s="3">
        <v>0</v>
      </c>
      <c r="H31" s="3">
        <v>5.0019898000000004E-3</v>
      </c>
      <c r="I31" s="3">
        <v>1.1464639E-3</v>
      </c>
      <c r="J31" s="3">
        <v>-9.1056959000000003E-3</v>
      </c>
      <c r="L31" s="3">
        <f t="shared" si="0"/>
        <v>1.5897196261682245</v>
      </c>
      <c r="M31" s="3"/>
      <c r="N31" s="2">
        <f>IF('Modell einstellen'!$B$1="Voll",H31/0.35,H31/0.35*2)</f>
        <v>1.429139942857143E-2</v>
      </c>
      <c r="O31" s="2">
        <f>IF('Modell einstellen'!$B$1="Voll",J31/0.35,J31/0.35*2)</f>
        <v>-2.6016274000000002E-2</v>
      </c>
      <c r="P31" s="3">
        <f t="shared" si="1"/>
        <v>0.54932537336328136</v>
      </c>
    </row>
    <row r="32" spans="1:16" x14ac:dyDescent="0.25">
      <c r="A32" s="3">
        <v>100000000000000</v>
      </c>
      <c r="B32" s="3">
        <v>-1.7010000000000001E-2</v>
      </c>
      <c r="C32" s="3">
        <v>5.9750000000000003E-3</v>
      </c>
      <c r="D32" s="3">
        <v>1.0699999999999999E-2</v>
      </c>
      <c r="E32" s="3">
        <v>0</v>
      </c>
      <c r="F32" s="3">
        <v>0</v>
      </c>
      <c r="G32" s="3">
        <v>0</v>
      </c>
      <c r="H32" s="3">
        <v>5.0021249999999996E-3</v>
      </c>
      <c r="I32" s="3">
        <v>1.1465049000000001E-3</v>
      </c>
      <c r="J32" s="3">
        <v>-9.1059703999999998E-3</v>
      </c>
      <c r="L32" s="3">
        <f t="shared" si="0"/>
        <v>1.5897196261682245</v>
      </c>
      <c r="M32" s="3"/>
      <c r="N32" s="2">
        <f>IF('Modell einstellen'!$B$1="Voll",H32/0.35,H32/0.35*2)</f>
        <v>1.4291785714285713E-2</v>
      </c>
      <c r="O32" s="2">
        <f>IF('Modell einstellen'!$B$1="Voll",J32/0.35,J32/0.35*2)</f>
        <v>-2.6017058285714288E-2</v>
      </c>
      <c r="P32" s="3">
        <f t="shared" si="1"/>
        <v>0.54932366132004984</v>
      </c>
    </row>
    <row r="33" spans="1:16" x14ac:dyDescent="0.25">
      <c r="A33" s="3">
        <v>1000000000000000</v>
      </c>
      <c r="B33" s="3">
        <v>-1.7000000000000001E-2</v>
      </c>
      <c r="C33" s="3">
        <v>5.9750000000000003E-3</v>
      </c>
      <c r="D33" s="3">
        <v>1.0699999999999999E-2</v>
      </c>
      <c r="E33" s="3">
        <v>0</v>
      </c>
      <c r="F33" s="3">
        <v>0</v>
      </c>
      <c r="G33" s="3">
        <v>0</v>
      </c>
      <c r="H33" s="3">
        <v>5.0022697E-3</v>
      </c>
      <c r="I33" s="3">
        <v>1.1465066E-3</v>
      </c>
      <c r="J33" s="3">
        <v>-9.1061163999999993E-3</v>
      </c>
      <c r="L33" s="3">
        <f t="shared" si="0"/>
        <v>1.5887850467289721</v>
      </c>
      <c r="M33" s="3"/>
      <c r="N33" s="2">
        <f>IF('Modell einstellen'!$B$1="Voll",H33/0.35,H33/0.35*2)</f>
        <v>1.4292199142857143E-2</v>
      </c>
      <c r="O33" s="2">
        <f>IF('Modell einstellen'!$B$1="Voll",J33/0.35,J33/0.35*2)</f>
        <v>-2.6017475428571427E-2</v>
      </c>
      <c r="P33" s="3">
        <f t="shared" si="1"/>
        <v>0.54933074433355589</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2022-01-06T19:14:40Z</dcterms:modified>
</cp:coreProperties>
</file>