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P32" i="11" s="1"/>
  <c r="O31" i="11"/>
  <c r="N31" i="11"/>
  <c r="P31" i="11" s="1"/>
  <c r="O30" i="11"/>
  <c r="N30" i="11"/>
  <c r="P29" i="11"/>
  <c r="O29" i="11"/>
  <c r="N29" i="11"/>
  <c r="O28" i="11"/>
  <c r="N28" i="11"/>
  <c r="P28" i="11" s="1"/>
  <c r="O27" i="11"/>
  <c r="P27" i="11" s="1"/>
  <c r="N27" i="11"/>
  <c r="O26" i="11"/>
  <c r="N26" i="11"/>
  <c r="P26" i="11" s="1"/>
  <c r="P25" i="11"/>
  <c r="O25" i="11"/>
  <c r="N25" i="11"/>
  <c r="O24" i="11"/>
  <c r="N24" i="11"/>
  <c r="P24" i="11" s="1"/>
  <c r="O23" i="11"/>
  <c r="P23" i="11" s="1"/>
  <c r="N23" i="11"/>
  <c r="O22" i="11"/>
  <c r="N22" i="11"/>
  <c r="O21" i="11"/>
  <c r="N21" i="11"/>
  <c r="P21" i="11" s="1"/>
  <c r="O20" i="11"/>
  <c r="N20" i="11"/>
  <c r="P20" i="11" s="1"/>
  <c r="O19" i="11"/>
  <c r="N19" i="11"/>
  <c r="P19" i="11" s="1"/>
  <c r="O18" i="11"/>
  <c r="N18" i="11"/>
  <c r="P17" i="11"/>
  <c r="O17" i="11"/>
  <c r="N17" i="11"/>
  <c r="O16" i="11"/>
  <c r="N16" i="11"/>
  <c r="P16" i="11" s="1"/>
  <c r="O15" i="11"/>
  <c r="P15" i="11" s="1"/>
  <c r="N15" i="11"/>
  <c r="O14" i="11"/>
  <c r="N14" i="11"/>
  <c r="P14" i="11" s="1"/>
  <c r="P13" i="11"/>
  <c r="O13" i="11"/>
  <c r="N13" i="11"/>
  <c r="O12" i="11"/>
  <c r="N12" i="11"/>
  <c r="P12" i="11" s="1"/>
  <c r="O11" i="11"/>
  <c r="P11" i="11" s="1"/>
  <c r="N11" i="11"/>
  <c r="O10" i="11"/>
  <c r="N10" i="11"/>
  <c r="O9" i="11"/>
  <c r="N9" i="11"/>
  <c r="P9" i="11" s="1"/>
  <c r="O8" i="11"/>
  <c r="N8" i="11"/>
  <c r="P8" i="11" s="1"/>
  <c r="O7" i="11"/>
  <c r="N7" i="11"/>
  <c r="P7" i="11" s="1"/>
  <c r="O6" i="11"/>
  <c r="N6" i="11"/>
  <c r="P5" i="11"/>
  <c r="O5" i="11"/>
  <c r="N5" i="11"/>
  <c r="O4" i="11"/>
  <c r="N4" i="11"/>
  <c r="P4" i="11" s="1"/>
  <c r="O3" i="11"/>
  <c r="P3" i="11" s="1"/>
  <c r="N3" i="11"/>
  <c r="P6" i="11" l="1"/>
  <c r="P18" i="11"/>
  <c r="P30"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19" i="43"/>
  <c r="C423" i="43"/>
  <c r="C428" i="43"/>
  <c r="C404" i="43"/>
  <c r="C420" i="43"/>
  <c r="C431" i="43"/>
  <c r="C426" i="43"/>
  <c r="C409" i="43"/>
  <c r="C421" i="43"/>
  <c r="C434" i="43"/>
  <c r="C407" i="43"/>
  <c r="C414" i="43"/>
  <c r="C418" i="43"/>
  <c r="C425" i="43"/>
  <c r="C427" i="43"/>
  <c r="C429" i="43"/>
  <c r="C432" i="43"/>
  <c r="C410" i="43"/>
  <c r="C412" i="43"/>
  <c r="C422" i="43"/>
  <c r="C433" i="43"/>
  <c r="C405" i="43"/>
  <c r="C408" i="43"/>
  <c r="C415" i="43"/>
  <c r="C424" i="43"/>
  <c r="C430" i="43"/>
  <c r="C413" i="43"/>
  <c r="C411" i="43"/>
  <c r="C416" i="43"/>
  <c r="H434" i="43"/>
  <c r="H418" i="43"/>
  <c r="H415" i="43"/>
  <c r="H410" i="43"/>
  <c r="H424" i="43"/>
  <c r="H405" i="43"/>
  <c r="H428" i="43"/>
  <c r="H406" i="43"/>
  <c r="H417" i="43"/>
  <c r="H414" i="43"/>
  <c r="H430" i="43"/>
  <c r="H423" i="43"/>
  <c r="H419" i="43"/>
  <c r="H429" i="43"/>
  <c r="H416" i="43"/>
  <c r="H404" i="43"/>
  <c r="H413" i="43"/>
  <c r="H427" i="43"/>
  <c r="H409" i="43"/>
  <c r="H422" i="43"/>
  <c r="H421" i="43"/>
  <c r="H426" i="43"/>
  <c r="H420" i="43"/>
  <c r="H431" i="43"/>
  <c r="H433" i="43"/>
  <c r="H408" i="43"/>
  <c r="H432" i="43"/>
  <c r="H412" i="43"/>
  <c r="H425" i="43"/>
  <c r="H407" i="43"/>
  <c r="H411" i="43"/>
  <c r="G410" i="43"/>
  <c r="G413" i="43"/>
  <c r="G431" i="43"/>
  <c r="G416" i="43"/>
  <c r="G434" i="43"/>
  <c r="G428" i="43"/>
  <c r="G429" i="43"/>
  <c r="G411" i="43"/>
  <c r="G427" i="43"/>
  <c r="G409" i="43"/>
  <c r="G405" i="43"/>
  <c r="G404" i="43"/>
  <c r="G422" i="43"/>
  <c r="G426" i="43"/>
  <c r="G408" i="43"/>
  <c r="G424" i="43"/>
  <c r="G433" i="43"/>
  <c r="G430" i="43"/>
  <c r="G406" i="43"/>
  <c r="G419" i="43"/>
  <c r="G423" i="43"/>
  <c r="G421" i="43"/>
  <c r="G418" i="43"/>
  <c r="G415" i="43"/>
  <c r="G432" i="43"/>
  <c r="G407" i="43"/>
  <c r="G420" i="43"/>
  <c r="G425" i="43"/>
  <c r="G417" i="43"/>
  <c r="G414" i="43"/>
  <c r="G412" i="43"/>
  <c r="B405" i="43"/>
  <c r="B424" i="43"/>
  <c r="B425" i="43"/>
  <c r="B413" i="43"/>
  <c r="B414" i="43"/>
  <c r="B408" i="43"/>
  <c r="B431" i="43"/>
  <c r="B422" i="43"/>
  <c r="B415" i="43"/>
  <c r="B417" i="43"/>
  <c r="B409" i="43"/>
  <c r="B406" i="43"/>
  <c r="B429" i="43"/>
  <c r="B433" i="43"/>
  <c r="B411" i="43"/>
  <c r="B416" i="43"/>
  <c r="B432" i="43"/>
  <c r="B404" i="43"/>
  <c r="B428" i="43"/>
  <c r="B420" i="43"/>
  <c r="B421" i="43"/>
  <c r="B410" i="43"/>
  <c r="B407" i="43"/>
  <c r="B427" i="43"/>
  <c r="B426" i="43"/>
  <c r="B434" i="43"/>
  <c r="B430" i="43"/>
  <c r="B423" i="43"/>
  <c r="B418" i="43"/>
  <c r="B419" i="43"/>
  <c r="B412" i="43"/>
  <c r="F415" i="43"/>
  <c r="F410" i="43"/>
  <c r="F420" i="43"/>
  <c r="F431" i="43"/>
  <c r="F423" i="43"/>
  <c r="F424" i="43"/>
  <c r="F419" i="43"/>
  <c r="F430" i="43"/>
  <c r="F416" i="43"/>
  <c r="F404" i="43"/>
  <c r="F427" i="43"/>
  <c r="F434" i="43"/>
  <c r="F421" i="43"/>
  <c r="F425" i="43"/>
  <c r="F426" i="43"/>
  <c r="F412" i="43"/>
  <c r="F409" i="43"/>
  <c r="F407" i="43"/>
  <c r="F417" i="43"/>
  <c r="F414" i="43"/>
  <c r="F422" i="43"/>
  <c r="F411" i="43"/>
  <c r="F405" i="43"/>
  <c r="F408" i="43"/>
  <c r="F432" i="43"/>
  <c r="F418" i="43"/>
  <c r="F413" i="43"/>
  <c r="F428" i="43"/>
  <c r="F429" i="43"/>
  <c r="F406" i="43"/>
  <c r="F433" i="43"/>
  <c r="D405" i="43"/>
  <c r="D408" i="43"/>
  <c r="D413" i="43"/>
  <c r="D415" i="43"/>
  <c r="D424" i="43"/>
  <c r="D433" i="43"/>
  <c r="D406" i="43"/>
  <c r="D417" i="43"/>
  <c r="D419" i="43"/>
  <c r="D426" i="43"/>
  <c r="D430" i="43"/>
  <c r="D414" i="43"/>
  <c r="D427" i="43"/>
  <c r="D431" i="43"/>
  <c r="D411" i="43"/>
  <c r="D416" i="43"/>
  <c r="D423" i="43"/>
  <c r="D428" i="43"/>
  <c r="D404" i="43"/>
  <c r="D409" i="43"/>
  <c r="D421" i="43"/>
  <c r="D434" i="43"/>
  <c r="D407" i="43"/>
  <c r="D418" i="43"/>
  <c r="D425" i="43"/>
  <c r="D429" i="43"/>
  <c r="D432" i="43"/>
  <c r="D410" i="43"/>
  <c r="D412" i="43"/>
  <c r="D420" i="43"/>
  <c r="D422" i="43"/>
  <c r="E405" i="43"/>
  <c r="E410" i="43"/>
  <c r="E420" i="43"/>
  <c r="E422" i="43"/>
  <c r="E408" i="43"/>
  <c r="E413" i="43"/>
  <c r="E415" i="43"/>
  <c r="E424" i="43"/>
  <c r="E433" i="43"/>
  <c r="E406" i="43"/>
  <c r="E417" i="43"/>
  <c r="E419" i="43"/>
  <c r="E426" i="43"/>
  <c r="E430" i="43"/>
  <c r="E411" i="43"/>
  <c r="E416" i="43"/>
  <c r="E423" i="43"/>
  <c r="E404" i="43"/>
  <c r="E434" i="43"/>
  <c r="E431" i="43"/>
  <c r="E418" i="43"/>
  <c r="E425" i="43"/>
  <c r="E427" i="43"/>
  <c r="E429" i="43"/>
  <c r="E414" i="43"/>
  <c r="E421" i="43"/>
  <c r="E409" i="43"/>
  <c r="E428" i="43"/>
  <c r="E432" i="43"/>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N247" i="43"/>
  <c r="L416" i="43"/>
  <c r="Y247" i="43"/>
  <c r="L427" i="43"/>
  <c r="Y169" i="43"/>
  <c r="K427" i="43"/>
  <c r="G208" i="43"/>
  <c r="K409" i="43"/>
  <c r="Z169" i="43"/>
  <c r="K428" i="43"/>
  <c r="N169" i="43"/>
  <c r="K416" i="43"/>
  <c r="H169" i="43"/>
  <c r="K410" i="43"/>
  <c r="D169" i="43"/>
  <c r="K406" i="43"/>
  <c r="R169" i="43"/>
  <c r="K420" i="43"/>
  <c r="F169" i="43"/>
  <c r="K408" i="43"/>
  <c r="K208" i="43"/>
  <c r="K413"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AE247" i="43"/>
  <c r="L433" i="43"/>
  <c r="M247" i="43"/>
  <c r="L415" i="43"/>
  <c r="D247" i="43"/>
  <c r="L406" i="43"/>
  <c r="G130" i="43"/>
  <c r="J409" i="43"/>
  <c r="T130" i="43"/>
  <c r="J422" i="43"/>
  <c r="I130" i="43"/>
  <c r="J411" i="43"/>
  <c r="X130" i="43"/>
  <c r="J426" i="43"/>
  <c r="AE130" i="43"/>
  <c r="J433" i="43"/>
  <c r="R130" i="43"/>
  <c r="J420" i="43"/>
  <c r="N130" i="43"/>
  <c r="J416" i="43"/>
  <c r="E130" i="43"/>
  <c r="J407" i="43"/>
  <c r="AB130" i="43"/>
  <c r="J430" i="43"/>
  <c r="P130" i="43"/>
  <c r="J418" i="43"/>
  <c r="O130" i="43"/>
  <c r="J417" i="43"/>
  <c r="F130" i="43"/>
  <c r="J408" i="43"/>
  <c r="Z130" i="43"/>
  <c r="J428" i="43"/>
  <c r="S130" i="43"/>
  <c r="J421" i="43"/>
  <c r="W130" i="43"/>
  <c r="J425" i="43"/>
  <c r="D130" i="43"/>
  <c r="J406" i="43"/>
  <c r="AF130" i="43"/>
  <c r="J434" i="43"/>
  <c r="M130" i="43"/>
  <c r="J415" i="43"/>
  <c r="V130" i="43"/>
  <c r="J424" i="43"/>
  <c r="K130" i="43"/>
  <c r="J413" i="43"/>
  <c r="Q130" i="43"/>
  <c r="J419" i="43"/>
  <c r="L130" i="43"/>
  <c r="J414" i="43"/>
  <c r="Y130" i="43"/>
  <c r="J427" i="43"/>
  <c r="J130" i="43"/>
  <c r="J412" i="43"/>
  <c r="AD130" i="43"/>
  <c r="J432" i="43"/>
  <c r="AC130" i="43"/>
  <c r="J431" i="43"/>
  <c r="C130" i="43"/>
  <c r="J405"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<sst xmlns="http://schemas.openxmlformats.org/spreadsheetml/2006/main" count="311" uniqueCount="164">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</sst>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57311168"/>
        <c:axId val="5573119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7311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311952"/>
        <c:crossesAt val="-8.0000000000000019E-3"/>
        <c:crossBetween val="midCat"/>
      </c:valAx>
      <c:valAx>
        <c:axId val="557311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311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42437280"/>
        <c:axId val="6424384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4243728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8456"/>
        <c:crosses val="autoZero"/>
        <c:crossBetween val="midCat"/>
      </c:valAx>
      <c:valAx>
        <c:axId val="6424384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728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42436496"/>
        <c:axId val="6424392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424364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9240"/>
        <c:crosses val="autoZero"/>
        <c:crossBetween val="midCat"/>
        <c:majorUnit val="10000"/>
      </c:valAx>
      <c:valAx>
        <c:axId val="64243924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649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42436888"/>
        <c:axId val="642443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424368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42443160"/>
        <c:crosses val="autoZero"/>
        <c:crossBetween val="midCat"/>
        <c:majorUnit val="10000"/>
      </c:valAx>
      <c:valAx>
        <c:axId val="64244316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4243688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42440416"/>
        <c:axId val="6424439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42440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3944"/>
        <c:crosses val="autoZero"/>
        <c:crossBetween val="midCat"/>
        <c:majorUnit val="10000"/>
      </c:valAx>
      <c:valAx>
        <c:axId val="64244394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041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1.2897031919270048E-3</c:v>
                </c:pt>
                <c:pt idx="1">
                  <c:v>1.2844322339031502E-3</c:v>
                </c:pt>
                <c:pt idx="2">
                  <c:v>1.2976451273990681E-3</c:v>
                </c:pt>
                <c:pt idx="3">
                  <c:v>1.3928333734982315E-3</c:v>
                </c:pt>
                <c:pt idx="4">
                  <c:v>2.317406397282016E-3</c:v>
                </c:pt>
                <c:pt idx="5">
                  <c:v>1.010746937443412E-2</c:v>
                </c:pt>
                <c:pt idx="6">
                  <c:v>3.5272273106563369E-2</c:v>
                </c:pt>
                <c:pt idx="7">
                  <c:v>6.2279799704884141E-2</c:v>
                </c:pt>
                <c:pt idx="8">
                  <c:v>9.4906583111079759E-2</c:v>
                </c:pt>
                <c:pt idx="9">
                  <c:v>0.13529815436531631</c:v>
                </c:pt>
                <c:pt idx="10">
                  <c:v>0.1760958936841768</c:v>
                </c:pt>
                <c:pt idx="11">
                  <c:v>0.21336648237676983</c:v>
                </c:pt>
                <c:pt idx="12">
                  <c:v>0.25427264230919022</c:v>
                </c:pt>
                <c:pt idx="13">
                  <c:v>0.29574176090906368</c:v>
                </c:pt>
                <c:pt idx="14">
                  <c:v>0.34129855807397624</c:v>
                </c:pt>
                <c:pt idx="15">
                  <c:v>0.39829408600768018</c:v>
                </c:pt>
                <c:pt idx="16">
                  <c:v>0.49586306980308598</c:v>
                </c:pt>
                <c:pt idx="17">
                  <c:v>0.66103028561721922</c:v>
                </c:pt>
                <c:pt idx="18">
                  <c:v>0.93790289925588011</c:v>
                </c:pt>
                <c:pt idx="19">
                  <c:v>1.4842743248916681</c:v>
                </c:pt>
                <c:pt idx="20">
                  <c:v>2.6083973707905272</c:v>
                </c:pt>
                <c:pt idx="21">
                  <c:v>4.6640839243117798</c:v>
                </c:pt>
                <c:pt idx="22">
                  <c:v>7.8294356214800356</c:v>
                </c:pt>
                <c:pt idx="23">
                  <c:v>11.508926146206187</c:v>
                </c:pt>
                <c:pt idx="24">
                  <c:v>11.262382192752705</c:v>
                </c:pt>
                <c:pt idx="25">
                  <c:v>7.9899317404320707</c:v>
                </c:pt>
                <c:pt idx="26">
                  <c:v>4.7421972628719651</c:v>
                </c:pt>
                <c:pt idx="27">
                  <c:v>2.2732944987652122</c:v>
                </c:pt>
                <c:pt idx="28">
                  <c:v>0.83713992548427762</c:v>
                </c:pt>
                <c:pt idx="29">
                  <c:v>0.26869808275627083</c:v>
                </c:pt>
                <c:pt idx="30">
                  <c:v>0.10777189292754558</c:v>
                </c:pt>
              </c:numCache>
            </c:numRef>
          </c:yVal>
          <c:smooth val="1"/>
        </c:ser>
        <c:dLbls>
          <c:showLegendKey val="0"/>
          <c:showVal val="0"/>
          <c:showCatName val="0"/>
          <c:showSerName val="0"/>
          <c:showPercent val="0"/>
          <c:showBubbleSize val="0"/>
        </c:dLbls>
        <c:axId val="642441984"/>
        <c:axId val="642441592"/>
      </c:scatterChart>
      <c:valAx>
        <c:axId val="6424419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1592"/>
        <c:crossesAt val="-1.5000000000000005E-3"/>
        <c:crossBetween val="midCat"/>
      </c:valAx>
      <c:valAx>
        <c:axId val="6424415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198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5924.3223454607651</c:v>
                </c:pt>
                <c:pt idx="1">
                  <c:v>5924.3223454382824</c:v>
                </c:pt>
                <c:pt idx="2">
                  <c:v>5924.3223452134616</c:v>
                </c:pt>
                <c:pt idx="3">
                  <c:v>5924.3223429652517</c:v>
                </c:pt>
                <c:pt idx="4">
                  <c:v>5924.3223204831502</c:v>
                </c:pt>
                <c:pt idx="5">
                  <c:v>5924.3220956624627</c:v>
                </c:pt>
                <c:pt idx="6">
                  <c:v>5924.3198474884048</c:v>
                </c:pt>
                <c:pt idx="7">
                  <c:v>5924.2973690295794</c:v>
                </c:pt>
                <c:pt idx="8">
                  <c:v>5924.0729116822522</c:v>
                </c:pt>
                <c:pt idx="9">
                  <c:v>5921.8601540583113</c:v>
                </c:pt>
                <c:pt idx="10">
                  <c:v>5902.2081103099545</c:v>
                </c:pt>
                <c:pt idx="11">
                  <c:v>5789.3269779329539</c:v>
                </c:pt>
                <c:pt idx="12">
                  <c:v>5647.0619575109667</c:v>
                </c:pt>
                <c:pt idx="13">
                  <c:v>5493.8054243942206</c:v>
                </c:pt>
                <c:pt idx="14">
                  <c:v>5309.5141162606951</c:v>
                </c:pt>
                <c:pt idx="15">
                  <c:v>5117.4278504261974</c:v>
                </c:pt>
                <c:pt idx="16">
                  <c:v>4888.6691773134917</c:v>
                </c:pt>
                <c:pt idx="17">
                  <c:v>4599.3359574428214</c:v>
                </c:pt>
                <c:pt idx="18">
                  <c:v>4272.2957947174973</c:v>
                </c:pt>
                <c:pt idx="19">
                  <c:v>3941.1873595578249</c:v>
                </c:pt>
                <c:pt idx="20">
                  <c:v>3608.4814380980879</c:v>
                </c:pt>
                <c:pt idx="21">
                  <c:v>3262.5497579342496</c:v>
                </c:pt>
                <c:pt idx="22">
                  <c:v>2841.3133485517315</c:v>
                </c:pt>
                <c:pt idx="23">
                  <c:v>2350.399363924254</c:v>
                </c:pt>
                <c:pt idx="24">
                  <c:v>1794.2863976892534</c:v>
                </c:pt>
                <c:pt idx="25">
                  <c:v>1192.7443975902963</c:v>
                </c:pt>
                <c:pt idx="26">
                  <c:v>712.56457401443936</c:v>
                </c:pt>
                <c:pt idx="27">
                  <c:v>405.79753627693225</c:v>
                </c:pt>
                <c:pt idx="28">
                  <c:v>227.75057802143948</c:v>
                </c:pt>
                <c:pt idx="29">
                  <c:v>157.27859013277902</c:v>
                </c:pt>
                <c:pt idx="30">
                  <c:v>137.32710648672062</c:v>
                </c:pt>
              </c:numCache>
            </c:numRef>
          </c:yVal>
          <c:smooth val="1"/>
        </c:ser>
        <c:dLbls>
          <c:showLegendKey val="0"/>
          <c:showVal val="0"/>
          <c:showCatName val="0"/>
          <c:showSerName val="0"/>
          <c:showPercent val="0"/>
          <c:showBubbleSize val="0"/>
        </c:dLbls>
        <c:axId val="443247240"/>
        <c:axId val="443247632"/>
      </c:scatterChart>
      <c:valAx>
        <c:axId val="4432472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7632"/>
        <c:crosses val="autoZero"/>
        <c:crossBetween val="midCat"/>
      </c:valAx>
      <c:valAx>
        <c:axId val="443247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724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2.5912227231022918E-3</c:v>
                </c:pt>
                <c:pt idx="1">
                  <c:v>2.977476313620889E-3</c:v>
                </c:pt>
                <c:pt idx="2">
                  <c:v>3.55804184186451E-3</c:v>
                </c:pt>
                <c:pt idx="3">
                  <c:v>3.5609660630906178E-3</c:v>
                </c:pt>
                <c:pt idx="4">
                  <c:v>3.5606207597331605E-3</c:v>
                </c:pt>
                <c:pt idx="5">
                  <c:v>3.5604819613449827E-3</c:v>
                </c:pt>
                <c:pt idx="6">
                  <c:v>3.5604379523025836E-3</c:v>
                </c:pt>
                <c:pt idx="7">
                  <c:v>3.560431183741971E-3</c:v>
                </c:pt>
                <c:pt idx="8">
                  <c:v>3.5604312046762141E-3</c:v>
                </c:pt>
                <c:pt idx="9">
                  <c:v>3.5604314140177257E-3</c:v>
                </c:pt>
                <c:pt idx="10">
                  <c:v>3.5604335074332994E-3</c:v>
                </c:pt>
                <c:pt idx="11">
                  <c:v>3.5604476709171677E-3</c:v>
                </c:pt>
                <c:pt idx="12">
                  <c:v>3.5605486801658539E-3</c:v>
                </c:pt>
                <c:pt idx="13">
                  <c:v>3.5614807436193138E-3</c:v>
                </c:pt>
                <c:pt idx="14">
                  <c:v>3.5708592287695086E-3</c:v>
                </c:pt>
                <c:pt idx="15">
                  <c:v>3.6632410127314008E-3</c:v>
                </c:pt>
                <c:pt idx="16">
                  <c:v>4.4703848647995037E-3</c:v>
                </c:pt>
                <c:pt idx="17">
                  <c:v>8.6305644188585055E-3</c:v>
                </c:pt>
                <c:pt idx="18">
                  <c:v>1.0454334578862188E-2</c:v>
                </c:pt>
                <c:pt idx="19">
                  <c:v>8.8520024972939277E-3</c:v>
                </c:pt>
                <c:pt idx="20">
                  <c:v>8.4780680945316465E-3</c:v>
                </c:pt>
                <c:pt idx="21">
                  <c:v>4.3627234066218297E-3</c:v>
                </c:pt>
                <c:pt idx="22">
                  <c:v>1.9173763361477032E-2</c:v>
                </c:pt>
                <c:pt idx="23">
                  <c:v>3.0800294895267324E-2</c:v>
                </c:pt>
                <c:pt idx="24">
                  <c:v>3.1187177108281214E-2</c:v>
                </c:pt>
                <c:pt idx="25">
                  <c:v>2.1968816392443968E-2</c:v>
                </c:pt>
                <c:pt idx="26">
                  <c:v>1.2784393975259463E-2</c:v>
                </c:pt>
                <c:pt idx="27">
                  <c:v>3.1351447610273317E-3</c:v>
                </c:pt>
                <c:pt idx="28">
                  <c:v>7.3484892965274161E-3</c:v>
                </c:pt>
                <c:pt idx="29">
                  <c:v>3.0295134823547124E-2</c:v>
                </c:pt>
                <c:pt idx="30">
                  <c:v>5.6272354051935869E-2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5.8822277032040659E-6</c:v>
                </c:pt>
                <c:pt idx="1">
                  <c:v>3.1292460194521538E-7</c:v>
                </c:pt>
                <c:pt idx="2">
                  <c:v>3.4718330909384375E-6</c:v>
                </c:pt>
                <c:pt idx="3">
                  <c:v>4.6156940943663304E-6</c:v>
                </c:pt>
                <c:pt idx="4">
                  <c:v>4.9605873708739145E-6</c:v>
                </c:pt>
                <c:pt idx="5">
                  <c:v>5.0715877099317177E-6</c:v>
                </c:pt>
                <c:pt idx="6">
                  <c:v>5.1016771463554579E-6</c:v>
                </c:pt>
                <c:pt idx="7">
                  <c:v>4.847917211459166E-6</c:v>
                </c:pt>
                <c:pt idx="8">
                  <c:v>2.3437827562121742E-6</c:v>
                </c:pt>
                <c:pt idx="9">
                  <c:v>1.9690987949275783E-5</c:v>
                </c:pt>
                <c:pt idx="10">
                  <c:v>5.6890513971184819E-5</c:v>
                </c:pt>
                <c:pt idx="11">
                  <c:v>9.4513887548242374E-5</c:v>
                </c:pt>
                <c:pt idx="12">
                  <c:v>1.2298056803359067E-4</c:v>
                </c:pt>
                <c:pt idx="13">
                  <c:v>1.2985679469243889E-4</c:v>
                </c:pt>
                <c:pt idx="14">
                  <c:v>1.2606127474142767E-4</c:v>
                </c:pt>
                <c:pt idx="15">
                  <c:v>9.7279463750948601E-5</c:v>
                </c:pt>
                <c:pt idx="16">
                  <c:v>7.2210643701427638E-5</c:v>
                </c:pt>
                <c:pt idx="17">
                  <c:v>3.8653242421412938E-5</c:v>
                </c:pt>
                <c:pt idx="18">
                  <c:v>2.6697501521095692E-5</c:v>
                </c:pt>
                <c:pt idx="19">
                  <c:v>6.0428549461299315E-6</c:v>
                </c:pt>
                <c:pt idx="20">
                  <c:v>8.6200376858590996E-6</c:v>
                </c:pt>
                <c:pt idx="21">
                  <c:v>4.0054269599130844E-6</c:v>
                </c:pt>
                <c:pt idx="22">
                  <c:v>1.1165000795255913E-5</c:v>
                </c:pt>
                <c:pt idx="23">
                  <c:v>1.4631336897258769E-5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1.2896299420176716E-3</c:v>
                </c:pt>
                <c:pt idx="1">
                  <c:v>1.2836997555339901E-3</c:v>
                </c:pt>
                <c:pt idx="2">
                  <c:v>1.2903219331548332E-3</c:v>
                </c:pt>
                <c:pt idx="3">
                  <c:v>1.3197622731507964E-3</c:v>
                </c:pt>
                <c:pt idx="4">
                  <c:v>1.602030614077822E-3</c:v>
                </c:pt>
                <c:pt idx="5">
                  <c:v>3.9871019497986718E-3</c:v>
                </c:pt>
                <c:pt idx="6">
                  <c:v>4.0429862310043556E-3</c:v>
                </c:pt>
                <c:pt idx="7">
                  <c:v>6.4024511654383262E-3</c:v>
                </c:pt>
                <c:pt idx="8">
                  <c:v>6.3311078548779296E-3</c:v>
                </c:pt>
                <c:pt idx="9">
                  <c:v>8.5792847205800292E-3</c:v>
                </c:pt>
                <c:pt idx="10">
                  <c:v>9.1906928853432383E-3</c:v>
                </c:pt>
                <c:pt idx="11">
                  <c:v>1.0372633649862831E-2</c:v>
                </c:pt>
                <c:pt idx="12">
                  <c:v>4.2425948881966826E-3</c:v>
                </c:pt>
                <c:pt idx="13">
                  <c:v>1.0625630900614158E-2</c:v>
                </c:pt>
                <c:pt idx="14">
                  <c:v>2.2912603601421652E-2</c:v>
                </c:pt>
                <c:pt idx="15">
                  <c:v>3.4997547803359598E-2</c:v>
                </c:pt>
                <c:pt idx="16">
                  <c:v>2.3599411097076518E-2</c:v>
                </c:pt>
                <c:pt idx="17">
                  <c:v>1.8271912121769721E-2</c:v>
                </c:pt>
                <c:pt idx="18">
                  <c:v>2.4662786017610027E-3</c:v>
                </c:pt>
                <c:pt idx="19">
                  <c:v>3.3432050897673878E-2</c:v>
                </c:pt>
                <c:pt idx="20">
                  <c:v>3.8554138135911339E-2</c:v>
                </c:pt>
                <c:pt idx="21">
                  <c:v>7.3171819191501675E-2</c:v>
                </c:pt>
                <c:pt idx="22">
                  <c:v>6.7183287614640846E-2</c:v>
                </c:pt>
                <c:pt idx="23">
                  <c:v>6.21383081470753E-2</c:v>
                </c:pt>
                <c:pt idx="24">
                  <c:v>2.1297328380498533E-2</c:v>
                </c:pt>
                <c:pt idx="25">
                  <c:v>2.6188404283128586E-3</c:v>
                </c:pt>
                <c:pt idx="26">
                  <c:v>0.2787521040335264</c:v>
                </c:pt>
                <c:pt idx="27">
                  <c:v>0.37105146512575843</c:v>
                </c:pt>
                <c:pt idx="28">
                  <c:v>0.37104123719809567</c:v>
                </c:pt>
                <c:pt idx="29">
                  <c:v>0.37103265135217472</c:v>
                </c:pt>
                <c:pt idx="30">
                  <c:v>0.37102483631649996</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2.5021701412077115E-3</c:v>
                </c:pt>
                <c:pt idx="1">
                  <c:v>1.2418336048727198E-2</c:v>
                </c:pt>
                <c:pt idx="2">
                  <c:v>3.3796473948505472E-3</c:v>
                </c:pt>
                <c:pt idx="3">
                  <c:v>1.1315120632180266E-2</c:v>
                </c:pt>
                <c:pt idx="4">
                  <c:v>2.1706835920773972E-2</c:v>
                </c:pt>
                <c:pt idx="5">
                  <c:v>3.1091670943440574E-2</c:v>
                </c:pt>
                <c:pt idx="6">
                  <c:v>1.3202546994643854E-2</c:v>
                </c:pt>
                <c:pt idx="7">
                  <c:v>1.1180391268734897E-2</c:v>
                </c:pt>
                <c:pt idx="8">
                  <c:v>1.2127605628294024E-2</c:v>
                </c:pt>
                <c:pt idx="9">
                  <c:v>6.3787526942570213E-2</c:v>
                </c:pt>
                <c:pt idx="10">
                  <c:v>6.6135748882085704E-2</c:v>
                </c:pt>
                <c:pt idx="11">
                  <c:v>0.10541790253647661</c:v>
                </c:pt>
                <c:pt idx="12">
                  <c:v>8.6999760512066232E-2</c:v>
                </c:pt>
                <c:pt idx="13">
                  <c:v>3.3187103148704093E-2</c:v>
                </c:pt>
                <c:pt idx="14">
                  <c:v>2.9289673026032179E-3</c:v>
                </c:pt>
                <c:pt idx="15">
                  <c:v>4.8782857103041727E-2</c:v>
                </c:pt>
                <c:pt idx="16">
                  <c:v>0.36628345502171189</c:v>
                </c:pt>
                <c:pt idx="17">
                  <c:v>0.37810113279804586</c:v>
                </c:pt>
                <c:pt idx="18">
                  <c:v>0.37752967725041675</c:v>
                </c:pt>
                <c:pt idx="19">
                  <c:v>0.37690551253971288</c:v>
                </c:pt>
                <c:pt idx="20">
                  <c:v>0.37611606472559289</c:v>
                </c:pt>
                <c:pt idx="21">
                  <c:v>0.3751993084654433</c:v>
                </c:pt>
                <c:pt idx="22">
                  <c:v>0.37422375676016006</c:v>
                </c:pt>
                <c:pt idx="23">
                  <c:v>0.37323077939665333</c:v>
                </c:pt>
                <c:pt idx="24">
                  <c:v>0.37320916997645792</c:v>
                </c:pt>
                <c:pt idx="25">
                  <c:v>0.37274275848873117</c:v>
                </c:pt>
                <c:pt idx="26">
                  <c:v>0.37211225798513692</c:v>
                </c:pt>
                <c:pt idx="27">
                  <c:v>0.37146259415860267</c:v>
                </c:pt>
                <c:pt idx="28">
                  <c:v>0.37142493138975491</c:v>
                </c:pt>
                <c:pt idx="29">
                  <c:v>0.37140667699912805</c:v>
                </c:pt>
                <c:pt idx="30">
                  <c:v>0.3713937247136625</c:v>
                </c:pt>
              </c:numCache>
            </c:numRef>
          </c:yVal>
          <c:smooth val="1"/>
        </c:ser>
        <c:dLbls>
          <c:showLegendKey val="0"/>
          <c:showVal val="0"/>
          <c:showCatName val="0"/>
          <c:showSerName val="0"/>
          <c:showPercent val="0"/>
          <c:showBubbleSize val="0"/>
        </c:dLbls>
        <c:axId val="443249592"/>
        <c:axId val="443248808"/>
      </c:scatterChart>
      <c:valAx>
        <c:axId val="443249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8808"/>
        <c:crossesAt val="1.0000000000000005E-9"/>
        <c:crossBetween val="midCat"/>
      </c:valAx>
      <c:valAx>
        <c:axId val="443248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959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1.3428687777918219E-4</c:v>
                </c:pt>
                <c:pt idx="4">
                  <c:v>0</c:v>
                </c:pt>
                <c:pt idx="5">
                  <c:v>31.8000897176249</c:v>
                </c:pt>
                <c:pt idx="6">
                  <c:v>35.861537922668312</c:v>
                </c:pt>
              </c:numCache>
            </c:numRef>
          </c:yVal>
          <c:smooth val="0"/>
        </c:ser>
        <c:dLbls>
          <c:showLegendKey val="0"/>
          <c:showVal val="0"/>
          <c:showCatName val="0"/>
          <c:showSerName val="0"/>
          <c:showPercent val="0"/>
          <c:showBubbleSize val="0"/>
        </c:dLbls>
        <c:axId val="443248416"/>
        <c:axId val="553557600"/>
      </c:scatterChart>
      <c:valAx>
        <c:axId val="443248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7600"/>
        <c:crossesAt val="-100"/>
        <c:crossBetween val="midCat"/>
      </c:valAx>
      <c:valAx>
        <c:axId val="55355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841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553558384"/>
        <c:axId val="553557208"/>
      </c:scatterChart>
      <c:valAx>
        <c:axId val="5535583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7208"/>
        <c:crosses val="autoZero"/>
        <c:crossBetween val="midCat"/>
      </c:valAx>
      <c:valAx>
        <c:axId val="5535572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838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1.0001342958946657E-15</c:v>
                </c:pt>
                <c:pt idx="1">
                  <c:v>1.0001342958946656E-14</c:v>
                </c:pt>
                <c:pt idx="2">
                  <c:v>1.0001342958946656E-13</c:v>
                </c:pt>
                <c:pt idx="3">
                  <c:v>1.0001342958946654E-12</c:v>
                </c:pt>
                <c:pt idx="4">
                  <c:v>1.0001342958946654E-11</c:v>
                </c:pt>
                <c:pt idx="5">
                  <c:v>1.0001342958946655E-10</c:v>
                </c:pt>
                <c:pt idx="6">
                  <c:v>1.0001342958946657E-9</c:v>
                </c:pt>
                <c:pt idx="7">
                  <c:v>1.0001342958946655E-8</c:v>
                </c:pt>
                <c:pt idx="8">
                  <c:v>1.0001342958946655E-7</c:v>
                </c:pt>
                <c:pt idx="9">
                  <c:v>1.0001342958946654E-6</c:v>
                </c:pt>
                <c:pt idx="10">
                  <c:v>1.0001342958946656E-5</c:v>
                </c:pt>
                <c:pt idx="11">
                  <c:v>1.0001342958946656E-4</c:v>
                </c:pt>
                <c:pt idx="12">
                  <c:v>1.0001342958946655E-3</c:v>
                </c:pt>
                <c:pt idx="13">
                  <c:v>1.0001342958946655E-2</c:v>
                </c:pt>
                <c:pt idx="14">
                  <c:v>0.10001342958946656</c:v>
                </c:pt>
                <c:pt idx="15">
                  <c:v>1.0001342958946655</c:v>
                </c:pt>
                <c:pt idx="16">
                  <c:v>10.001342958946655</c:v>
                </c:pt>
                <c:pt idx="17">
                  <c:v>100.01342958946655</c:v>
                </c:pt>
                <c:pt idx="18">
                  <c:v>1000.1342958946656</c:v>
                </c:pt>
                <c:pt idx="19">
                  <c:v>10001.342958946656</c:v>
                </c:pt>
                <c:pt idx="20">
                  <c:v>100013.42958946656</c:v>
                </c:pt>
                <c:pt idx="21">
                  <c:v>1000134.2958946655</c:v>
                </c:pt>
                <c:pt idx="22">
                  <c:v>10001342.958946655</c:v>
                </c:pt>
                <c:pt idx="23">
                  <c:v>100013429.58946656</c:v>
                </c:pt>
                <c:pt idx="24">
                  <c:v>1000134295.8946655</c:v>
                </c:pt>
                <c:pt idx="25">
                  <c:v>10001342958.946655</c:v>
                </c:pt>
                <c:pt idx="26">
                  <c:v>100013429589.46655</c:v>
                </c:pt>
                <c:pt idx="27">
                  <c:v>1000134295894.6655</c:v>
                </c:pt>
                <c:pt idx="28">
                  <c:v>10001342958946.654</c:v>
                </c:pt>
                <c:pt idx="29">
                  <c:v>100013429589466.55</c:v>
                </c:pt>
                <c:pt idx="30">
                  <c:v>1000134295894665.5</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553554856"/>
        <c:axId val="553555248"/>
      </c:scatterChart>
      <c:valAx>
        <c:axId val="55355485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5248"/>
        <c:crosses val="autoZero"/>
        <c:crossBetween val="midCat"/>
      </c:valAx>
      <c:valAx>
        <c:axId val="553555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485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1.0001342958946657E-15</c:v>
                </c:pt>
                <c:pt idx="1">
                  <c:v>1.0001342958946656E-14</c:v>
                </c:pt>
                <c:pt idx="2">
                  <c:v>1.0001342958946656E-13</c:v>
                </c:pt>
                <c:pt idx="3">
                  <c:v>1.0001342958946654E-12</c:v>
                </c:pt>
                <c:pt idx="4">
                  <c:v>1.0001342958946654E-11</c:v>
                </c:pt>
                <c:pt idx="5">
                  <c:v>1.0001342958946655E-10</c:v>
                </c:pt>
                <c:pt idx="6">
                  <c:v>1.0001342958946657E-9</c:v>
                </c:pt>
                <c:pt idx="7">
                  <c:v>1.0001342958946655E-8</c:v>
                </c:pt>
                <c:pt idx="8">
                  <c:v>1.0001342958946655E-7</c:v>
                </c:pt>
                <c:pt idx="9">
                  <c:v>1.0001342958946654E-6</c:v>
                </c:pt>
                <c:pt idx="10">
                  <c:v>1.0001342958946656E-5</c:v>
                </c:pt>
                <c:pt idx="11">
                  <c:v>1.0001342958946656E-4</c:v>
                </c:pt>
                <c:pt idx="12">
                  <c:v>1.0001342958946655E-3</c:v>
                </c:pt>
                <c:pt idx="13">
                  <c:v>1.0001342958946655E-2</c:v>
                </c:pt>
                <c:pt idx="14">
                  <c:v>0.10001342958946656</c:v>
                </c:pt>
                <c:pt idx="15">
                  <c:v>1.0001342958946655</c:v>
                </c:pt>
                <c:pt idx="16">
                  <c:v>10.001342958946655</c:v>
                </c:pt>
                <c:pt idx="17">
                  <c:v>100.01342958946655</c:v>
                </c:pt>
                <c:pt idx="18">
                  <c:v>1000.1342958946656</c:v>
                </c:pt>
                <c:pt idx="19">
                  <c:v>10001.342958946656</c:v>
                </c:pt>
                <c:pt idx="20">
                  <c:v>100013.42958946656</c:v>
                </c:pt>
                <c:pt idx="21">
                  <c:v>1000134.2958946655</c:v>
                </c:pt>
                <c:pt idx="22">
                  <c:v>10001342.958946655</c:v>
                </c:pt>
                <c:pt idx="23">
                  <c:v>100013429.58946656</c:v>
                </c:pt>
                <c:pt idx="24">
                  <c:v>1000134295.8946655</c:v>
                </c:pt>
                <c:pt idx="25">
                  <c:v>10001342958.946655</c:v>
                </c:pt>
                <c:pt idx="26">
                  <c:v>100013429589.46655</c:v>
                </c:pt>
                <c:pt idx="27">
                  <c:v>1000134295894.6655</c:v>
                </c:pt>
                <c:pt idx="28">
                  <c:v>10001342958946.654</c:v>
                </c:pt>
                <c:pt idx="29">
                  <c:v>100013429589466.55</c:v>
                </c:pt>
                <c:pt idx="30">
                  <c:v>1000134295894665.5</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451046712"/>
        <c:axId val="451047496"/>
      </c:scatterChart>
      <c:valAx>
        <c:axId val="4510467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47496"/>
        <c:crosses val="autoZero"/>
        <c:crossBetween val="midCat"/>
      </c:valAx>
      <c:valAx>
        <c:axId val="45104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4671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1.3428687777918219E-4</c:v>
                </c:pt>
                <c:pt idx="4">
                  <c:v>0</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-41.832435497904271</c:v>
                </c:pt>
                <c:pt idx="1">
                  <c:v>-43.088430589755035</c:v>
                </c:pt>
                <c:pt idx="2">
                  <c:v>-44.148184386803109</c:v>
                </c:pt>
                <c:pt idx="3">
                  <c:v>-45.027632623472414</c:v>
                </c:pt>
                <c:pt idx="4">
                  <c:v>-45.742010230020526</c:v>
                </c:pt>
                <c:pt idx="5">
                  <c:v>-46.305859462334524</c:v>
                </c:pt>
                <c:pt idx="6">
                  <c:v>-46.73303875079597</c:v>
                </c:pt>
                <c:pt idx="7">
                  <c:v>-47.036732231901794</c:v>
                </c:pt>
                <c:pt idx="8">
                  <c:v>-47.229459926919958</c:v>
                </c:pt>
                <c:pt idx="9">
                  <c:v>-47.323088532388454</c:v>
                </c:pt>
                <c:pt idx="10">
                  <c:v>-47.328842787857582</c:v>
                </c:pt>
                <c:pt idx="11">
                  <c:v>-47.25731738682731</c:v>
                </c:pt>
                <c:pt idx="12">
                  <c:v>-47.118489397388771</c:v>
                </c:pt>
                <c:pt idx="13">
                  <c:v>-46.921731159658947</c:v>
                </c:pt>
                <c:pt idx="14">
                  <c:v>-46.675823627648441</c:v>
                </c:pt>
                <c:pt idx="15">
                  <c:v>-46.388970123766171</c:v>
                </c:pt>
                <c:pt idx="16">
                  <c:v>-46.068810474740872</c:v>
                </c:pt>
                <c:pt idx="17">
                  <c:v>-45.72243549828201</c:v>
                </c:pt>
                <c:pt idx="18">
                  <c:v>-45.356401810391645</c:v>
                </c:pt>
                <c:pt idx="19">
                  <c:v>-44.976746923776801</c:v>
                </c:pt>
                <c:pt idx="20">
                  <c:v>-44.589004608397119</c:v>
                </c:pt>
                <c:pt idx="21">
                  <c:v>-44.198220485731468</c:v>
                </c:pt>
                <c:pt idx="22">
                  <c:v>-43.808967828919762</c:v>
                </c:pt>
                <c:pt idx="23">
                  <c:v>-43.425363541492771</c:v>
                </c:pt>
                <c:pt idx="24">
                  <c:v>-43.051084287974348</c:v>
                </c:pt>
                <c:pt idx="25">
                  <c:v>-42.689382750196685</c:v>
                </c:pt>
                <c:pt idx="26">
                  <c:v>-42.343103983736228</c:v>
                </c:pt>
                <c:pt idx="27">
                  <c:v>-42.014701849443782</c:v>
                </c:pt>
                <c:pt idx="28">
                  <c:v>-41.70625549559972</c:v>
                </c:pt>
                <c:pt idx="29">
                  <c:v>-41.419485866795966</c:v>
                </c:pt>
                <c:pt idx="30">
                  <c:v>-41.155772216204781</c:v>
                </c:pt>
                <c:pt idx="31">
                  <c:v>-40.916168598460374</c:v>
                </c:pt>
                <c:pt idx="32">
                  <c:v>-40.70142032094293</c:v>
                </c:pt>
                <c:pt idx="33">
                  <c:v>-40.511980331817234</c:v>
                </c:pt>
                <c:pt idx="34">
                  <c:v>-40.348025523743523</c:v>
                </c:pt>
                <c:pt idx="35">
                  <c:v>-40.209472932739359</c:v>
                </c:pt>
                <c:pt idx="36">
                  <c:v>-40.095995812237376</c:v>
                </c:pt>
                <c:pt idx="37">
                  <c:v>-40.007039562945906</c:v>
                </c:pt>
                <c:pt idx="38">
                  <c:v>-39.941837499683345</c:v>
                </c:pt>
                <c:pt idx="39">
                  <c:v>-39.89942643692153</c:v>
                </c:pt>
                <c:pt idx="40">
                  <c:v>-39.878662075336223</c:v>
                </c:pt>
                <c:pt idx="41">
                  <c:v>-39.878234172226627</c:v>
                </c:pt>
                <c:pt idx="42">
                  <c:v>-39.896681479229173</c:v>
                </c:pt>
                <c:pt idx="43">
                  <c:v>-39.932406431316366</c:v>
                </c:pt>
                <c:pt idx="44">
                  <c:v>-39.983689571631317</c:v>
                </c:pt>
                <c:pt idx="45">
                  <c:v>-40.048703697276892</c:v>
                </c:pt>
                <c:pt idx="46">
                  <c:v>-40.125527711737732</c:v>
                </c:pt>
                <c:pt idx="47">
                  <c:v>-40.212160170180425</c:v>
                </c:pt>
                <c:pt idx="48">
                  <c:v>-40.306532504438323</c:v>
                </c:pt>
                <c:pt idx="49">
                  <c:v>-40.406521915052764</c:v>
                </c:pt>
                <c:pt idx="50">
                  <c:v>-40.509963918305196</c:v>
                </c:pt>
                <c:pt idx="51">
                  <c:v>-40.614664536738594</c:v>
                </c:pt>
                <c:pt idx="52">
                  <c:v>-40.718412122230397</c:v>
                </c:pt>
                <c:pt idx="53">
                  <c:v>-40.818988801242284</c:v>
                </c:pt>
                <c:pt idx="54">
                  <c:v>-40.914181532437013</c:v>
                </c:pt>
                <c:pt idx="55">
                  <c:v>-41.00179276741386</c:v>
                </c:pt>
                <c:pt idx="56">
                  <c:v>-41.079650705880674</c:v>
                </c:pt>
                <c:pt idx="57">
                  <c:v>-41.145619137142091</c:v>
                </c:pt>
                <c:pt idx="58">
                  <c:v>-41.197606860347719</c:v>
                </c:pt>
                <c:pt idx="59">
                  <c:v>-41.233576676508569</c:v>
                </c:pt>
                <c:pt idx="60">
                  <c:v>-41.251553945851633</c:v>
                </c:pt>
                <c:pt idx="61">
                  <c:v>-41.24963470464904</c:v>
                </c:pt>
                <c:pt idx="62">
                  <c:v>-41.225993336218679</c:v>
                </c:pt>
                <c:pt idx="63">
                  <c:v>-41.178889791359651</c:v>
                </c:pt>
                <c:pt idx="64">
                  <c:v>-41.106676354047472</c:v>
                </c:pt>
                <c:pt idx="65">
                  <c:v>-41.00780394877885</c:v>
                </c:pt>
                <c:pt idx="66">
                  <c:v>-40.880827986518831</c:v>
                </c:pt>
                <c:pt idx="67">
                  <c:v>-40.724413746767141</c:v>
                </c:pt>
                <c:pt idx="68">
                  <c:v>-40.537341293823943</c:v>
                </c:pt>
                <c:pt idx="69">
                  <c:v>-40.318509925898979</c:v>
                </c:pt>
                <c:pt idx="70">
                  <c:v>-40.066942156271708</c:v>
                </c:pt>
                <c:pt idx="71">
                  <c:v>-39.78178722627365</c:v>
                </c:pt>
                <c:pt idx="72">
                  <c:v>-39.462324150427762</c:v>
                </c:pt>
                <c:pt idx="73">
                  <c:v>-39.107964294643551</c:v>
                </c:pt>
                <c:pt idx="74">
                  <c:v>-38.718253488929754</c:v>
                </c:pt>
                <c:pt idx="75">
                  <c:v>-38.292873676650743</c:v>
                </c:pt>
                <c:pt idx="76">
                  <c:v>-37.831644102915831</c:v>
                </c:pt>
                <c:pt idx="77">
                  <c:v>-37.33452204525468</c:v>
                </c:pt>
                <c:pt idx="78">
                  <c:v>-36.801603090295387</c:v>
                </c:pt>
                <c:pt idx="79">
                  <c:v>-36.233120960725905</c:v>
                </c:pt>
                <c:pt idx="80">
                  <c:v>-35.6294468973825</c:v>
                </c:pt>
                <c:pt idx="81">
                  <c:v>-34.991088601872988</c:v>
                </c:pt>
                <c:pt idx="82">
                  <c:v>-34.318688745706091</c:v>
                </c:pt>
                <c:pt idx="83">
                  <c:v>-33.613023052461756</c:v>
                </c:pt>
                <c:pt idx="84">
                  <c:v>-32.874997960101098</c:v>
                </c:pt>
                <c:pt idx="85">
                  <c:v>-32.105647871078048</c:v>
                </c:pt>
                <c:pt idx="86">
                  <c:v>-31.306131998478634</c:v>
                </c:pt>
                <c:pt idx="87">
                  <c:v>-30.477730816977463</c:v>
                </c:pt>
                <c:pt idx="88">
                  <c:v>-29.621842127964261</c:v>
                </c:pt>
                <c:pt idx="89">
                  <c:v>-28.739976748757577</c:v>
                </c:pt>
                <c:pt idx="90">
                  <c:v>-27.83375383638586</c:v>
                </c:pt>
                <c:pt idx="91">
                  <c:v>-26.904895856980009</c:v>
                </c:pt>
                <c:pt idx="92">
                  <c:v>-25.955223212385018</c:v>
                </c:pt>
                <c:pt idx="93">
                  <c:v>-24.986648536162292</c:v>
                </c:pt>
                <c:pt idx="94">
                  <c:v>-24.001170671717244</c:v>
                </c:pt>
                <c:pt idx="95">
                  <c:v>-23.000868345851135</c:v>
                </c:pt>
                <c:pt idx="96">
                  <c:v>-21.987893551599189</c:v>
                </c:pt>
                <c:pt idx="97">
                  <c:v>-20.964464654780983</c:v>
                </c:pt>
                <c:pt idx="98">
                  <c:v>-19.932859239252625</c:v>
                </c:pt>
                <c:pt idx="99">
                  <c:v>-18.895406706413908</c:v>
                </c:pt>
                <c:pt idx="100">
                  <c:v>-17.854480645087232</c:v>
                </c:pt>
                <c:pt idx="101">
                  <c:v>-16.81249098844885</c:v>
                </c:pt>
                <c:pt idx="102">
                  <c:v>-15.771875975256373</c:v>
                </c:pt>
                <c:pt idx="103">
                  <c:v>-14.735093933180478</c:v>
                </c:pt>
                <c:pt idx="104">
                  <c:v>-13.704614902612031</c:v>
                </c:pt>
                <c:pt idx="105">
                  <c:v>-12.682912119879807</c:v>
                </c:pt>
                <c:pt idx="106">
                  <c:v>-11.672453379377306</c:v>
                </c:pt>
                <c:pt idx="107">
                  <c:v>-10.675692294661147</c:v>
                </c:pt>
                <c:pt idx="108">
                  <c:v>-9.6950594791468507</c:v>
                </c:pt>
                <c:pt idx="109">
                  <c:v>-8.7329536675916888</c:v>
                </c:pt>
                <c:pt idx="110">
                  <c:v>-7.7917328001178001</c:v>
                </c:pt>
                <c:pt idx="111">
                  <c:v>-6.8737050910924395</c:v>
                </c:pt>
                <c:pt idx="112">
                  <c:v>-5.9811201057458785</c:v>
                </c:pt>
                <c:pt idx="113">
                  <c:v>-5.1161598679711462</c:v>
                </c:pt>
                <c:pt idx="114">
                  <c:v>-4.2809300233133429</c:v>
                </c:pt>
                <c:pt idx="115">
                  <c:v>-3.4774510817200213</c:v>
                </c:pt>
                <c:pt idx="116">
                  <c:v>-2.7076497651876856</c:v>
                </c:pt>
                <c:pt idx="117">
                  <c:v>-1.973350486003131</c:v>
                </c:pt>
                <c:pt idx="118">
                  <c:v>-1.2762669818419889</c:v>
                </c:pt>
                <c:pt idx="119">
                  <c:v>-0.61799413455047858</c:v>
                </c:pt>
                <c:pt idx="120">
                  <c:v>0</c:v>
                </c:pt>
                <c:pt idx="121">
                  <c:v>0.57638192303213709</c:v>
                </c:pt>
                <c:pt idx="122">
                  <c:v>1.1099601564389323</c:v>
                </c:pt>
                <c:pt idx="123">
                  <c:v>1.5996924097362939</c:v>
                </c:pt>
                <c:pt idx="124">
                  <c:v>2.0446924207478077</c:v>
                </c:pt>
                <c:pt idx="125">
                  <c:v>2.4442364398138379</c:v>
                </c:pt>
                <c:pt idx="126">
                  <c:v>2.79776932675346</c:v>
                </c:pt>
                <c:pt idx="127">
                  <c:v>3.1049102292441026</c:v>
                </c:pt>
                <c:pt idx="128">
                  <c:v>3.3654578107201303</c:v>
                </c:pt>
                <c:pt idx="129">
                  <c:v>3.5793949953279443</c:v>
                </c:pt>
                <c:pt idx="130">
                  <c:v>3.7468931969115662</c:v>
                </c:pt>
                <c:pt idx="131">
                  <c:v>3.8683159984389914</c:v>
                </c:pt>
                <c:pt idx="132">
                  <c:v>3.9442222477159978</c:v>
                </c:pt>
                <c:pt idx="133">
                  <c:v>3.975368534670412</c:v>
                </c:pt>
                <c:pt idx="134">
                  <c:v>3.9627110149262319</c:v>
                </c:pt>
                <c:pt idx="135">
                  <c:v>3.9074065438233587</c:v>
                </c:pt>
                <c:pt idx="136">
                  <c:v>3.8108130844749981</c:v>
                </c:pt>
                <c:pt idx="137">
                  <c:v>3.6744893528912388</c:v>
                </c:pt>
                <c:pt idx="138">
                  <c:v>3.5001936626335977</c:v>
                </c:pt>
                <c:pt idx="139">
                  <c:v>3.2898819309017222</c:v>
                </c:pt>
                <c:pt idx="140">
                  <c:v>3.0457048073897823</c:v>
                </c:pt>
                <c:pt idx="141">
                  <c:v>2.7700038866864505</c:v>
                </c:pt>
                <c:pt idx="142">
                  <c:v>2.4653069644287156</c:v>
                </c:pt>
                <c:pt idx="143">
                  <c:v>2.1343222968561748</c:v>
                </c:pt>
                <c:pt idx="144">
                  <c:v>1.7799318228487233</c:v>
                </c:pt>
                <c:pt idx="145">
                  <c:v>1.4051833069670407</c:v>
                </c:pt>
                <c:pt idx="146">
                  <c:v>1.0132813614514939</c:v>
                </c:pt>
                <c:pt idx="147">
                  <c:v>0.60757730457157788</c:v>
                </c:pt>
                <c:pt idx="148">
                  <c:v>0.19155781215423798</c:v>
                </c:pt>
                <c:pt idx="149">
                  <c:v>-0.2311676814441001</c:v>
                </c:pt>
                <c:pt idx="150">
                  <c:v>-0.65688087722072308</c:v>
                </c:pt>
                <c:pt idx="151">
                  <c:v>-1.0817698451275144</c:v>
                </c:pt>
                <c:pt idx="152">
                  <c:v>-1.5019456428156914</c:v>
                </c:pt>
                <c:pt idx="153">
                  <c:v>-1.9134603655142188</c:v>
                </c:pt>
                <c:pt idx="154">
                  <c:v>-2.3123266735953201</c:v>
                </c:pt>
                <c:pt idx="155">
                  <c:v>-2.6945388449441339</c:v>
                </c:pt>
                <c:pt idx="156">
                  <c:v>-3.0560953998133069</c:v>
                </c:pt>
                <c:pt idx="157">
                  <c:v>-3.3930233464067894</c:v>
                </c:pt>
                <c:pt idx="158">
                  <c:v>-3.7014040960009402</c:v>
                </c:pt>
                <c:pt idx="159">
                  <c:v>-3.9774010969744817</c:v>
                </c:pt>
                <c:pt idx="160">
                  <c:v>-4.2172892376826638</c:v>
                </c:pt>
                <c:pt idx="161">
                  <c:v>-4.4174860686745134</c:v>
                </c:pt>
                <c:pt idx="162">
                  <c:v>-4.5745848953157697</c:v>
                </c:pt>
                <c:pt idx="163">
                  <c:v>-4.6853897924436776</c:v>
                </c:pt>
                <c:pt idx="164">
                  <c:v>-4.7469525932435417</c:v>
                </c:pt>
                <c:pt idx="165">
                  <c:v>-4.756611905100411</c:v>
                </c:pt>
                <c:pt idx="166">
                  <c:v>-4.7120342057432083</c:v>
                </c:pt>
                <c:pt idx="167">
                  <c:v>-4.6112570735619105</c:v>
                </c:pt>
                <c:pt idx="168">
                  <c:v>-4.4527346065422311</c:v>
                </c:pt>
                <c:pt idx="169">
                  <c:v>-4.2353850848259329</c:v>
                </c:pt>
                <c:pt idx="170">
                  <c:v>-3.9586409324683922</c:v>
                </c:pt>
                <c:pt idx="171">
                  <c:v>-3.622501034528756</c:v>
                </c:pt>
                <c:pt idx="172">
                  <c:v>-3.2275854661916643</c:v>
                </c:pt>
                <c:pt idx="173">
                  <c:v>-2.7751926911831659</c:v>
                </c:pt>
                <c:pt idx="174">
                  <c:v>-2.2673592873071571</c:v>
                </c:pt>
                <c:pt idx="175">
                  <c:v>-1.7069222574921044</c:v>
                </c:pt>
                <c:pt idx="176">
                  <c:v>-1.0975839853016121</c:v>
                </c:pt>
                <c:pt idx="177">
                  <c:v>-0.44397989442623254</c:v>
                </c:pt>
                <c:pt idx="178">
                  <c:v>0.24825112776302904</c:v>
                </c:pt>
                <c:pt idx="179">
                  <c:v>0.97239348195478348</c:v>
                </c:pt>
                <c:pt idx="180">
                  <c:v>1.7205787227226814</c:v>
                </c:pt>
                <c:pt idx="181">
                  <c:v>2.4837064766650956</c:v>
                </c:pt>
                <c:pt idx="182">
                  <c:v>3.2513623505225877</c:v>
                </c:pt>
                <c:pt idx="183">
                  <c:v>4.0117327663753031</c:v>
                </c:pt>
                <c:pt idx="184">
                  <c:v>4.7515166604568613</c:v>
                </c:pt>
                <c:pt idx="185">
                  <c:v>5.4558339815585297</c:v>
                </c:pt>
                <c:pt idx="186">
                  <c:v>6.1081309244340982</c:v>
                </c:pt>
                <c:pt idx="187">
                  <c:v>6.6900818330514289</c:v>
                </c:pt>
                <c:pt idx="188">
                  <c:v>7.1814877079738109</c:v>
                </c:pt>
                <c:pt idx="189">
                  <c:v>7.56017125158988</c:v>
                </c:pt>
                <c:pt idx="190">
                  <c:v>7.8018683843479675</c:v>
                </c:pt>
                <c:pt idx="191">
                  <c:v>7.8801161645863544</c:v>
                </c:pt>
                <c:pt idx="192">
                  <c:v>7.7661370439879676</c:v>
                </c:pt>
                <c:pt idx="193">
                  <c:v>7.4287193901242325</c:v>
                </c:pt>
                <c:pt idx="194">
                  <c:v>6.8340942069875901</c:v>
                </c:pt>
                <c:pt idx="195">
                  <c:v>5.9458079838526707</c:v>
                </c:pt>
                <c:pt idx="196">
                  <c:v>4.7245916022368952</c:v>
                </c:pt>
                <c:pt idx="197">
                  <c:v>3.1282252301723723</c:v>
                </c:pt>
                <c:pt idx="198">
                  <c:v>1.1113991324347232</c:v>
                </c:pt>
                <c:pt idx="199">
                  <c:v>-1.3744296751883418</c:v>
                </c:pt>
                <c:pt idx="200">
                  <c:v>-4.3811850000695074</c:v>
                </c:pt>
              </c:numCache>
            </c:numRef>
          </c:yVal>
          <c:smooth val="1"/>
        </c:ser>
        <c:dLbls>
          <c:showLegendKey val="0"/>
          <c:showVal val="0"/>
          <c:showCatName val="0"/>
          <c:showSerName val="0"/>
          <c:showPercent val="0"/>
          <c:showBubbleSize val="0"/>
        </c:dLbls>
        <c:axId val="451045144"/>
        <c:axId val="447062512"/>
      </c:scatterChart>
      <c:valAx>
        <c:axId val="45104514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062512"/>
        <c:crossesAt val="-1000"/>
        <c:crossBetween val="midCat"/>
      </c:valAx>
      <c:valAx>
        <c:axId val="447062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4514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0.59739868758354531</v>
      </c>
      <c r="D59" s="55">
        <v>1</v>
      </c>
    </row>
    <row r="60" spans="1:4" s="11" customFormat="1" x14ac:dyDescent="0.25">
      <c r="A60" s="54">
        <v>2</v>
      </c>
      <c r="B60" s="56">
        <f>'Shiftfunktion bestimmen'!N2</f>
        <v>-2.0812024934506054E-2</v>
      </c>
      <c r="D60" s="55">
        <v>2</v>
      </c>
    </row>
    <row r="61" spans="1:4" s="11" customFormat="1" x14ac:dyDescent="0.25">
      <c r="A61" s="54">
        <v>3</v>
      </c>
      <c r="B61" s="56">
        <f>'Shiftfunktion bestimmen'!N3</f>
        <v>-2.1071982851047954E-4</v>
      </c>
      <c r="D61" s="55">
        <v>3</v>
      </c>
    </row>
    <row r="62" spans="1:4" s="11" customFormat="1" x14ac:dyDescent="0.25">
      <c r="A62" s="54">
        <v>4</v>
      </c>
      <c r="B62" s="56">
        <f>'Shiftfunktion bestimmen'!N4</f>
        <v>5.919587130831067E-6</v>
      </c>
      <c r="D62" s="55">
        <v>4</v>
      </c>
    </row>
    <row r="63" spans="1:4" s="11" customFormat="1" x14ac:dyDescent="0.25">
      <c r="A63" s="54">
        <v>5</v>
      </c>
      <c r="B63" s="56">
        <f>'Shiftfunktion bestimmen'!N5</f>
        <v>6.1042098919939253E-8</v>
      </c>
      <c r="D63" s="55">
        <v>5</v>
      </c>
    </row>
    <row r="64" spans="1:4" s="11" customFormat="1" x14ac:dyDescent="0.25">
      <c r="A64" s="54">
        <v>6</v>
      </c>
      <c r="B64" s="56">
        <f>'Shiftfunktion bestimmen'!N6</f>
        <v>-4.1178154162140483E-10</v>
      </c>
      <c r="D64" s="55">
        <v>6</v>
      </c>
    </row>
    <row r="65" spans="1:5" s="11" customFormat="1" x14ac:dyDescent="0.25">
      <c r="A65" s="54">
        <v>7</v>
      </c>
      <c r="B65" s="56">
        <f>'Shiftfunktion bestimmen'!N7</f>
        <v>-5.8258702284117547E-12</v>
      </c>
      <c r="D65" s="55">
        <v>7</v>
      </c>
    </row>
    <row r="66" spans="1:5" x14ac:dyDescent="0.25">
      <c r="A66" s="54">
        <v>8</v>
      </c>
      <c r="B66" s="56">
        <f>'Shiftfunktion bestimmen'!N8</f>
        <v>-1.3979192011894637E-14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12">
        <f>STUTT!D8</f>
        <v>5930.4079000000002</v>
      </c>
      <c r="D113" s="112"/>
    </row>
    <row r="114" spans="1:4" s="11" customFormat="1" x14ac:dyDescent="0.25">
      <c r="A114" s="61" t="str">
        <f>STUTT!B9</f>
        <v>MP,GXY,</v>
      </c>
      <c r="B114" s="52" t="str">
        <f>STUTT!C9</f>
        <v>MatID,</v>
      </c>
      <c r="C114" s="112">
        <f>STUTT!D9</f>
        <v>6613.9741000000004</v>
      </c>
      <c r="D114" s="112"/>
    </row>
    <row r="115" spans="1:4" x14ac:dyDescent="0.25">
      <c r="A115" s="61" t="str">
        <f>STUTT!B10</f>
        <v>MP,GYZ,</v>
      </c>
      <c r="B115" s="52" t="str">
        <f>STUTT!C10</f>
        <v>MatID,</v>
      </c>
      <c r="C115" s="112">
        <f>STUTT!D10</f>
        <v>6613.9741000000004</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1" zoomScale="120" zoomScaleNormal="120" zoomScaleSheetLayoutView="110" workbookViewId="0">
      <selection activeCell="D6" sqref="D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5916.6915694579875</v>
      </c>
      <c r="G16" s="26">
        <f>INDEX(Comparison!$AM$3:$AS$33,G14,$B$3)</f>
        <v>5916.7227160627044</v>
      </c>
      <c r="H16" s="26">
        <f>INDEX(Comparison!$AM$3:$AS$33,H14,$B$3)</f>
        <v>5916.6446401256508</v>
      </c>
      <c r="I16" s="26">
        <f>INDEX(Comparison!$AM$3:$AS$33,I14,$B$3)</f>
        <v>5916.0822262002403</v>
      </c>
      <c r="J16" s="26">
        <f>INDEX(Comparison!$AM$3:$AS$33,J14,$B$3)</f>
        <v>5910.6250002955303</v>
      </c>
      <c r="K16" s="26">
        <f>INDEX(Comparison!$AM$3:$AS$33,K14,$B$3)</f>
        <v>5865.0413696390469</v>
      </c>
      <c r="L16" s="26">
        <f>INDEX(Comparison!$AM$3:$AS$33,L14,$B$3)</f>
        <v>5722.4751414535358</v>
      </c>
      <c r="M16" s="26">
        <f>INDEX(Comparison!$AM$3:$AS$33,M14,$B$3)</f>
        <v>5576.9650996615301</v>
      </c>
      <c r="N16" s="26">
        <f>INDEX(Comparison!$AM$3:$AS$33,N14,$B$3)</f>
        <v>5410.5738362167167</v>
      </c>
      <c r="O16" s="26">
        <f>INDEX(Comparison!$AM$3:$AS$33,O14,$B$3)</f>
        <v>5216.1277029195053</v>
      </c>
      <c r="P16" s="26">
        <f>INDEX(Comparison!$AM$3:$AS$33,P14,$B$3)</f>
        <v>5018.4752297884525</v>
      </c>
      <c r="Q16" s="26">
        <f>INDEX(Comparison!$AM$3:$AS$33,Q14,$B$3)</f>
        <v>4771.2929786824907</v>
      </c>
      <c r="R16" s="26">
        <f>INDEX(Comparison!$AM$3:$AS$33,R14,$B$3)</f>
        <v>4502.260327638488</v>
      </c>
      <c r="S16" s="26">
        <f>INDEX(Comparison!$AM$3:$AS$33,S14,$B$3)</f>
        <v>4239.8922301770135</v>
      </c>
      <c r="T16" s="26">
        <f>INDEX(Comparison!$AM$3:$AS$33,T14,$B$3)</f>
        <v>3958.4879028609685</v>
      </c>
      <c r="U16" s="26">
        <f>INDEX(Comparison!$AM$3:$AS$33,U14,$B$3)</f>
        <v>3659.7650677599231</v>
      </c>
      <c r="V16" s="26">
        <f>INDEX(Comparison!$AM$3:$AS$33,V14,$B$3)</f>
        <v>3268.126124643903</v>
      </c>
      <c r="W16" s="26">
        <f>INDEX(Comparison!$AM$3:$AS$33,W14,$B$3)</f>
        <v>2768.9657420868534</v>
      </c>
      <c r="X16" s="26">
        <f>INDEX(Comparison!$AM$3:$AS$33,X14,$B$3)</f>
        <v>2204.5974524100161</v>
      </c>
      <c r="Y16" s="26">
        <f>INDEX(Comparison!$AM$3:$AS$33,Y14,$B$3)</f>
        <v>1586.454168957242</v>
      </c>
      <c r="Z16" s="26">
        <f>INDEX(Comparison!$AM$3:$AS$33,Z14,$B$3)</f>
        <v>1000.0232976856266</v>
      </c>
      <c r="AA16" s="26">
        <f>INDEX(Comparison!$AM$3:$AS$33,AA14,$B$3)</f>
        <v>576.00660610456418</v>
      </c>
      <c r="AB16" s="26">
        <f>INDEX(Comparison!$AM$3:$AS$33,AB14,$B$3)</f>
        <v>321.80010935687142</v>
      </c>
      <c r="AC16" s="26">
        <f>INDEX(Comparison!$AM$3:$AS$33,AC14,$B$3)</f>
        <v>187.89777287454069</v>
      </c>
      <c r="AD16" s="26">
        <f>INDEX(Comparison!$AM$3:$AS$33,AD14,$B$3)</f>
        <v>146.32445551645827</v>
      </c>
      <c r="AE16" s="26">
        <f>INDEX(Comparison!$AM$3:$AS$33,AE14,$B$3)</f>
        <v>132.67557886184474</v>
      </c>
      <c r="AF16" s="26">
        <f>INDEX(Comparison!$AM$3:$AS$33,AF14,$B$3)</f>
        <v>124.09266721325585</v>
      </c>
      <c r="AG16" s="26">
        <f>INDEX(Comparison!$AM$3:$AS$33,AG14,$B$3)</f>
        <v>123.97220489326934</v>
      </c>
      <c r="AH16" s="26">
        <f>INDEX(Comparison!$AM$3:$AS$33,AH14,$B$3)</f>
        <v>123.97018586453261</v>
      </c>
      <c r="AI16" s="26">
        <f>INDEX(Comparison!$AM$3:$AS$33,AI14,$B$3)</f>
        <v>123.96849358445334</v>
      </c>
      <c r="AJ16" s="26">
        <f>INDEX(Comparison!$AM$3:$AS$33,AJ14,$B$3)</f>
        <v>123.96695327212331</v>
      </c>
    </row>
    <row r="17" spans="1:36" x14ac:dyDescent="0.25">
      <c r="A17" s="14" t="s">
        <v>20</v>
      </c>
      <c r="B17" s="105">
        <v>1.6109766939938219E-2</v>
      </c>
      <c r="C17" s="18">
        <f t="shared" ref="C17:C48" si="3">ABS(B17/$B$49)</f>
        <v>1.3147853577774735E-2</v>
      </c>
      <c r="D17" s="66"/>
      <c r="E17" s="65" t="s">
        <v>22</v>
      </c>
      <c r="F17" s="27">
        <f>($C$17+SUM(F18:F48))*$B$51</f>
        <v>5924.3223454607651</v>
      </c>
      <c r="G17" s="27">
        <f t="shared" ref="G17:M17" si="4">($C$17+SUM(G18:G48))*$B$51</f>
        <v>5924.3223454382824</v>
      </c>
      <c r="H17" s="27">
        <f t="shared" si="4"/>
        <v>5924.3223452134616</v>
      </c>
      <c r="I17" s="27">
        <f t="shared" si="4"/>
        <v>5924.3223429652517</v>
      </c>
      <c r="J17" s="27">
        <f t="shared" si="4"/>
        <v>5924.3223204831502</v>
      </c>
      <c r="K17" s="27">
        <f t="shared" si="4"/>
        <v>5924.3220956624627</v>
      </c>
      <c r="L17" s="27">
        <f t="shared" si="4"/>
        <v>5924.3198474884048</v>
      </c>
      <c r="M17" s="27">
        <f t="shared" si="4"/>
        <v>5924.2973690295794</v>
      </c>
      <c r="N17" s="27">
        <f t="shared" ref="N17" si="5">($C$17+SUM(N18:N48))*$B$51</f>
        <v>5924.0729116822522</v>
      </c>
      <c r="O17" s="27">
        <f t="shared" ref="O17" si="6">($C$17+SUM(O18:O48))*$B$51</f>
        <v>5921.8601540583113</v>
      </c>
      <c r="P17" s="27">
        <f t="shared" ref="P17" si="7">($C$17+SUM(P18:P48))*$B$51</f>
        <v>5902.2081103099545</v>
      </c>
      <c r="Q17" s="27">
        <f t="shared" ref="Q17" si="8">($C$17+SUM(Q18:Q48))*$B$51</f>
        <v>5789.3269779329539</v>
      </c>
      <c r="R17" s="27">
        <f t="shared" ref="R17" si="9">($C$17+SUM(R18:R48))*$B$51</f>
        <v>5647.0619575109667</v>
      </c>
      <c r="S17" s="27">
        <f t="shared" ref="S17:T17" si="10">($C$17+SUM(S18:S48))*$B$51</f>
        <v>5493.8054243942206</v>
      </c>
      <c r="T17" s="27">
        <f t="shared" si="10"/>
        <v>5309.5141162606951</v>
      </c>
      <c r="U17" s="27">
        <f t="shared" ref="U17" si="11">($C$17+SUM(U18:U48))*$B$51</f>
        <v>5117.4278504261974</v>
      </c>
      <c r="V17" s="27">
        <f t="shared" ref="V17" si="12">($C$17+SUM(V18:V48))*$B$51</f>
        <v>4888.6691773134917</v>
      </c>
      <c r="W17" s="27">
        <f t="shared" ref="W17" si="13">($C$17+SUM(W18:W48))*$B$51</f>
        <v>4599.3359574428214</v>
      </c>
      <c r="X17" s="27">
        <f t="shared" ref="X17" si="14">($C$17+SUM(X18:X48))*$B$51</f>
        <v>4272.2957947174973</v>
      </c>
      <c r="Y17" s="27">
        <f t="shared" ref="Y17" si="15">($C$17+SUM(Y18:Y48))*$B$51</f>
        <v>3941.1873595578249</v>
      </c>
      <c r="Z17" s="27">
        <f t="shared" ref="Z17:AA17" si="16">($C$17+SUM(Z18:Z48))*$B$51</f>
        <v>3608.4814380980879</v>
      </c>
      <c r="AA17" s="27">
        <f t="shared" si="16"/>
        <v>3262.5497579342496</v>
      </c>
      <c r="AB17" s="27">
        <f t="shared" ref="AB17" si="17">($C$17+SUM(AB18:AB48))*$B$51</f>
        <v>2841.3133485517315</v>
      </c>
      <c r="AC17" s="27">
        <f t="shared" ref="AC17" si="18">($C$17+SUM(AC18:AC48))*$B$51</f>
        <v>2350.399363924254</v>
      </c>
      <c r="AD17" s="27">
        <f t="shared" ref="AD17" si="19">($C$17+SUM(AD18:AD48))*$B$51</f>
        <v>1794.2863976892534</v>
      </c>
      <c r="AE17" s="27">
        <f t="shared" ref="AE17" si="20">($C$17+SUM(AE18:AE48))*$B$51</f>
        <v>1192.7443975902963</v>
      </c>
      <c r="AF17" s="27">
        <f t="shared" ref="AF17" si="21">($C$17+SUM(AF18:AF48))*$B$51</f>
        <v>712.56457401443936</v>
      </c>
      <c r="AG17" s="27">
        <f t="shared" ref="AG17:AH17" si="22">($C$17+SUM(AG18:AG48))*$B$51</f>
        <v>405.79753627693225</v>
      </c>
      <c r="AH17" s="27">
        <f t="shared" si="22"/>
        <v>227.75057802143948</v>
      </c>
      <c r="AI17" s="27">
        <f t="shared" ref="AI17" si="23">($C$17+SUM(AI18:AI48))*$B$51</f>
        <v>157.27859013277902</v>
      </c>
      <c r="AJ17" s="27">
        <f t="shared" ref="AJ17" si="24">($C$17+SUM(AJ18:AJ48))*$B$51</f>
        <v>137.32710648672062</v>
      </c>
    </row>
    <row r="18" spans="1:36" x14ac:dyDescent="0.25">
      <c r="A18" s="3">
        <f>0.000000000000001/10^5</f>
        <v>1.0000000000000001E-20</v>
      </c>
      <c r="B18" s="10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0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0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0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0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0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0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0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0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-7.6307760027775657</v>
      </c>
      <c r="G49" s="3">
        <f t="shared" si="31"/>
        <v>-7.5996293755779334</v>
      </c>
      <c r="H49" s="3">
        <f t="shared" si="31"/>
        <v>-7.6777050878108639</v>
      </c>
      <c r="I49" s="3">
        <f t="shared" si="31"/>
        <v>-8.2401167650114076</v>
      </c>
      <c r="J49" s="3">
        <f t="shared" si="31"/>
        <v>-13.69732018761988</v>
      </c>
      <c r="K49" s="3">
        <f t="shared" si="31"/>
        <v>-59.280726023415809</v>
      </c>
      <c r="L49" s="3">
        <f t="shared" si="31"/>
        <v>-201.84470603486898</v>
      </c>
      <c r="M49" s="3">
        <f t="shared" si="31"/>
        <v>-347.33226936804931</v>
      </c>
      <c r="N49" s="3">
        <f t="shared" si="31"/>
        <v>-513.4990754655355</v>
      </c>
      <c r="O49" s="3">
        <f t="shared" si="31"/>
        <v>-705.73245113880603</v>
      </c>
      <c r="P49" s="3">
        <f t="shared" si="31"/>
        <v>-883.73288052150201</v>
      </c>
      <c r="Q49" s="3">
        <f t="shared" si="31"/>
        <v>-1018.0339992504632</v>
      </c>
      <c r="R49" s="3">
        <f t="shared" si="31"/>
        <v>-1144.8016298724788</v>
      </c>
      <c r="S49" s="3">
        <f t="shared" si="31"/>
        <v>-1253.9131942172071</v>
      </c>
      <c r="T49" s="3">
        <f t="shared" si="31"/>
        <v>-1351.0262133997267</v>
      </c>
      <c r="U49" s="3">
        <f t="shared" si="31"/>
        <v>-1457.6627826662743</v>
      </c>
      <c r="V49" s="3">
        <f t="shared" si="31"/>
        <v>-1620.5430526695886</v>
      </c>
      <c r="W49" s="3">
        <f t="shared" si="31"/>
        <v>-1830.370215355968</v>
      </c>
      <c r="X49" s="3">
        <f t="shared" si="31"/>
        <v>-2067.6983423074812</v>
      </c>
      <c r="Y49" s="3">
        <f t="shared" si="31"/>
        <v>-2354.7331906005829</v>
      </c>
      <c r="Z49" s="3">
        <f t="shared" si="31"/>
        <v>-2608.458140412461</v>
      </c>
      <c r="AA49" s="3">
        <f t="shared" si="31"/>
        <v>-2686.5431518296855</v>
      </c>
      <c r="AB49" s="3">
        <f t="shared" si="31"/>
        <v>-2519.51323919486</v>
      </c>
      <c r="AC49" s="3">
        <f t="shared" si="31"/>
        <v>-2162.5015910497132</v>
      </c>
      <c r="AD49" s="3">
        <f t="shared" si="31"/>
        <v>-1647.961942172795</v>
      </c>
      <c r="AE49" s="3">
        <f t="shared" si="31"/>
        <v>-1060.0688187284516</v>
      </c>
      <c r="AF49" s="3">
        <f t="shared" si="31"/>
        <v>-588.47190680118354</v>
      </c>
      <c r="AG49" s="3">
        <f t="shared" si="31"/>
        <v>-281.8253313836629</v>
      </c>
      <c r="AH49" s="3">
        <f t="shared" si="31"/>
        <v>-103.78039215690687</v>
      </c>
      <c r="AI49" s="3">
        <f t="shared" si="31"/>
        <v>-33.310096548325674</v>
      </c>
      <c r="AJ49" s="3">
        <f t="shared" si="31"/>
        <v>-13.360153214597318</v>
      </c>
    </row>
    <row r="50" spans="1:36" x14ac:dyDescent="0.25">
      <c r="F50" s="57">
        <f t="shared" ref="F50:AJ50" si="32">F49/F17</f>
        <v>-1.2880420000482065E-3</v>
      </c>
      <c r="G50" s="57">
        <f t="shared" si="32"/>
        <v>-1.2827845840342625E-3</v>
      </c>
      <c r="H50" s="57">
        <f t="shared" si="32"/>
        <v>-1.2959634267730288E-3</v>
      </c>
      <c r="I50" s="57">
        <f t="shared" si="32"/>
        <v>-1.390896087009177E-3</v>
      </c>
      <c r="J50" s="57">
        <f t="shared" si="32"/>
        <v>-2.3120484414330131E-3</v>
      </c>
      <c r="K50" s="57">
        <f t="shared" si="32"/>
        <v>-1.0006330693400118E-2</v>
      </c>
      <c r="L50" s="57">
        <f t="shared" si="32"/>
        <v>-3.4070528133358695E-2</v>
      </c>
      <c r="M50" s="57">
        <f t="shared" si="32"/>
        <v>-5.8628432661702048E-2</v>
      </c>
      <c r="N50" s="57">
        <f t="shared" si="32"/>
        <v>-8.6680073510391309E-2</v>
      </c>
      <c r="O50" s="57">
        <f t="shared" si="32"/>
        <v>-0.11917411637205927</v>
      </c>
      <c r="P50" s="57">
        <f t="shared" si="32"/>
        <v>-0.14972919693865094</v>
      </c>
      <c r="Q50" s="57">
        <f t="shared" si="32"/>
        <v>-0.17584669222016311</v>
      </c>
      <c r="R50" s="57">
        <f t="shared" si="32"/>
        <v>-0.20272517611566432</v>
      </c>
      <c r="S50" s="57">
        <f t="shared" si="32"/>
        <v>-0.22824128219930012</v>
      </c>
      <c r="T50" s="57">
        <f t="shared" si="32"/>
        <v>-0.25445383208646727</v>
      </c>
      <c r="U50" s="57">
        <f t="shared" si="32"/>
        <v>-0.28484285959104927</v>
      </c>
      <c r="V50" s="57">
        <f t="shared" si="32"/>
        <v>-0.33148961279481348</v>
      </c>
      <c r="W50" s="57">
        <f t="shared" si="32"/>
        <v>-0.39796401747821725</v>
      </c>
      <c r="X50" s="57">
        <f t="shared" si="32"/>
        <v>-0.48397827342949845</v>
      </c>
      <c r="Y50" s="57">
        <f t="shared" si="32"/>
        <v>-0.59746796479748387</v>
      </c>
      <c r="Z50" s="57">
        <f t="shared" si="32"/>
        <v>-0.72286865961746327</v>
      </c>
      <c r="AA50" s="57">
        <f t="shared" si="32"/>
        <v>-0.8234489436662954</v>
      </c>
      <c r="AB50" s="57">
        <f t="shared" si="32"/>
        <v>-0.88674247790343197</v>
      </c>
      <c r="AC50" s="57">
        <f t="shared" si="32"/>
        <v>-0.92005708657067342</v>
      </c>
      <c r="AD50" s="57">
        <f t="shared" si="32"/>
        <v>-0.91844977719002929</v>
      </c>
      <c r="AE50" s="57">
        <f t="shared" si="32"/>
        <v>-0.8887644501790245</v>
      </c>
      <c r="AF50" s="57">
        <f t="shared" si="32"/>
        <v>-0.82585063622494759</v>
      </c>
      <c r="AG50" s="57">
        <f t="shared" si="32"/>
        <v>-0.69449739387115006</v>
      </c>
      <c r="AH50" s="57">
        <f t="shared" si="32"/>
        <v>-0.45567564771290031</v>
      </c>
      <c r="AI50" s="57">
        <f t="shared" si="32"/>
        <v>-0.2117904065658546</v>
      </c>
      <c r="AJ50" s="57">
        <f t="shared" si="32"/>
        <v>-9.7287080143126953E-2</v>
      </c>
    </row>
    <row r="51" spans="1:36" x14ac:dyDescent="0.25">
      <c r="A51" s="13" t="s">
        <v>21</v>
      </c>
      <c r="B51" s="3">
        <f>STUTT!D8</f>
        <v>5930.4079000000002</v>
      </c>
      <c r="E51" s="11" t="s">
        <v>24</v>
      </c>
      <c r="F51" s="20">
        <f t="shared" ref="F51:AJ51" si="33">(F16-F17)^2</f>
        <v>58.228742404565963</v>
      </c>
      <c r="G51" s="20">
        <f t="shared" si="33"/>
        <v>57.754366646147048</v>
      </c>
      <c r="H51" s="20">
        <f t="shared" si="33"/>
        <v>58.947155415396828</v>
      </c>
      <c r="I51" s="20">
        <f t="shared" si="33"/>
        <v>67.899524301022069</v>
      </c>
      <c r="J51" s="20">
        <f t="shared" si="33"/>
        <v>187.61658032217912</v>
      </c>
      <c r="K51" s="20">
        <f t="shared" si="33"/>
        <v>3514.2044778632885</v>
      </c>
      <c r="L51" s="20">
        <f t="shared" si="33"/>
        <v>40741.285354302672</v>
      </c>
      <c r="M51" s="20">
        <f t="shared" si="33"/>
        <v>120639.70534435917</v>
      </c>
      <c r="N51" s="20">
        <f t="shared" si="33"/>
        <v>263681.3005039597</v>
      </c>
      <c r="O51" s="20">
        <f t="shared" si="33"/>
        <v>498058.29259038722</v>
      </c>
      <c r="P51" s="20">
        <f t="shared" si="33"/>
        <v>780983.80411483138</v>
      </c>
      <c r="Q51" s="20">
        <f t="shared" si="33"/>
        <v>1036393.2236298922</v>
      </c>
      <c r="R51" s="20">
        <f t="shared" si="33"/>
        <v>1310570.771758684</v>
      </c>
      <c r="S51" s="20">
        <f t="shared" si="33"/>
        <v>1572298.2986319994</v>
      </c>
      <c r="T51" s="20">
        <f t="shared" si="33"/>
        <v>1825271.8292932038</v>
      </c>
      <c r="U51" s="20">
        <f t="shared" si="33"/>
        <v>2124780.787970386</v>
      </c>
      <c r="V51" s="20">
        <f t="shared" si="33"/>
        <v>2626159.7855556691</v>
      </c>
      <c r="W51" s="20">
        <f t="shared" si="33"/>
        <v>3350255.1252622525</v>
      </c>
      <c r="X51" s="20">
        <f t="shared" si="33"/>
        <v>4275376.4347811053</v>
      </c>
      <c r="Y51" s="20">
        <f t="shared" si="33"/>
        <v>5544768.3989160014</v>
      </c>
      <c r="Z51" s="20">
        <f t="shared" si="33"/>
        <v>6804053.8702840339</v>
      </c>
      <c r="AA51" s="20">
        <f t="shared" si="33"/>
        <v>7217514.1066429801</v>
      </c>
      <c r="AB51" s="20">
        <f t="shared" si="33"/>
        <v>6347946.9624781758</v>
      </c>
      <c r="AC51" s="20">
        <f t="shared" si="33"/>
        <v>4676413.1312925406</v>
      </c>
      <c r="AD51" s="20">
        <f t="shared" si="33"/>
        <v>2715778.5628499305</v>
      </c>
      <c r="AE51" s="20">
        <f t="shared" si="33"/>
        <v>1123745.9004403348</v>
      </c>
      <c r="AF51" s="20">
        <f t="shared" si="33"/>
        <v>346299.18509422085</v>
      </c>
      <c r="AG51" s="20">
        <f t="shared" si="33"/>
        <v>79425.517409511405</v>
      </c>
      <c r="AH51" s="20">
        <f t="shared" si="33"/>
        <v>10770.369796241377</v>
      </c>
      <c r="AI51" s="20">
        <f t="shared" si="33"/>
        <v>1109.5625320587781</v>
      </c>
      <c r="AJ51" s="20">
        <f t="shared" si="33"/>
        <v>178.49369391751506</v>
      </c>
    </row>
    <row r="52" spans="1:36" x14ac:dyDescent="0.25">
      <c r="A52" s="13"/>
    </row>
    <row r="53" spans="1:36" x14ac:dyDescent="0.25">
      <c r="E53" s="118" t="s">
        <v>25</v>
      </c>
      <c r="F53" s="118"/>
      <c r="G53" s="104">
        <f>SUM(F51:AJ51)</f>
        <v>54697159.357067928</v>
      </c>
      <c r="I53" s="3">
        <f>G53+C123</f>
        <v>54697159.357067928</v>
      </c>
      <c r="K53" s="3">
        <f>SUM(Z51:AJ51)</f>
        <v>29323235.662513949</v>
      </c>
    </row>
    <row r="55" spans="1:36" x14ac:dyDescent="0.25">
      <c r="E55" s="30" t="s">
        <v>30</v>
      </c>
      <c r="F55" s="31">
        <f t="shared" ref="F55:AJ55" si="34">ABS(F17-F16)/F16</f>
        <v>1.2897031919270048E-3</v>
      </c>
      <c r="G55" s="31">
        <f t="shared" si="34"/>
        <v>1.2844322339031502E-3</v>
      </c>
      <c r="H55" s="31">
        <f t="shared" si="34"/>
        <v>1.2976451273990681E-3</v>
      </c>
      <c r="I55" s="31">
        <f t="shared" si="34"/>
        <v>1.3928333734982315E-3</v>
      </c>
      <c r="J55" s="31">
        <f t="shared" si="34"/>
        <v>2.317406397282016E-3</v>
      </c>
      <c r="K55" s="31">
        <f t="shared" si="34"/>
        <v>1.010746937443412E-2</v>
      </c>
      <c r="L55" s="31">
        <f t="shared" si="34"/>
        <v>3.5272273106563369E-2</v>
      </c>
      <c r="M55" s="31">
        <f t="shared" si="34"/>
        <v>6.2279799704884141E-2</v>
      </c>
      <c r="N55" s="31">
        <f t="shared" si="34"/>
        <v>9.4906583111079759E-2</v>
      </c>
      <c r="O55" s="31">
        <f t="shared" si="34"/>
        <v>0.13529815436531631</v>
      </c>
      <c r="P55" s="31">
        <f t="shared" si="34"/>
        <v>0.1760958936841768</v>
      </c>
      <c r="Q55" s="31">
        <f t="shared" si="34"/>
        <v>0.21336648237676983</v>
      </c>
      <c r="R55" s="31">
        <f t="shared" si="34"/>
        <v>0.25427264230919022</v>
      </c>
      <c r="S55" s="31">
        <f t="shared" si="34"/>
        <v>0.29574176090906368</v>
      </c>
      <c r="T55" s="31">
        <f t="shared" si="34"/>
        <v>0.34129855807397624</v>
      </c>
      <c r="U55" s="31">
        <f t="shared" si="34"/>
        <v>0.39829408600768018</v>
      </c>
      <c r="V55" s="31">
        <f t="shared" si="34"/>
        <v>0.49586306980308598</v>
      </c>
      <c r="W55" s="31">
        <f t="shared" si="34"/>
        <v>0.66103028561721922</v>
      </c>
      <c r="X55" s="31">
        <f t="shared" si="34"/>
        <v>0.93790289925588011</v>
      </c>
      <c r="Y55" s="31">
        <f t="shared" si="34"/>
        <v>1.4842743248916681</v>
      </c>
      <c r="Z55" s="31">
        <f t="shared" si="34"/>
        <v>2.6083973707905272</v>
      </c>
      <c r="AA55" s="31">
        <f t="shared" si="34"/>
        <v>4.6640839243117798</v>
      </c>
      <c r="AB55" s="31">
        <f t="shared" si="34"/>
        <v>7.8294356214800356</v>
      </c>
      <c r="AC55" s="31">
        <f t="shared" si="34"/>
        <v>11.508926146206187</v>
      </c>
      <c r="AD55" s="31">
        <f t="shared" si="34"/>
        <v>11.262382192752705</v>
      </c>
      <c r="AE55" s="31">
        <f t="shared" si="34"/>
        <v>7.9899317404320707</v>
      </c>
      <c r="AF55" s="31">
        <f t="shared" si="34"/>
        <v>4.7421972628719651</v>
      </c>
      <c r="AG55" s="31">
        <f t="shared" si="34"/>
        <v>2.2732944987652122</v>
      </c>
      <c r="AH55" s="31">
        <f t="shared" si="34"/>
        <v>0.83713992548427762</v>
      </c>
      <c r="AI55" s="31">
        <f t="shared" si="34"/>
        <v>0.26869808275627083</v>
      </c>
      <c r="AJ55" s="31">
        <f t="shared" si="34"/>
        <v>0.10777189292754558</v>
      </c>
    </row>
    <row r="56" spans="1:36" x14ac:dyDescent="0.25">
      <c r="E56" s="13" t="s">
        <v>31</v>
      </c>
      <c r="F56" s="32">
        <f>AVERAGE(F55:AJ55)</f>
        <v>1.9256724181191474</v>
      </c>
    </row>
    <row r="57" spans="1:36" x14ac:dyDescent="0.25">
      <c r="A57" s="42"/>
      <c r="B57" s="15"/>
      <c r="C57" s="15"/>
      <c r="D57" s="15"/>
      <c r="F57" s="60">
        <f>AVERAGE(S55:X55)</f>
        <v>0.5216884432778176</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522059276048574.62</v>
      </c>
      <c r="L121" s="11">
        <f t="shared" si="37"/>
        <v>4</v>
      </c>
      <c r="M121" s="11">
        <f t="shared" si="35"/>
        <v>50</v>
      </c>
      <c r="N121" s="11">
        <f t="shared" si="36"/>
        <v>1.3428687777918219E-4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8" t="s">
        <v>22</v>
      </c>
      <c r="B131" s="27">
        <f>($C$17+SUM(B132:B162))*$B$51</f>
        <v>5930.0801518288654</v>
      </c>
      <c r="C131" s="27">
        <f t="shared" ref="C131:AF131" si="40">($C$17+SUM(C132:C162))*$B$51</f>
        <v>5927.8207427385087</v>
      </c>
      <c r="D131" s="27">
        <f t="shared" si="40"/>
        <v>5924.3463332308165</v>
      </c>
      <c r="E131" s="27">
        <f t="shared" si="40"/>
        <v>5924.3223454632616</v>
      </c>
      <c r="F131" s="27">
        <f t="shared" si="40"/>
        <v>5924.3223454632498</v>
      </c>
      <c r="G131" s="27">
        <f t="shared" si="40"/>
        <v>5924.3223454631243</v>
      </c>
      <c r="H131" s="27">
        <f t="shared" si="40"/>
        <v>5924.3223454618801</v>
      </c>
      <c r="I131" s="27">
        <f t="shared" si="40"/>
        <v>5924.3223454494337</v>
      </c>
      <c r="J131" s="27">
        <f t="shared" si="40"/>
        <v>5924.3223453249693</v>
      </c>
      <c r="K131" s="27">
        <f t="shared" si="40"/>
        <v>5924.3223440803313</v>
      </c>
      <c r="L131" s="27">
        <f t="shared" si="40"/>
        <v>5924.3223316339481</v>
      </c>
      <c r="M131" s="27">
        <f t="shared" si="40"/>
        <v>5924.3222071702239</v>
      </c>
      <c r="N131" s="27">
        <f t="shared" si="40"/>
        <v>5924.3209625430236</v>
      </c>
      <c r="O131" s="27">
        <f t="shared" si="40"/>
        <v>5924.3085172769843</v>
      </c>
      <c r="P131" s="27">
        <f t="shared" si="40"/>
        <v>5924.1841650534452</v>
      </c>
      <c r="Q131" s="27">
        <f t="shared" si="40"/>
        <v>5922.9505303207161</v>
      </c>
      <c r="R131" s="27">
        <f t="shared" si="40"/>
        <v>5911.4677572855617</v>
      </c>
      <c r="S131" s="27">
        <f t="shared" si="40"/>
        <v>5833.2493225848548</v>
      </c>
      <c r="T131" s="27">
        <f t="shared" si="40"/>
        <v>5678.5710666479017</v>
      </c>
      <c r="U131" s="27">
        <f t="shared" si="40"/>
        <v>5538.807764702522</v>
      </c>
      <c r="V131" s="27">
        <f t="shared" si="40"/>
        <v>5353.7163895236245</v>
      </c>
      <c r="W131" s="27">
        <f t="shared" si="40"/>
        <v>5164.2785023664928</v>
      </c>
      <c r="X131" s="27">
        <f t="shared" si="40"/>
        <v>4948.4446272273099</v>
      </c>
      <c r="Y131" s="27">
        <f t="shared" si="40"/>
        <v>4670.1333602857285</v>
      </c>
      <c r="Z131" s="27">
        <f t="shared" si="40"/>
        <v>4346.6501147133722</v>
      </c>
      <c r="AA131" s="27">
        <f t="shared" si="40"/>
        <v>4015.3987408950311</v>
      </c>
      <c r="AB131" s="27">
        <f t="shared" si="40"/>
        <v>3687.7931032476968</v>
      </c>
      <c r="AC131" s="27">
        <f t="shared" si="40"/>
        <v>3342.0110579732841</v>
      </c>
      <c r="AD131" s="27">
        <f t="shared" si="40"/>
        <v>2974.6128010963039</v>
      </c>
      <c r="AE131" s="27">
        <f t="shared" si="40"/>
        <v>2485.3598347695533</v>
      </c>
      <c r="AF131" s="27">
        <f t="shared" si="40"/>
        <v>1943.6197497181756</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1.0120683831866642E-2</v>
      </c>
      <c r="B163" s="80">
        <f>IF($A$64&lt;=B129,IF($B$64&gt;=B129,ABS((B131-B130)/B130),0),0)</f>
        <v>2.5912227231022918E-3</v>
      </c>
      <c r="C163" s="80">
        <f t="shared" ref="C163:AF163" si="103">IF($A$64&lt;=C129,IF($B$64&gt;=C129,ABS((C131-C130)/C130),0),0)</f>
        <v>2.977476313620889E-3</v>
      </c>
      <c r="D163" s="80">
        <f t="shared" si="103"/>
        <v>3.55804184186451E-3</v>
      </c>
      <c r="E163" s="80">
        <f t="shared" si="103"/>
        <v>3.5609660630906178E-3</v>
      </c>
      <c r="F163" s="80">
        <f t="shared" si="103"/>
        <v>3.5606207597331605E-3</v>
      </c>
      <c r="G163" s="80">
        <f t="shared" si="103"/>
        <v>3.5604819613449827E-3</v>
      </c>
      <c r="H163" s="80">
        <f t="shared" si="103"/>
        <v>3.5604379523025836E-3</v>
      </c>
      <c r="I163" s="80">
        <f t="shared" si="103"/>
        <v>3.560431183741971E-3</v>
      </c>
      <c r="J163" s="80">
        <f t="shared" si="103"/>
        <v>3.5604312046762141E-3</v>
      </c>
      <c r="K163" s="80">
        <f t="shared" si="103"/>
        <v>3.5604314140177257E-3</v>
      </c>
      <c r="L163" s="80">
        <f t="shared" si="103"/>
        <v>3.5604335074332994E-3</v>
      </c>
      <c r="M163" s="80">
        <f t="shared" si="103"/>
        <v>3.5604476709171677E-3</v>
      </c>
      <c r="N163" s="80">
        <f t="shared" si="103"/>
        <v>3.5605486801658539E-3</v>
      </c>
      <c r="O163" s="80">
        <f t="shared" si="103"/>
        <v>3.5614807436193138E-3</v>
      </c>
      <c r="P163" s="80">
        <f t="shared" si="103"/>
        <v>3.5708592287695086E-3</v>
      </c>
      <c r="Q163" s="80">
        <f t="shared" si="103"/>
        <v>3.6632410127314008E-3</v>
      </c>
      <c r="R163" s="80">
        <f t="shared" si="103"/>
        <v>4.4703848647995037E-3</v>
      </c>
      <c r="S163" s="80">
        <f t="shared" si="103"/>
        <v>8.6305644188585055E-3</v>
      </c>
      <c r="T163" s="80">
        <f t="shared" si="103"/>
        <v>1.0454334578862188E-2</v>
      </c>
      <c r="U163" s="80">
        <f t="shared" si="103"/>
        <v>8.8520024972939277E-3</v>
      </c>
      <c r="V163" s="80">
        <f t="shared" si="103"/>
        <v>8.4780680945316465E-3</v>
      </c>
      <c r="W163" s="80">
        <f t="shared" si="103"/>
        <v>4.3627234066218297E-3</v>
      </c>
      <c r="X163" s="80">
        <f t="shared" si="103"/>
        <v>1.9173763361477032E-2</v>
      </c>
      <c r="Y163" s="80">
        <f t="shared" si="103"/>
        <v>3.0800294895267324E-2</v>
      </c>
      <c r="Z163" s="80">
        <f t="shared" si="103"/>
        <v>3.1187177108281214E-2</v>
      </c>
      <c r="AA163" s="80">
        <f t="shared" si="103"/>
        <v>2.1968816392443968E-2</v>
      </c>
      <c r="AB163" s="80">
        <f t="shared" si="103"/>
        <v>1.2784393975259463E-2</v>
      </c>
      <c r="AC163" s="80">
        <f t="shared" si="103"/>
        <v>3.1351447610273317E-3</v>
      </c>
      <c r="AD163" s="80">
        <f t="shared" si="103"/>
        <v>7.3484892965274161E-3</v>
      </c>
      <c r="AE163" s="80">
        <f t="shared" si="103"/>
        <v>3.0295134823547124E-2</v>
      </c>
      <c r="AF163" s="80">
        <f t="shared" si="103"/>
        <v>5.6272354051935869E-2</v>
      </c>
    </row>
    <row r="164" spans="1:34" x14ac:dyDescent="0.25">
      <c r="B164" s="21">
        <f>(B131-B130)^2</f>
        <v>237.34727080963626</v>
      </c>
      <c r="C164" s="21">
        <f t="shared" ref="C164:AF164" si="104">(C131-C130)^2</f>
        <v>313.38399720401065</v>
      </c>
      <c r="D164" s="21">
        <f t="shared" si="104"/>
        <v>447.50610789193797</v>
      </c>
      <c r="E164" s="21">
        <f t="shared" si="104"/>
        <v>448.24098815527026</v>
      </c>
      <c r="F164" s="21">
        <f t="shared" si="104"/>
        <v>448.15375079532862</v>
      </c>
      <c r="G164" s="21">
        <f t="shared" si="104"/>
        <v>448.11868721201523</v>
      </c>
      <c r="H164" s="21">
        <f t="shared" si="104"/>
        <v>448.10756982994792</v>
      </c>
      <c r="I164" s="21">
        <f t="shared" si="104"/>
        <v>448.1058599946611</v>
      </c>
      <c r="J164" s="21">
        <f t="shared" si="104"/>
        <v>448.10586526411106</v>
      </c>
      <c r="K164" s="21">
        <f t="shared" si="104"/>
        <v>448.10591795838121</v>
      </c>
      <c r="L164" s="21">
        <f t="shared" si="104"/>
        <v>448.10644490136872</v>
      </c>
      <c r="M164" s="21">
        <f t="shared" si="104"/>
        <v>448.11000397363807</v>
      </c>
      <c r="N164" s="21">
        <f t="shared" si="104"/>
        <v>448.13533249151783</v>
      </c>
      <c r="O164" s="21">
        <f t="shared" si="104"/>
        <v>448.36893967730845</v>
      </c>
      <c r="P164" s="21">
        <f t="shared" si="104"/>
        <v>450.72300084936245</v>
      </c>
      <c r="Q164" s="21">
        <f t="shared" si="104"/>
        <v>474.23640440073575</v>
      </c>
      <c r="R164" s="21">
        <f t="shared" si="104"/>
        <v>704.64781642435071</v>
      </c>
      <c r="S164" s="21">
        <f t="shared" si="104"/>
        <v>2578.8639134150212</v>
      </c>
      <c r="T164" s="21">
        <f t="shared" si="104"/>
        <v>3599.1441350821983</v>
      </c>
      <c r="U164" s="21">
        <f t="shared" si="104"/>
        <v>2447.0262294421464</v>
      </c>
      <c r="V164" s="21">
        <f t="shared" si="104"/>
        <v>2095.5589030851816</v>
      </c>
      <c r="W164" s="21">
        <f t="shared" si="104"/>
        <v>503.21490796673282</v>
      </c>
      <c r="X164" s="21">
        <f t="shared" si="104"/>
        <v>8666.7383600206431</v>
      </c>
      <c r="Y164" s="21">
        <f t="shared" si="104"/>
        <v>19472.389406555096</v>
      </c>
      <c r="Z164" s="21">
        <f t="shared" si="104"/>
        <v>17281.70117022526</v>
      </c>
      <c r="AA164" s="21">
        <f t="shared" si="104"/>
        <v>7450.671003129768</v>
      </c>
      <c r="AB164" s="21">
        <f t="shared" si="104"/>
        <v>2167.0023674794952</v>
      </c>
      <c r="AC164" s="21">
        <f t="shared" si="104"/>
        <v>110.47357087306233</v>
      </c>
      <c r="AD164" s="21">
        <f t="shared" si="104"/>
        <v>484.91252439357498</v>
      </c>
      <c r="AE164" s="21">
        <f t="shared" si="104"/>
        <v>6028.998574446573</v>
      </c>
      <c r="AF164" s="21">
        <f t="shared" si="104"/>
        <v>13431.342335680618</v>
      </c>
    </row>
    <row r="165" spans="1:34" x14ac:dyDescent="0.25">
      <c r="A165" s="71">
        <f>SUM(B165:AF165)</f>
        <v>93875.541359628944</v>
      </c>
      <c r="B165" s="60">
        <f>IF($A$64&lt;=B129,IF($B$64&gt;=B129,ABS(B164),0),0)</f>
        <v>237.34727080963626</v>
      </c>
      <c r="C165" s="60">
        <f t="shared" ref="C165:AF165" si="105">IF($A$64&lt;=C129,IF($B$64&gt;=C129,ABS(C164),0),0)</f>
        <v>313.38399720401065</v>
      </c>
      <c r="D165" s="60">
        <f t="shared" si="105"/>
        <v>447.50610789193797</v>
      </c>
      <c r="E165" s="60">
        <f t="shared" si="105"/>
        <v>448.24098815527026</v>
      </c>
      <c r="F165" s="60">
        <f t="shared" si="105"/>
        <v>448.15375079532862</v>
      </c>
      <c r="G165" s="60">
        <f t="shared" si="105"/>
        <v>448.11868721201523</v>
      </c>
      <c r="H165" s="60">
        <f t="shared" si="105"/>
        <v>448.10756982994792</v>
      </c>
      <c r="I165" s="60">
        <f t="shared" si="105"/>
        <v>448.1058599946611</v>
      </c>
      <c r="J165" s="60">
        <f t="shared" si="105"/>
        <v>448.10586526411106</v>
      </c>
      <c r="K165" s="60">
        <f t="shared" si="105"/>
        <v>448.10591795838121</v>
      </c>
      <c r="L165" s="60">
        <f t="shared" si="105"/>
        <v>448.10644490136872</v>
      </c>
      <c r="M165" s="60">
        <f t="shared" si="105"/>
        <v>448.11000397363807</v>
      </c>
      <c r="N165" s="60">
        <f t="shared" si="105"/>
        <v>448.13533249151783</v>
      </c>
      <c r="O165" s="60">
        <f t="shared" si="105"/>
        <v>448.36893967730845</v>
      </c>
      <c r="P165" s="60">
        <f t="shared" si="105"/>
        <v>450.72300084936245</v>
      </c>
      <c r="Q165" s="60">
        <f t="shared" si="105"/>
        <v>474.23640440073575</v>
      </c>
      <c r="R165" s="60">
        <f t="shared" si="105"/>
        <v>704.64781642435071</v>
      </c>
      <c r="S165" s="60">
        <f t="shared" si="105"/>
        <v>2578.8639134150212</v>
      </c>
      <c r="T165" s="60">
        <f t="shared" si="105"/>
        <v>3599.1441350821983</v>
      </c>
      <c r="U165" s="60">
        <f t="shared" si="105"/>
        <v>2447.0262294421464</v>
      </c>
      <c r="V165" s="60">
        <f t="shared" si="105"/>
        <v>2095.5589030851816</v>
      </c>
      <c r="W165" s="60">
        <f t="shared" si="105"/>
        <v>503.21490796673282</v>
      </c>
      <c r="X165" s="60">
        <f t="shared" si="105"/>
        <v>8666.7383600206431</v>
      </c>
      <c r="Y165" s="60">
        <f t="shared" si="105"/>
        <v>19472.389406555096</v>
      </c>
      <c r="Z165" s="60">
        <f t="shared" si="105"/>
        <v>17281.70117022526</v>
      </c>
      <c r="AA165" s="60">
        <f t="shared" si="105"/>
        <v>7450.671003129768</v>
      </c>
      <c r="AB165" s="60">
        <f t="shared" si="105"/>
        <v>2167.0023674794952</v>
      </c>
      <c r="AC165" s="60">
        <f t="shared" si="105"/>
        <v>110.47357087306233</v>
      </c>
      <c r="AD165" s="60">
        <f t="shared" si="105"/>
        <v>484.91252439357498</v>
      </c>
      <c r="AE165" s="60">
        <f t="shared" si="105"/>
        <v>6028.998574446573</v>
      </c>
      <c r="AF165" s="60">
        <f t="shared" si="105"/>
        <v>13431.342335680618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0" t="s">
        <v>22</v>
      </c>
      <c r="B170" s="27">
        <f>($C$17+SUM(B171:B201))*$B$51</f>
        <v>5925.3746905858179</v>
      </c>
      <c r="C170" s="27">
        <f t="shared" ref="C170:AF170" si="106">($C$17+SUM(C171:C201))*$B$51</f>
        <v>5924.322345608768</v>
      </c>
      <c r="D170" s="27">
        <f t="shared" si="106"/>
        <v>5924.3223454632589</v>
      </c>
      <c r="E170" s="27">
        <f t="shared" si="106"/>
        <v>5924.3223454632189</v>
      </c>
      <c r="F170" s="27">
        <f t="shared" si="106"/>
        <v>5924.3223454628242</v>
      </c>
      <c r="G170" s="27">
        <f t="shared" si="106"/>
        <v>5924.3223454588788</v>
      </c>
      <c r="H170" s="27">
        <f t="shared" si="106"/>
        <v>5924.3223454194258</v>
      </c>
      <c r="I170" s="27">
        <f t="shared" si="106"/>
        <v>5924.3223450248888</v>
      </c>
      <c r="J170" s="27">
        <f t="shared" si="106"/>
        <v>5924.3223410795099</v>
      </c>
      <c r="K170" s="27">
        <f t="shared" si="106"/>
        <v>5924.3223016257489</v>
      </c>
      <c r="L170" s="27">
        <f t="shared" si="106"/>
        <v>5924.3219070891419</v>
      </c>
      <c r="M170" s="27">
        <f t="shared" si="106"/>
        <v>5924.3179618241584</v>
      </c>
      <c r="N170" s="27">
        <f t="shared" si="106"/>
        <v>5924.2785192785595</v>
      </c>
      <c r="O170" s="27">
        <f t="shared" si="106"/>
        <v>5923.8850992146718</v>
      </c>
      <c r="P170" s="27">
        <f t="shared" si="106"/>
        <v>5920.0466380514872</v>
      </c>
      <c r="Q170" s="27">
        <f t="shared" si="106"/>
        <v>5888.0726808292484</v>
      </c>
      <c r="R170" s="27">
        <f t="shared" si="106"/>
        <v>5744.7541120783599</v>
      </c>
      <c r="S170" s="27">
        <f t="shared" si="106"/>
        <v>5611.9368776359897</v>
      </c>
      <c r="T170" s="27">
        <f t="shared" si="106"/>
        <v>5443.7992459479883</v>
      </c>
      <c r="U170" s="27">
        <f t="shared" si="106"/>
        <v>5259.8310288420635</v>
      </c>
      <c r="V170" s="27">
        <f t="shared" si="106"/>
        <v>5063.4280526876546</v>
      </c>
      <c r="W170" s="27">
        <f t="shared" si="106"/>
        <v>4819.264859761066</v>
      </c>
      <c r="X170" s="27">
        <f t="shared" si="106"/>
        <v>4519.6054747768758</v>
      </c>
      <c r="Y170" s="27">
        <f t="shared" si="106"/>
        <v>4193.0870544411227</v>
      </c>
      <c r="Z170" s="27">
        <f t="shared" si="106"/>
        <v>3866.1197063745185</v>
      </c>
      <c r="AA170" s="27">
        <f t="shared" si="106"/>
        <v>3529.9430526678884</v>
      </c>
      <c r="AB170" s="27">
        <f t="shared" si="106"/>
        <v>3189.3571075009804</v>
      </c>
      <c r="AC170" s="27">
        <f t="shared" si="106"/>
        <v>2715.9032316058115</v>
      </c>
      <c r="AD170" s="27">
        <f t="shared" si="106"/>
        <v>2207.1503386199197</v>
      </c>
      <c r="AE170" s="27">
        <f t="shared" si="106"/>
        <v>1636.3179151152024</v>
      </c>
      <c r="AF170" s="27">
        <f t="shared" si="106"/>
        <v>1035.5594570097596</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1.4419625050595974E-2</v>
      </c>
      <c r="B202" s="80">
        <f>IF($A$64&lt;=B168,IF($B$64&gt;=B168,ABS((B170-B169)/B169),0),0)</f>
        <v>1.8477072496590351E-3</v>
      </c>
      <c r="C202" s="80">
        <f t="shared" ref="C202:AF202" si="138">IF($A$64&lt;=C168,IF($B$64&gt;=C168,ABS((C170-C169)/C169),0),0)</f>
        <v>2.0311976785154129E-3</v>
      </c>
      <c r="D202" s="80">
        <f t="shared" si="138"/>
        <v>2.0274196780339323E-3</v>
      </c>
      <c r="E202" s="80">
        <f t="shared" si="138"/>
        <v>2.0262754374962802E-3</v>
      </c>
      <c r="F202" s="80">
        <f t="shared" si="138"/>
        <v>2.0259267488761949E-3</v>
      </c>
      <c r="G202" s="80">
        <f t="shared" si="138"/>
        <v>2.0258251897290213E-3</v>
      </c>
      <c r="H202" s="80">
        <f t="shared" si="138"/>
        <v>2.025777801796207E-3</v>
      </c>
      <c r="I202" s="80">
        <f t="shared" si="138"/>
        <v>2.0257744829305546E-3</v>
      </c>
      <c r="J202" s="80">
        <f t="shared" si="138"/>
        <v>2.0257379089468849E-3</v>
      </c>
      <c r="K202" s="80">
        <f t="shared" si="138"/>
        <v>2.0257445550805305E-3</v>
      </c>
      <c r="L202" s="80">
        <f t="shared" si="138"/>
        <v>2.0257602363456676E-3</v>
      </c>
      <c r="M202" s="80">
        <f t="shared" si="138"/>
        <v>2.026038904027333E-3</v>
      </c>
      <c r="N202" s="80">
        <f t="shared" si="138"/>
        <v>2.028461679693244E-3</v>
      </c>
      <c r="O202" s="80">
        <f t="shared" si="138"/>
        <v>2.0526788715090833E-3</v>
      </c>
      <c r="P202" s="80">
        <f t="shared" si="138"/>
        <v>2.2823989192491414E-3</v>
      </c>
      <c r="Q202" s="80">
        <f t="shared" si="138"/>
        <v>3.8341351868088837E-3</v>
      </c>
      <c r="R202" s="80">
        <f t="shared" si="138"/>
        <v>7.5751962030559021E-3</v>
      </c>
      <c r="S202" s="80">
        <f t="shared" si="138"/>
        <v>5.9095858914854906E-3</v>
      </c>
      <c r="T202" s="80">
        <f t="shared" si="138"/>
        <v>6.0648655288273118E-3</v>
      </c>
      <c r="U202" s="80">
        <f t="shared" si="138"/>
        <v>3.2181969897252033E-3</v>
      </c>
      <c r="V202" s="80">
        <f t="shared" si="138"/>
        <v>1.938249758662813E-2</v>
      </c>
      <c r="W202" s="80">
        <f t="shared" si="138"/>
        <v>3.3478708932500031E-2</v>
      </c>
      <c r="X202" s="80">
        <f t="shared" si="138"/>
        <v>3.9883069310920963E-2</v>
      </c>
      <c r="Y202" s="80">
        <f t="shared" si="138"/>
        <v>3.4634886089339886E-2</v>
      </c>
      <c r="Z202" s="80">
        <f t="shared" si="138"/>
        <v>2.5088208140738109E-2</v>
      </c>
      <c r="AA202" s="80">
        <f t="shared" si="138"/>
        <v>1.2230111018382428E-2</v>
      </c>
      <c r="AB202" s="80">
        <f t="shared" si="138"/>
        <v>5.6956756324135945E-3</v>
      </c>
      <c r="AC202" s="80">
        <f t="shared" si="138"/>
        <v>2.0139562462325289E-2</v>
      </c>
      <c r="AD202" s="80">
        <f t="shared" si="138"/>
        <v>3.814845116577973E-2</v>
      </c>
      <c r="AE202" s="80">
        <f t="shared" si="138"/>
        <v>6.1843454061549938E-2</v>
      </c>
      <c r="AF202" s="80">
        <f t="shared" si="138"/>
        <v>9.9379047026105782E-2</v>
      </c>
    </row>
    <row r="203" spans="1:34" x14ac:dyDescent="0.25">
      <c r="B203" s="21">
        <f>(B170-B169)^2</f>
        <v>120.31072517471277</v>
      </c>
      <c r="C203" s="21">
        <f t="shared" ref="C203:AF203" si="139">(C170-C169)^2</f>
        <v>145.39444516726618</v>
      </c>
      <c r="D203" s="21">
        <f t="shared" si="139"/>
        <v>144.85298797849273</v>
      </c>
      <c r="E203" s="21">
        <f t="shared" si="139"/>
        <v>144.68919729367278</v>
      </c>
      <c r="F203" s="21">
        <f t="shared" si="139"/>
        <v>144.63930325109445</v>
      </c>
      <c r="G203" s="21">
        <f t="shared" si="139"/>
        <v>144.62477272233005</v>
      </c>
      <c r="H203" s="21">
        <f t="shared" si="139"/>
        <v>144.61799296433037</v>
      </c>
      <c r="I203" s="21">
        <f t="shared" si="139"/>
        <v>144.61751812342277</v>
      </c>
      <c r="J203" s="21">
        <f t="shared" si="139"/>
        <v>144.61228543606728</v>
      </c>
      <c r="K203" s="21">
        <f t="shared" si="139"/>
        <v>144.61323433883325</v>
      </c>
      <c r="L203" s="21">
        <f t="shared" si="139"/>
        <v>144.6154585293111</v>
      </c>
      <c r="M203" s="21">
        <f t="shared" si="139"/>
        <v>144.65513657737378</v>
      </c>
      <c r="N203" s="21">
        <f t="shared" si="139"/>
        <v>145.0000794082562</v>
      </c>
      <c r="O203" s="21">
        <f t="shared" si="139"/>
        <v>148.47045632571096</v>
      </c>
      <c r="P203" s="21">
        <f t="shared" si="139"/>
        <v>183.40792377251984</v>
      </c>
      <c r="Q203" s="21">
        <f t="shared" si="139"/>
        <v>513.59153324272438</v>
      </c>
      <c r="R203" s="21">
        <f t="shared" si="139"/>
        <v>1922.8058769367065</v>
      </c>
      <c r="S203" s="21">
        <f t="shared" si="139"/>
        <v>1112.9813356488794</v>
      </c>
      <c r="T203" s="21">
        <f t="shared" si="139"/>
        <v>1103.3936212496196</v>
      </c>
      <c r="U203" s="21">
        <f t="shared" si="139"/>
        <v>284.69381482979838</v>
      </c>
      <c r="V203" s="21">
        <f t="shared" si="139"/>
        <v>9269.0327918020193</v>
      </c>
      <c r="W203" s="21">
        <f t="shared" si="139"/>
        <v>24372.266902163457</v>
      </c>
      <c r="X203" s="21">
        <f t="shared" si="139"/>
        <v>30047.558117845227</v>
      </c>
      <c r="Y203" s="21">
        <f t="shared" si="139"/>
        <v>19702.486991376481</v>
      </c>
      <c r="Z203" s="21">
        <f t="shared" si="139"/>
        <v>8952.9757163228423</v>
      </c>
      <c r="AA203" s="21">
        <f t="shared" si="139"/>
        <v>1819.0209147047874</v>
      </c>
      <c r="AB203" s="21">
        <f t="shared" si="139"/>
        <v>326.25984820050621</v>
      </c>
      <c r="AC203" s="21">
        <f t="shared" si="139"/>
        <v>3116.0197363975321</v>
      </c>
      <c r="AD203" s="21">
        <f t="shared" si="139"/>
        <v>7663.0481574670848</v>
      </c>
      <c r="AE203" s="21">
        <f t="shared" si="139"/>
        <v>11635.156240104892</v>
      </c>
      <c r="AF203" s="21">
        <f t="shared" si="139"/>
        <v>13057.367896569682</v>
      </c>
      <c r="AG203" s="3"/>
      <c r="AH203" s="3"/>
    </row>
    <row r="204" spans="1:34" x14ac:dyDescent="0.25">
      <c r="A204" s="71">
        <f>SUM(B204:AF204)</f>
        <v>137087.78101192563</v>
      </c>
      <c r="B204" s="60">
        <f>IF($A$64&lt;=B168,IF($B$64&gt;=B168,ABS(B203),0),0)</f>
        <v>120.31072517471277</v>
      </c>
      <c r="C204" s="60">
        <f t="shared" ref="C204" si="140">IF($A$64&lt;=C168,IF($B$64&gt;=C168,ABS(C203),0),0)</f>
        <v>145.39444516726618</v>
      </c>
      <c r="D204" s="60">
        <f t="shared" ref="D204" si="141">IF($A$64&lt;=D168,IF($B$64&gt;=D168,ABS(D203),0),0)</f>
        <v>144.85298797849273</v>
      </c>
      <c r="E204" s="60">
        <f t="shared" ref="E204" si="142">IF($A$64&lt;=E168,IF($B$64&gt;=E168,ABS(E203),0),0)</f>
        <v>144.68919729367278</v>
      </c>
      <c r="F204" s="60">
        <f t="shared" ref="F204" si="143">IF($A$64&lt;=F168,IF($B$64&gt;=F168,ABS(F203),0),0)</f>
        <v>144.63930325109445</v>
      </c>
      <c r="G204" s="60">
        <f t="shared" ref="G204" si="144">IF($A$64&lt;=G168,IF($B$64&gt;=G168,ABS(G203),0),0)</f>
        <v>144.62477272233005</v>
      </c>
      <c r="H204" s="60">
        <f t="shared" ref="H204" si="145">IF($A$64&lt;=H168,IF($B$64&gt;=H168,ABS(H203),0),0)</f>
        <v>144.61799296433037</v>
      </c>
      <c r="I204" s="60">
        <f t="shared" ref="I204" si="146">IF($A$64&lt;=I168,IF($B$64&gt;=I168,ABS(I203),0),0)</f>
        <v>144.61751812342277</v>
      </c>
      <c r="J204" s="60">
        <f t="shared" ref="J204" si="147">IF($A$64&lt;=J168,IF($B$64&gt;=J168,ABS(J203),0),0)</f>
        <v>144.61228543606728</v>
      </c>
      <c r="K204" s="60">
        <f t="shared" ref="K204" si="148">IF($A$64&lt;=K168,IF($B$64&gt;=K168,ABS(K203),0),0)</f>
        <v>144.61323433883325</v>
      </c>
      <c r="L204" s="60">
        <f t="shared" ref="L204" si="149">IF($A$64&lt;=L168,IF($B$64&gt;=L168,ABS(L203),0),0)</f>
        <v>144.6154585293111</v>
      </c>
      <c r="M204" s="60">
        <f t="shared" ref="M204" si="150">IF($A$64&lt;=M168,IF($B$64&gt;=M168,ABS(M203),0),0)</f>
        <v>144.65513657737378</v>
      </c>
      <c r="N204" s="60">
        <f t="shared" ref="N204" si="151">IF($A$64&lt;=N168,IF($B$64&gt;=N168,ABS(N203),0),0)</f>
        <v>145.0000794082562</v>
      </c>
      <c r="O204" s="60">
        <f t="shared" ref="O204" si="152">IF($A$64&lt;=O168,IF($B$64&gt;=O168,ABS(O203),0),0)</f>
        <v>148.47045632571096</v>
      </c>
      <c r="P204" s="60">
        <f t="shared" ref="P204" si="153">IF($A$64&lt;=P168,IF($B$64&gt;=P168,ABS(P203),0),0)</f>
        <v>183.40792377251984</v>
      </c>
      <c r="Q204" s="60">
        <f t="shared" ref="Q204" si="154">IF($A$64&lt;=Q168,IF($B$64&gt;=Q168,ABS(Q203),0),0)</f>
        <v>513.59153324272438</v>
      </c>
      <c r="R204" s="60">
        <f t="shared" ref="R204" si="155">IF($A$64&lt;=R168,IF($B$64&gt;=R168,ABS(R203),0),0)</f>
        <v>1922.8058769367065</v>
      </c>
      <c r="S204" s="60">
        <f t="shared" ref="S204" si="156">IF($A$64&lt;=S168,IF($B$64&gt;=S168,ABS(S203),0),0)</f>
        <v>1112.9813356488794</v>
      </c>
      <c r="T204" s="60">
        <f t="shared" ref="T204" si="157">IF($A$64&lt;=T168,IF($B$64&gt;=T168,ABS(T203),0),0)</f>
        <v>1103.3936212496196</v>
      </c>
      <c r="U204" s="60">
        <f t="shared" ref="U204" si="158">IF($A$64&lt;=U168,IF($B$64&gt;=U168,ABS(U203),0),0)</f>
        <v>284.69381482979838</v>
      </c>
      <c r="V204" s="60">
        <f t="shared" ref="V204" si="159">IF($A$64&lt;=V168,IF($B$64&gt;=V168,ABS(V203),0),0)</f>
        <v>9269.0327918020193</v>
      </c>
      <c r="W204" s="60">
        <f t="shared" ref="W204" si="160">IF($A$64&lt;=W168,IF($B$64&gt;=W168,ABS(W203),0),0)</f>
        <v>24372.266902163457</v>
      </c>
      <c r="X204" s="60">
        <f t="shared" ref="X204" si="161">IF($A$64&lt;=X168,IF($B$64&gt;=X168,ABS(X203),0),0)</f>
        <v>30047.558117845227</v>
      </c>
      <c r="Y204" s="60">
        <f t="shared" ref="Y204" si="162">IF($A$64&lt;=Y168,IF($B$64&gt;=Y168,ABS(Y203),0),0)</f>
        <v>19702.486991376481</v>
      </c>
      <c r="Z204" s="60">
        <f t="shared" ref="Z204" si="163">IF($A$64&lt;=Z168,IF($B$64&gt;=Z168,ABS(Z203),0),0)</f>
        <v>8952.9757163228423</v>
      </c>
      <c r="AA204" s="60">
        <f t="shared" ref="AA204" si="164">IF($A$64&lt;=AA168,IF($B$64&gt;=AA168,ABS(AA203),0),0)</f>
        <v>1819.0209147047874</v>
      </c>
      <c r="AB204" s="60">
        <f t="shared" ref="AB204" si="165">IF($A$64&lt;=AB168,IF($B$64&gt;=AB168,ABS(AB203),0),0)</f>
        <v>326.25984820050621</v>
      </c>
      <c r="AC204" s="60">
        <f t="shared" ref="AC204" si="166">IF($A$64&lt;=AC168,IF($B$64&gt;=AC168,ABS(AC203),0),0)</f>
        <v>3116.0197363975321</v>
      </c>
      <c r="AD204" s="60">
        <f t="shared" ref="AD204" si="167">IF($A$64&lt;=AD168,IF($B$64&gt;=AD168,ABS(AD203),0),0)</f>
        <v>7663.0481574670848</v>
      </c>
      <c r="AE204" s="60">
        <f t="shared" ref="AE204" si="168">IF($A$64&lt;=AE168,IF($B$64&gt;=AE168,ABS(AE203),0),0)</f>
        <v>11635.156240104892</v>
      </c>
      <c r="AF204" s="60">
        <f t="shared" ref="AF204" si="169">IF($A$64&lt;=AF168,IF($B$64&gt;=AF168,ABS(AF203),0),0)</f>
        <v>13057.367896569682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0" t="s">
        <v>22</v>
      </c>
      <c r="B209" s="27">
        <f>($C$17+SUM(B210:B240))*$B$51</f>
        <v>5924.3223454632598</v>
      </c>
      <c r="C209" s="27">
        <f t="shared" ref="C209:AF209" si="170">($C$17+SUM(C210:C240))*$B$51</f>
        <v>5924.3223454632289</v>
      </c>
      <c r="D209" s="27">
        <f t="shared" si="170"/>
        <v>5924.3223454629151</v>
      </c>
      <c r="E209" s="27">
        <f t="shared" si="170"/>
        <v>5924.3223454597864</v>
      </c>
      <c r="F209" s="27">
        <f t="shared" si="170"/>
        <v>5924.3223454284907</v>
      </c>
      <c r="G209" s="27">
        <f t="shared" si="170"/>
        <v>5924.3223451155473</v>
      </c>
      <c r="H209" s="27">
        <f t="shared" si="170"/>
        <v>5924.3223419860979</v>
      </c>
      <c r="I209" s="27">
        <f t="shared" si="170"/>
        <v>5924.3223106916194</v>
      </c>
      <c r="J209" s="27">
        <f t="shared" si="170"/>
        <v>5924.3219977474673</v>
      </c>
      <c r="K209" s="27">
        <f t="shared" si="170"/>
        <v>5924.3188683695453</v>
      </c>
      <c r="L209" s="27">
        <f t="shared" si="170"/>
        <v>5924.2875809482066</v>
      </c>
      <c r="M209" s="27">
        <f t="shared" si="170"/>
        <v>5923.9753400086183</v>
      </c>
      <c r="N209" s="27">
        <f t="shared" si="170"/>
        <v>5920.9138368299755</v>
      </c>
      <c r="O209" s="27">
        <f t="shared" si="170"/>
        <v>5894.6661148482008</v>
      </c>
      <c r="P209" s="27">
        <f t="shared" si="170"/>
        <v>5762.7236462173323</v>
      </c>
      <c r="Q209" s="27">
        <f t="shared" si="170"/>
        <v>5626.764218344807</v>
      </c>
      <c r="R209" s="27">
        <f t="shared" si="170"/>
        <v>5464.7588765630107</v>
      </c>
      <c r="S209" s="27">
        <f t="shared" si="170"/>
        <v>5280.9324541365149</v>
      </c>
      <c r="T209" s="27">
        <f t="shared" si="170"/>
        <v>5086.7142519895324</v>
      </c>
      <c r="U209" s="27">
        <f t="shared" si="170"/>
        <v>4849.3555941627164</v>
      </c>
      <c r="V209" s="27">
        <f t="shared" si="170"/>
        <v>4554.2643466182999</v>
      </c>
      <c r="W209" s="27">
        <f t="shared" si="170"/>
        <v>4227.5420790213429</v>
      </c>
      <c r="X209" s="27">
        <f t="shared" si="170"/>
        <v>3898.7496335369178</v>
      </c>
      <c r="Y209" s="27">
        <f t="shared" si="170"/>
        <v>3563.9370373420734</v>
      </c>
      <c r="Z209" s="27">
        <f t="shared" si="170"/>
        <v>3221.061263346252</v>
      </c>
      <c r="AA209" s="27">
        <f t="shared" si="170"/>
        <v>2766.7873944653843</v>
      </c>
      <c r="AB209" s="27">
        <f t="shared" si="170"/>
        <v>2266.3435389494639</v>
      </c>
      <c r="AC209" s="27">
        <f t="shared" si="170"/>
        <v>1701.5301246725096</v>
      </c>
      <c r="AD209" s="27">
        <f t="shared" si="170"/>
        <v>1098.9106952059087</v>
      </c>
      <c r="AE209" s="27">
        <f t="shared" si="170"/>
        <v>655.26546741814639</v>
      </c>
      <c r="AF209" s="27">
        <f t="shared" si="170"/>
        <v>367.64549116787651</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1.2693852800258034E-2</v>
      </c>
      <c r="B241" s="80">
        <f>IF($A$64&lt;=B207,IF($B$64&gt;=B207,ABS((B209-B208)/B208),0),0)</f>
        <v>1.0259045222157186E-3</v>
      </c>
      <c r="C241" s="80">
        <f t="shared" ref="C241:AF241" si="202">IF($A$64&lt;=C207,IF($B$64&gt;=C207,ABS((C209-C208)/C208),0),0)</f>
        <v>1.0320962854036121E-3</v>
      </c>
      <c r="D241" s="80">
        <f t="shared" si="202"/>
        <v>1.0283148751365479E-3</v>
      </c>
      <c r="E241" s="80">
        <f t="shared" si="202"/>
        <v>1.0271706351197714E-3</v>
      </c>
      <c r="F241" s="80">
        <f t="shared" si="202"/>
        <v>1.0268219517100728E-3</v>
      </c>
      <c r="G241" s="80">
        <f t="shared" si="202"/>
        <v>1.0266865913974193E-3</v>
      </c>
      <c r="H241" s="80">
        <f t="shared" si="202"/>
        <v>1.0266735777844016E-3</v>
      </c>
      <c r="I241" s="80">
        <f t="shared" si="202"/>
        <v>1.0266382308093316E-3</v>
      </c>
      <c r="J241" s="80">
        <f t="shared" si="202"/>
        <v>1.0266436056228479E-3</v>
      </c>
      <c r="K241" s="80">
        <f t="shared" si="202"/>
        <v>1.0267921324112693E-3</v>
      </c>
      <c r="L241" s="80">
        <f t="shared" si="202"/>
        <v>1.0281138554960776E-3</v>
      </c>
      <c r="M241" s="80">
        <f t="shared" si="202"/>
        <v>1.0413823104665724E-3</v>
      </c>
      <c r="N241" s="80">
        <f t="shared" si="202"/>
        <v>1.1668625837264321E-3</v>
      </c>
      <c r="O241" s="80">
        <f t="shared" si="202"/>
        <v>1.9773507926496197E-3</v>
      </c>
      <c r="P241" s="80">
        <f t="shared" si="202"/>
        <v>4.2631435030721591E-3</v>
      </c>
      <c r="Q241" s="80">
        <f t="shared" si="202"/>
        <v>3.3670273638375615E-3</v>
      </c>
      <c r="R241" s="80">
        <f t="shared" si="202"/>
        <v>4.3763515906665657E-3</v>
      </c>
      <c r="S241" s="80">
        <f t="shared" si="202"/>
        <v>2.7827004244596137E-3</v>
      </c>
      <c r="T241" s="80">
        <f t="shared" si="202"/>
        <v>4.7523548026872616E-3</v>
      </c>
      <c r="U241" s="80">
        <f t="shared" si="202"/>
        <v>1.8293846471892392E-2</v>
      </c>
      <c r="V241" s="80">
        <f t="shared" si="202"/>
        <v>2.8296520685985087E-2</v>
      </c>
      <c r="W241" s="80">
        <f t="shared" si="202"/>
        <v>2.8169734845825238E-2</v>
      </c>
      <c r="X241" s="80">
        <f t="shared" si="202"/>
        <v>2.215987607919636E-2</v>
      </c>
      <c r="Y241" s="80">
        <f t="shared" si="202"/>
        <v>1.312097220051163E-2</v>
      </c>
      <c r="Z241" s="80">
        <f t="shared" si="202"/>
        <v>8.0807083016008197E-3</v>
      </c>
      <c r="AA241" s="80">
        <f t="shared" si="202"/>
        <v>8.822874333343049E-3</v>
      </c>
      <c r="AB241" s="80">
        <f t="shared" si="202"/>
        <v>1.9823980329150108E-2</v>
      </c>
      <c r="AC241" s="80">
        <f t="shared" si="202"/>
        <v>3.4000073964106335E-2</v>
      </c>
      <c r="AD241" s="80">
        <f t="shared" si="202"/>
        <v>5.6801352157177895E-2</v>
      </c>
      <c r="AE241" s="80">
        <f t="shared" si="202"/>
        <v>5.4279239982144283E-2</v>
      </c>
      <c r="AF241" s="80">
        <f t="shared" si="202"/>
        <v>6.6631227822392947E-2</v>
      </c>
    </row>
    <row r="242" spans="1:34" x14ac:dyDescent="0.25">
      <c r="B242" s="21">
        <f>(B209-B208)^2</f>
        <v>37.015429800726331</v>
      </c>
      <c r="C242" s="21">
        <f t="shared" ref="C242:AF242" si="203">(C209-C208)^2</f>
        <v>37.464049770681264</v>
      </c>
      <c r="D242" s="21">
        <f t="shared" si="203"/>
        <v>37.189748395298508</v>
      </c>
      <c r="E242" s="21">
        <f t="shared" si="203"/>
        <v>37.106944907370178</v>
      </c>
      <c r="F242" s="21">
        <f t="shared" si="203"/>
        <v>37.081730644967514</v>
      </c>
      <c r="G242" s="21">
        <f t="shared" si="203"/>
        <v>37.071944676177651</v>
      </c>
      <c r="H242" s="21">
        <f t="shared" si="203"/>
        <v>37.071003877292569</v>
      </c>
      <c r="I242" s="21">
        <f t="shared" si="203"/>
        <v>37.068448297908581</v>
      </c>
      <c r="J242" s="21">
        <f t="shared" si="203"/>
        <v>37.068832914412233</v>
      </c>
      <c r="K242" s="21">
        <f t="shared" si="203"/>
        <v>37.079531202637519</v>
      </c>
      <c r="L242" s="21">
        <f t="shared" si="203"/>
        <v>37.174758520696038</v>
      </c>
      <c r="M242" s="21">
        <f t="shared" si="203"/>
        <v>38.137470167077581</v>
      </c>
      <c r="N242" s="21">
        <f t="shared" si="203"/>
        <v>47.844390480764623</v>
      </c>
      <c r="O242" s="21">
        <f t="shared" si="203"/>
        <v>136.39707959996284</v>
      </c>
      <c r="P242" s="21">
        <f t="shared" si="203"/>
        <v>608.73227014811766</v>
      </c>
      <c r="Q242" s="21">
        <f t="shared" si="203"/>
        <v>361.3601212942134</v>
      </c>
      <c r="R242" s="21">
        <f t="shared" si="203"/>
        <v>577.00026422074063</v>
      </c>
      <c r="S242" s="21">
        <f t="shared" si="203"/>
        <v>217.15734633396758</v>
      </c>
      <c r="T242" s="21">
        <f t="shared" si="203"/>
        <v>578.86105481493348</v>
      </c>
      <c r="U242" s="21">
        <f t="shared" si="203"/>
        <v>7589.8271236635564</v>
      </c>
      <c r="V242" s="21">
        <f t="shared" si="203"/>
        <v>15706.007996295359</v>
      </c>
      <c r="W242" s="21">
        <f t="shared" si="203"/>
        <v>13415.651395415885</v>
      </c>
      <c r="X242" s="21">
        <f t="shared" si="203"/>
        <v>7144.1027224489799</v>
      </c>
      <c r="Y242" s="21">
        <f t="shared" si="203"/>
        <v>2130.4407739091671</v>
      </c>
      <c r="Z242" s="21">
        <f t="shared" si="203"/>
        <v>666.66280039128856</v>
      </c>
      <c r="AA242" s="21">
        <f t="shared" si="203"/>
        <v>606.5536520953666</v>
      </c>
      <c r="AB242" s="21">
        <f t="shared" si="203"/>
        <v>2100.995170781689</v>
      </c>
      <c r="AC242" s="21">
        <f t="shared" si="203"/>
        <v>3586.6155098144991</v>
      </c>
      <c r="AD242" s="21">
        <f t="shared" si="203"/>
        <v>4379.6137427117019</v>
      </c>
      <c r="AE242" s="21">
        <f t="shared" si="203"/>
        <v>1414.4129803636579</v>
      </c>
      <c r="AF242" s="21">
        <f t="shared" si="203"/>
        <v>688.82291675176202</v>
      </c>
      <c r="AG242" s="3"/>
      <c r="AH242" s="3"/>
    </row>
    <row r="243" spans="1:34" x14ac:dyDescent="0.25">
      <c r="A243" s="71">
        <f>SUM(B243:AF243)</f>
        <v>62403.589204710865</v>
      </c>
      <c r="B243" s="60">
        <f>IF($A$64&lt;=B207,IF($B$64&gt;=B207,ABS(B242),0),0)</f>
        <v>37.015429800726331</v>
      </c>
      <c r="C243" s="60">
        <f t="shared" ref="C243" si="204">IF($A$64&lt;=C207,IF($B$64&gt;=C207,ABS(C242),0),0)</f>
        <v>37.464049770681264</v>
      </c>
      <c r="D243" s="60">
        <f t="shared" ref="D243" si="205">IF($A$64&lt;=D207,IF($B$64&gt;=D207,ABS(D242),0),0)</f>
        <v>37.189748395298508</v>
      </c>
      <c r="E243" s="60">
        <f t="shared" ref="E243" si="206">IF($A$64&lt;=E207,IF($B$64&gt;=E207,ABS(E242),0),0)</f>
        <v>37.106944907370178</v>
      </c>
      <c r="F243" s="60">
        <f t="shared" ref="F243" si="207">IF($A$64&lt;=F207,IF($B$64&gt;=F207,ABS(F242),0),0)</f>
        <v>37.081730644967514</v>
      </c>
      <c r="G243" s="60">
        <f t="shared" ref="G243" si="208">IF($A$64&lt;=G207,IF($B$64&gt;=G207,ABS(G242),0),0)</f>
        <v>37.071944676177651</v>
      </c>
      <c r="H243" s="60">
        <f t="shared" ref="H243" si="209">IF($A$64&lt;=H207,IF($B$64&gt;=H207,ABS(H242),0),0)</f>
        <v>37.071003877292569</v>
      </c>
      <c r="I243" s="60">
        <f t="shared" ref="I243" si="210">IF($A$64&lt;=I207,IF($B$64&gt;=I207,ABS(I242),0),0)</f>
        <v>37.068448297908581</v>
      </c>
      <c r="J243" s="60">
        <f t="shared" ref="J243" si="211">IF($A$64&lt;=J207,IF($B$64&gt;=J207,ABS(J242),0),0)</f>
        <v>37.068832914412233</v>
      </c>
      <c r="K243" s="60">
        <f t="shared" ref="K243" si="212">IF($A$64&lt;=K207,IF($B$64&gt;=K207,ABS(K242),0),0)</f>
        <v>37.079531202637519</v>
      </c>
      <c r="L243" s="60">
        <f t="shared" ref="L243" si="213">IF($A$64&lt;=L207,IF($B$64&gt;=L207,ABS(L242),0),0)</f>
        <v>37.174758520696038</v>
      </c>
      <c r="M243" s="60">
        <f t="shared" ref="M243" si="214">IF($A$64&lt;=M207,IF($B$64&gt;=M207,ABS(M242),0),0)</f>
        <v>38.137470167077581</v>
      </c>
      <c r="N243" s="60">
        <f t="shared" ref="N243" si="215">IF($A$64&lt;=N207,IF($B$64&gt;=N207,ABS(N242),0),0)</f>
        <v>47.844390480764623</v>
      </c>
      <c r="O243" s="60">
        <f t="shared" ref="O243" si="216">IF($A$64&lt;=O207,IF($B$64&gt;=O207,ABS(O242),0),0)</f>
        <v>136.39707959996284</v>
      </c>
      <c r="P243" s="60">
        <f t="shared" ref="P243" si="217">IF($A$64&lt;=P207,IF($B$64&gt;=P207,ABS(P242),0),0)</f>
        <v>608.73227014811766</v>
      </c>
      <c r="Q243" s="60">
        <f t="shared" ref="Q243" si="218">IF($A$64&lt;=Q207,IF($B$64&gt;=Q207,ABS(Q242),0),0)</f>
        <v>361.3601212942134</v>
      </c>
      <c r="R243" s="60">
        <f t="shared" ref="R243" si="219">IF($A$64&lt;=R207,IF($B$64&gt;=R207,ABS(R242),0),0)</f>
        <v>577.00026422074063</v>
      </c>
      <c r="S243" s="60">
        <f t="shared" ref="S243" si="220">IF($A$64&lt;=S207,IF($B$64&gt;=S207,ABS(S242),0),0)</f>
        <v>217.15734633396758</v>
      </c>
      <c r="T243" s="60">
        <f t="shared" ref="T243" si="221">IF($A$64&lt;=T207,IF($B$64&gt;=T207,ABS(T242),0),0)</f>
        <v>578.86105481493348</v>
      </c>
      <c r="U243" s="60">
        <f t="shared" ref="U243" si="222">IF($A$64&lt;=U207,IF($B$64&gt;=U207,ABS(U242),0),0)</f>
        <v>7589.8271236635564</v>
      </c>
      <c r="V243" s="60">
        <f t="shared" ref="V243" si="223">IF($A$64&lt;=V207,IF($B$64&gt;=V207,ABS(V242),0),0)</f>
        <v>15706.007996295359</v>
      </c>
      <c r="W243" s="60">
        <f t="shared" ref="W243" si="224">IF($A$64&lt;=W207,IF($B$64&gt;=W207,ABS(W242),0),0)</f>
        <v>13415.651395415885</v>
      </c>
      <c r="X243" s="60">
        <f t="shared" ref="X243" si="225">IF($A$64&lt;=X207,IF($B$64&gt;=X207,ABS(X242),0),0)</f>
        <v>7144.1027224489799</v>
      </c>
      <c r="Y243" s="60">
        <f t="shared" ref="Y243" si="226">IF($A$64&lt;=Y207,IF($B$64&gt;=Y207,ABS(Y242),0),0)</f>
        <v>2130.4407739091671</v>
      </c>
      <c r="Z243" s="60">
        <f t="shared" ref="Z243" si="227">IF($A$64&lt;=Z207,IF($B$64&gt;=Z207,ABS(Z242),0),0)</f>
        <v>666.66280039128856</v>
      </c>
      <c r="AA243" s="60">
        <f t="shared" ref="AA243" si="228">IF($A$64&lt;=AA207,IF($B$64&gt;=AA207,ABS(AA242),0),0)</f>
        <v>606.5536520953666</v>
      </c>
      <c r="AB243" s="60">
        <f t="shared" ref="AB243" si="229">IF($A$64&lt;=AB207,IF($B$64&gt;=AB207,ABS(AB242),0),0)</f>
        <v>2100.995170781689</v>
      </c>
      <c r="AC243" s="60">
        <f t="shared" ref="AC243" si="230">IF($A$64&lt;=AC207,IF($B$64&gt;=AC207,ABS(AC242),0),0)</f>
        <v>3586.6155098144991</v>
      </c>
      <c r="AD243" s="60">
        <f t="shared" ref="AD243" si="231">IF($A$64&lt;=AD207,IF($B$64&gt;=AD207,ABS(AD242),0),0)</f>
        <v>4379.6137427117019</v>
      </c>
      <c r="AE243" s="60">
        <f t="shared" ref="AE243" si="232">IF($A$64&lt;=AE207,IF($B$64&gt;=AE207,ABS(AE242),0),0)</f>
        <v>1414.4129803636579</v>
      </c>
      <c r="AF243" s="60">
        <f t="shared" ref="AF243" si="233">IF($A$64&lt;=AF207,IF($B$64&gt;=AF207,ABS(AF242),0),0)</f>
        <v>688.82291675176202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0" t="s">
        <v>22</v>
      </c>
      <c r="B248" s="27">
        <f>($C$17+SUM(B249:B279))*$B$51</f>
        <v>5924.3223454607651</v>
      </c>
      <c r="C248" s="27">
        <f t="shared" ref="C248:AF248" si="234">($C$17+SUM(C249:C279))*$B$51</f>
        <v>5924.3223454382805</v>
      </c>
      <c r="D248" s="27">
        <f t="shared" si="234"/>
        <v>5924.3223452134289</v>
      </c>
      <c r="E248" s="27">
        <f t="shared" si="234"/>
        <v>5924.3223429649152</v>
      </c>
      <c r="F248" s="27">
        <f t="shared" si="234"/>
        <v>5924.3223204797951</v>
      </c>
      <c r="G248" s="27">
        <f t="shared" si="234"/>
        <v>5924.3220956289151</v>
      </c>
      <c r="H248" s="27">
        <f t="shared" si="234"/>
        <v>5924.3198471529422</v>
      </c>
      <c r="I248" s="27">
        <f t="shared" si="234"/>
        <v>5924.2973656758404</v>
      </c>
      <c r="J248" s="27">
        <f t="shared" si="234"/>
        <v>5924.0728782335236</v>
      </c>
      <c r="K248" s="27">
        <f t="shared" si="234"/>
        <v>5921.8598280734795</v>
      </c>
      <c r="L248" s="27">
        <f t="shared" si="234"/>
        <v>5902.205440688469</v>
      </c>
      <c r="M248" s="27">
        <f t="shared" si="234"/>
        <v>5789.3162308677602</v>
      </c>
      <c r="N248" s="27">
        <f t="shared" si="234"/>
        <v>5647.0540517230666</v>
      </c>
      <c r="O248" s="27">
        <f t="shared" si="234"/>
        <v>5493.7940739593587</v>
      </c>
      <c r="P248" s="27">
        <f t="shared" si="234"/>
        <v>5309.503061799026</v>
      </c>
      <c r="Q248" s="27">
        <f t="shared" si="234"/>
        <v>5117.4161095172922</v>
      </c>
      <c r="R248" s="27">
        <f t="shared" si="234"/>
        <v>4888.6542048577921</v>
      </c>
      <c r="S248" s="27">
        <f t="shared" si="234"/>
        <v>4599.3187467877951</v>
      </c>
      <c r="T248" s="27">
        <f t="shared" si="234"/>
        <v>4272.2785545600727</v>
      </c>
      <c r="U248" s="27">
        <f t="shared" si="234"/>
        <v>3941.1708251348787</v>
      </c>
      <c r="V248" s="27">
        <f t="shared" si="234"/>
        <v>3608.4639270382295</v>
      </c>
      <c r="W248" s="27">
        <f t="shared" si="234"/>
        <v>3262.5331421148539</v>
      </c>
      <c r="X248" s="27">
        <f t="shared" si="234"/>
        <v>2841.2828545849916</v>
      </c>
      <c r="Y248" s="27">
        <f t="shared" si="234"/>
        <v>2350.3660159828432</v>
      </c>
      <c r="Z248" s="27">
        <f t="shared" si="234"/>
        <v>1794.249571184014</v>
      </c>
      <c r="AA248" s="27">
        <f t="shared" si="234"/>
        <v>1192.7064837823684</v>
      </c>
      <c r="AB248" s="27">
        <f t="shared" si="234"/>
        <v>712.54148452147706</v>
      </c>
      <c r="AC248" s="27">
        <f t="shared" si="234"/>
        <v>405.78203280541516</v>
      </c>
      <c r="AD248" s="27">
        <f t="shared" si="234"/>
        <v>227.74346630122903</v>
      </c>
      <c r="AE248" s="27">
        <f t="shared" si="234"/>
        <v>157.27659927298046</v>
      </c>
      <c r="AF248" s="27">
        <f t="shared" si="234"/>
        <v>137.32628115224907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2.7932508622604787E-5</v>
      </c>
      <c r="B280" s="80">
        <f>IF($D$61&lt;=B246,IF($E$61&gt;=B246,ABS((B248-B247)/B247),0),0)</f>
        <v>5.8822277032040659E-6</v>
      </c>
      <c r="C280" s="80">
        <f t="shared" ref="C280:AF280" si="266">IF($D$61&lt;=C246,IF($E$61&gt;=C246,ABS((C248-C247)/C247),0),0)</f>
        <v>3.1292460194521538E-7</v>
      </c>
      <c r="D280" s="80">
        <f t="shared" si="266"/>
        <v>3.4718330909384375E-6</v>
      </c>
      <c r="E280" s="80">
        <f t="shared" si="266"/>
        <v>4.6156940943663304E-6</v>
      </c>
      <c r="F280" s="80">
        <f t="shared" si="266"/>
        <v>4.9605873708739145E-6</v>
      </c>
      <c r="G280" s="80">
        <f t="shared" si="266"/>
        <v>5.0715877099317177E-6</v>
      </c>
      <c r="H280" s="80">
        <f t="shared" si="266"/>
        <v>5.1016771463554579E-6</v>
      </c>
      <c r="I280" s="80">
        <f t="shared" si="266"/>
        <v>4.847917211459166E-6</v>
      </c>
      <c r="J280" s="80">
        <f t="shared" si="266"/>
        <v>2.3437827562121742E-6</v>
      </c>
      <c r="K280" s="80">
        <f t="shared" si="266"/>
        <v>1.9690987949275783E-5</v>
      </c>
      <c r="L280" s="80">
        <f t="shared" si="266"/>
        <v>5.6890513971184819E-5</v>
      </c>
      <c r="M280" s="80">
        <f t="shared" si="266"/>
        <v>9.4513887548242374E-5</v>
      </c>
      <c r="N280" s="80">
        <f t="shared" si="266"/>
        <v>1.2298056803359067E-4</v>
      </c>
      <c r="O280" s="80">
        <f t="shared" si="266"/>
        <v>1.2985679469243889E-4</v>
      </c>
      <c r="P280" s="80">
        <f t="shared" si="266"/>
        <v>1.2606127474142767E-4</v>
      </c>
      <c r="Q280" s="80">
        <f t="shared" si="266"/>
        <v>9.7279463750948601E-5</v>
      </c>
      <c r="R280" s="80">
        <f t="shared" si="266"/>
        <v>7.2210643701427638E-5</v>
      </c>
      <c r="S280" s="80">
        <f t="shared" si="266"/>
        <v>3.8653242421412938E-5</v>
      </c>
      <c r="T280" s="80">
        <f t="shared" si="266"/>
        <v>2.6697501521095692E-5</v>
      </c>
      <c r="U280" s="80">
        <f t="shared" si="266"/>
        <v>6.0428549461299315E-6</v>
      </c>
      <c r="V280" s="80">
        <f t="shared" si="266"/>
        <v>8.6200376858590996E-6</v>
      </c>
      <c r="W280" s="80">
        <f t="shared" si="266"/>
        <v>4.0054269599130844E-6</v>
      </c>
      <c r="X280" s="80">
        <f t="shared" si="266"/>
        <v>1.1165000795255913E-5</v>
      </c>
      <c r="Y280" s="80">
        <f t="shared" si="266"/>
        <v>1.4631336897258769E-5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1.2143836643044629E-3</v>
      </c>
      <c r="C281" s="21">
        <f t="shared" ref="C281:AF281" si="267">(C248-C247)^2</f>
        <v>3.4368220819685066E-6</v>
      </c>
      <c r="D281" s="21">
        <f t="shared" si="267"/>
        <v>4.2305031441779829E-4</v>
      </c>
      <c r="E281" s="21">
        <f t="shared" si="267"/>
        <v>7.4773444671986E-4</v>
      </c>
      <c r="F281" s="21">
        <f t="shared" si="267"/>
        <v>8.6365293955420225E-4</v>
      </c>
      <c r="G281" s="21">
        <f t="shared" si="267"/>
        <v>9.0273608139729658E-4</v>
      </c>
      <c r="H281" s="21">
        <f t="shared" si="267"/>
        <v>9.1347887103697617E-4</v>
      </c>
      <c r="I281" s="21">
        <f t="shared" si="267"/>
        <v>8.2485930432423102E-4</v>
      </c>
      <c r="J281" s="21">
        <f t="shared" si="267"/>
        <v>1.9278509724571813E-4</v>
      </c>
      <c r="K281" s="21">
        <f t="shared" si="267"/>
        <v>1.3597791038840942E-2</v>
      </c>
      <c r="L281" s="21">
        <f t="shared" si="267"/>
        <v>0.11276070301216173</v>
      </c>
      <c r="M281" s="21">
        <f t="shared" si="267"/>
        <v>0.29933927990351278</v>
      </c>
      <c r="N281" s="21">
        <f t="shared" si="267"/>
        <v>0.48241822325703898</v>
      </c>
      <c r="O281" s="21">
        <f t="shared" si="267"/>
        <v>0.50881666357163335</v>
      </c>
      <c r="P281" s="21">
        <f t="shared" si="267"/>
        <v>0.44810587962487369</v>
      </c>
      <c r="Q281" s="21">
        <f t="shared" si="267"/>
        <v>0.24777604014128485</v>
      </c>
      <c r="R281" s="21">
        <f t="shared" si="267"/>
        <v>0.12463608369765301</v>
      </c>
      <c r="S281" s="21">
        <f t="shared" si="267"/>
        <v>3.1602781246052036E-2</v>
      </c>
      <c r="T281" s="21">
        <f t="shared" si="267"/>
        <v>1.3010187381638959E-2</v>
      </c>
      <c r="U281" s="21">
        <f t="shared" si="267"/>
        <v>5.6719136266687731E-4</v>
      </c>
      <c r="V281" s="21">
        <f t="shared" si="267"/>
        <v>9.6754361784647891E-4</v>
      </c>
      <c r="W281" s="21">
        <f t="shared" si="267"/>
        <v>1.7076976336190744E-4</v>
      </c>
      <c r="X281" s="21">
        <f t="shared" si="267"/>
        <v>1.0063664635947486E-3</v>
      </c>
      <c r="Y281" s="21">
        <f t="shared" si="267"/>
        <v>1.1826377223603086E-3</v>
      </c>
      <c r="Z281" s="21">
        <f t="shared" si="267"/>
        <v>9.1224395339641723E-4</v>
      </c>
      <c r="AA281" s="21">
        <f t="shared" si="267"/>
        <v>2.1285234146496868E-3</v>
      </c>
      <c r="AB281" s="21">
        <f t="shared" si="267"/>
        <v>4.2389225830334176E-4</v>
      </c>
      <c r="AC281" s="21">
        <f t="shared" si="267"/>
        <v>1.3165581387714973E-4</v>
      </c>
      <c r="AD281" s="21">
        <f t="shared" si="267"/>
        <v>1.7002732758236038E-4</v>
      </c>
      <c r="AE281" s="21">
        <f t="shared" si="267"/>
        <v>3.0923082073333251E-6</v>
      </c>
      <c r="AF281" s="21">
        <f t="shared" si="267"/>
        <v>4.0840411933594537E-6</v>
      </c>
      <c r="AG281" s="3"/>
      <c r="AH281" s="3"/>
    </row>
    <row r="282" spans="1:34" s="3" customFormat="1" x14ac:dyDescent="0.25">
      <c r="A282" s="71">
        <f>SUM(B282:AF282)</f>
        <v>2.2920442593456034</v>
      </c>
      <c r="B282" s="21">
        <f>IF($D$61&lt;=B246,IF($E$61&gt;=B246,ABS(B281),0),0)</f>
        <v>1.2143836643044629E-3</v>
      </c>
      <c r="C282" s="21">
        <f t="shared" ref="C282:AF282" si="268">IF($D$61&lt;=C246,IF($E$61&gt;=C246,ABS(C281),0),0)</f>
        <v>3.4368220819685066E-6</v>
      </c>
      <c r="D282" s="21">
        <f t="shared" si="268"/>
        <v>4.2305031441779829E-4</v>
      </c>
      <c r="E282" s="21">
        <f t="shared" si="268"/>
        <v>7.4773444671986E-4</v>
      </c>
      <c r="F282" s="21">
        <f t="shared" si="268"/>
        <v>8.6365293955420225E-4</v>
      </c>
      <c r="G282" s="21">
        <f t="shared" si="268"/>
        <v>9.0273608139729658E-4</v>
      </c>
      <c r="H282" s="21">
        <f t="shared" si="268"/>
        <v>9.1347887103697617E-4</v>
      </c>
      <c r="I282" s="21">
        <f t="shared" si="268"/>
        <v>8.2485930432423102E-4</v>
      </c>
      <c r="J282" s="21">
        <f t="shared" si="268"/>
        <v>1.9278509724571813E-4</v>
      </c>
      <c r="K282" s="21">
        <f t="shared" si="268"/>
        <v>1.3597791038840942E-2</v>
      </c>
      <c r="L282" s="21">
        <f t="shared" si="268"/>
        <v>0.11276070301216173</v>
      </c>
      <c r="M282" s="21">
        <f t="shared" si="268"/>
        <v>0.29933927990351278</v>
      </c>
      <c r="N282" s="21">
        <f t="shared" si="268"/>
        <v>0.48241822325703898</v>
      </c>
      <c r="O282" s="21">
        <f t="shared" si="268"/>
        <v>0.50881666357163335</v>
      </c>
      <c r="P282" s="21">
        <f t="shared" si="268"/>
        <v>0.44810587962487369</v>
      </c>
      <c r="Q282" s="21">
        <f t="shared" si="268"/>
        <v>0.24777604014128485</v>
      </c>
      <c r="R282" s="21">
        <f t="shared" si="268"/>
        <v>0.12463608369765301</v>
      </c>
      <c r="S282" s="21">
        <f t="shared" si="268"/>
        <v>3.1602781246052036E-2</v>
      </c>
      <c r="T282" s="21">
        <f t="shared" si="268"/>
        <v>1.3010187381638959E-2</v>
      </c>
      <c r="U282" s="21">
        <f t="shared" si="268"/>
        <v>5.6719136266687731E-4</v>
      </c>
      <c r="V282" s="21">
        <f t="shared" si="268"/>
        <v>9.6754361784647891E-4</v>
      </c>
      <c r="W282" s="21">
        <f t="shared" si="268"/>
        <v>1.7076976336190744E-4</v>
      </c>
      <c r="X282" s="21">
        <f t="shared" si="268"/>
        <v>1.0063664635947486E-3</v>
      </c>
      <c r="Y282" s="21">
        <f t="shared" si="268"/>
        <v>1.1826377223603086E-3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0" t="s">
        <v>22</v>
      </c>
      <c r="B287" s="27">
        <f>($C$17+SUM(B288:B318))*$B$51</f>
        <v>5924.321912063644</v>
      </c>
      <c r="C287" s="27">
        <f t="shared" ref="C287:AF287" si="269">($C$17+SUM(C288:C318))*$B$51</f>
        <v>5924.3180115668765</v>
      </c>
      <c r="D287" s="27">
        <f t="shared" si="269"/>
        <v>5924.2790164754879</v>
      </c>
      <c r="E287" s="27">
        <f t="shared" si="269"/>
        <v>5923.8900483272373</v>
      </c>
      <c r="F287" s="27">
        <f t="shared" si="269"/>
        <v>5920.0940024943375</v>
      </c>
      <c r="G287" s="27">
        <f t="shared" si="269"/>
        <v>5888.4258875195846</v>
      </c>
      <c r="H287" s="27">
        <f t="shared" si="269"/>
        <v>5745.6110296576971</v>
      </c>
      <c r="I287" s="27">
        <f t="shared" si="269"/>
        <v>5612.6713463634669</v>
      </c>
      <c r="J287" s="27">
        <f t="shared" si="269"/>
        <v>5444.8287627305854</v>
      </c>
      <c r="K287" s="27">
        <f t="shared" si="269"/>
        <v>5260.8783476217568</v>
      </c>
      <c r="L287" s="27">
        <f t="shared" si="269"/>
        <v>5064.5984943781405</v>
      </c>
      <c r="M287" s="27">
        <f t="shared" si="269"/>
        <v>4820.7838527865269</v>
      </c>
      <c r="N287" s="27">
        <f t="shared" si="269"/>
        <v>4521.3615942898577</v>
      </c>
      <c r="O287" s="27">
        <f t="shared" si="269"/>
        <v>4194.8407002807708</v>
      </c>
      <c r="P287" s="27">
        <f t="shared" si="269"/>
        <v>3867.7886386816922</v>
      </c>
      <c r="Q287" s="27">
        <f t="shared" si="269"/>
        <v>3531.6822648519296</v>
      </c>
      <c r="R287" s="27">
        <f t="shared" si="269"/>
        <v>3191.000272711336</v>
      </c>
      <c r="S287" s="27">
        <f t="shared" si="269"/>
        <v>2718.3714433792516</v>
      </c>
      <c r="T287" s="27">
        <f t="shared" si="269"/>
        <v>2210.0346039323917</v>
      </c>
      <c r="U287" s="27">
        <f t="shared" si="269"/>
        <v>1639.4925854806474</v>
      </c>
      <c r="V287" s="27">
        <f t="shared" si="269"/>
        <v>1038.5783340437279</v>
      </c>
      <c r="W287" s="27">
        <f t="shared" si="269"/>
        <v>618.15405733955788</v>
      </c>
      <c r="X287" s="27">
        <f t="shared" si="269"/>
        <v>343.41969865821699</v>
      </c>
      <c r="Y287" s="27">
        <f t="shared" si="269"/>
        <v>199.57342258556807</v>
      </c>
      <c r="Z287" s="27">
        <f t="shared" si="269"/>
        <v>149.44077549568993</v>
      </c>
      <c r="AA287" s="27">
        <f t="shared" si="269"/>
        <v>133.02303503161795</v>
      </c>
      <c r="AB287" s="27">
        <f t="shared" si="269"/>
        <v>89.501575132428584</v>
      </c>
      <c r="AC287" s="27">
        <f t="shared" si="269"/>
        <v>77.972136632751031</v>
      </c>
      <c r="AD287" s="27">
        <f t="shared" si="269"/>
        <v>77.972134725678558</v>
      </c>
      <c r="AE287" s="27">
        <f t="shared" si="269"/>
        <v>77.972134725678558</v>
      </c>
      <c r="AF287" s="27">
        <f t="shared" si="269"/>
        <v>77.972134725678558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7.2067927380990632E-2</v>
      </c>
      <c r="B319" s="80">
        <f>IF($A$64&lt;=B285,IF($B$64&gt;=B285,ABS((B287-B286)/B286),0),0)</f>
        <v>1.2896299420176716E-3</v>
      </c>
      <c r="C319" s="80">
        <f t="shared" ref="C319:AF319" si="301">IF($A$64&lt;=C285,IF($B$64&gt;=C285,ABS((C287-C286)/C286),0),0)</f>
        <v>1.2836997555339901E-3</v>
      </c>
      <c r="D319" s="80">
        <f t="shared" si="301"/>
        <v>1.2903219331548332E-3</v>
      </c>
      <c r="E319" s="80">
        <f t="shared" si="301"/>
        <v>1.3197622731507964E-3</v>
      </c>
      <c r="F319" s="80">
        <f t="shared" si="301"/>
        <v>1.602030614077822E-3</v>
      </c>
      <c r="G319" s="80">
        <f t="shared" si="301"/>
        <v>3.9871019497986718E-3</v>
      </c>
      <c r="H319" s="80">
        <f t="shared" si="301"/>
        <v>4.0429862310043556E-3</v>
      </c>
      <c r="I319" s="80">
        <f t="shared" si="301"/>
        <v>6.4024511654383262E-3</v>
      </c>
      <c r="J319" s="80">
        <f t="shared" si="301"/>
        <v>6.3311078548779296E-3</v>
      </c>
      <c r="K319" s="80">
        <f t="shared" si="301"/>
        <v>8.5792847205800292E-3</v>
      </c>
      <c r="L319" s="80">
        <f t="shared" si="301"/>
        <v>9.1906928853432383E-3</v>
      </c>
      <c r="M319" s="80">
        <f t="shared" si="301"/>
        <v>1.0372633649862831E-2</v>
      </c>
      <c r="N319" s="80">
        <f t="shared" si="301"/>
        <v>4.2425948881966826E-3</v>
      </c>
      <c r="O319" s="80">
        <f t="shared" si="301"/>
        <v>1.0625630900614158E-2</v>
      </c>
      <c r="P319" s="80">
        <f t="shared" si="301"/>
        <v>2.2912603601421652E-2</v>
      </c>
      <c r="Q319" s="80">
        <f t="shared" si="301"/>
        <v>3.4997547803359598E-2</v>
      </c>
      <c r="R319" s="80">
        <f t="shared" si="301"/>
        <v>2.3599411097076518E-2</v>
      </c>
      <c r="S319" s="80">
        <f t="shared" si="301"/>
        <v>1.8271912121769721E-2</v>
      </c>
      <c r="T319" s="80">
        <f t="shared" si="301"/>
        <v>2.4662786017610027E-3</v>
      </c>
      <c r="U319" s="80">
        <f t="shared" si="301"/>
        <v>3.3432050897673878E-2</v>
      </c>
      <c r="V319" s="80">
        <f t="shared" si="301"/>
        <v>3.8554138135911339E-2</v>
      </c>
      <c r="W319" s="80">
        <f t="shared" si="301"/>
        <v>7.3171819191501675E-2</v>
      </c>
      <c r="X319" s="80">
        <f t="shared" si="301"/>
        <v>6.7183287614640846E-2</v>
      </c>
      <c r="Y319" s="80">
        <f t="shared" si="301"/>
        <v>6.21383081470753E-2</v>
      </c>
      <c r="Z319" s="80">
        <f t="shared" si="301"/>
        <v>2.1297328380498533E-2</v>
      </c>
      <c r="AA319" s="80">
        <f t="shared" si="301"/>
        <v>2.6188404283128586E-3</v>
      </c>
      <c r="AB319" s="80">
        <f t="shared" si="301"/>
        <v>0.2787521040335264</v>
      </c>
      <c r="AC319" s="80">
        <f t="shared" si="301"/>
        <v>0.37105146512575843</v>
      </c>
      <c r="AD319" s="80">
        <f t="shared" si="301"/>
        <v>0.37104123719809567</v>
      </c>
      <c r="AE319" s="80">
        <f t="shared" si="301"/>
        <v>0.37103265135217472</v>
      </c>
      <c r="AF319" s="80">
        <f t="shared" si="301"/>
        <v>0.37102483631649996</v>
      </c>
    </row>
    <row r="320" spans="1:34" x14ac:dyDescent="0.25">
      <c r="B320" s="21">
        <f>(B287-B286)^2</f>
        <v>58.222128279697607</v>
      </c>
      <c r="C320" s="21">
        <f t="shared" ref="C320:AF320" si="302">(C287-C286)^2</f>
        <v>57.688513795696913</v>
      </c>
      <c r="D320" s="21">
        <f t="shared" si="302"/>
        <v>58.283702250952224</v>
      </c>
      <c r="E320" s="21">
        <f t="shared" si="302"/>
        <v>60.962086366824778</v>
      </c>
      <c r="F320" s="21">
        <f t="shared" si="302"/>
        <v>89.662002641015107</v>
      </c>
      <c r="G320" s="21">
        <f t="shared" si="302"/>
        <v>546.83567650518808</v>
      </c>
      <c r="H320" s="21">
        <f t="shared" si="302"/>
        <v>535.26932299545217</v>
      </c>
      <c r="I320" s="21">
        <f t="shared" si="302"/>
        <v>1274.9360535395751</v>
      </c>
      <c r="J320" s="21">
        <f t="shared" si="302"/>
        <v>1173.3999904705427</v>
      </c>
      <c r="K320" s="21">
        <f t="shared" si="302"/>
        <v>2002.620201267152</v>
      </c>
      <c r="L320" s="21">
        <f t="shared" si="302"/>
        <v>2127.3555364103677</v>
      </c>
      <c r="M320" s="21">
        <f t="shared" si="302"/>
        <v>2449.3466195815677</v>
      </c>
      <c r="N320" s="21">
        <f t="shared" si="302"/>
        <v>364.85838768673091</v>
      </c>
      <c r="O320" s="21">
        <f t="shared" si="302"/>
        <v>2029.6403459920548</v>
      </c>
      <c r="P320" s="21">
        <f t="shared" si="302"/>
        <v>8226.3565226621467</v>
      </c>
      <c r="Q320" s="21">
        <f t="shared" si="302"/>
        <v>16405.204400767903</v>
      </c>
      <c r="R320" s="21">
        <f t="shared" si="302"/>
        <v>5948.3970363242488</v>
      </c>
      <c r="S320" s="21">
        <f t="shared" si="302"/>
        <v>2559.7830617140439</v>
      </c>
      <c r="T320" s="21">
        <f t="shared" si="302"/>
        <v>29.562616677271777</v>
      </c>
      <c r="U320" s="21">
        <f t="shared" si="302"/>
        <v>2813.0736273102461</v>
      </c>
      <c r="V320" s="21">
        <f t="shared" si="302"/>
        <v>1486.490828574508</v>
      </c>
      <c r="W320" s="21">
        <f t="shared" si="302"/>
        <v>1776.4076456061716</v>
      </c>
      <c r="X320" s="21">
        <f t="shared" si="302"/>
        <v>467.40664155885582</v>
      </c>
      <c r="Y320" s="21">
        <f t="shared" si="302"/>
        <v>136.32079617461363</v>
      </c>
      <c r="Z320" s="21">
        <f t="shared" si="302"/>
        <v>9.7114502129584253</v>
      </c>
      <c r="AA320" s="21">
        <f t="shared" si="302"/>
        <v>0.12072578991346967</v>
      </c>
      <c r="AB320" s="21">
        <f t="shared" si="302"/>
        <v>1196.5436513442708</v>
      </c>
      <c r="AC320" s="21">
        <f t="shared" si="302"/>
        <v>2116.0062799723437</v>
      </c>
      <c r="AD320" s="21">
        <f t="shared" si="302"/>
        <v>2115.8207085726326</v>
      </c>
      <c r="AE320" s="21">
        <f t="shared" si="302"/>
        <v>2115.6650282651894</v>
      </c>
      <c r="AF320" s="21">
        <f t="shared" si="302"/>
        <v>2115.5233331203776</v>
      </c>
      <c r="AG320" s="3"/>
      <c r="AH320" s="3"/>
    </row>
    <row r="321" spans="1:34" x14ac:dyDescent="0.25">
      <c r="A321" s="71">
        <f>SUM(B321:AF321)</f>
        <v>62347.474922430512</v>
      </c>
      <c r="B321" s="60">
        <f>IF($A$64&lt;=B285,IF($B$64&gt;=B285,ABS(B320),0),0)</f>
        <v>58.222128279697607</v>
      </c>
      <c r="C321" s="60">
        <f t="shared" ref="C321" si="303">IF($A$64&lt;=C285,IF($B$64&gt;=C285,ABS(C320),0),0)</f>
        <v>57.688513795696913</v>
      </c>
      <c r="D321" s="60">
        <f t="shared" ref="D321" si="304">IF($A$64&lt;=D285,IF($B$64&gt;=D285,ABS(D320),0),0)</f>
        <v>58.283702250952224</v>
      </c>
      <c r="E321" s="60">
        <f t="shared" ref="E321" si="305">IF($A$64&lt;=E285,IF($B$64&gt;=E285,ABS(E320),0),0)</f>
        <v>60.962086366824778</v>
      </c>
      <c r="F321" s="60">
        <f t="shared" ref="F321" si="306">IF($A$64&lt;=F285,IF($B$64&gt;=F285,ABS(F320),0),0)</f>
        <v>89.662002641015107</v>
      </c>
      <c r="G321" s="60">
        <f t="shared" ref="G321" si="307">IF($A$64&lt;=G285,IF($B$64&gt;=G285,ABS(G320),0),0)</f>
        <v>546.83567650518808</v>
      </c>
      <c r="H321" s="60">
        <f t="shared" ref="H321" si="308">IF($A$64&lt;=H285,IF($B$64&gt;=H285,ABS(H320),0),0)</f>
        <v>535.26932299545217</v>
      </c>
      <c r="I321" s="60">
        <f t="shared" ref="I321" si="309">IF($A$64&lt;=I285,IF($B$64&gt;=I285,ABS(I320),0),0)</f>
        <v>1274.9360535395751</v>
      </c>
      <c r="J321" s="60">
        <f t="shared" ref="J321" si="310">IF($A$64&lt;=J285,IF($B$64&gt;=J285,ABS(J320),0),0)</f>
        <v>1173.3999904705427</v>
      </c>
      <c r="K321" s="60">
        <f t="shared" ref="K321" si="311">IF($A$64&lt;=K285,IF($B$64&gt;=K285,ABS(K320),0),0)</f>
        <v>2002.620201267152</v>
      </c>
      <c r="L321" s="60">
        <f t="shared" ref="L321" si="312">IF($A$64&lt;=L285,IF($B$64&gt;=L285,ABS(L320),0),0)</f>
        <v>2127.3555364103677</v>
      </c>
      <c r="M321" s="60">
        <f t="shared" ref="M321" si="313">IF($A$64&lt;=M285,IF($B$64&gt;=M285,ABS(M320),0),0)</f>
        <v>2449.3466195815677</v>
      </c>
      <c r="N321" s="60">
        <f t="shared" ref="N321" si="314">IF($A$64&lt;=N285,IF($B$64&gt;=N285,ABS(N320),0),0)</f>
        <v>364.85838768673091</v>
      </c>
      <c r="O321" s="60">
        <f t="shared" ref="O321" si="315">IF($A$64&lt;=O285,IF($B$64&gt;=O285,ABS(O320),0),0)</f>
        <v>2029.6403459920548</v>
      </c>
      <c r="P321" s="60">
        <f t="shared" ref="P321" si="316">IF($A$64&lt;=P285,IF($B$64&gt;=P285,ABS(P320),0),0)</f>
        <v>8226.3565226621467</v>
      </c>
      <c r="Q321" s="60">
        <f t="shared" ref="Q321" si="317">IF($A$64&lt;=Q285,IF($B$64&gt;=Q285,ABS(Q320),0),0)</f>
        <v>16405.204400767903</v>
      </c>
      <c r="R321" s="60">
        <f t="shared" ref="R321" si="318">IF($A$64&lt;=R285,IF($B$64&gt;=R285,ABS(R320),0),0)</f>
        <v>5948.3970363242488</v>
      </c>
      <c r="S321" s="60">
        <f t="shared" ref="S321" si="319">IF($A$64&lt;=S285,IF($B$64&gt;=S285,ABS(S320),0),0)</f>
        <v>2559.7830617140439</v>
      </c>
      <c r="T321" s="60">
        <f t="shared" ref="T321" si="320">IF($A$64&lt;=T285,IF($B$64&gt;=T285,ABS(T320),0),0)</f>
        <v>29.562616677271777</v>
      </c>
      <c r="U321" s="60">
        <f t="shared" ref="U321" si="321">IF($A$64&lt;=U285,IF($B$64&gt;=U285,ABS(U320),0),0)</f>
        <v>2813.0736273102461</v>
      </c>
      <c r="V321" s="60">
        <f t="shared" ref="V321" si="322">IF($A$64&lt;=V285,IF($B$64&gt;=V285,ABS(V320),0),0)</f>
        <v>1486.490828574508</v>
      </c>
      <c r="W321" s="60">
        <f t="shared" ref="W321" si="323">IF($A$64&lt;=W285,IF($B$64&gt;=W285,ABS(W320),0),0)</f>
        <v>1776.4076456061716</v>
      </c>
      <c r="X321" s="60">
        <f t="shared" ref="X321" si="324">IF($A$64&lt;=X285,IF($B$64&gt;=X285,ABS(X320),0),0)</f>
        <v>467.40664155885582</v>
      </c>
      <c r="Y321" s="60">
        <f t="shared" ref="Y321" si="325">IF($A$64&lt;=Y285,IF($B$64&gt;=Y285,ABS(Y320),0),0)</f>
        <v>136.32079617461363</v>
      </c>
      <c r="Z321" s="60">
        <f t="shared" ref="Z321" si="326">IF($A$64&lt;=Z285,IF($B$64&gt;=Z285,ABS(Z320),0),0)</f>
        <v>9.7114502129584253</v>
      </c>
      <c r="AA321" s="60">
        <f t="shared" ref="AA321" si="327">IF($A$64&lt;=AA285,IF($B$64&gt;=AA285,ABS(AA320),0),0)</f>
        <v>0.12072578991346967</v>
      </c>
      <c r="AB321" s="60">
        <f t="shared" ref="AB321" si="328">IF($A$64&lt;=AB285,IF($B$64&gt;=AB285,ABS(AB320),0),0)</f>
        <v>1196.5436513442708</v>
      </c>
      <c r="AC321" s="60">
        <f t="shared" ref="AC321" si="329">IF($A$64&lt;=AC285,IF($B$64&gt;=AC285,ABS(AC320),0),0)</f>
        <v>2116.0062799723437</v>
      </c>
      <c r="AD321" s="60">
        <f t="shared" ref="AD321" si="330">IF($A$64&lt;=AD285,IF($B$64&gt;=AD285,ABS(AD320),0),0)</f>
        <v>2115.8207085726326</v>
      </c>
      <c r="AE321" s="60">
        <f t="shared" ref="AE321" si="331">IF($A$64&lt;=AE285,IF($B$64&gt;=AE285,ABS(AE320),0),0)</f>
        <v>2115.6650282651894</v>
      </c>
      <c r="AF321" s="60">
        <f t="shared" ref="AF321" si="332">IF($A$64&lt;=AF285,IF($B$64&gt;=AF285,ABS(AF320),0),0)</f>
        <v>2115.5233331203776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7" t="s">
        <v>22</v>
      </c>
      <c r="B326" s="27">
        <f>($C$17+SUM(B327:B357))*$B$51</f>
        <v>5342.8247049049023</v>
      </c>
      <c r="C326" s="27">
        <f t="shared" ref="C326:AF326" si="333">($C$17+SUM(C327:C357))*$B$51</f>
        <v>5152.6707818606492</v>
      </c>
      <c r="D326" s="27">
        <f t="shared" si="333"/>
        <v>4933.6190507250803</v>
      </c>
      <c r="E326" s="27">
        <f t="shared" si="333"/>
        <v>4652.0071985099021</v>
      </c>
      <c r="F326" s="27">
        <f t="shared" si="333"/>
        <v>4326.7895444144378</v>
      </c>
      <c r="G326" s="27">
        <f t="shared" si="333"/>
        <v>3995.0067487284327</v>
      </c>
      <c r="H326" s="27">
        <f t="shared" si="333"/>
        <v>3666.0136061012226</v>
      </c>
      <c r="I326" s="27">
        <f t="shared" si="333"/>
        <v>3319.4311854646003</v>
      </c>
      <c r="J326" s="27">
        <f t="shared" si="333"/>
        <v>2940.1080057826393</v>
      </c>
      <c r="K326" s="27">
        <f t="shared" si="333"/>
        <v>2452.431941170651</v>
      </c>
      <c r="L326" s="27">
        <f t="shared" si="333"/>
        <v>1907.0936656960635</v>
      </c>
      <c r="M326" s="27">
        <f t="shared" si="333"/>
        <v>1310.7040482701552</v>
      </c>
      <c r="N326" s="27">
        <f t="shared" si="333"/>
        <v>784.61631334923106</v>
      </c>
      <c r="O326" s="27">
        <f t="shared" si="333"/>
        <v>454.45876595056933</v>
      </c>
      <c r="P326" s="27">
        <f t="shared" si="333"/>
        <v>250.34469622170457</v>
      </c>
      <c r="Q326" s="27">
        <f t="shared" si="333"/>
        <v>163.69216279530357</v>
      </c>
      <c r="R326" s="27">
        <f t="shared" si="333"/>
        <v>139.60342314748704</v>
      </c>
      <c r="S326" s="27">
        <f t="shared" si="333"/>
        <v>112.21098710363661</v>
      </c>
      <c r="T326" s="27">
        <f t="shared" si="333"/>
        <v>78.073844298523667</v>
      </c>
      <c r="U326" s="27">
        <f t="shared" si="333"/>
        <v>77.972134725678558</v>
      </c>
      <c r="V326" s="27">
        <f t="shared" si="333"/>
        <v>77.972134725678558</v>
      </c>
      <c r="W326" s="27">
        <f t="shared" si="333"/>
        <v>77.972134725678558</v>
      </c>
      <c r="X326" s="27">
        <f t="shared" si="333"/>
        <v>77.972134725678558</v>
      </c>
      <c r="Y326" s="27">
        <f t="shared" si="333"/>
        <v>77.972134725678558</v>
      </c>
      <c r="Z326" s="27">
        <f t="shared" si="333"/>
        <v>77.972134725678558</v>
      </c>
      <c r="AA326" s="27">
        <f t="shared" si="333"/>
        <v>77.972134725678558</v>
      </c>
      <c r="AB326" s="27">
        <f t="shared" si="333"/>
        <v>77.972134725678558</v>
      </c>
      <c r="AC326" s="27">
        <f t="shared" si="333"/>
        <v>77.972134725678558</v>
      </c>
      <c r="AD326" s="27">
        <f t="shared" si="333"/>
        <v>77.972134725678558</v>
      </c>
      <c r="AE326" s="27">
        <f t="shared" si="333"/>
        <v>77.972134725678558</v>
      </c>
      <c r="AF326" s="27">
        <f t="shared" si="333"/>
        <v>77.972134725678558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0.18078508914206212</v>
      </c>
      <c r="B358" s="80">
        <f>IF($A$64&lt;=B324,IF($B$64&gt;=B324,ABS((B326-B325)/B325),0),0)</f>
        <v>6.4255695075801883E-4</v>
      </c>
      <c r="C358" s="80">
        <f t="shared" ref="C358:AF358" si="365">IF($A$64&lt;=C324,IF($B$64&gt;=C324,ABS((C326-C325)/C325),0),0)</f>
        <v>1.1806901023939298E-2</v>
      </c>
      <c r="D358" s="80">
        <f t="shared" si="365"/>
        <v>1.4687083658675493E-2</v>
      </c>
      <c r="E358" s="80">
        <f t="shared" si="365"/>
        <v>1.1296070112512411E-2</v>
      </c>
      <c r="F358" s="80">
        <f t="shared" si="365"/>
        <v>2.0018851819196054E-3</v>
      </c>
      <c r="G358" s="80">
        <f t="shared" si="365"/>
        <v>1.7035848973346625E-2</v>
      </c>
      <c r="H358" s="80">
        <f t="shared" si="365"/>
        <v>2.8874818276264647E-2</v>
      </c>
      <c r="I358" s="80">
        <f t="shared" si="365"/>
        <v>3.5295660750603808E-2</v>
      </c>
      <c r="J358" s="80">
        <f t="shared" si="365"/>
        <v>2.2254431812249831E-2</v>
      </c>
      <c r="K358" s="80">
        <f t="shared" si="365"/>
        <v>1.2384216028464529E-2</v>
      </c>
      <c r="L358" s="80">
        <f t="shared" si="365"/>
        <v>1.5868528795751645E-2</v>
      </c>
      <c r="M358" s="80">
        <f t="shared" si="365"/>
        <v>6.9231670835396913E-2</v>
      </c>
      <c r="N358" s="80">
        <f t="shared" si="365"/>
        <v>9.250751120016705E-2</v>
      </c>
      <c r="O358" s="80">
        <f t="shared" si="365"/>
        <v>0.12817799340001643</v>
      </c>
      <c r="P358" s="80">
        <f t="shared" si="365"/>
        <v>0.11672413090300629</v>
      </c>
      <c r="Q358" s="80">
        <f t="shared" si="365"/>
        <v>4.0466560599966006E-2</v>
      </c>
      <c r="R358" s="80">
        <f t="shared" si="365"/>
        <v>8.1513853029650564E-3</v>
      </c>
      <c r="S358" s="80">
        <f t="shared" si="365"/>
        <v>0.11590426492316529</v>
      </c>
      <c r="T358" s="80">
        <f t="shared" si="365"/>
        <v>0.37700627509579343</v>
      </c>
      <c r="U358" s="80">
        <f t="shared" si="365"/>
        <v>0.37716840784470457</v>
      </c>
      <c r="V358" s="80">
        <f t="shared" si="365"/>
        <v>0.37650143865981156</v>
      </c>
      <c r="W358" s="80">
        <f t="shared" si="365"/>
        <v>0.37568439762109979</v>
      </c>
      <c r="X358" s="80">
        <f t="shared" si="365"/>
        <v>0.37476314125488908</v>
      </c>
      <c r="Y358" s="80">
        <f t="shared" si="365"/>
        <v>0.37379759226060327</v>
      </c>
      <c r="Z358" s="80">
        <f t="shared" si="365"/>
        <v>0.37349700299791017</v>
      </c>
      <c r="AA358" s="80">
        <f t="shared" si="365"/>
        <v>0.37303359900680849</v>
      </c>
      <c r="AB358" s="80">
        <f t="shared" si="365"/>
        <v>0.37245554033325567</v>
      </c>
      <c r="AC358" s="80">
        <f t="shared" si="365"/>
        <v>0.37182390366426993</v>
      </c>
      <c r="AD358" s="80">
        <f t="shared" si="365"/>
        <v>0.37178505571897419</v>
      </c>
      <c r="AE358" s="80">
        <f t="shared" si="365"/>
        <v>0.37176362897635162</v>
      </c>
      <c r="AF358" s="80">
        <f t="shared" si="365"/>
        <v>0.37174626124028526</v>
      </c>
    </row>
    <row r="359" spans="1:34" x14ac:dyDescent="0.25">
      <c r="B359" s="21">
        <f>(B326-B325)^2</f>
        <v>11.77083207443456</v>
      </c>
      <c r="C359" s="21">
        <f t="shared" ref="C359:AF359" si="366">(C326-C325)^2</f>
        <v>3615.2751917933529</v>
      </c>
      <c r="D359" s="21">
        <f t="shared" si="366"/>
        <v>5099.6233137881181</v>
      </c>
      <c r="E359" s="21">
        <f t="shared" si="366"/>
        <v>2700.0939491792938</v>
      </c>
      <c r="F359" s="21">
        <f t="shared" si="366"/>
        <v>75.326958322442252</v>
      </c>
      <c r="G359" s="21">
        <f t="shared" si="366"/>
        <v>4793.8808833597868</v>
      </c>
      <c r="H359" s="21">
        <f t="shared" si="366"/>
        <v>11881.635711222587</v>
      </c>
      <c r="I359" s="21">
        <f t="shared" si="366"/>
        <v>14749.642993658432</v>
      </c>
      <c r="J359" s="21">
        <f t="shared" si="366"/>
        <v>4478.2452948023065</v>
      </c>
      <c r="K359" s="21">
        <f t="shared" si="366"/>
        <v>945.70333758454547</v>
      </c>
      <c r="L359" s="21">
        <f t="shared" si="366"/>
        <v>887.44687279359482</v>
      </c>
      <c r="M359" s="21">
        <f t="shared" si="366"/>
        <v>7202.3675306086561</v>
      </c>
      <c r="N359" s="21">
        <f t="shared" si="366"/>
        <v>4413.8726427643978</v>
      </c>
      <c r="O359" s="21">
        <f t="shared" si="366"/>
        <v>2666.0031532389148</v>
      </c>
      <c r="P359" s="21">
        <f t="shared" si="366"/>
        <v>684.7093939384996</v>
      </c>
      <c r="Q359" s="21">
        <f t="shared" si="366"/>
        <v>40.531446855004724</v>
      </c>
      <c r="R359" s="21">
        <f t="shared" si="366"/>
        <v>1.2740998855453922</v>
      </c>
      <c r="S359" s="21">
        <f t="shared" si="366"/>
        <v>216.40685249293298</v>
      </c>
      <c r="T359" s="21">
        <f t="shared" si="366"/>
        <v>2232.2402860841107</v>
      </c>
      <c r="U359" s="21">
        <f t="shared" si="366"/>
        <v>2229.5037094772601</v>
      </c>
      <c r="V359" s="21">
        <f t="shared" si="366"/>
        <v>2216.8750604819952</v>
      </c>
      <c r="W359" s="21">
        <f t="shared" si="366"/>
        <v>2201.4903684537467</v>
      </c>
      <c r="X359" s="21">
        <f t="shared" si="366"/>
        <v>2184.255536302529</v>
      </c>
      <c r="Y359" s="21">
        <f t="shared" si="366"/>
        <v>2166.3188666363003</v>
      </c>
      <c r="Z359" s="21">
        <f t="shared" si="366"/>
        <v>2160.7612654460331</v>
      </c>
      <c r="AA359" s="21">
        <f t="shared" si="366"/>
        <v>2152.2177770763847</v>
      </c>
      <c r="AB359" s="21">
        <f t="shared" si="366"/>
        <v>2141.6018202900518</v>
      </c>
      <c r="AC359" s="21">
        <f t="shared" si="366"/>
        <v>2130.0541709012919</v>
      </c>
      <c r="AD359" s="21">
        <f t="shared" si="366"/>
        <v>2129.3457244772071</v>
      </c>
      <c r="AE359" s="21">
        <f t="shared" si="366"/>
        <v>2128.9550658647527</v>
      </c>
      <c r="AF359" s="21">
        <f t="shared" si="366"/>
        <v>2128.6384580914096</v>
      </c>
      <c r="AG359" s="3"/>
      <c r="AH359" s="3"/>
    </row>
    <row r="360" spans="1:34" x14ac:dyDescent="0.25">
      <c r="A360" s="71">
        <f>SUM(B360:AF360)</f>
        <v>92666.068567945913</v>
      </c>
      <c r="B360" s="60">
        <f>IF($A$64&lt;=B324,IF($B$64&gt;=B324,ABS(B359),0),0)</f>
        <v>11.77083207443456</v>
      </c>
      <c r="C360" s="60">
        <f t="shared" ref="C360:AF360" si="367">IF($A$64&lt;=C324,IF($B$64&gt;=C324,ABS(C359),0),0)</f>
        <v>3615.2751917933529</v>
      </c>
      <c r="D360" s="60">
        <f t="shared" si="367"/>
        <v>5099.6233137881181</v>
      </c>
      <c r="E360" s="60">
        <f t="shared" si="367"/>
        <v>2700.0939491792938</v>
      </c>
      <c r="F360" s="60">
        <f t="shared" si="367"/>
        <v>75.326958322442252</v>
      </c>
      <c r="G360" s="60">
        <f t="shared" si="367"/>
        <v>4793.8808833597868</v>
      </c>
      <c r="H360" s="60">
        <f t="shared" si="367"/>
        <v>11881.635711222587</v>
      </c>
      <c r="I360" s="60">
        <f t="shared" si="367"/>
        <v>14749.642993658432</v>
      </c>
      <c r="J360" s="60">
        <f t="shared" si="367"/>
        <v>4478.2452948023065</v>
      </c>
      <c r="K360" s="60">
        <f t="shared" si="367"/>
        <v>945.70333758454547</v>
      </c>
      <c r="L360" s="60">
        <f t="shared" si="367"/>
        <v>887.44687279359482</v>
      </c>
      <c r="M360" s="60">
        <f t="shared" si="367"/>
        <v>7202.3675306086561</v>
      </c>
      <c r="N360" s="60">
        <f t="shared" si="367"/>
        <v>4413.8726427643978</v>
      </c>
      <c r="O360" s="60">
        <f t="shared" si="367"/>
        <v>2666.0031532389148</v>
      </c>
      <c r="P360" s="60">
        <f t="shared" si="367"/>
        <v>684.7093939384996</v>
      </c>
      <c r="Q360" s="60">
        <f t="shared" si="367"/>
        <v>40.531446855004724</v>
      </c>
      <c r="R360" s="60">
        <f t="shared" si="367"/>
        <v>1.2740998855453922</v>
      </c>
      <c r="S360" s="60">
        <f t="shared" si="367"/>
        <v>216.40685249293298</v>
      </c>
      <c r="T360" s="60">
        <f t="shared" si="367"/>
        <v>2232.2402860841107</v>
      </c>
      <c r="U360" s="60">
        <f t="shared" si="367"/>
        <v>2229.5037094772601</v>
      </c>
      <c r="V360" s="60">
        <f t="shared" si="367"/>
        <v>2216.8750604819952</v>
      </c>
      <c r="W360" s="60">
        <f t="shared" si="367"/>
        <v>2201.4903684537467</v>
      </c>
      <c r="X360" s="60">
        <f t="shared" si="367"/>
        <v>2184.255536302529</v>
      </c>
      <c r="Y360" s="60">
        <f t="shared" si="367"/>
        <v>2166.3188666363003</v>
      </c>
      <c r="Z360" s="60">
        <f t="shared" si="367"/>
        <v>2160.7612654460331</v>
      </c>
      <c r="AA360" s="60">
        <f t="shared" si="367"/>
        <v>2152.2177770763847</v>
      </c>
      <c r="AB360" s="60">
        <f t="shared" si="367"/>
        <v>2141.6018202900518</v>
      </c>
      <c r="AC360" s="60">
        <f t="shared" si="367"/>
        <v>2130.0541709012919</v>
      </c>
      <c r="AD360" s="60">
        <f t="shared" si="367"/>
        <v>2129.3457244772071</v>
      </c>
      <c r="AE360" s="60">
        <f t="shared" si="367"/>
        <v>2128.9550658647527</v>
      </c>
      <c r="AF360" s="60">
        <f t="shared" si="367"/>
        <v>2128.6384580914096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0" t="s">
        <v>22</v>
      </c>
      <c r="B365" s="27">
        <f>($C$17+SUM(B366:B396))*$B$51</f>
        <v>4985.6078696347631</v>
      </c>
      <c r="C365" s="27">
        <f t="shared" ref="C365:AF365" si="368">($C$17+SUM(C366:C396))*$B$51</f>
        <v>4717.4609408265123</v>
      </c>
      <c r="D365" s="27">
        <f t="shared" si="368"/>
        <v>4400.7745814630189</v>
      </c>
      <c r="E365" s="27">
        <f t="shared" si="368"/>
        <v>4071.7572607779039</v>
      </c>
      <c r="F365" s="27">
        <f t="shared" si="368"/>
        <v>3746.6693843059847</v>
      </c>
      <c r="G365" s="27">
        <f t="shared" si="368"/>
        <v>3404.2164154729508</v>
      </c>
      <c r="H365" s="27">
        <f t="shared" si="368"/>
        <v>3057.0145623233448</v>
      </c>
      <c r="I365" s="27">
        <f t="shared" si="368"/>
        <v>2562.2475666937253</v>
      </c>
      <c r="J365" s="27">
        <f t="shared" si="368"/>
        <v>2029.6726976398313</v>
      </c>
      <c r="K365" s="27">
        <f t="shared" si="368"/>
        <v>1442.1444265098808</v>
      </c>
      <c r="L365" s="27">
        <f t="shared" si="368"/>
        <v>870.98176741095051</v>
      </c>
      <c r="M365" s="27">
        <f t="shared" si="368"/>
        <v>512.21930321478601</v>
      </c>
      <c r="N365" s="27">
        <f t="shared" si="368"/>
        <v>279.32775495546281</v>
      </c>
      <c r="O365" s="27">
        <f t="shared" si="368"/>
        <v>173.05357904749263</v>
      </c>
      <c r="P365" s="27">
        <f t="shared" si="368"/>
        <v>142.21892541950976</v>
      </c>
      <c r="Q365" s="27">
        <f t="shared" si="368"/>
        <v>122.88900268739194</v>
      </c>
      <c r="R365" s="27">
        <f t="shared" si="368"/>
        <v>79.50342906687797</v>
      </c>
      <c r="S365" s="27">
        <f t="shared" si="368"/>
        <v>77.972134725678558</v>
      </c>
      <c r="T365" s="27">
        <f t="shared" si="368"/>
        <v>77.972134725678558</v>
      </c>
      <c r="U365" s="27">
        <f t="shared" si="368"/>
        <v>77.972134725678558</v>
      </c>
      <c r="V365" s="27">
        <f t="shared" si="368"/>
        <v>77.972134725678558</v>
      </c>
      <c r="W365" s="27">
        <f t="shared" si="368"/>
        <v>77.972134725678558</v>
      </c>
      <c r="X365" s="27">
        <f t="shared" si="368"/>
        <v>77.972134725678558</v>
      </c>
      <c r="Y365" s="27">
        <f t="shared" si="368"/>
        <v>77.972134725678558</v>
      </c>
      <c r="Z365" s="27">
        <f t="shared" si="368"/>
        <v>77.972134725678558</v>
      </c>
      <c r="AA365" s="27">
        <f t="shared" si="368"/>
        <v>77.972134725678558</v>
      </c>
      <c r="AB365" s="27">
        <f t="shared" si="368"/>
        <v>77.972134725678558</v>
      </c>
      <c r="AC365" s="27">
        <f t="shared" si="368"/>
        <v>77.972134725678558</v>
      </c>
      <c r="AD365" s="27">
        <f t="shared" si="368"/>
        <v>77.972134725678558</v>
      </c>
      <c r="AE365" s="27">
        <f t="shared" si="368"/>
        <v>77.972134725678558</v>
      </c>
      <c r="AF365" s="27">
        <f t="shared" si="368"/>
        <v>77.972134725678558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0.19766148361514879</v>
      </c>
      <c r="B397" s="80">
        <f>IF($A$64&lt;=B363,IF($B$64&gt;=B363,ABS((B365-B364)/B364),0),0)</f>
        <v>2.5021701412077115E-3</v>
      </c>
      <c r="C397" s="80">
        <f t="shared" ref="C397:AF397" si="400">IF($A$64&lt;=C363,IF($B$64&gt;=C363,ABS((C365-C364)/C364),0),0)</f>
        <v>1.2418336048727198E-2</v>
      </c>
      <c r="D397" s="80">
        <f t="shared" si="400"/>
        <v>3.3796473948505472E-3</v>
      </c>
      <c r="E397" s="80">
        <f t="shared" si="400"/>
        <v>1.1315120632180266E-2</v>
      </c>
      <c r="F397" s="80">
        <f t="shared" si="400"/>
        <v>2.1706835920773972E-2</v>
      </c>
      <c r="G397" s="80">
        <f t="shared" si="400"/>
        <v>3.1091670943440574E-2</v>
      </c>
      <c r="H397" s="80">
        <f t="shared" si="400"/>
        <v>1.3202546994643854E-2</v>
      </c>
      <c r="I397" s="80">
        <f t="shared" si="400"/>
        <v>1.1180391268734897E-2</v>
      </c>
      <c r="J397" s="80">
        <f t="shared" si="400"/>
        <v>1.2127605628294024E-2</v>
      </c>
      <c r="K397" s="80">
        <f t="shared" si="400"/>
        <v>6.3787526942570213E-2</v>
      </c>
      <c r="L397" s="80">
        <f t="shared" si="400"/>
        <v>6.6135748882085704E-2</v>
      </c>
      <c r="M397" s="80">
        <f t="shared" si="400"/>
        <v>0.10541790253647661</v>
      </c>
      <c r="N397" s="80">
        <f t="shared" si="400"/>
        <v>8.6999760512066232E-2</v>
      </c>
      <c r="O397" s="80">
        <f t="shared" si="400"/>
        <v>3.3187103148704093E-2</v>
      </c>
      <c r="P397" s="80">
        <f t="shared" si="400"/>
        <v>2.9289673026032179E-3</v>
      </c>
      <c r="Q397" s="80">
        <f t="shared" si="400"/>
        <v>4.8782857103041727E-2</v>
      </c>
      <c r="R397" s="80">
        <f t="shared" si="400"/>
        <v>0.36628345502171189</v>
      </c>
      <c r="S397" s="80">
        <f t="shared" si="400"/>
        <v>0.37810113279804586</v>
      </c>
      <c r="T397" s="80">
        <f t="shared" si="400"/>
        <v>0.37752967725041675</v>
      </c>
      <c r="U397" s="80">
        <f t="shared" si="400"/>
        <v>0.37690551253971288</v>
      </c>
      <c r="V397" s="80">
        <f t="shared" si="400"/>
        <v>0.37611606472559289</v>
      </c>
      <c r="W397" s="80">
        <f t="shared" si="400"/>
        <v>0.3751993084654433</v>
      </c>
      <c r="X397" s="80">
        <f t="shared" si="400"/>
        <v>0.37422375676016006</v>
      </c>
      <c r="Y397" s="80">
        <f t="shared" si="400"/>
        <v>0.37323077939665333</v>
      </c>
      <c r="Z397" s="80">
        <f t="shared" si="400"/>
        <v>0.37320916997645792</v>
      </c>
      <c r="AA397" s="80">
        <f t="shared" si="400"/>
        <v>0.37274275848873117</v>
      </c>
      <c r="AB397" s="80">
        <f t="shared" si="400"/>
        <v>0.37211225798513692</v>
      </c>
      <c r="AC397" s="80">
        <f t="shared" si="400"/>
        <v>0.37146259415860267</v>
      </c>
      <c r="AD397" s="80">
        <f t="shared" si="400"/>
        <v>0.37142493138975491</v>
      </c>
      <c r="AE397" s="80">
        <f t="shared" si="400"/>
        <v>0.37140667699912805</v>
      </c>
      <c r="AF397" s="80">
        <f t="shared" si="400"/>
        <v>0.3713937247136625</v>
      </c>
    </row>
    <row r="398" spans="1:34" x14ac:dyDescent="0.25">
      <c r="B398" s="21">
        <f>(B365-B364)^2</f>
        <v>154.84574149922813</v>
      </c>
      <c r="C398" s="21">
        <f t="shared" ref="C398:AF398" si="401">(C365-C364)^2</f>
        <v>3348.2928676843771</v>
      </c>
      <c r="D398" s="21">
        <f t="shared" si="401"/>
        <v>219.72043777786106</v>
      </c>
      <c r="E398" s="21">
        <f t="shared" si="401"/>
        <v>2171.5325884903341</v>
      </c>
      <c r="F398" s="21">
        <f t="shared" si="401"/>
        <v>6911.0773279235245</v>
      </c>
      <c r="G398" s="21">
        <f t="shared" si="401"/>
        <v>11933.20414041259</v>
      </c>
      <c r="H398" s="21">
        <f t="shared" si="401"/>
        <v>1672.8400571920022</v>
      </c>
      <c r="I398" s="21">
        <f t="shared" si="401"/>
        <v>839.30931538507764</v>
      </c>
      <c r="J398" s="21">
        <f t="shared" si="401"/>
        <v>591.46848706376193</v>
      </c>
      <c r="K398" s="21">
        <f t="shared" si="401"/>
        <v>7477.8931203157317</v>
      </c>
      <c r="L398" s="21">
        <f t="shared" si="401"/>
        <v>2919.2122098676437</v>
      </c>
      <c r="M398" s="21">
        <f t="shared" si="401"/>
        <v>2386.0944816083424</v>
      </c>
      <c r="N398" s="21">
        <f t="shared" si="401"/>
        <v>499.81052710083901</v>
      </c>
      <c r="O398" s="21">
        <f t="shared" si="401"/>
        <v>30.898821029332669</v>
      </c>
      <c r="P398" s="21">
        <f t="shared" si="401"/>
        <v>0.17250571300303191</v>
      </c>
      <c r="Q398" s="21">
        <f t="shared" si="401"/>
        <v>39.719261679715068</v>
      </c>
      <c r="R398" s="21">
        <f t="shared" si="401"/>
        <v>2111.6222714909131</v>
      </c>
      <c r="S398" s="21">
        <f t="shared" si="401"/>
        <v>2247.2701055687735</v>
      </c>
      <c r="T398" s="21">
        <f t="shared" si="401"/>
        <v>2236.370430989326</v>
      </c>
      <c r="U398" s="21">
        <f t="shared" si="401"/>
        <v>2224.5184378274071</v>
      </c>
      <c r="V398" s="21">
        <f t="shared" si="401"/>
        <v>2209.6068632898105</v>
      </c>
      <c r="W398" s="21">
        <f t="shared" si="401"/>
        <v>2192.4005606224218</v>
      </c>
      <c r="X398" s="21">
        <f t="shared" si="401"/>
        <v>2174.2196383507562</v>
      </c>
      <c r="Y398" s="21">
        <f t="shared" si="401"/>
        <v>2155.8494557207409</v>
      </c>
      <c r="Z398" s="21">
        <f t="shared" si="401"/>
        <v>2155.4511914047307</v>
      </c>
      <c r="AA398" s="21">
        <f t="shared" si="401"/>
        <v>2146.8708102015707</v>
      </c>
      <c r="AB398" s="21">
        <f t="shared" si="401"/>
        <v>2135.3191410820527</v>
      </c>
      <c r="AC398" s="21">
        <f t="shared" si="401"/>
        <v>2123.4731123271222</v>
      </c>
      <c r="AD398" s="21">
        <f t="shared" si="401"/>
        <v>2122.7881262562901</v>
      </c>
      <c r="AE398" s="21">
        <f t="shared" si="401"/>
        <v>2122.4561964964455</v>
      </c>
      <c r="AF398" s="21">
        <f t="shared" si="401"/>
        <v>2122.2207053017164</v>
      </c>
      <c r="AG398" s="3"/>
      <c r="AH398" s="3"/>
    </row>
    <row r="399" spans="1:34" x14ac:dyDescent="0.25">
      <c r="A399" s="71">
        <f>SUM(B399:AF399)</f>
        <v>73676.528937673458</v>
      </c>
      <c r="B399" s="60">
        <f>IF($A$64&lt;=B363,IF($B$64&gt;=B363,ABS(B398),0),0)</f>
        <v>154.84574149922813</v>
      </c>
      <c r="C399" s="60">
        <f t="shared" ref="C399" si="402">IF($A$64&lt;=C363,IF($B$64&gt;=C363,ABS(C398),0),0)</f>
        <v>3348.2928676843771</v>
      </c>
      <c r="D399" s="60">
        <f t="shared" ref="D399" si="403">IF($A$64&lt;=D363,IF($B$64&gt;=D363,ABS(D398),0),0)</f>
        <v>219.72043777786106</v>
      </c>
      <c r="E399" s="60">
        <f t="shared" ref="E399" si="404">IF($A$64&lt;=E363,IF($B$64&gt;=E363,ABS(E398),0),0)</f>
        <v>2171.5325884903341</v>
      </c>
      <c r="F399" s="60">
        <f t="shared" ref="F399" si="405">IF($A$64&lt;=F363,IF($B$64&gt;=F363,ABS(F398),0),0)</f>
        <v>6911.0773279235245</v>
      </c>
      <c r="G399" s="60">
        <f t="shared" ref="G399" si="406">IF($A$64&lt;=G363,IF($B$64&gt;=G363,ABS(G398),0),0)</f>
        <v>11933.20414041259</v>
      </c>
      <c r="H399" s="60">
        <f t="shared" ref="H399" si="407">IF($A$64&lt;=H363,IF($B$64&gt;=H363,ABS(H398),0),0)</f>
        <v>1672.8400571920022</v>
      </c>
      <c r="I399" s="60">
        <f t="shared" ref="I399" si="408">IF($A$64&lt;=I363,IF($B$64&gt;=I363,ABS(I398),0),0)</f>
        <v>839.30931538507764</v>
      </c>
      <c r="J399" s="60">
        <f t="shared" ref="J399" si="409">IF($A$64&lt;=J363,IF($B$64&gt;=J363,ABS(J398),0),0)</f>
        <v>591.46848706376193</v>
      </c>
      <c r="K399" s="60">
        <f t="shared" ref="K399" si="410">IF($A$64&lt;=K363,IF($B$64&gt;=K363,ABS(K398),0),0)</f>
        <v>7477.8931203157317</v>
      </c>
      <c r="L399" s="60">
        <f t="shared" ref="L399" si="411">IF($A$64&lt;=L363,IF($B$64&gt;=L363,ABS(L398),0),0)</f>
        <v>2919.2122098676437</v>
      </c>
      <c r="M399" s="60">
        <f t="shared" ref="M399" si="412">IF($A$64&lt;=M363,IF($B$64&gt;=M363,ABS(M398),0),0)</f>
        <v>2386.0944816083424</v>
      </c>
      <c r="N399" s="60">
        <f t="shared" ref="N399" si="413">IF($A$64&lt;=N363,IF($B$64&gt;=N363,ABS(N398),0),0)</f>
        <v>499.81052710083901</v>
      </c>
      <c r="O399" s="60">
        <f t="shared" ref="O399" si="414">IF($A$64&lt;=O363,IF($B$64&gt;=O363,ABS(O398),0),0)</f>
        <v>30.898821029332669</v>
      </c>
      <c r="P399" s="60">
        <f t="shared" ref="P399" si="415">IF($A$64&lt;=P363,IF($B$64&gt;=P363,ABS(P398),0),0)</f>
        <v>0.17250571300303191</v>
      </c>
      <c r="Q399" s="60">
        <f t="shared" ref="Q399" si="416">IF($A$64&lt;=Q363,IF($B$64&gt;=Q363,ABS(Q398),0),0)</f>
        <v>39.719261679715068</v>
      </c>
      <c r="R399" s="60">
        <f t="shared" ref="R399" si="417">IF($A$64&lt;=R363,IF($B$64&gt;=R363,ABS(R398),0),0)</f>
        <v>2111.6222714909131</v>
      </c>
      <c r="S399" s="60">
        <f t="shared" ref="S399" si="418">IF($A$64&lt;=S363,IF($B$64&gt;=S363,ABS(S398),0),0)</f>
        <v>2247.2701055687735</v>
      </c>
      <c r="T399" s="60">
        <f t="shared" ref="T399" si="419">IF($A$64&lt;=T363,IF($B$64&gt;=T363,ABS(T398),0),0)</f>
        <v>2236.370430989326</v>
      </c>
      <c r="U399" s="60">
        <f t="shared" ref="U399" si="420">IF($A$64&lt;=U363,IF($B$64&gt;=U363,ABS(U398),0),0)</f>
        <v>2224.5184378274071</v>
      </c>
      <c r="V399" s="60">
        <f t="shared" ref="V399" si="421">IF($A$64&lt;=V363,IF($B$64&gt;=V363,ABS(V398),0),0)</f>
        <v>2209.6068632898105</v>
      </c>
      <c r="W399" s="60">
        <f t="shared" ref="W399" si="422">IF($A$64&lt;=W363,IF($B$64&gt;=W363,ABS(W398),0),0)</f>
        <v>2192.4005606224218</v>
      </c>
      <c r="X399" s="60">
        <f t="shared" ref="X399" si="423">IF($A$64&lt;=X363,IF($B$64&gt;=X363,ABS(X398),0),0)</f>
        <v>2174.2196383507562</v>
      </c>
      <c r="Y399" s="60">
        <f t="shared" ref="Y399" si="424">IF($A$64&lt;=Y363,IF($B$64&gt;=Y363,ABS(Y398),0),0)</f>
        <v>2155.8494557207409</v>
      </c>
      <c r="Z399" s="60">
        <f t="shared" ref="Z399" si="425">IF($A$64&lt;=Z363,IF($B$64&gt;=Z363,ABS(Z398),0),0)</f>
        <v>2155.4511914047307</v>
      </c>
      <c r="AA399" s="60">
        <f t="shared" ref="AA399" si="426">IF($A$64&lt;=AA363,IF($B$64&gt;=AA363,ABS(AA398),0),0)</f>
        <v>2146.8708102015707</v>
      </c>
      <c r="AB399" s="60">
        <f t="shared" ref="AB399" si="427">IF($A$64&lt;=AB363,IF($B$64&gt;=AB363,ABS(AB398),0),0)</f>
        <v>2135.3191410820527</v>
      </c>
      <c r="AC399" s="60">
        <f t="shared" ref="AC399" si="428">IF($A$64&lt;=AC363,IF($B$64&gt;=AC363,ABS(AC398),0),0)</f>
        <v>2123.4731123271222</v>
      </c>
      <c r="AD399" s="60">
        <f t="shared" ref="AD399" si="429">IF($A$64&lt;=AD363,IF($B$64&gt;=AD363,ABS(AD398),0),0)</f>
        <v>2122.7881262562901</v>
      </c>
      <c r="AE399" s="60">
        <f t="shared" ref="AE399" si="430">IF($A$64&lt;=AE363,IF($B$64&gt;=AE363,ABS(AE398),0),0)</f>
        <v>2122.4561964964455</v>
      </c>
      <c r="AF399" s="60">
        <f t="shared" ref="AF399" si="431">IF($A$64&lt;=AF363,IF($B$64&gt;=AF363,ABS(AF398),0),0)</f>
        <v>2122.2207053017164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1.3428687777918219E-4</v>
      </c>
      <c r="F403" s="107">
        <f t="shared" si="432"/>
        <v>0</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1.0001342958946657E-15</v>
      </c>
      <c r="F404" s="3">
        <f t="shared" si="433"/>
        <v>1.0000000000000001E-15</v>
      </c>
      <c r="G404" s="3">
        <f t="shared" si="433"/>
        <v>6.4655204306795444E-2</v>
      </c>
      <c r="H404" s="3">
        <f t="shared" si="433"/>
        <v>3.7537732261831018</v>
      </c>
      <c r="I404" s="10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1.0001342958946656E-14</v>
      </c>
      <c r="F405" s="3">
        <f t="shared" si="433"/>
        <v>1E-14</v>
      </c>
      <c r="G405" s="3">
        <f t="shared" si="433"/>
        <v>0.64655204306795433</v>
      </c>
      <c r="H405" s="3">
        <f t="shared" si="433"/>
        <v>37.537732261831017</v>
      </c>
      <c r="I405" s="10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1.0001342958946656E-13</v>
      </c>
      <c r="F406" s="3">
        <f t="shared" si="433"/>
        <v>1E-13</v>
      </c>
      <c r="G406" s="3">
        <f t="shared" si="433"/>
        <v>6.4655204306795442</v>
      </c>
      <c r="H406" s="3">
        <f t="shared" si="433"/>
        <v>375.37732261831019</v>
      </c>
      <c r="I406" s="10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1.0001342958946654E-12</v>
      </c>
      <c r="F407" s="3">
        <f t="shared" si="433"/>
        <v>9.9999999999999998E-13</v>
      </c>
      <c r="G407" s="3">
        <f t="shared" si="433"/>
        <v>64.65520430679544</v>
      </c>
      <c r="H407" s="3">
        <f t="shared" si="433"/>
        <v>3753.7732261831015</v>
      </c>
      <c r="I407" s="10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1.0001342958946654E-11</v>
      </c>
      <c r="F408" s="3">
        <f t="shared" si="433"/>
        <v>9.9999999999999994E-12</v>
      </c>
      <c r="G408" s="3">
        <f t="shared" si="433"/>
        <v>646.55204306795429</v>
      </c>
      <c r="H408" s="3">
        <f t="shared" si="433"/>
        <v>37537.732261831014</v>
      </c>
      <c r="I408" s="10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1.0001342958946655E-10</v>
      </c>
      <c r="F409" s="3">
        <f t="shared" si="433"/>
        <v>1E-10</v>
      </c>
      <c r="G409" s="3">
        <f t="shared" si="433"/>
        <v>6465.520430679544</v>
      </c>
      <c r="H409" s="3">
        <f t="shared" si="433"/>
        <v>375377.32261831017</v>
      </c>
      <c r="I409" s="10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1.0001342958946657E-9</v>
      </c>
      <c r="F410" s="3">
        <f t="shared" si="433"/>
        <v>1.0000000000000001E-9</v>
      </c>
      <c r="G410" s="3">
        <f t="shared" si="433"/>
        <v>64655.204306795444</v>
      </c>
      <c r="H410" s="3">
        <f t="shared" si="433"/>
        <v>3753773.226183102</v>
      </c>
      <c r="I410" s="10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1.0001342958946655E-8</v>
      </c>
      <c r="F411" s="3">
        <f t="shared" si="433"/>
        <v>1E-8</v>
      </c>
      <c r="G411" s="3">
        <f t="shared" si="433"/>
        <v>646552.04306795436</v>
      </c>
      <c r="H411" s="3">
        <f t="shared" si="433"/>
        <v>37537732.261831015</v>
      </c>
      <c r="I411" s="10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1.0001342958946655E-7</v>
      </c>
      <c r="F412" s="3">
        <f t="shared" si="433"/>
        <v>9.9999999999999995E-8</v>
      </c>
      <c r="G412" s="3">
        <f t="shared" si="433"/>
        <v>6465520.4306795439</v>
      </c>
      <c r="H412" s="3">
        <f t="shared" si="433"/>
        <v>375377322.61831015</v>
      </c>
      <c r="I412" s="10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1.0001342958946654E-6</v>
      </c>
      <c r="F413" s="3">
        <f t="shared" si="433"/>
        <v>9.9999999999999995E-7</v>
      </c>
      <c r="G413" s="3">
        <f t="shared" si="433"/>
        <v>64655204.306795433</v>
      </c>
      <c r="H413" s="3">
        <f t="shared" si="433"/>
        <v>3753773226.1831017</v>
      </c>
      <c r="I413" s="10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1.0001342958946656E-5</v>
      </c>
      <c r="F414" s="3">
        <f t="shared" si="433"/>
        <v>1.0000000000000001E-5</v>
      </c>
      <c r="G414" s="3">
        <f t="shared" si="433"/>
        <v>646552043.06795442</v>
      </c>
      <c r="H414" s="3">
        <f t="shared" si="433"/>
        <v>37537732261.831017</v>
      </c>
      <c r="I414" s="10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1.0001342958946656E-4</v>
      </c>
      <c r="F415" s="3">
        <f t="shared" si="433"/>
        <v>1E-4</v>
      </c>
      <c r="G415" s="3">
        <f t="shared" si="433"/>
        <v>6465520430.6795444</v>
      </c>
      <c r="H415" s="3">
        <f t="shared" si="433"/>
        <v>375377322618.31018</v>
      </c>
      <c r="I415" s="10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1.0001342958946655E-3</v>
      </c>
      <c r="F416" s="3">
        <f t="shared" si="433"/>
        <v>1E-3</v>
      </c>
      <c r="G416" s="3">
        <f t="shared" si="433"/>
        <v>64655204306.795441</v>
      </c>
      <c r="H416" s="3">
        <f t="shared" si="433"/>
        <v>3753773226183.1016</v>
      </c>
      <c r="I416" s="10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1.0001342958946655E-2</v>
      </c>
      <c r="F417" s="3">
        <f t="shared" si="433"/>
        <v>0.01</v>
      </c>
      <c r="G417" s="3">
        <f t="shared" si="433"/>
        <v>646552043067.95435</v>
      </c>
      <c r="H417" s="3">
        <f t="shared" si="433"/>
        <v>37537732261831.016</v>
      </c>
      <c r="I417" s="10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0.10001342958946656</v>
      </c>
      <c r="F418" s="3">
        <f t="shared" si="433"/>
        <v>0.1</v>
      </c>
      <c r="G418" s="3">
        <f t="shared" si="433"/>
        <v>6465520430679.5439</v>
      </c>
      <c r="H418" s="3">
        <f t="shared" si="433"/>
        <v>375377322618310.19</v>
      </c>
      <c r="I418" s="10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1.0001342958946655</v>
      </c>
      <c r="F419" s="3">
        <f t="shared" si="433"/>
        <v>1</v>
      </c>
      <c r="G419" s="3">
        <f t="shared" si="433"/>
        <v>64655204306795.437</v>
      </c>
      <c r="H419" s="3">
        <f t="shared" si="433"/>
        <v>3753773226183101.5</v>
      </c>
      <c r="I419" s="10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129.19132461504012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10.001342958946655</v>
      </c>
      <c r="F420" s="3">
        <f t="shared" si="434"/>
        <v>10</v>
      </c>
      <c r="G420" s="3">
        <f t="shared" si="434"/>
        <v>646552043067954.37</v>
      </c>
      <c r="H420" s="3">
        <f t="shared" si="434"/>
        <v>3.7537732261831016E+16</v>
      </c>
      <c r="I420" s="10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138.47466281617423</v>
      </c>
      <c r="P420" s="3">
        <f>Comparison!AS19</f>
        <v>125.45582042457461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100.01342958946655</v>
      </c>
      <c r="F421" s="3">
        <f t="shared" si="434"/>
        <v>100</v>
      </c>
      <c r="G421" s="3">
        <f t="shared" si="434"/>
        <v>6465520430679544</v>
      </c>
      <c r="H421" s="3">
        <f t="shared" si="434"/>
        <v>3.7537732261831014E+17</v>
      </c>
      <c r="I421" s="10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126.92176045152465</v>
      </c>
      <c r="P421" s="3">
        <f>Comparison!AS20</f>
        <v>125.37751528072498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1000.1342958946656</v>
      </c>
      <c r="F422" s="3">
        <f t="shared" si="434"/>
        <v>1000</v>
      </c>
      <c r="G422" s="3">
        <f t="shared" si="434"/>
        <v>6.465520430679544E+16</v>
      </c>
      <c r="H422" s="3">
        <f t="shared" si="434"/>
        <v>3.753773226183102E+18</v>
      </c>
      <c r="I422" s="10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125.32043450442224</v>
      </c>
      <c r="P422" s="3">
        <f>Comparison!AS21</f>
        <v>125.26241312398497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10001.342958946656</v>
      </c>
      <c r="F423" s="3">
        <f t="shared" si="434"/>
        <v>10000</v>
      </c>
      <c r="G423" s="3">
        <f t="shared" si="434"/>
        <v>6.4655204306795443E+17</v>
      </c>
      <c r="H423" s="3">
        <f t="shared" si="434"/>
        <v>3.7537732261831016E+19</v>
      </c>
      <c r="I423" s="10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125.18975547765271</v>
      </c>
      <c r="P423" s="3">
        <f>Comparison!AS22</f>
        <v>125.1369355609138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100013.42958946656</v>
      </c>
      <c r="F424" s="3">
        <f t="shared" si="434"/>
        <v>100000</v>
      </c>
      <c r="G424" s="3">
        <f t="shared" si="434"/>
        <v>6.4655204306795438E+18</v>
      </c>
      <c r="H424" s="3">
        <f t="shared" si="434"/>
        <v>3.7537732261831016E+20</v>
      </c>
      <c r="I424" s="109">
        <f>Comparison!AL23</f>
        <v>100000</v>
      </c>
      <c r="J424" s="3">
        <f>Comparison!AM23</f>
        <v>5399.4936644871386</v>
      </c>
      <c r="K424" s="3">
        <f>Comparison!AN23</f>
        <v>4967.1522364522052</v>
      </c>
      <c r="L424" s="3">
        <f>Comparison!AO23</f>
        <v>4428.9407335348296</v>
      </c>
      <c r="M424" s="3">
        <f>Comparison!AP23</f>
        <v>3608.495032401398</v>
      </c>
      <c r="N424" s="3">
        <f>Comparison!AQ23</f>
        <v>1000.0232976856266</v>
      </c>
      <c r="O424" s="3">
        <f>Comparison!AR23</f>
        <v>125.05583743141311</v>
      </c>
      <c r="P424" s="3">
        <f>Comparison!AS23</f>
        <v>124.97859027478171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1000134.2958946655</v>
      </c>
      <c r="F425" s="3">
        <f t="shared" si="434"/>
        <v>1000000</v>
      </c>
      <c r="G425" s="3">
        <f t="shared" si="434"/>
        <v>6.4655204306795438E+19</v>
      </c>
      <c r="H425" s="3">
        <f t="shared" si="434"/>
        <v>3.7537732261831015E+21</v>
      </c>
      <c r="I425" s="109">
        <f>Comparison!AL24</f>
        <v>1000000</v>
      </c>
      <c r="J425" s="3">
        <f>Comparison!AM24</f>
        <v>5141.8460502498219</v>
      </c>
      <c r="K425" s="3">
        <f>Comparison!AN24</f>
        <v>4663.1486629646943</v>
      </c>
      <c r="L425" s="3">
        <f>Comparison!AO24</f>
        <v>4111.7161259908762</v>
      </c>
      <c r="M425" s="3">
        <f>Comparison!AP24</f>
        <v>3262.5462100054015</v>
      </c>
      <c r="N425" s="3">
        <f>Comparison!AQ24</f>
        <v>576.00660610456418</v>
      </c>
      <c r="O425" s="3">
        <f>Comparison!AR24</f>
        <v>124.89217701523481</v>
      </c>
      <c r="P425" s="3">
        <f>Comparison!AS24</f>
        <v>124.79521194858673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10001342.958946655</v>
      </c>
      <c r="F426" s="3">
        <f t="shared" si="434"/>
        <v>10000000</v>
      </c>
      <c r="G426" s="3">
        <f t="shared" si="434"/>
        <v>6.4655204306795443E+20</v>
      </c>
      <c r="H426" s="3">
        <f t="shared" si="434"/>
        <v>3.7537732261831017E+22</v>
      </c>
      <c r="I426" s="109">
        <f>Comparison!AL25</f>
        <v>10000000</v>
      </c>
      <c r="J426" s="3">
        <f>Comparison!AM25</f>
        <v>4855.3493085479013</v>
      </c>
      <c r="K426" s="3">
        <f>Comparison!AN25</f>
        <v>4346.263159926043</v>
      </c>
      <c r="L426" s="3">
        <f>Comparison!AO25</f>
        <v>3814.2268394370481</v>
      </c>
      <c r="M426" s="3">
        <f>Comparison!AP25</f>
        <v>2841.314577864513</v>
      </c>
      <c r="N426" s="3">
        <f>Comparison!AQ25</f>
        <v>321.80010935687142</v>
      </c>
      <c r="O426" s="3">
        <f>Comparison!AR25</f>
        <v>124.70815441395035</v>
      </c>
      <c r="P426" s="3">
        <f>Comparison!AS25</f>
        <v>124.60066288549459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100013429.58946656</v>
      </c>
      <c r="F427" s="3">
        <f t="shared" si="434"/>
        <v>100000000</v>
      </c>
      <c r="G427" s="3">
        <f t="shared" si="434"/>
        <v>6.4655204306795438E+21</v>
      </c>
      <c r="H427" s="3">
        <f t="shared" si="434"/>
        <v>3.753773226183102E+23</v>
      </c>
      <c r="I427" s="109">
        <f>Comparison!AL26</f>
        <v>100000000</v>
      </c>
      <c r="J427" s="3">
        <f>Comparison!AM26</f>
        <v>4530.5898566513597</v>
      </c>
      <c r="K427" s="3">
        <f>Comparison!AN26</f>
        <v>4052.7215067045913</v>
      </c>
      <c r="L427" s="3">
        <f>Comparison!AO26</f>
        <v>3517.7803393025779</v>
      </c>
      <c r="M427" s="3">
        <f>Comparison!AP26</f>
        <v>2350.4004054830193</v>
      </c>
      <c r="N427" s="3">
        <f>Comparison!AQ26</f>
        <v>187.89777287454069</v>
      </c>
      <c r="O427" s="3">
        <f>Comparison!AR26</f>
        <v>124.51586541667818</v>
      </c>
      <c r="P427" s="3">
        <f>Comparison!AS26</f>
        <v>124.40326066206676</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1000134295.8946655</v>
      </c>
      <c r="F428" s="3">
        <f t="shared" si="434"/>
        <v>1000000000</v>
      </c>
      <c r="G428" s="3">
        <f t="shared" si="434"/>
        <v>6.4655204306795436E+22</v>
      </c>
      <c r="H428" s="3">
        <f t="shared" si="434"/>
        <v>3.7537732261831014E+24</v>
      </c>
      <c r="I428" s="109">
        <f>Comparison!AL27</f>
        <v>1000000000</v>
      </c>
      <c r="J428" s="3">
        <f>Comparison!AM27</f>
        <v>4215.1902304511941</v>
      </c>
      <c r="K428" s="3">
        <f>Comparison!AN27</f>
        <v>3771.4995408899726</v>
      </c>
      <c r="L428" s="3">
        <f>Comparison!AO27</f>
        <v>3195.2414492417452</v>
      </c>
      <c r="M428" s="3">
        <f>Comparison!AP27</f>
        <v>1794.2797745605371</v>
      </c>
      <c r="N428" s="3">
        <f>Comparison!AQ27</f>
        <v>146.32445551645827</v>
      </c>
      <c r="O428" s="3">
        <f>Comparison!AR27</f>
        <v>124.45612407089325</v>
      </c>
      <c r="P428" s="3">
        <f>Comparison!AS27</f>
        <v>124.39897169961779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10001342958.946655</v>
      </c>
      <c r="F429" s="3">
        <f t="shared" si="434"/>
        <v>10000000000</v>
      </c>
      <c r="G429" s="3">
        <f t="shared" si="434"/>
        <v>6.4655204306795436E+23</v>
      </c>
      <c r="H429" s="3">
        <f t="shared" si="434"/>
        <v>3.7537732261831017E+25</v>
      </c>
      <c r="I429" s="109">
        <f>Comparison!AL28</f>
        <v>10000000000</v>
      </c>
      <c r="J429" s="3">
        <f>Comparison!AM28</f>
        <v>3929.081471457625</v>
      </c>
      <c r="K429" s="3">
        <f>Comparison!AN28</f>
        <v>3487.2930712528305</v>
      </c>
      <c r="L429" s="3">
        <f>Comparison!AO28</f>
        <v>2791.4157044377589</v>
      </c>
      <c r="M429" s="3">
        <f>Comparison!AP28</f>
        <v>1192.7526197056241</v>
      </c>
      <c r="N429" s="3">
        <f>Comparison!AQ28</f>
        <v>132.67557886184474</v>
      </c>
      <c r="O429" s="3">
        <f>Comparison!AR28</f>
        <v>124.36413594438419</v>
      </c>
      <c r="P429" s="3">
        <f>Comparison!AS28</f>
        <v>124.30647199515475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100013429589.46655</v>
      </c>
      <c r="F430" s="3">
        <f t="shared" si="434"/>
        <v>100000000000</v>
      </c>
      <c r="G430" s="3">
        <f t="shared" si="434"/>
        <v>6.4655204306795436E+24</v>
      </c>
      <c r="H430" s="3">
        <f t="shared" si="434"/>
        <v>3.7537732261831014E+26</v>
      </c>
      <c r="I430" s="109">
        <f>Comparison!AL29</f>
        <v>100000000000</v>
      </c>
      <c r="J430" s="3">
        <f>Comparison!AM29</f>
        <v>3641.242030569621</v>
      </c>
      <c r="K430" s="3">
        <f>Comparison!AN29</f>
        <v>3171.2944430186703</v>
      </c>
      <c r="L430" s="3">
        <f>Comparison!AO29</f>
        <v>2312.1801528163464</v>
      </c>
      <c r="M430" s="3">
        <f>Comparison!AP29</f>
        <v>712.56207316539314</v>
      </c>
      <c r="N430" s="3">
        <f>Comparison!AQ29</f>
        <v>124.09266721325585</v>
      </c>
      <c r="O430" s="3">
        <f>Comparison!AR29</f>
        <v>124.24957869452857</v>
      </c>
      <c r="P430" s="3">
        <f>Comparison!AS29</f>
        <v>124.18164826003697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1000134295894.6655</v>
      </c>
      <c r="F431" s="3">
        <f t="shared" si="434"/>
        <v>1000000000000</v>
      </c>
      <c r="G431" s="3">
        <f t="shared" si="434"/>
        <v>6.465520430679544E+25</v>
      </c>
      <c r="H431" s="3">
        <f t="shared" si="434"/>
        <v>3.7537732261831019E+27</v>
      </c>
      <c r="I431" s="109">
        <f>Comparison!AL30</f>
        <v>1000000000000</v>
      </c>
      <c r="J431" s="3">
        <f>Comparison!AM30</f>
        <v>3352.5216988135498</v>
      </c>
      <c r="K431" s="3">
        <f>Comparison!AN30</f>
        <v>2771.7245513357993</v>
      </c>
      <c r="L431" s="3">
        <f>Comparison!AO30</f>
        <v>1761.4184833894965</v>
      </c>
      <c r="M431" s="3">
        <f>Comparison!AP30</f>
        <v>405.79350694215293</v>
      </c>
      <c r="N431" s="3">
        <f>Comparison!AQ30</f>
        <v>123.97220489326934</v>
      </c>
      <c r="O431" s="3">
        <f>Comparison!AR30</f>
        <v>124.12464463468883</v>
      </c>
      <c r="P431" s="3">
        <f>Comparison!AS30</f>
        <v>124.05329261398603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10001342958946.654</v>
      </c>
      <c r="F432" s="3">
        <f t="shared" si="434"/>
        <v>10000000000000</v>
      </c>
      <c r="G432" s="3">
        <f t="shared" si="434"/>
        <v>6.4655204306795438E+26</v>
      </c>
      <c r="H432" s="3">
        <f t="shared" si="434"/>
        <v>3.7537732261831017E+28</v>
      </c>
      <c r="I432" s="109">
        <f>Comparison!AL31</f>
        <v>10000000000000</v>
      </c>
      <c r="J432" s="3">
        <f>Comparison!AM31</f>
        <v>2996.6335305209523</v>
      </c>
      <c r="K432" s="3">
        <f>Comparison!AN31</f>
        <v>2294.6891766146468</v>
      </c>
      <c r="L432" s="3">
        <f>Comparison!AO31</f>
        <v>1165.0893454090649</v>
      </c>
      <c r="M432" s="3">
        <f>Comparison!AP31</f>
        <v>227.75650575396227</v>
      </c>
      <c r="N432" s="3">
        <f>Comparison!AQ31</f>
        <v>123.97018586453261</v>
      </c>
      <c r="O432" s="3">
        <f>Comparison!AR31</f>
        <v>124.11696893794122</v>
      </c>
      <c r="P432" s="3">
        <f>Comparison!AS31</f>
        <v>124.04585962671396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100013429589466.55</v>
      </c>
      <c r="F433" s="3">
        <f t="shared" si="434"/>
        <v>100000000000000</v>
      </c>
      <c r="G433" s="3">
        <f t="shared" si="434"/>
        <v>6.4655204306795435E+27</v>
      </c>
      <c r="H433" s="3">
        <f t="shared" si="434"/>
        <v>3.7537732261831018E+29</v>
      </c>
      <c r="I433" s="109">
        <f>Comparison!AL32</f>
        <v>100000000000000</v>
      </c>
      <c r="J433" s="3">
        <f>Comparison!AM32</f>
        <v>2563.0064610610193</v>
      </c>
      <c r="K433" s="3">
        <f>Comparison!AN32</f>
        <v>1744.1842965326991</v>
      </c>
      <c r="L433" s="3">
        <f>Comparison!AO32</f>
        <v>692.87414966525068</v>
      </c>
      <c r="M433" s="3">
        <f>Comparison!AP32</f>
        <v>157.27484077697326</v>
      </c>
      <c r="N433" s="3">
        <f>Comparison!AQ32</f>
        <v>123.96849358445334</v>
      </c>
      <c r="O433" s="3">
        <f>Comparison!AR32</f>
        <v>124.11273578228328</v>
      </c>
      <c r="P433" s="3">
        <f>Comparison!AS32</f>
        <v>124.04225732695286</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1000134295894665.5</v>
      </c>
      <c r="F434" s="3">
        <f t="shared" si="434"/>
        <v>1000000000000000</v>
      </c>
      <c r="G434" s="3">
        <f t="shared" si="434"/>
        <v>6.465520430679544E+28</v>
      </c>
      <c r="H434" s="3">
        <f t="shared" si="434"/>
        <v>3.7537732261831017E+30</v>
      </c>
      <c r="I434" s="109">
        <f>Comparison!AL33</f>
        <v>1000000000000000</v>
      </c>
      <c r="J434" s="3">
        <f>Comparison!AM33</f>
        <v>2059.5134179476377</v>
      </c>
      <c r="K434" s="3">
        <f>Comparison!AN33</f>
        <v>1149.8282974544306</v>
      </c>
      <c r="L434" s="3">
        <f>Comparison!AO33</f>
        <v>393.89092728068977</v>
      </c>
      <c r="M434" s="3">
        <f>Comparison!AP33</f>
        <v>137.32830205333357</v>
      </c>
      <c r="N434" s="3">
        <f>Comparison!AQ33</f>
        <v>123.96695327212331</v>
      </c>
      <c r="O434" s="3">
        <f>Comparison!AR33</f>
        <v>124.10930475258213</v>
      </c>
      <c r="P434" s="3">
        <f>Comparison!AS33</f>
        <v>124.03970146521578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0.59739868758354531</v>
      </c>
      <c r="O1" s="11"/>
      <c r="P1" s="55">
        <v>1</v>
      </c>
      <c r="Q1" s="11">
        <v>2</v>
      </c>
    </row>
    <row r="2" spans="1:17" x14ac:dyDescent="0.25">
      <c r="A2" s="11">
        <f>'Mastercurve bestimmen'!M119</f>
        <v>0</v>
      </c>
      <c r="B2" s="11">
        <f>'Mastercurve bestimmen'!N119</f>
        <v>-10.950515452938541</v>
      </c>
      <c r="M2" s="54">
        <v>2</v>
      </c>
      <c r="N2" s="56">
        <f t="shared" ref="N2:N9" si="0">INDEX($H$217:$P$217,1,Q2)</f>
        <v>-2.0812024934506054E-2</v>
      </c>
      <c r="O2" s="11"/>
      <c r="P2" s="55">
        <v>2</v>
      </c>
      <c r="Q2" s="11">
        <f>Q1+1</f>
        <v>3</v>
      </c>
    </row>
    <row r="3" spans="1:17" x14ac:dyDescent="0.25">
      <c r="A3" s="11">
        <f>'Mastercurve bestimmen'!M120</f>
        <v>25</v>
      </c>
      <c r="B3" s="11">
        <f>'Mastercurve bestimmen'!N120</f>
        <v>-6.5770330385822291</v>
      </c>
      <c r="M3" s="54">
        <v>3</v>
      </c>
      <c r="N3" s="56">
        <f t="shared" si="0"/>
        <v>-2.1071982851047954E-4</v>
      </c>
      <c r="O3" s="11"/>
      <c r="P3" s="55">
        <v>3</v>
      </c>
      <c r="Q3" s="11">
        <f t="shared" ref="Q3:Q8" si="1">Q2+1</f>
        <v>4</v>
      </c>
    </row>
    <row r="4" spans="1:17" x14ac:dyDescent="0.25">
      <c r="A4" s="11">
        <f>'Mastercurve bestimmen'!M121</f>
        <v>50</v>
      </c>
      <c r="B4" s="11">
        <f>'Mastercurve bestimmen'!N121</f>
        <v>1.3428687777918219E-4</v>
      </c>
      <c r="M4" s="54">
        <v>4</v>
      </c>
      <c r="N4" s="56">
        <f t="shared" si="0"/>
        <v>5.919587130831067E-6</v>
      </c>
      <c r="O4" s="11"/>
      <c r="P4" s="55">
        <v>4</v>
      </c>
      <c r="Q4" s="11">
        <f t="shared" si="1"/>
        <v>5</v>
      </c>
    </row>
    <row r="5" spans="1:17" x14ac:dyDescent="0.25">
      <c r="A5" s="11">
        <f>'Mastercurve bestimmen'!M122</f>
        <v>80</v>
      </c>
      <c r="B5" s="11">
        <f>'Mastercurve bestimmen'!N122</f>
        <v>0</v>
      </c>
      <c r="M5" s="54">
        <v>5</v>
      </c>
      <c r="N5" s="56">
        <f t="shared" si="0"/>
        <v>6.1042098919939253E-8</v>
      </c>
      <c r="O5" s="11"/>
      <c r="P5" s="55">
        <v>5</v>
      </c>
      <c r="Q5" s="11">
        <f t="shared" si="1"/>
        <v>6</v>
      </c>
    </row>
    <row r="6" spans="1:17" x14ac:dyDescent="0.25">
      <c r="A6" s="11">
        <f>'Mastercurve bestimmen'!M123</f>
        <v>125</v>
      </c>
      <c r="B6" s="11">
        <f>'Mastercurve bestimmen'!N123</f>
        <v>31.8000897176249</v>
      </c>
      <c r="M6" s="54">
        <v>6</v>
      </c>
      <c r="N6" s="56">
        <f t="shared" si="0"/>
        <v>-4.1178154162140483E-10</v>
      </c>
      <c r="O6" s="11"/>
      <c r="P6" s="55">
        <v>6</v>
      </c>
      <c r="Q6" s="11">
        <f t="shared" si="1"/>
        <v>7</v>
      </c>
    </row>
    <row r="7" spans="1:17" x14ac:dyDescent="0.25">
      <c r="A7" s="11">
        <f>'Mastercurve bestimmen'!M124</f>
        <v>160</v>
      </c>
      <c r="B7" s="11">
        <f>'Mastercurve bestimmen'!N124</f>
        <v>35.861537922668312</v>
      </c>
      <c r="M7" s="54">
        <v>7</v>
      </c>
      <c r="N7" s="56">
        <f t="shared" si="0"/>
        <v>-5.8258702284117547E-12</v>
      </c>
      <c r="O7" s="11"/>
      <c r="P7" s="55">
        <v>7</v>
      </c>
      <c r="Q7" s="11">
        <f t="shared" si="1"/>
        <v>8</v>
      </c>
    </row>
    <row r="8" spans="1:17" x14ac:dyDescent="0.25">
      <c r="A8" s="11"/>
      <c r="B8" s="11"/>
      <c r="M8" s="54">
        <v>8</v>
      </c>
      <c r="N8" s="56">
        <f t="shared" si="0"/>
        <v>-1.3979192011894637E-14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-120</v>
      </c>
      <c r="F15" s="11">
        <f>B15</f>
        <v>-45.801625734711926</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-45.738092888466561</v>
      </c>
      <c r="E16" s="11">
        <f>A16-'Mastercurve bestimmen'!$B$2</f>
        <v>-119</v>
      </c>
      <c r="F16" s="11">
        <f t="shared" ref="F16:F79" si="4">B16</f>
        <v>-45.738092888466561</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-45.67441338219669</v>
      </c>
      <c r="E17" s="11">
        <f>A17-'Mastercurve bestimmen'!$B$2</f>
        <v>-118</v>
      </c>
      <c r="F17" s="11">
        <f t="shared" si="4"/>
        <v>-45.67441338219669</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-45.610440555877801</v>
      </c>
      <c r="E18" s="11">
        <f>A18-'Mastercurve bestimmen'!$B$2</f>
        <v>-117</v>
      </c>
      <c r="F18" s="11">
        <f t="shared" si="4"/>
        <v>-45.610440555877801</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-45.54602774948539</v>
      </c>
      <c r="E19" s="11">
        <f>A19-'Mastercurve bestimmen'!$B$2</f>
        <v>-116</v>
      </c>
      <c r="F19" s="11">
        <f t="shared" si="4"/>
        <v>-45.54602774948539</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-45.481028302994957</v>
      </c>
      <c r="E20" s="11">
        <f>A20-'Mastercurve bestimmen'!$B$2</f>
        <v>-115</v>
      </c>
      <c r="F20" s="11">
        <f t="shared" si="4"/>
        <v>-45.481028302994957</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-45.415295556381992</v>
      </c>
      <c r="E21" s="11">
        <f>A21-'Mastercurve bestimmen'!$B$2</f>
        <v>-114</v>
      </c>
      <c r="F21" s="11">
        <f t="shared" si="4"/>
        <v>-45.415295556381992</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-45.34868284962198</v>
      </c>
      <c r="E22" s="11">
        <f>A22-'Mastercurve bestimmen'!$B$2</f>
        <v>-113</v>
      </c>
      <c r="F22" s="11">
        <f t="shared" si="4"/>
        <v>-45.34868284962198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-45.281043522690418</v>
      </c>
      <c r="E23" s="11">
        <f>A23-'Mastercurve bestimmen'!$B$2</f>
        <v>-112</v>
      </c>
      <c r="F23" s="11">
        <f t="shared" si="4"/>
        <v>-45.281043522690418</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-45.212230915562813</v>
      </c>
      <c r="E24" s="11">
        <f>A24-'Mastercurve bestimmen'!$B$2</f>
        <v>-111</v>
      </c>
      <c r="F24" s="11">
        <f t="shared" si="4"/>
        <v>-45.212230915562813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-45.14209836821464</v>
      </c>
      <c r="E25" s="11">
        <f>A25-'Mastercurve bestimmen'!$B$2</f>
        <v>-110</v>
      </c>
      <c r="F25" s="11">
        <f t="shared" si="4"/>
        <v>-45.14209836821464</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-45.0704992206214</v>
      </c>
      <c r="E26" s="11">
        <f>A26-'Mastercurve bestimmen'!$B$2</f>
        <v>-109</v>
      </c>
      <c r="F26" s="11">
        <f t="shared" si="4"/>
        <v>-45.0704992206214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-44.997286812758588</v>
      </c>
      <c r="E27" s="11">
        <f>A27-'Mastercurve bestimmen'!$B$2</f>
        <v>-108</v>
      </c>
      <c r="F27" s="11">
        <f t="shared" si="4"/>
        <v>-44.997286812758588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-44.922314484601692</v>
      </c>
      <c r="E28" s="11">
        <f>A28-'Mastercurve bestimmen'!$B$2</f>
        <v>-107</v>
      </c>
      <c r="F28" s="11">
        <f t="shared" si="4"/>
        <v>-44.922314484601692</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-44.845435576126206</v>
      </c>
      <c r="E29" s="11">
        <f>A29-'Mastercurve bestimmen'!$B$2</f>
        <v>-106</v>
      </c>
      <c r="F29" s="11">
        <f t="shared" si="4"/>
        <v>-44.845435576126206</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-44.766503427307626</v>
      </c>
      <c r="E30" s="11">
        <f>A30-'Mastercurve bestimmen'!$B$2</f>
        <v>-105</v>
      </c>
      <c r="F30" s="11">
        <f t="shared" si="4"/>
        <v>-44.766503427307626</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-44.685371378121459</v>
      </c>
      <c r="E31" s="11">
        <f>A31-'Mastercurve bestimmen'!$B$2</f>
        <v>-104</v>
      </c>
      <c r="F31" s="11">
        <f t="shared" si="4"/>
        <v>-44.685371378121459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-44.601892768543166</v>
      </c>
      <c r="E32" s="11">
        <f>A32-'Mastercurve bestimmen'!$B$2</f>
        <v>-103</v>
      </c>
      <c r="F32" s="11">
        <f t="shared" si="4"/>
        <v>-44.601892768543166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-44.515920938548263</v>
      </c>
      <c r="E33" s="11">
        <f>A33-'Mastercurve bestimmen'!$B$2</f>
        <v>-102</v>
      </c>
      <c r="F33" s="11">
        <f t="shared" si="4"/>
        <v>-44.515920938548263</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-44.427309228112236</v>
      </c>
      <c r="E34" s="11">
        <f>A34-'Mastercurve bestimmen'!$B$2</f>
        <v>-101</v>
      </c>
      <c r="F34" s="11">
        <f t="shared" si="4"/>
        <v>-44.427309228112236</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-44.335910977210588</v>
      </c>
      <c r="E35" s="11">
        <f>A35-'Mastercurve bestimmen'!$B$2</f>
        <v>-100</v>
      </c>
      <c r="F35" s="11">
        <f t="shared" si="4"/>
        <v>-44.335910977210588</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-44.2415795258188</v>
      </c>
      <c r="E36" s="11">
        <f>A36-'Mastercurve bestimmen'!$B$2</f>
        <v>-99</v>
      </c>
      <c r="F36" s="11">
        <f t="shared" si="4"/>
        <v>-44.2415795258188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-44.144168213912366</v>
      </c>
      <c r="E37" s="11">
        <f>A37-'Mastercurve bestimmen'!$B$2</f>
        <v>-98</v>
      </c>
      <c r="F37" s="11">
        <f t="shared" si="4"/>
        <v>-44.144168213912366</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-44.043530381466795</v>
      </c>
      <c r="E38" s="11">
        <f>A38-'Mastercurve bestimmen'!$B$2</f>
        <v>-97</v>
      </c>
      <c r="F38" s="11">
        <f t="shared" si="4"/>
        <v>-44.043530381466795</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-43.939519368457553</v>
      </c>
      <c r="E39" s="11">
        <f>A39-'Mastercurve bestimmen'!$B$2</f>
        <v>-96</v>
      </c>
      <c r="F39" s="11">
        <f t="shared" si="4"/>
        <v>-43.939519368457553</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-43.831988514860157</v>
      </c>
      <c r="E40" s="11">
        <f>A40-'Mastercurve bestimmen'!$B$2</f>
        <v>-95</v>
      </c>
      <c r="F40" s="11">
        <f t="shared" si="4"/>
        <v>-43.831988514860157</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-43.720791160650094</v>
      </c>
      <c r="E41" s="11">
        <f>A41-'Mastercurve bestimmen'!$B$2</f>
        <v>-94</v>
      </c>
      <c r="F41" s="11">
        <f t="shared" si="4"/>
        <v>-43.720791160650094</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-43.605780645802852</v>
      </c>
      <c r="E42" s="11">
        <f>A42-'Mastercurve bestimmen'!$B$2</f>
        <v>-93</v>
      </c>
      <c r="F42" s="11">
        <f t="shared" si="4"/>
        <v>-43.605780645802852</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-43.486810310293926</v>
      </c>
      <c r="E43" s="11">
        <f>A43-'Mastercurve bestimmen'!$B$2</f>
        <v>-92</v>
      </c>
      <c r="F43" s="11">
        <f t="shared" si="4"/>
        <v>-43.486810310293926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-43.36373349409881</v>
      </c>
      <c r="E44" s="11">
        <f>A44-'Mastercurve bestimmen'!$B$2</f>
        <v>-91</v>
      </c>
      <c r="F44" s="11">
        <f t="shared" si="4"/>
        <v>-43.36373349409881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-43.236403537192999</v>
      </c>
      <c r="E45" s="11">
        <f>A45-'Mastercurve bestimmen'!$B$2</f>
        <v>-90</v>
      </c>
      <c r="F45" s="11">
        <f t="shared" si="4"/>
        <v>-43.236403537192999</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-43.104673779551987</v>
      </c>
      <c r="E46" s="11">
        <f>A46-'Mastercurve bestimmen'!$B$2</f>
        <v>-89</v>
      </c>
      <c r="F46" s="11">
        <f t="shared" si="4"/>
        <v>-43.104673779551987</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-42.968397561151264</v>
      </c>
      <c r="E47" s="11">
        <f>A47-'Mastercurve bestimmen'!$B$2</f>
        <v>-88</v>
      </c>
      <c r="F47" s="11">
        <f t="shared" si="4"/>
        <v>-42.968397561151264</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-42.827428221966329</v>
      </c>
      <c r="E48" s="11">
        <f>A48-'Mastercurve bestimmen'!$B$2</f>
        <v>-87</v>
      </c>
      <c r="F48" s="11">
        <f t="shared" si="4"/>
        <v>-42.827428221966329</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-42.681619101972665</v>
      </c>
      <c r="E49" s="11">
        <f>A49-'Mastercurve bestimmen'!$B$2</f>
        <v>-86</v>
      </c>
      <c r="F49" s="11">
        <f t="shared" si="4"/>
        <v>-42.681619101972665</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-42.530823541145764</v>
      </c>
      <c r="E50" s="11">
        <f>A50-'Mastercurve bestimmen'!$B$2</f>
        <v>-85</v>
      </c>
      <c r="F50" s="11">
        <f t="shared" si="4"/>
        <v>-42.530823541145764</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-42.374894879461138</v>
      </c>
      <c r="E51" s="11">
        <f>A51-'Mastercurve bestimmen'!$B$2</f>
        <v>-84</v>
      </c>
      <c r="F51" s="11">
        <f t="shared" si="4"/>
        <v>-42.374894879461138</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-42.213686456894266</v>
      </c>
      <c r="E52" s="11">
        <f>A52-'Mastercurve bestimmen'!$B$2</f>
        <v>-83</v>
      </c>
      <c r="F52" s="11">
        <f t="shared" si="4"/>
        <v>-42.213686456894266</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-42.047051613420642</v>
      </c>
      <c r="E53" s="11">
        <f>A53-'Mastercurve bestimmen'!$B$2</f>
        <v>-82</v>
      </c>
      <c r="F53" s="11">
        <f t="shared" si="4"/>
        <v>-42.047051613420642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-41.874843689015755</v>
      </c>
      <c r="E54" s="11">
        <f>A54-'Mastercurve bestimmen'!$B$2</f>
        <v>-81</v>
      </c>
      <c r="F54" s="11">
        <f t="shared" si="4"/>
        <v>-41.874843689015755</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-41.696916023655113</v>
      </c>
      <c r="E55" s="11">
        <f>A55-'Mastercurve bestimmen'!$B$2</f>
        <v>-80</v>
      </c>
      <c r="F55" s="11">
        <f t="shared" si="4"/>
        <v>-41.696916023655113</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-41.565532961159505</v>
      </c>
      <c r="E56" s="11">
        <f>A56-'Mastercurve bestimmen'!$B$2</f>
        <v>-79</v>
      </c>
      <c r="F56" s="11">
        <f t="shared" si="4"/>
        <v>-41.565532961159505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-41.428597079596727</v>
      </c>
      <c r="E57" s="11">
        <f>A57-'Mastercurve bestimmen'!$B$2</f>
        <v>-78</v>
      </c>
      <c r="F57" s="11">
        <f t="shared" si="4"/>
        <v>-41.428597079596727</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-41.286421960879899</v>
      </c>
      <c r="E58" s="11">
        <f>A58-'Mastercurve bestimmen'!$B$2</f>
        <v>-77</v>
      </c>
      <c r="F58" s="11">
        <f t="shared" si="4"/>
        <v>-41.286421960879899</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-41.139321186922089</v>
      </c>
      <c r="E59" s="11">
        <f>A59-'Mastercurve bestimmen'!$B$2</f>
        <v>-76</v>
      </c>
      <c r="F59" s="11">
        <f t="shared" si="4"/>
        <v>-41.139321186922089</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-40.987608339636431</v>
      </c>
      <c r="E60" s="11">
        <f>A60-'Mastercurve bestimmen'!$B$2</f>
        <v>-75</v>
      </c>
      <c r="F60" s="11">
        <f t="shared" si="4"/>
        <v>-40.987608339636431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-40.831597000936014</v>
      </c>
      <c r="E61" s="11">
        <f>A61-'Mastercurve bestimmen'!$B$2</f>
        <v>-74</v>
      </c>
      <c r="F61" s="11">
        <f t="shared" si="4"/>
        <v>-40.831597000936014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-40.671600752733944</v>
      </c>
      <c r="E62" s="11">
        <f>A62-'Mastercurve bestimmen'!$B$2</f>
        <v>-73</v>
      </c>
      <c r="F62" s="11">
        <f t="shared" si="4"/>
        <v>-40.671600752733944</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-40.507933176943325</v>
      </c>
      <c r="E63" s="11">
        <f>A63-'Mastercurve bestimmen'!$B$2</f>
        <v>-72</v>
      </c>
      <c r="F63" s="11">
        <f t="shared" si="4"/>
        <v>-40.507933176943325</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-40.340907855477255</v>
      </c>
      <c r="E64" s="11">
        <f>A64-'Mastercurve bestimmen'!$B$2</f>
        <v>-71</v>
      </c>
      <c r="F64" s="11">
        <f t="shared" si="4"/>
        <v>-40.340907855477255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-40.170838370248845</v>
      </c>
      <c r="E65" s="11">
        <f>A65-'Mastercurve bestimmen'!$B$2</f>
        <v>-70</v>
      </c>
      <c r="F65" s="11">
        <f t="shared" si="4"/>
        <v>-40.170838370248845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-39.998038303171192</v>
      </c>
      <c r="E66" s="11">
        <f>A66-'Mastercurve bestimmen'!$B$2</f>
        <v>-69</v>
      </c>
      <c r="F66" s="11">
        <f t="shared" si="4"/>
        <v>-39.998038303171192</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-39.822821236157395</v>
      </c>
      <c r="E67" s="11">
        <f>A67-'Mastercurve bestimmen'!$B$2</f>
        <v>-68</v>
      </c>
      <c r="F67" s="11">
        <f t="shared" si="4"/>
        <v>-39.822821236157395</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-39.645500751120565</v>
      </c>
      <c r="E68" s="11">
        <f>A68-'Mastercurve bestimmen'!$B$2</f>
        <v>-67</v>
      </c>
      <c r="F68" s="11">
        <f t="shared" si="4"/>
        <v>-39.645500751120565</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-39.466390429973806</v>
      </c>
      <c r="E69" s="11">
        <f>A69-'Mastercurve bestimmen'!$B$2</f>
        <v>-66</v>
      </c>
      <c r="F69" s="11">
        <f t="shared" si="4"/>
        <v>-39.466390429973806</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-39.285803854630217</v>
      </c>
      <c r="E70" s="11">
        <f>A70-'Mastercurve bestimmen'!$B$2</f>
        <v>-65</v>
      </c>
      <c r="F70" s="11">
        <f t="shared" si="4"/>
        <v>-39.285803854630217</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-39.104054607002894</v>
      </c>
      <c r="E71" s="11">
        <f>A71-'Mastercurve bestimmen'!$B$2</f>
        <v>-64</v>
      </c>
      <c r="F71" s="11">
        <f t="shared" si="4"/>
        <v>-39.104054607002894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-38.921456269004949</v>
      </c>
      <c r="E72" s="11">
        <f>A72-'Mastercurve bestimmen'!$B$2</f>
        <v>-63</v>
      </c>
      <c r="F72" s="11">
        <f t="shared" si="4"/>
        <v>-38.921456269004949</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-38.738322422549487</v>
      </c>
      <c r="E73" s="11">
        <f>A73-'Mastercurve bestimmen'!$B$2</f>
        <v>-62</v>
      </c>
      <c r="F73" s="11">
        <f t="shared" si="4"/>
        <v>-38.738322422549487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-38.554966649549606</v>
      </c>
      <c r="E74" s="11">
        <f>A74-'Mastercurve bestimmen'!$B$2</f>
        <v>-61</v>
      </c>
      <c r="F74" s="11">
        <f t="shared" si="4"/>
        <v>-38.554966649549606</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-38.371702531918402</v>
      </c>
      <c r="E75" s="11">
        <f>A75-'Mastercurve bestimmen'!$B$2</f>
        <v>-60</v>
      </c>
      <c r="F75" s="11">
        <f t="shared" si="4"/>
        <v>-38.371702531918402</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-38.188843651568995</v>
      </c>
      <c r="E76" s="11">
        <f>A76-'Mastercurve bestimmen'!$B$2</f>
        <v>-59</v>
      </c>
      <c r="F76" s="11">
        <f t="shared" si="4"/>
        <v>-38.188843651568995</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-38.006703590414475</v>
      </c>
      <c r="E77" s="11">
        <f>A77-'Mastercurve bestimmen'!$B$2</f>
        <v>-58</v>
      </c>
      <c r="F77" s="11">
        <f t="shared" si="4"/>
        <v>-38.006703590414475</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-37.825595930367939</v>
      </c>
      <c r="E78" s="11">
        <f>A78-'Mastercurve bestimmen'!$B$2</f>
        <v>-57</v>
      </c>
      <c r="F78" s="11">
        <f t="shared" si="4"/>
        <v>-37.825595930367939</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-37.645834253342514</v>
      </c>
      <c r="E79" s="11">
        <f>A79-'Mastercurve bestimmen'!$B$2</f>
        <v>-56</v>
      </c>
      <c r="F79" s="11">
        <f t="shared" si="4"/>
        <v>-37.645834253342514</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-37.467732141251275</v>
      </c>
      <c r="E80" s="11">
        <f>A80-'Mastercurve bestimmen'!$B$2</f>
        <v>-55</v>
      </c>
      <c r="F80" s="11">
        <f t="shared" ref="F80:F143" si="10">B80</f>
        <v>-37.467732141251275</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-37.291414253640276</v>
      </c>
      <c r="E81" s="11">
        <f>A81-'Mastercurve bestimmen'!$B$2</f>
        <v>-54</v>
      </c>
      <c r="F81" s="11">
        <f t="shared" si="10"/>
        <v>-37.291414253640276</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-37.116249560587271</v>
      </c>
      <c r="E82" s="11">
        <f>A82-'Mastercurve bestimmen'!$B$2</f>
        <v>-53</v>
      </c>
      <c r="F82" s="11">
        <f t="shared" si="10"/>
        <v>-37.116249560587271</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-36.941418109802967</v>
      </c>
      <c r="E83" s="11">
        <f>A83-'Mastercurve bestimmen'!$B$2</f>
        <v>-52</v>
      </c>
      <c r="F83" s="11">
        <f t="shared" si="10"/>
        <v>-36.941418109802967</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-36.766099948998033</v>
      </c>
      <c r="E84" s="11">
        <f>A84-'Mastercurve bestimmen'!$B$2</f>
        <v>-51</v>
      </c>
      <c r="F84" s="11">
        <f t="shared" si="10"/>
        <v>-36.766099948998033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-36.589475125883204</v>
      </c>
      <c r="E85" s="11">
        <f>A85-'Mastercurve bestimmen'!$B$2</f>
        <v>-50</v>
      </c>
      <c r="F85" s="11">
        <f t="shared" si="10"/>
        <v>-36.589475125883204</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-36.410723688169142</v>
      </c>
      <c r="E86" s="11">
        <f>A86-'Mastercurve bestimmen'!$B$2</f>
        <v>-49</v>
      </c>
      <c r="F86" s="11">
        <f t="shared" si="10"/>
        <v>-36.410723688169142</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-36.229025683566562</v>
      </c>
      <c r="E87" s="11">
        <f>A87-'Mastercurve bestimmen'!$B$2</f>
        <v>-48</v>
      </c>
      <c r="F87" s="11">
        <f t="shared" si="10"/>
        <v>-36.229025683566562</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-36.043561159786151</v>
      </c>
      <c r="E88" s="11">
        <f>A88-'Mastercurve bestimmen'!$B$2</f>
        <v>-47</v>
      </c>
      <c r="F88" s="11">
        <f t="shared" si="10"/>
        <v>-36.043561159786151</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-35.853510164538605</v>
      </c>
      <c r="E89" s="11">
        <f>A89-'Mastercurve bestimmen'!$B$2</f>
        <v>-46</v>
      </c>
      <c r="F89" s="11">
        <f t="shared" si="10"/>
        <v>-35.853510164538605</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-35.658052745534626</v>
      </c>
      <c r="E90" s="11">
        <f>A90-'Mastercurve bestimmen'!$B$2</f>
        <v>-45</v>
      </c>
      <c r="F90" s="11">
        <f t="shared" si="10"/>
        <v>-35.658052745534626</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-35.456368950484901</v>
      </c>
      <c r="E91" s="11">
        <f>A91-'Mastercurve bestimmen'!$B$2</f>
        <v>-44</v>
      </c>
      <c r="F91" s="11">
        <f t="shared" si="10"/>
        <v>-35.456368950484901</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-35.247638827100133</v>
      </c>
      <c r="E92" s="11">
        <f>A92-'Mastercurve bestimmen'!$B$2</f>
        <v>-43</v>
      </c>
      <c r="F92" s="11">
        <f t="shared" si="10"/>
        <v>-35.247638827100133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-35.031042423091009</v>
      </c>
      <c r="E93" s="11">
        <f>A93-'Mastercurve bestimmen'!$B$2</f>
        <v>-42</v>
      </c>
      <c r="F93" s="11">
        <f t="shared" si="10"/>
        <v>-35.031042423091009</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-34.805759786168238</v>
      </c>
      <c r="E94" s="11">
        <f>A94-'Mastercurve bestimmen'!$B$2</f>
        <v>-41</v>
      </c>
      <c r="F94" s="11">
        <f t="shared" si="10"/>
        <v>-34.805759786168238</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-34.570970964042495</v>
      </c>
      <c r="E95" s="11">
        <f>A95-'Mastercurve bestimmen'!$B$2</f>
        <v>-40</v>
      </c>
      <c r="F95" s="11">
        <f t="shared" si="10"/>
        <v>-34.570970964042495</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-34.325856004424494</v>
      </c>
      <c r="E96" s="11">
        <f>A96-'Mastercurve bestimmen'!$B$2</f>
        <v>-39</v>
      </c>
      <c r="F96" s="11">
        <f t="shared" si="10"/>
        <v>-34.325856004424494</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-34.069594955024925</v>
      </c>
      <c r="E97" s="11">
        <f>A97-'Mastercurve bestimmen'!$B$2</f>
        <v>-38</v>
      </c>
      <c r="F97" s="11">
        <f t="shared" si="10"/>
        <v>-34.069594955024925</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-33.801367863554489</v>
      </c>
      <c r="E98" s="11">
        <f>A98-'Mastercurve bestimmen'!$B$2</f>
        <v>-37</v>
      </c>
      <c r="F98" s="11">
        <f t="shared" si="10"/>
        <v>-33.801367863554489</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-33.520354777723867</v>
      </c>
      <c r="E99" s="11">
        <f>A99-'Mastercurve bestimmen'!$B$2</f>
        <v>-36</v>
      </c>
      <c r="F99" s="11">
        <f t="shared" si="10"/>
        <v>-33.520354777723867</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-33.225735745243767</v>
      </c>
      <c r="E100" s="11">
        <f>A100-'Mastercurve bestimmen'!$B$2</f>
        <v>-35</v>
      </c>
      <c r="F100" s="11">
        <f t="shared" si="10"/>
        <v>-33.225735745243767</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-32.916690813824886</v>
      </c>
      <c r="E101" s="11">
        <f>A101-'Mastercurve bestimmen'!$B$2</f>
        <v>-34</v>
      </c>
      <c r="F101" s="11">
        <f t="shared" si="10"/>
        <v>-32.916690813824886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-32.592400031177917</v>
      </c>
      <c r="E102" s="11">
        <f>A102-'Mastercurve bestimmen'!$B$2</f>
        <v>-33</v>
      </c>
      <c r="F102" s="11">
        <f t="shared" si="10"/>
        <v>-32.592400031177917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-32.252043445013541</v>
      </c>
      <c r="E103" s="11">
        <f>A103-'Mastercurve bestimmen'!$B$2</f>
        <v>-32</v>
      </c>
      <c r="F103" s="11">
        <f t="shared" si="10"/>
        <v>-32.252043445013541</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-31.894801103042475</v>
      </c>
      <c r="E104" s="11">
        <f>A104-'Mastercurve bestimmen'!$B$2</f>
        <v>-31</v>
      </c>
      <c r="F104" s="11">
        <f t="shared" si="10"/>
        <v>-31.894801103042475</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-31.519853052975407</v>
      </c>
      <c r="E105" s="11">
        <f>A105-'Mastercurve bestimmen'!$B$2</f>
        <v>-30</v>
      </c>
      <c r="F105" s="11">
        <f t="shared" si="10"/>
        <v>-31.519853052975407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-31.126667810396924</v>
      </c>
      <c r="E106" s="11">
        <f>A106-'Mastercurve bestimmen'!$B$2</f>
        <v>-29</v>
      </c>
      <c r="F106" s="11">
        <f t="shared" si="10"/>
        <v>-31.126667810396924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-30.715867762387184</v>
      </c>
      <c r="E107" s="11">
        <f>A107-'Mastercurve bestimmen'!$B$2</f>
        <v>-28</v>
      </c>
      <c r="F107" s="11">
        <f t="shared" si="10"/>
        <v>-30.715867762387184</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-30.288363763900247</v>
      </c>
      <c r="E108" s="11">
        <f>A108-'Mastercurve bestimmen'!$B$2</f>
        <v>-27</v>
      </c>
      <c r="F108" s="11">
        <f t="shared" si="10"/>
        <v>-30.288363763900247</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-29.845066669890162</v>
      </c>
      <c r="E109" s="11">
        <f>A109-'Mastercurve bestimmen'!$B$2</f>
        <v>-26</v>
      </c>
      <c r="F109" s="11">
        <f t="shared" si="10"/>
        <v>-29.845066669890162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-29.386887335310995</v>
      </c>
      <c r="E110" s="11">
        <f>A110-'Mastercurve bestimmen'!$B$2</f>
        <v>-25</v>
      </c>
      <c r="F110" s="11">
        <f t="shared" si="10"/>
        <v>-29.386887335310995</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-28.914736615116791</v>
      </c>
      <c r="E111" s="11">
        <f>A111-'Mastercurve bestimmen'!$B$2</f>
        <v>-24</v>
      </c>
      <c r="F111" s="11">
        <f t="shared" si="10"/>
        <v>-28.914736615116791</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-28.429525364261607</v>
      </c>
      <c r="E112" s="11">
        <f>A112-'Mastercurve bestimmen'!$B$2</f>
        <v>-23</v>
      </c>
      <c r="F112" s="11">
        <f t="shared" si="10"/>
        <v>-28.429525364261607</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-27.932164437699502</v>
      </c>
      <c r="E113" s="11">
        <f>A113-'Mastercurve bestimmen'!$B$2</f>
        <v>-22</v>
      </c>
      <c r="F113" s="11">
        <f t="shared" si="10"/>
        <v>-27.932164437699502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-27.42356469038452</v>
      </c>
      <c r="E114" s="11">
        <f>A114-'Mastercurve bestimmen'!$B$2</f>
        <v>-21</v>
      </c>
      <c r="F114" s="11">
        <f t="shared" si="10"/>
        <v>-27.42356469038452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-26.904636977270727</v>
      </c>
      <c r="E115" s="11">
        <f>A115-'Mastercurve bestimmen'!$B$2</f>
        <v>-20</v>
      </c>
      <c r="F115" s="11">
        <f t="shared" si="10"/>
        <v>-26.904636977270727</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-26.376292153312171</v>
      </c>
      <c r="E116" s="11">
        <f>A116-'Mastercurve bestimmen'!$B$2</f>
        <v>-19</v>
      </c>
      <c r="F116" s="11">
        <f t="shared" si="10"/>
        <v>-26.376292153312171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-25.839441073462908</v>
      </c>
      <c r="E117" s="11">
        <f>A117-'Mastercurve bestimmen'!$B$2</f>
        <v>-18</v>
      </c>
      <c r="F117" s="11">
        <f t="shared" si="10"/>
        <v>-25.839441073462908</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-25.294994592676993</v>
      </c>
      <c r="E118" s="11">
        <f>A118-'Mastercurve bestimmen'!$B$2</f>
        <v>-17</v>
      </c>
      <c r="F118" s="11">
        <f t="shared" si="10"/>
        <v>-25.294994592676993</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-24.743863565908484</v>
      </c>
      <c r="E119" s="11">
        <f>A119-'Mastercurve bestimmen'!$B$2</f>
        <v>-16</v>
      </c>
      <c r="F119" s="11">
        <f t="shared" si="10"/>
        <v>-24.743863565908484</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-14</v>
      </c>
      <c r="F121" s="11">
        <f t="shared" si="10"/>
        <v>-23.62519129423989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-23.059471759247913</v>
      </c>
      <c r="E122" s="11">
        <f>A122-'Mastercurve bestimmen'!$B$2</f>
        <v>-13</v>
      </c>
      <c r="F122" s="11">
        <f t="shared" si="10"/>
        <v>-23.059471759247913</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-22.490711098089562</v>
      </c>
      <c r="E123" s="11">
        <f>A123-'Mastercurve bestimmen'!$B$2</f>
        <v>-12</v>
      </c>
      <c r="F123" s="11">
        <f t="shared" si="10"/>
        <v>-22.490711098089562</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-21.919820165718889</v>
      </c>
      <c r="E124" s="11">
        <f>A124-'Mastercurve bestimmen'!$B$2</f>
        <v>-11</v>
      </c>
      <c r="F124" s="11">
        <f t="shared" si="10"/>
        <v>-21.919820165718889</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-21.347709817089942</v>
      </c>
      <c r="E125" s="11">
        <f>A125-'Mastercurve bestimmen'!$B$2</f>
        <v>-10</v>
      </c>
      <c r="F125" s="11">
        <f t="shared" si="10"/>
        <v>-21.347709817089942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-20.77529090715678</v>
      </c>
      <c r="E126" s="11">
        <f>A126-'Mastercurve bestimmen'!$B$2</f>
        <v>-9</v>
      </c>
      <c r="F126" s="11">
        <f t="shared" si="10"/>
        <v>-20.77529090715678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-20.203474290873459</v>
      </c>
      <c r="E127" s="11">
        <f>A127-'Mastercurve bestimmen'!$B$2</f>
        <v>-8</v>
      </c>
      <c r="F127" s="11">
        <f t="shared" si="10"/>
        <v>-20.203474290873459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-19.633170823194035</v>
      </c>
      <c r="E128" s="11">
        <f>A128-'Mastercurve bestimmen'!$B$2</f>
        <v>-7</v>
      </c>
      <c r="F128" s="11">
        <f t="shared" si="10"/>
        <v>-19.633170823194035</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-19.06529135907256</v>
      </c>
      <c r="E129" s="11">
        <f>A129-'Mastercurve bestimmen'!$B$2</f>
        <v>-6</v>
      </c>
      <c r="F129" s="11">
        <f t="shared" si="10"/>
        <v>-19.06529135907256</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-18.500746753463087</v>
      </c>
      <c r="E130" s="11">
        <f>A130-'Mastercurve bestimmen'!$B$2</f>
        <v>-5</v>
      </c>
      <c r="F130" s="11">
        <f t="shared" si="10"/>
        <v>-18.500746753463087</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-17.940447861319676</v>
      </c>
      <c r="E131" s="11">
        <f>A131-'Mastercurve bestimmen'!$B$2</f>
        <v>-4</v>
      </c>
      <c r="F131" s="11">
        <f t="shared" si="10"/>
        <v>-17.940447861319676</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-17.385305537596373</v>
      </c>
      <c r="E132" s="11">
        <f>A132-'Mastercurve bestimmen'!$B$2</f>
        <v>-3</v>
      </c>
      <c r="F132" s="11">
        <f t="shared" si="10"/>
        <v>-17.385305537596373</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-16.836230637247244</v>
      </c>
      <c r="E133" s="11">
        <f>A133-'Mastercurve bestimmen'!$B$2</f>
        <v>-2</v>
      </c>
      <c r="F133" s="11">
        <f t="shared" si="10"/>
        <v>-16.836230637247244</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-16.294134015226334</v>
      </c>
      <c r="E134" s="11">
        <f>A134-'Mastercurve bestimmen'!$B$2</f>
        <v>-1</v>
      </c>
      <c r="F134" s="11">
        <f t="shared" si="10"/>
        <v>-16.294134015226334</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-15.759926526487703</v>
      </c>
      <c r="E135" s="11">
        <f>A135-'Mastercurve bestimmen'!$B$2</f>
        <v>0</v>
      </c>
      <c r="F135" s="11">
        <f t="shared" si="10"/>
        <v>-15.759926526487703</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-15.234358199038235</v>
      </c>
      <c r="E136" s="11">
        <f>A136-'Mastercurve bestimmen'!$B$2</f>
        <v>1</v>
      </c>
      <c r="F136" s="11">
        <f t="shared" si="10"/>
        <v>-15.234358199038235</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-14.717535753096168</v>
      </c>
      <c r="E137" s="11">
        <f>A137-'Mastercurve bestimmen'!$B$2</f>
        <v>2</v>
      </c>
      <c r="F137" s="11">
        <f t="shared" si="10"/>
        <v>-14.717535753096168</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-14.209405081932562</v>
      </c>
      <c r="E138" s="11">
        <f>A138-'Mastercurve bestimmen'!$B$2</f>
        <v>3</v>
      </c>
      <c r="F138" s="11">
        <f t="shared" si="10"/>
        <v>-14.209405081932562</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-13.709912078818485</v>
      </c>
      <c r="E139" s="11">
        <f>A139-'Mastercurve bestimmen'!$B$2</f>
        <v>4</v>
      </c>
      <c r="F139" s="11">
        <f t="shared" si="10"/>
        <v>-13.709912078818485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-13.219002637025</v>
      </c>
      <c r="E140" s="11">
        <f>A140-'Mastercurve bestimmen'!$B$2</f>
        <v>5</v>
      </c>
      <c r="F140" s="11">
        <f t="shared" si="10"/>
        <v>-13.219002637025</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-12.736622649823172</v>
      </c>
      <c r="E141" s="11">
        <f>A141-'Mastercurve bestimmen'!$B$2</f>
        <v>6</v>
      </c>
      <c r="F141" s="11">
        <f t="shared" si="10"/>
        <v>-12.736622649823172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-12.262718010484072</v>
      </c>
      <c r="E142" s="11">
        <f>A142-'Mastercurve bestimmen'!$B$2</f>
        <v>7</v>
      </c>
      <c r="F142" s="11">
        <f t="shared" si="10"/>
        <v>-12.262718010484072</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-11.797234612278755</v>
      </c>
      <c r="E143" s="11">
        <f>A143-'Mastercurve bestimmen'!$B$2</f>
        <v>8</v>
      </c>
      <c r="F143" s="11">
        <f t="shared" si="10"/>
        <v>-11.797234612278755</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-11.340118348478292</v>
      </c>
      <c r="E144" s="11">
        <f>A144-'Mastercurve bestimmen'!$B$2</f>
        <v>9</v>
      </c>
      <c r="F144" s="11">
        <f t="shared" ref="F144:F207" si="15">B144</f>
        <v>-11.340118348478292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-10.891315112353752</v>
      </c>
      <c r="E145" s="11">
        <f>A145-'Mastercurve bestimmen'!$B$2</f>
        <v>10</v>
      </c>
      <c r="F145" s="11">
        <f t="shared" si="15"/>
        <v>-10.891315112353752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-10.450770797176192</v>
      </c>
      <c r="E146" s="11">
        <f>A146-'Mastercurve bestimmen'!$B$2</f>
        <v>11</v>
      </c>
      <c r="F146" s="11">
        <f t="shared" si="15"/>
        <v>-10.450770797176192</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-10.018431296216681</v>
      </c>
      <c r="E147" s="11">
        <f>A147-'Mastercurve bestimmen'!$B$2</f>
        <v>12</v>
      </c>
      <c r="F147" s="11">
        <f t="shared" si="15"/>
        <v>-10.018431296216681</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-9.594242502746285</v>
      </c>
      <c r="E148" s="11">
        <f>A148-'Mastercurve bestimmen'!$B$2</f>
        <v>13</v>
      </c>
      <c r="F148" s="11">
        <f t="shared" si="15"/>
        <v>-9.594242502746285</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-9.1781503100360666</v>
      </c>
      <c r="E149" s="11">
        <f>A149-'Mastercurve bestimmen'!$B$2</f>
        <v>14</v>
      </c>
      <c r="F149" s="11">
        <f t="shared" si="15"/>
        <v>-9.1781503100360666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-8.7701006113570976</v>
      </c>
      <c r="E150" s="11">
        <f>A150-'Mastercurve bestimmen'!$B$2</f>
        <v>15</v>
      </c>
      <c r="F150" s="11">
        <f t="shared" si="15"/>
        <v>-8.7701006113570976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-8.3700392999804354</v>
      </c>
      <c r="E151" s="11">
        <f>A151-'Mastercurve bestimmen'!$B$2</f>
        <v>16</v>
      </c>
      <c r="F151" s="11">
        <f t="shared" si="15"/>
        <v>-8.3700392999804354</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-7.977912269177148</v>
      </c>
      <c r="E152" s="11">
        <f>A152-'Mastercurve bestimmen'!$B$2</f>
        <v>17</v>
      </c>
      <c r="F152" s="11">
        <f t="shared" si="15"/>
        <v>-7.977912269177148</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-7.5936654122183009</v>
      </c>
      <c r="E153" s="11">
        <f>A153-'Mastercurve bestimmen'!$B$2</f>
        <v>18</v>
      </c>
      <c r="F153" s="11">
        <f t="shared" si="15"/>
        <v>-7.5936654122183009</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-7.2172446223749596</v>
      </c>
      <c r="E154" s="11">
        <f>A154-'Mastercurve bestimmen'!$B$2</f>
        <v>19</v>
      </c>
      <c r="F154" s="11">
        <f t="shared" si="15"/>
        <v>-7.2172446223749596</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-6.8485957929181875</v>
      </c>
      <c r="E155" s="11">
        <f>A155-'Mastercurve bestimmen'!$B$2</f>
        <v>20</v>
      </c>
      <c r="F155" s="11">
        <f t="shared" si="15"/>
        <v>-6.8485957929181875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-6.4876648171190521</v>
      </c>
      <c r="E156" s="11">
        <f>A156-'Mastercurve bestimmen'!$B$2</f>
        <v>21</v>
      </c>
      <c r="F156" s="11">
        <f t="shared" si="15"/>
        <v>-6.4876648171190521</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-6.1343975882486186</v>
      </c>
      <c r="E157" s="11">
        <f>A157-'Mastercurve bestimmen'!$B$2</f>
        <v>22</v>
      </c>
      <c r="F157" s="11">
        <f t="shared" si="15"/>
        <v>-6.1343975882486186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-5.7887399995779507</v>
      </c>
      <c r="E158" s="11">
        <f>A158-'Mastercurve bestimmen'!$B$2</f>
        <v>23</v>
      </c>
      <c r="F158" s="11">
        <f t="shared" si="15"/>
        <v>-5.7887399995779507</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-5.4506379443781121</v>
      </c>
      <c r="E159" s="11">
        <f>A159-'Mastercurve bestimmen'!$B$2</f>
        <v>24</v>
      </c>
      <c r="F159" s="11">
        <f t="shared" si="15"/>
        <v>-5.4506379443781121</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-5.1200373159201717</v>
      </c>
      <c r="E160" s="11">
        <f>A160-'Mastercurve bestimmen'!$B$2</f>
        <v>25</v>
      </c>
      <c r="F160" s="11">
        <f t="shared" si="15"/>
        <v>-5.1200373159201717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-4.7968840074751924</v>
      </c>
      <c r="E161" s="11">
        <f>A161-'Mastercurve bestimmen'!$B$2</f>
        <v>26</v>
      </c>
      <c r="F161" s="11">
        <f t="shared" si="15"/>
        <v>-4.7968840074751924</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-4.4811239123142403</v>
      </c>
      <c r="E162" s="11">
        <f>A162-'Mastercurve bestimmen'!$B$2</f>
        <v>27</v>
      </c>
      <c r="F162" s="11">
        <f t="shared" si="15"/>
        <v>-4.4811239123142403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-4.1727029237083801</v>
      </c>
      <c r="E163" s="11">
        <f>A163-'Mastercurve bestimmen'!$B$2</f>
        <v>28</v>
      </c>
      <c r="F163" s="11">
        <f t="shared" si="15"/>
        <v>-4.1727029237083801</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-3.8715669349286768</v>
      </c>
      <c r="E164" s="11">
        <f>A164-'Mastercurve bestimmen'!$B$2</f>
        <v>29</v>
      </c>
      <c r="F164" s="11">
        <f t="shared" si="15"/>
        <v>-3.8715669349286768</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-3.577661839246197</v>
      </c>
      <c r="E165" s="11">
        <f>A165-'Mastercurve bestimmen'!$B$2</f>
        <v>30</v>
      </c>
      <c r="F165" s="11">
        <f t="shared" si="15"/>
        <v>-3.577661839246197</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-3.2909335299320035</v>
      </c>
      <c r="E166" s="11">
        <f>A166-'Mastercurve bestimmen'!$B$2</f>
        <v>31</v>
      </c>
      <c r="F166" s="11">
        <f t="shared" si="15"/>
        <v>-3.2909335299320035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-3.0113279002571627</v>
      </c>
      <c r="E167" s="11">
        <f>A167-'Mastercurve bestimmen'!$B$2</f>
        <v>32</v>
      </c>
      <c r="F167" s="11">
        <f t="shared" si="15"/>
        <v>-3.0113279002571627</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-2.7387908434927408</v>
      </c>
      <c r="E168" s="11">
        <f>A168-'Mastercurve bestimmen'!$B$2</f>
        <v>33</v>
      </c>
      <c r="F168" s="11">
        <f t="shared" si="15"/>
        <v>-2.7387908434927408</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-2.4732682529098016</v>
      </c>
      <c r="E169" s="11">
        <f>A169-'Mastercurve bestimmen'!$B$2</f>
        <v>34</v>
      </c>
      <c r="F169" s="11">
        <f t="shared" si="15"/>
        <v>-2.4732682529098016</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-2.2147060217794103</v>
      </c>
      <c r="E170" s="11">
        <f>A170-'Mastercurve bestimmen'!$B$2</f>
        <v>35</v>
      </c>
      <c r="F170" s="11">
        <f t="shared" si="15"/>
        <v>-2.2147060217794103</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-1.963050043372633</v>
      </c>
      <c r="E171" s="11">
        <f>A171-'Mastercurve bestimmen'!$B$2</f>
        <v>36</v>
      </c>
      <c r="F171" s="11">
        <f t="shared" si="15"/>
        <v>-1.963050043372633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-1.7182462109605345</v>
      </c>
      <c r="E172" s="11">
        <f>A172-'Mastercurve bestimmen'!$B$2</f>
        <v>37</v>
      </c>
      <c r="F172" s="11">
        <f t="shared" si="15"/>
        <v>-1.7182462109605345</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-1.4802404178141799</v>
      </c>
      <c r="E173" s="11">
        <f>A173-'Mastercurve bestimmen'!$B$2</f>
        <v>38</v>
      </c>
      <c r="F173" s="11">
        <f t="shared" si="15"/>
        <v>-1.4802404178141799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-1.2489785572046341</v>
      </c>
      <c r="E174" s="11">
        <f>A174-'Mastercurve bestimmen'!$B$2</f>
        <v>39</v>
      </c>
      <c r="F174" s="11">
        <f t="shared" si="15"/>
        <v>-1.2489785572046341</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-1.0244065224029626</v>
      </c>
      <c r="E175" s="11">
        <f>A175-'Mastercurve bestimmen'!$B$2</f>
        <v>40</v>
      </c>
      <c r="F175" s="11">
        <f t="shared" si="15"/>
        <v>-1.0244065224029626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-0.80647020668023028</v>
      </c>
      <c r="E176" s="11">
        <f>A176-'Mastercurve bestimmen'!$B$2</f>
        <v>41</v>
      </c>
      <c r="F176" s="11">
        <f t="shared" si="15"/>
        <v>-0.80647020668023028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-0.59511550330750262</v>
      </c>
      <c r="E177" s="11">
        <f>A177-'Mastercurve bestimmen'!$B$2</f>
        <v>42</v>
      </c>
      <c r="F177" s="11">
        <f t="shared" si="15"/>
        <v>-0.59511550330750262</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-0.39028830555584504</v>
      </c>
      <c r="E178" s="11">
        <f>A178-'Mastercurve bestimmen'!$B$2</f>
        <v>43</v>
      </c>
      <c r="F178" s="11">
        <f t="shared" si="15"/>
        <v>-0.39028830555584504</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-0.19193450669632295</v>
      </c>
      <c r="E179" s="11">
        <f>A179-'Mastercurve bestimmen'!$B$2</f>
        <v>44</v>
      </c>
      <c r="F179" s="11">
        <f t="shared" si="15"/>
        <v>-0.19193450669632295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0</v>
      </c>
      <c r="E180" s="11">
        <f>A180-'Mastercurve bestimmen'!$B$2</f>
        <v>45</v>
      </c>
      <c r="F180" s="11">
        <f t="shared" si="15"/>
        <v>0</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0.1855906138807312</v>
      </c>
      <c r="E181" s="11">
        <f>A181-'Mastercurve bestimmen'!$B$2</f>
        <v>46</v>
      </c>
      <c r="F181" s="11">
        <f t="shared" si="15"/>
        <v>0.1855906138807312</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0.36499790476817601</v>
      </c>
      <c r="E182" s="11">
        <f>A182-'Mastercurve bestimmen'!$B$2</f>
        <v>47</v>
      </c>
      <c r="F182" s="11">
        <f t="shared" si="15"/>
        <v>0.36499790476817601</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0.53840373510331363</v>
      </c>
      <c r="E183" s="11">
        <f>A183-'Mastercurve bestimmen'!$B$2</f>
        <v>48</v>
      </c>
      <c r="F183" s="11">
        <f t="shared" si="15"/>
        <v>0.53840373510331363</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0.70598996732712282</v>
      </c>
      <c r="E184" s="11">
        <f>A184-'Mastercurve bestimmen'!$B$2</f>
        <v>49</v>
      </c>
      <c r="F184" s="11">
        <f t="shared" si="15"/>
        <v>0.70598996732712282</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0.8679384638805826</v>
      </c>
      <c r="E185" s="11">
        <f>A185-'Mastercurve bestimmen'!$B$2</f>
        <v>50</v>
      </c>
      <c r="F185" s="11">
        <f t="shared" si="15"/>
        <v>0.8679384638805826</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1.0244310872046722</v>
      </c>
      <c r="E186" s="11">
        <f>A186-'Mastercurve bestimmen'!$B$2</f>
        <v>51</v>
      </c>
      <c r="F186" s="11">
        <f t="shared" si="15"/>
        <v>1.0244310872046722</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1.1756496997403705</v>
      </c>
      <c r="E187" s="11">
        <f>A187-'Mastercurve bestimmen'!$B$2</f>
        <v>52</v>
      </c>
      <c r="F187" s="11">
        <f t="shared" si="15"/>
        <v>1.1756496997403705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1.3217761639286563</v>
      </c>
      <c r="E188" s="11">
        <f>A188-'Mastercurve bestimmen'!$B$2</f>
        <v>53</v>
      </c>
      <c r="F188" s="11">
        <f t="shared" si="15"/>
        <v>1.3217761639286563</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1.4629923422105091</v>
      </c>
      <c r="E189" s="11">
        <f>A189-'Mastercurve bestimmen'!$B$2</f>
        <v>54</v>
      </c>
      <c r="F189" s="11">
        <f t="shared" si="15"/>
        <v>1.4629923422105091</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1.5994800970269076</v>
      </c>
      <c r="E190" s="11">
        <f>A190-'Mastercurve bestimmen'!$B$2</f>
        <v>55</v>
      </c>
      <c r="F190" s="11">
        <f t="shared" si="15"/>
        <v>1.5994800970269076</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1.7314212908188309</v>
      </c>
      <c r="E191" s="11">
        <f>A191-'Mastercurve bestimmen'!$B$2</f>
        <v>56</v>
      </c>
      <c r="F191" s="11">
        <f t="shared" si="15"/>
        <v>1.7314212908188309</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1.8589977860272577</v>
      </c>
      <c r="E192" s="11">
        <f>A192-'Mastercurve bestimmen'!$B$2</f>
        <v>57</v>
      </c>
      <c r="F192" s="11">
        <f t="shared" si="15"/>
        <v>1.8589977860272577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1.9823914450931674</v>
      </c>
      <c r="E193" s="11">
        <f>A193-'Mastercurve bestimmen'!$B$2</f>
        <v>58</v>
      </c>
      <c r="F193" s="11">
        <f t="shared" si="15"/>
        <v>1.9823914450931674</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2.1017841304575389</v>
      </c>
      <c r="E194" s="11">
        <f>A194-'Mastercurve bestimmen'!$B$2</f>
        <v>59</v>
      </c>
      <c r="F194" s="11">
        <f t="shared" si="15"/>
        <v>2.1017841304575389</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2.2173577045613508</v>
      </c>
      <c r="E195" s="11">
        <f>A195-'Mastercurve bestimmen'!$B$2</f>
        <v>60</v>
      </c>
      <c r="F195" s="11">
        <f t="shared" si="15"/>
        <v>2.2173577045613508</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2.3292940298455829</v>
      </c>
      <c r="E196" s="11">
        <f>A196-'Mastercurve bestimmen'!$B$2</f>
        <v>61</v>
      </c>
      <c r="F196" s="11">
        <f t="shared" si="15"/>
        <v>2.3292940298455829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2.437774968751214</v>
      </c>
      <c r="E197" s="11">
        <f>A197-'Mastercurve bestimmen'!$B$2</f>
        <v>62</v>
      </c>
      <c r="F197" s="11">
        <f t="shared" si="15"/>
        <v>2.437774968751214</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2.5429823837192229</v>
      </c>
      <c r="E198" s="11">
        <f>A198-'Mastercurve bestimmen'!$B$2</f>
        <v>63</v>
      </c>
      <c r="F198" s="11">
        <f t="shared" si="15"/>
        <v>2.5429823837192229</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2.6450981371905882</v>
      </c>
      <c r="E199" s="11">
        <f>A199-'Mastercurve bestimmen'!$B$2</f>
        <v>64</v>
      </c>
      <c r="F199" s="11">
        <f t="shared" si="15"/>
        <v>2.6450981371905882</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2.7443040916062893</v>
      </c>
      <c r="E200" s="11">
        <f>A200-'Mastercurve bestimmen'!$B$2</f>
        <v>65</v>
      </c>
      <c r="F200" s="11">
        <f t="shared" si="15"/>
        <v>2.7443040916062893</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2.8407821094073058</v>
      </c>
      <c r="E201" s="11">
        <f>A201-'Mastercurve bestimmen'!$B$2</f>
        <v>66</v>
      </c>
      <c r="F201" s="11">
        <f t="shared" si="15"/>
        <v>2.8407821094073058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2.9347140530346154</v>
      </c>
      <c r="E202" s="11">
        <f>A202-'Mastercurve bestimmen'!$B$2</f>
        <v>67</v>
      </c>
      <c r="F202" s="11">
        <f t="shared" si="15"/>
        <v>2.9347140530346154</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3.0262817849291981</v>
      </c>
      <c r="E203" s="11">
        <f>A203-'Mastercurve bestimmen'!$B$2</f>
        <v>68</v>
      </c>
      <c r="F203" s="11">
        <f t="shared" si="15"/>
        <v>3.0262817849291981</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3.1156671675320333</v>
      </c>
      <c r="E204" s="11">
        <f>A204-'Mastercurve bestimmen'!$B$2</f>
        <v>69</v>
      </c>
      <c r="F204" s="11">
        <f t="shared" si="15"/>
        <v>3.1156671675320333</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3.2030520632840989</v>
      </c>
      <c r="E205" s="11">
        <f>A205-'Mastercurve bestimmen'!$B$2</f>
        <v>70</v>
      </c>
      <c r="F205" s="11">
        <f t="shared" si="15"/>
        <v>3.2030520632840989</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3.2886183346263742</v>
      </c>
      <c r="E206" s="11">
        <f>A206-'Mastercurve bestimmen'!$B$2</f>
        <v>71</v>
      </c>
      <c r="F206" s="11">
        <f t="shared" si="15"/>
        <v>3.2886183346263742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3.3725478439998384</v>
      </c>
      <c r="E207" s="11">
        <f>A207-'Mastercurve bestimmen'!$B$2</f>
        <v>72</v>
      </c>
      <c r="F207" s="11">
        <f t="shared" si="15"/>
        <v>3.3725478439998384</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3.455022453845471</v>
      </c>
      <c r="E208" s="11">
        <f>A208-'Mastercurve bestimmen'!$B$2</f>
        <v>73</v>
      </c>
      <c r="F208" s="11">
        <f t="shared" ref="F208:F215" si="21">B208</f>
        <v>3.455022453845471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3.5362240266042502</v>
      </c>
      <c r="E209" s="11">
        <f>A209-'Mastercurve bestimmen'!$B$2</f>
        <v>74</v>
      </c>
      <c r="F209" s="11">
        <f t="shared" si="21"/>
        <v>3.5362240266042502</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3.6163344247171554</v>
      </c>
      <c r="E210" s="11">
        <f>A210-'Mastercurve bestimmen'!$B$2</f>
        <v>75</v>
      </c>
      <c r="F210" s="11">
        <f t="shared" si="21"/>
        <v>3.6163344247171554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3.6955355106251657</v>
      </c>
      <c r="E211" s="11">
        <f>A211-'Mastercurve bestimmen'!$B$2</f>
        <v>76</v>
      </c>
      <c r="F211" s="11">
        <f t="shared" si="21"/>
        <v>3.6955355106251657</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3.7740091467692598</v>
      </c>
      <c r="E212" s="11">
        <f>A212-'Mastercurve bestimmen'!$B$2</f>
        <v>77</v>
      </c>
      <c r="F212" s="11">
        <f t="shared" si="21"/>
        <v>3.7740091467692598</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3.8519371955904167</v>
      </c>
      <c r="E213" s="11">
        <f>A213-'Mastercurve bestimmen'!$B$2</f>
        <v>78</v>
      </c>
      <c r="F213" s="11">
        <f t="shared" si="21"/>
        <v>3.8519371955904167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3.9295015195296163</v>
      </c>
      <c r="E214" s="11">
        <f>A214-'Mastercurve bestimmen'!$B$2</f>
        <v>79</v>
      </c>
      <c r="F214" s="11">
        <f t="shared" si="21"/>
        <v>3.9295015195296163</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4.0068839810278361</v>
      </c>
      <c r="E215" s="11">
        <f>A215-'Mastercurve bestimmen'!$B$2</f>
        <v>80</v>
      </c>
      <c r="F215" s="11">
        <f t="shared" si="21"/>
        <v>4.0068839810278361</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0.59739868758354531</v>
      </c>
      <c r="J217" s="98">
        <v>-2.0812024934506054E-2</v>
      </c>
      <c r="K217" s="98">
        <v>-2.1071982851047954E-4</v>
      </c>
      <c r="L217" s="98">
        <v>5.919587130831067E-6</v>
      </c>
      <c r="M217" s="98">
        <v>6.1042098919939253E-8</v>
      </c>
      <c r="N217" s="98">
        <v>-4.1178154162140483E-10</v>
      </c>
      <c r="O217" s="98">
        <v>-5.8258702284117547E-12</v>
      </c>
      <c r="P217" s="98">
        <v>-1.3979192011894637E-14</v>
      </c>
    </row>
    <row r="218" spans="1:16" x14ac:dyDescent="0.25">
      <c r="G218" s="11"/>
      <c r="H218" s="11">
        <v>0</v>
      </c>
      <c r="I218" s="11">
        <v>6.7852862953570431E-2</v>
      </c>
      <c r="J218" s="11">
        <v>1.2638644022739548E-3</v>
      </c>
      <c r="K218" s="3">
        <v>6.4216436894221359E-5</v>
      </c>
      <c r="L218" s="3">
        <v>5.8470975905745311E-7</v>
      </c>
      <c r="M218" s="3">
        <v>1.8359995919704224E-8</v>
      </c>
      <c r="N218" s="3">
        <v>1.0089010687788131E-10</v>
      </c>
      <c r="O218" s="11">
        <v>1.6223716745910069E-12</v>
      </c>
      <c r="P218" s="11">
        <v>9.8656203715031377E-15</v>
      </c>
    </row>
    <row r="219" spans="1:16" x14ac:dyDescent="0.25">
      <c r="G219" s="11"/>
      <c r="H219" s="11">
        <v>0.94437617422085429</v>
      </c>
      <c r="I219" s="11">
        <v>7.0196999920245897</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-41.832435497904271</v>
      </c>
      <c r="G222">
        <f>F15</f>
        <v>-45.801625734711926</v>
      </c>
    </row>
    <row r="223" spans="1:16" x14ac:dyDescent="0.25">
      <c r="E223" s="11">
        <f t="shared" ref="E223:E286" si="25">E16</f>
        <v>-119</v>
      </c>
      <c r="F223" s="11">
        <f t="shared" ref="F223:F286" si="26">$H$217*0+E223*$I$217+E223^2*$J$217+E223^3*$K$217+E223^4*$L$217+E223^5*$M$217+E223^6*$N$217+E223^7*$O$217+E223^8*$P$217</f>
        <v>-43.088430589755035</v>
      </c>
      <c r="G223" s="11">
        <f t="shared" ref="G223:G286" si="27">F16</f>
        <v>-45.738092888466561</v>
      </c>
    </row>
    <row r="224" spans="1:16" x14ac:dyDescent="0.25">
      <c r="E224" s="11">
        <f t="shared" si="25"/>
        <v>-118</v>
      </c>
      <c r="F224" s="11">
        <f t="shared" si="26"/>
        <v>-44.148184386803109</v>
      </c>
      <c r="G224" s="11">
        <f t="shared" si="27"/>
        <v>-45.67441338219669</v>
      </c>
    </row>
    <row r="225" spans="5:7" x14ac:dyDescent="0.25">
      <c r="E225" s="11">
        <f t="shared" si="25"/>
        <v>-117</v>
      </c>
      <c r="F225" s="11">
        <f t="shared" si="26"/>
        <v>-45.027632623472414</v>
      </c>
      <c r="G225" s="11">
        <f t="shared" si="27"/>
        <v>-45.610440555877801</v>
      </c>
    </row>
    <row r="226" spans="5:7" x14ac:dyDescent="0.25">
      <c r="E226" s="11">
        <f t="shared" si="25"/>
        <v>-116</v>
      </c>
      <c r="F226" s="11">
        <f t="shared" si="26"/>
        <v>-45.742010230020526</v>
      </c>
      <c r="G226" s="11">
        <f t="shared" si="27"/>
        <v>-45.54602774948539</v>
      </c>
    </row>
    <row r="227" spans="5:7" x14ac:dyDescent="0.25">
      <c r="E227" s="11">
        <f t="shared" si="25"/>
        <v>-115</v>
      </c>
      <c r="F227" s="11">
        <f t="shared" si="26"/>
        <v>-46.305859462334524</v>
      </c>
      <c r="G227" s="11">
        <f t="shared" si="27"/>
        <v>-45.481028302994957</v>
      </c>
    </row>
    <row r="228" spans="5:7" x14ac:dyDescent="0.25">
      <c r="E228" s="11">
        <f t="shared" si="25"/>
        <v>-114</v>
      </c>
      <c r="F228" s="11">
        <f t="shared" si="26"/>
        <v>-46.73303875079597</v>
      </c>
      <c r="G228" s="11">
        <f t="shared" si="27"/>
        <v>-45.415295556381992</v>
      </c>
    </row>
    <row r="229" spans="5:7" x14ac:dyDescent="0.25">
      <c r="E229" s="11">
        <f t="shared" si="25"/>
        <v>-113</v>
      </c>
      <c r="F229" s="11">
        <f t="shared" si="26"/>
        <v>-47.036732231901794</v>
      </c>
      <c r="G229" s="11">
        <f t="shared" si="27"/>
        <v>-45.34868284962198</v>
      </c>
    </row>
    <row r="230" spans="5:7" x14ac:dyDescent="0.25">
      <c r="E230" s="11">
        <f t="shared" si="25"/>
        <v>-112</v>
      </c>
      <c r="F230" s="11">
        <f t="shared" si="26"/>
        <v>-47.229459926919958</v>
      </c>
      <c r="G230" s="11">
        <f t="shared" si="27"/>
        <v>-45.281043522690418</v>
      </c>
    </row>
    <row r="231" spans="5:7" x14ac:dyDescent="0.25">
      <c r="E231" s="11">
        <f t="shared" si="25"/>
        <v>-111</v>
      </c>
      <c r="F231" s="11">
        <f t="shared" si="26"/>
        <v>-47.323088532388454</v>
      </c>
      <c r="G231" s="11">
        <f t="shared" si="27"/>
        <v>-45.212230915562813</v>
      </c>
    </row>
    <row r="232" spans="5:7" x14ac:dyDescent="0.25">
      <c r="E232" s="11">
        <f t="shared" si="25"/>
        <v>-110</v>
      </c>
      <c r="F232" s="11">
        <f t="shared" si="26"/>
        <v>-47.328842787857582</v>
      </c>
      <c r="G232" s="11">
        <f t="shared" si="27"/>
        <v>-45.14209836821464</v>
      </c>
    </row>
    <row r="233" spans="5:7" x14ac:dyDescent="0.25">
      <c r="E233" s="11">
        <f t="shared" si="25"/>
        <v>-109</v>
      </c>
      <c r="F233" s="11">
        <f t="shared" si="26"/>
        <v>-47.25731738682731</v>
      </c>
      <c r="G233" s="11">
        <f t="shared" si="27"/>
        <v>-45.0704992206214</v>
      </c>
    </row>
    <row r="234" spans="5:7" x14ac:dyDescent="0.25">
      <c r="E234" s="11">
        <f t="shared" si="25"/>
        <v>-108</v>
      </c>
      <c r="F234" s="11">
        <f t="shared" si="26"/>
        <v>-47.118489397388771</v>
      </c>
      <c r="G234" s="11">
        <f t="shared" si="27"/>
        <v>-44.997286812758588</v>
      </c>
    </row>
    <row r="235" spans="5:7" x14ac:dyDescent="0.25">
      <c r="E235" s="11">
        <f t="shared" si="25"/>
        <v>-107</v>
      </c>
      <c r="F235" s="11">
        <f t="shared" si="26"/>
        <v>-46.921731159658947</v>
      </c>
      <c r="G235" s="11">
        <f t="shared" si="27"/>
        <v>-44.922314484601692</v>
      </c>
    </row>
    <row r="236" spans="5:7" x14ac:dyDescent="0.25">
      <c r="E236" s="11">
        <f t="shared" si="25"/>
        <v>-106</v>
      </c>
      <c r="F236" s="11">
        <f t="shared" si="26"/>
        <v>-46.675823627648441</v>
      </c>
      <c r="G236" s="11">
        <f t="shared" si="27"/>
        <v>-44.845435576126206</v>
      </c>
    </row>
    <row r="237" spans="5:7" x14ac:dyDescent="0.25">
      <c r="E237" s="11">
        <f t="shared" si="25"/>
        <v>-105</v>
      </c>
      <c r="F237" s="11">
        <f t="shared" si="26"/>
        <v>-46.388970123766171</v>
      </c>
      <c r="G237" s="11">
        <f t="shared" si="27"/>
        <v>-44.766503427307626</v>
      </c>
    </row>
    <row r="238" spans="5:7" x14ac:dyDescent="0.25">
      <c r="E238" s="11">
        <f t="shared" si="25"/>
        <v>-104</v>
      </c>
      <c r="F238" s="11">
        <f t="shared" si="26"/>
        <v>-46.068810474740872</v>
      </c>
      <c r="G238" s="11">
        <f t="shared" si="27"/>
        <v>-44.685371378121459</v>
      </c>
    </row>
    <row r="239" spans="5:7" x14ac:dyDescent="0.25">
      <c r="E239" s="11">
        <f t="shared" si="25"/>
        <v>-103</v>
      </c>
      <c r="F239" s="11">
        <f t="shared" si="26"/>
        <v>-45.72243549828201</v>
      </c>
      <c r="G239" s="11">
        <f t="shared" si="27"/>
        <v>-44.601892768543166</v>
      </c>
    </row>
    <row r="240" spans="5:7" x14ac:dyDescent="0.25">
      <c r="E240" s="11">
        <f t="shared" si="25"/>
        <v>-102</v>
      </c>
      <c r="F240" s="11">
        <f t="shared" si="26"/>
        <v>-45.356401810391645</v>
      </c>
      <c r="G240" s="11">
        <f t="shared" si="27"/>
        <v>-44.515920938548263</v>
      </c>
    </row>
    <row r="241" spans="5:7" x14ac:dyDescent="0.25">
      <c r="E241" s="11">
        <f t="shared" si="25"/>
        <v>-101</v>
      </c>
      <c r="F241" s="11">
        <f t="shared" si="26"/>
        <v>-44.976746923776801</v>
      </c>
      <c r="G241" s="11">
        <f t="shared" si="27"/>
        <v>-44.427309228112236</v>
      </c>
    </row>
    <row r="242" spans="5:7" x14ac:dyDescent="0.25">
      <c r="E242" s="11">
        <f t="shared" si="25"/>
        <v>-100</v>
      </c>
      <c r="F242" s="11">
        <f t="shared" si="26"/>
        <v>-44.589004608397119</v>
      </c>
      <c r="G242" s="11">
        <f t="shared" si="27"/>
        <v>-44.335910977210588</v>
      </c>
    </row>
    <row r="243" spans="5:7" x14ac:dyDescent="0.25">
      <c r="E243" s="11">
        <f t="shared" si="25"/>
        <v>-99</v>
      </c>
      <c r="F243" s="11">
        <f t="shared" si="26"/>
        <v>-44.198220485731468</v>
      </c>
      <c r="G243" s="11">
        <f t="shared" si="27"/>
        <v>-44.2415795258188</v>
      </c>
    </row>
    <row r="244" spans="5:7" x14ac:dyDescent="0.25">
      <c r="E244" s="11">
        <f t="shared" si="25"/>
        <v>-98</v>
      </c>
      <c r="F244" s="11">
        <f t="shared" si="26"/>
        <v>-43.808967828919762</v>
      </c>
      <c r="G244" s="11">
        <f t="shared" si="27"/>
        <v>-44.144168213912366</v>
      </c>
    </row>
    <row r="245" spans="5:7" x14ac:dyDescent="0.25">
      <c r="E245" s="11">
        <f t="shared" si="25"/>
        <v>-97</v>
      </c>
      <c r="F245" s="11">
        <f t="shared" si="26"/>
        <v>-43.425363541492771</v>
      </c>
      <c r="G245" s="11">
        <f t="shared" si="27"/>
        <v>-44.043530381466795</v>
      </c>
    </row>
    <row r="246" spans="5:7" x14ac:dyDescent="0.25">
      <c r="E246" s="11">
        <f t="shared" si="25"/>
        <v>-96</v>
      </c>
      <c r="F246" s="11">
        <f t="shared" si="26"/>
        <v>-43.051084287974348</v>
      </c>
      <c r="G246" s="11">
        <f t="shared" si="27"/>
        <v>-43.939519368457553</v>
      </c>
    </row>
    <row r="247" spans="5:7" x14ac:dyDescent="0.25">
      <c r="E247" s="11">
        <f t="shared" si="25"/>
        <v>-95</v>
      </c>
      <c r="F247" s="11">
        <f t="shared" si="26"/>
        <v>-42.689382750196685</v>
      </c>
      <c r="G247" s="11">
        <f t="shared" si="27"/>
        <v>-43.831988514860157</v>
      </c>
    </row>
    <row r="248" spans="5:7" x14ac:dyDescent="0.25">
      <c r="E248" s="11">
        <f t="shared" si="25"/>
        <v>-94</v>
      </c>
      <c r="F248" s="11">
        <f t="shared" si="26"/>
        <v>-42.343103983736228</v>
      </c>
      <c r="G248" s="11">
        <f t="shared" si="27"/>
        <v>-43.720791160650094</v>
      </c>
    </row>
    <row r="249" spans="5:7" x14ac:dyDescent="0.25">
      <c r="E249" s="11">
        <f t="shared" si="25"/>
        <v>-93</v>
      </c>
      <c r="F249" s="11">
        <f t="shared" si="26"/>
        <v>-42.014701849443782</v>
      </c>
      <c r="G249" s="11">
        <f t="shared" si="27"/>
        <v>-43.605780645802852</v>
      </c>
    </row>
    <row r="250" spans="5:7" x14ac:dyDescent="0.25">
      <c r="E250" s="11">
        <f t="shared" si="25"/>
        <v>-92</v>
      </c>
      <c r="F250" s="11">
        <f t="shared" si="26"/>
        <v>-41.70625549559972</v>
      </c>
      <c r="G250" s="11">
        <f t="shared" si="27"/>
        <v>-43.486810310293926</v>
      </c>
    </row>
    <row r="251" spans="5:7" x14ac:dyDescent="0.25">
      <c r="E251" s="11">
        <f t="shared" si="25"/>
        <v>-91</v>
      </c>
      <c r="F251" s="11">
        <f t="shared" si="26"/>
        <v>-41.419485866795966</v>
      </c>
      <c r="G251" s="11">
        <f t="shared" si="27"/>
        <v>-43.36373349409881</v>
      </c>
    </row>
    <row r="252" spans="5:7" x14ac:dyDescent="0.25">
      <c r="E252" s="11">
        <f t="shared" si="25"/>
        <v>-90</v>
      </c>
      <c r="F252" s="11">
        <f t="shared" si="26"/>
        <v>-41.155772216204781</v>
      </c>
      <c r="G252" s="11">
        <f t="shared" si="27"/>
        <v>-43.236403537192999</v>
      </c>
    </row>
    <row r="253" spans="5:7" x14ac:dyDescent="0.25">
      <c r="E253" s="11">
        <f t="shared" si="25"/>
        <v>-89</v>
      </c>
      <c r="F253" s="11">
        <f t="shared" si="26"/>
        <v>-40.916168598460374</v>
      </c>
      <c r="G253" s="11">
        <f t="shared" si="27"/>
        <v>-43.104673779551987</v>
      </c>
    </row>
    <row r="254" spans="5:7" x14ac:dyDescent="0.25">
      <c r="E254" s="11">
        <f t="shared" si="25"/>
        <v>-88</v>
      </c>
      <c r="F254" s="11">
        <f t="shared" si="26"/>
        <v>-40.70142032094293</v>
      </c>
      <c r="G254" s="11">
        <f t="shared" si="27"/>
        <v>-42.968397561151264</v>
      </c>
    </row>
    <row r="255" spans="5:7" x14ac:dyDescent="0.25">
      <c r="E255" s="11">
        <f t="shared" si="25"/>
        <v>-87</v>
      </c>
      <c r="F255" s="11">
        <f t="shared" si="26"/>
        <v>-40.511980331817234</v>
      </c>
      <c r="G255" s="11">
        <f t="shared" si="27"/>
        <v>-42.827428221966329</v>
      </c>
    </row>
    <row r="256" spans="5:7" x14ac:dyDescent="0.25">
      <c r="E256" s="11">
        <f t="shared" si="25"/>
        <v>-86</v>
      </c>
      <c r="F256" s="11">
        <f t="shared" si="26"/>
        <v>-40.348025523743523</v>
      </c>
      <c r="G256" s="11">
        <f t="shared" si="27"/>
        <v>-42.681619101972665</v>
      </c>
    </row>
    <row r="257" spans="5:7" x14ac:dyDescent="0.25">
      <c r="E257" s="11">
        <f t="shared" si="25"/>
        <v>-85</v>
      </c>
      <c r="F257" s="11">
        <f t="shared" si="26"/>
        <v>-40.209472932739359</v>
      </c>
      <c r="G257" s="11">
        <f t="shared" si="27"/>
        <v>-42.530823541145764</v>
      </c>
    </row>
    <row r="258" spans="5:7" x14ac:dyDescent="0.25">
      <c r="E258" s="11">
        <f t="shared" si="25"/>
        <v>-84</v>
      </c>
      <c r="F258" s="11">
        <f t="shared" si="26"/>
        <v>-40.095995812237376</v>
      </c>
      <c r="G258" s="11">
        <f t="shared" si="27"/>
        <v>-42.374894879461138</v>
      </c>
    </row>
    <row r="259" spans="5:7" x14ac:dyDescent="0.25">
      <c r="E259" s="11">
        <f t="shared" si="25"/>
        <v>-83</v>
      </c>
      <c r="F259" s="11">
        <f t="shared" si="26"/>
        <v>-40.007039562945906</v>
      </c>
      <c r="G259" s="11">
        <f t="shared" si="27"/>
        <v>-42.213686456894266</v>
      </c>
    </row>
    <row r="260" spans="5:7" x14ac:dyDescent="0.25">
      <c r="E260" s="11">
        <f t="shared" si="25"/>
        <v>-82</v>
      </c>
      <c r="F260" s="11">
        <f t="shared" si="26"/>
        <v>-39.941837499683345</v>
      </c>
      <c r="G260" s="11">
        <f t="shared" si="27"/>
        <v>-42.047051613420642</v>
      </c>
    </row>
    <row r="261" spans="5:7" x14ac:dyDescent="0.25">
      <c r="E261" s="11">
        <f t="shared" si="25"/>
        <v>-81</v>
      </c>
      <c r="F261" s="11">
        <f t="shared" si="26"/>
        <v>-39.89942643692153</v>
      </c>
      <c r="G261" s="11">
        <f t="shared" si="27"/>
        <v>-41.874843689015755</v>
      </c>
    </row>
    <row r="262" spans="5:7" x14ac:dyDescent="0.25">
      <c r="E262" s="11">
        <f t="shared" si="25"/>
        <v>-80</v>
      </c>
      <c r="F262" s="11">
        <f t="shared" si="26"/>
        <v>-39.878662075336223</v>
      </c>
      <c r="G262" s="11">
        <f t="shared" si="27"/>
        <v>-41.696916023655113</v>
      </c>
    </row>
    <row r="263" spans="5:7" x14ac:dyDescent="0.25">
      <c r="E263" s="11">
        <f t="shared" si="25"/>
        <v>-79</v>
      </c>
      <c r="F263" s="11">
        <f t="shared" si="26"/>
        <v>-39.878234172226627</v>
      </c>
      <c r="G263" s="11">
        <f t="shared" si="27"/>
        <v>-41.565532961159505</v>
      </c>
    </row>
    <row r="264" spans="5:7" x14ac:dyDescent="0.25">
      <c r="E264" s="11">
        <f t="shared" si="25"/>
        <v>-78</v>
      </c>
      <c r="F264" s="11">
        <f t="shared" si="26"/>
        <v>-39.896681479229173</v>
      </c>
      <c r="G264" s="11">
        <f t="shared" si="27"/>
        <v>-41.428597079596727</v>
      </c>
    </row>
    <row r="265" spans="5:7" x14ac:dyDescent="0.25">
      <c r="E265" s="11">
        <f t="shared" si="25"/>
        <v>-77</v>
      </c>
      <c r="F265" s="11">
        <f t="shared" si="26"/>
        <v>-39.932406431316366</v>
      </c>
      <c r="G265" s="11">
        <f t="shared" si="27"/>
        <v>-41.286421960879899</v>
      </c>
    </row>
    <row r="266" spans="5:7" x14ac:dyDescent="0.25">
      <c r="E266" s="11">
        <f t="shared" si="25"/>
        <v>-76</v>
      </c>
      <c r="F266" s="11">
        <f t="shared" si="26"/>
        <v>-39.983689571631317</v>
      </c>
      <c r="G266" s="11">
        <f t="shared" si="27"/>
        <v>-41.139321186922089</v>
      </c>
    </row>
    <row r="267" spans="5:7" x14ac:dyDescent="0.25">
      <c r="E267" s="11">
        <f t="shared" si="25"/>
        <v>-75</v>
      </c>
      <c r="F267" s="11">
        <f t="shared" si="26"/>
        <v>-40.048703697276892</v>
      </c>
      <c r="G267" s="11">
        <f t="shared" si="27"/>
        <v>-40.987608339636431</v>
      </c>
    </row>
    <row r="268" spans="5:7" x14ac:dyDescent="0.25">
      <c r="E268" s="11">
        <f t="shared" si="25"/>
        <v>-74</v>
      </c>
      <c r="F268" s="11">
        <f t="shared" si="26"/>
        <v>-40.125527711737732</v>
      </c>
      <c r="G268" s="11">
        <f t="shared" si="27"/>
        <v>-40.831597000936014</v>
      </c>
    </row>
    <row r="269" spans="5:7" x14ac:dyDescent="0.25">
      <c r="E269" s="11">
        <f t="shared" si="25"/>
        <v>-73</v>
      </c>
      <c r="F269" s="11">
        <f t="shared" si="26"/>
        <v>-40.212160170180425</v>
      </c>
      <c r="G269" s="11">
        <f t="shared" si="27"/>
        <v>-40.671600752733944</v>
      </c>
    </row>
    <row r="270" spans="5:7" x14ac:dyDescent="0.25">
      <c r="E270" s="11">
        <f t="shared" si="25"/>
        <v>-72</v>
      </c>
      <c r="F270" s="11">
        <f t="shared" si="26"/>
        <v>-40.306532504438323</v>
      </c>
      <c r="G270" s="11">
        <f t="shared" si="27"/>
        <v>-40.507933176943325</v>
      </c>
    </row>
    <row r="271" spans="5:7" x14ac:dyDescent="0.25">
      <c r="E271" s="11">
        <f t="shared" si="25"/>
        <v>-71</v>
      </c>
      <c r="F271" s="11">
        <f t="shared" si="26"/>
        <v>-40.406521915052764</v>
      </c>
      <c r="G271" s="11">
        <f t="shared" si="27"/>
        <v>-40.340907855477255</v>
      </c>
    </row>
    <row r="272" spans="5:7" x14ac:dyDescent="0.25">
      <c r="E272" s="11">
        <f t="shared" si="25"/>
        <v>-70</v>
      </c>
      <c r="F272" s="11">
        <f t="shared" si="26"/>
        <v>-40.509963918305196</v>
      </c>
      <c r="G272" s="11">
        <f t="shared" si="27"/>
        <v>-40.170838370248845</v>
      </c>
    </row>
    <row r="273" spans="5:7" x14ac:dyDescent="0.25">
      <c r="E273" s="11">
        <f t="shared" si="25"/>
        <v>-69</v>
      </c>
      <c r="F273" s="11">
        <f t="shared" si="26"/>
        <v>-40.614664536738594</v>
      </c>
      <c r="G273" s="11">
        <f t="shared" si="27"/>
        <v>-39.998038303171192</v>
      </c>
    </row>
    <row r="274" spans="5:7" x14ac:dyDescent="0.25">
      <c r="E274" s="11">
        <f t="shared" si="25"/>
        <v>-68</v>
      </c>
      <c r="F274" s="11">
        <f t="shared" si="26"/>
        <v>-40.718412122230397</v>
      </c>
      <c r="G274" s="11">
        <f t="shared" si="27"/>
        <v>-39.822821236157395</v>
      </c>
    </row>
    <row r="275" spans="5:7" x14ac:dyDescent="0.25">
      <c r="E275" s="11">
        <f t="shared" si="25"/>
        <v>-67</v>
      </c>
      <c r="F275" s="11">
        <f t="shared" si="26"/>
        <v>-40.818988801242284</v>
      </c>
      <c r="G275" s="11">
        <f t="shared" si="27"/>
        <v>-39.645500751120565</v>
      </c>
    </row>
    <row r="276" spans="5:7" x14ac:dyDescent="0.25">
      <c r="E276" s="11">
        <f t="shared" si="25"/>
        <v>-66</v>
      </c>
      <c r="F276" s="11">
        <f t="shared" si="26"/>
        <v>-40.914181532437013</v>
      </c>
      <c r="G276" s="11">
        <f t="shared" si="27"/>
        <v>-39.466390429973806</v>
      </c>
    </row>
    <row r="277" spans="5:7" x14ac:dyDescent="0.25">
      <c r="E277" s="11">
        <f t="shared" si="25"/>
        <v>-65</v>
      </c>
      <c r="F277" s="11">
        <f t="shared" si="26"/>
        <v>-41.00179276741386</v>
      </c>
      <c r="G277" s="11">
        <f t="shared" si="27"/>
        <v>-39.285803854630217</v>
      </c>
    </row>
    <row r="278" spans="5:7" x14ac:dyDescent="0.25">
      <c r="E278" s="11">
        <f t="shared" si="25"/>
        <v>-64</v>
      </c>
      <c r="F278" s="11">
        <f t="shared" si="26"/>
        <v>-41.079650705880674</v>
      </c>
      <c r="G278" s="11">
        <f t="shared" si="27"/>
        <v>-39.104054607002894</v>
      </c>
    </row>
    <row r="279" spans="5:7" x14ac:dyDescent="0.25">
      <c r="E279" s="11">
        <f t="shared" si="25"/>
        <v>-63</v>
      </c>
      <c r="F279" s="11">
        <f t="shared" si="26"/>
        <v>-41.145619137142091</v>
      </c>
      <c r="G279" s="11">
        <f t="shared" si="27"/>
        <v>-38.921456269004949</v>
      </c>
    </row>
    <row r="280" spans="5:7" x14ac:dyDescent="0.25">
      <c r="E280" s="11">
        <f t="shared" si="25"/>
        <v>-62</v>
      </c>
      <c r="F280" s="11">
        <f t="shared" si="26"/>
        <v>-41.197606860347719</v>
      </c>
      <c r="G280" s="11">
        <f t="shared" si="27"/>
        <v>-38.738322422549487</v>
      </c>
    </row>
    <row r="281" spans="5:7" x14ac:dyDescent="0.25">
      <c r="E281" s="11">
        <f t="shared" si="25"/>
        <v>-61</v>
      </c>
      <c r="F281" s="11">
        <f t="shared" si="26"/>
        <v>-41.233576676508569</v>
      </c>
      <c r="G281" s="11">
        <f t="shared" si="27"/>
        <v>-38.554966649549606</v>
      </c>
    </row>
    <row r="282" spans="5:7" x14ac:dyDescent="0.25">
      <c r="E282" s="11">
        <f t="shared" si="25"/>
        <v>-60</v>
      </c>
      <c r="F282" s="11">
        <f t="shared" si="26"/>
        <v>-41.251553945851633</v>
      </c>
      <c r="G282" s="11">
        <f t="shared" si="27"/>
        <v>-38.371702531918402</v>
      </c>
    </row>
    <row r="283" spans="5:7" x14ac:dyDescent="0.25">
      <c r="E283" s="11">
        <f t="shared" si="25"/>
        <v>-59</v>
      </c>
      <c r="F283" s="11">
        <f t="shared" si="26"/>
        <v>-41.24963470464904</v>
      </c>
      <c r="G283" s="11">
        <f t="shared" si="27"/>
        <v>-38.188843651568995</v>
      </c>
    </row>
    <row r="284" spans="5:7" x14ac:dyDescent="0.25">
      <c r="E284" s="11">
        <f t="shared" si="25"/>
        <v>-58</v>
      </c>
      <c r="F284" s="11">
        <f t="shared" si="26"/>
        <v>-41.225993336218679</v>
      </c>
      <c r="G284" s="11">
        <f t="shared" si="27"/>
        <v>-38.006703590414475</v>
      </c>
    </row>
    <row r="285" spans="5:7" x14ac:dyDescent="0.25">
      <c r="E285" s="11">
        <f t="shared" si="25"/>
        <v>-57</v>
      </c>
      <c r="F285" s="11">
        <f t="shared" si="26"/>
        <v>-41.178889791359651</v>
      </c>
      <c r="G285" s="11">
        <f t="shared" si="27"/>
        <v>-37.825595930367939</v>
      </c>
    </row>
    <row r="286" spans="5:7" x14ac:dyDescent="0.25">
      <c r="E286" s="11">
        <f t="shared" si="25"/>
        <v>-56</v>
      </c>
      <c r="F286" s="11">
        <f t="shared" si="26"/>
        <v>-41.106676354047472</v>
      </c>
      <c r="G286" s="11">
        <f t="shared" si="27"/>
        <v>-37.645834253342514</v>
      </c>
    </row>
    <row r="287" spans="5:7" x14ac:dyDescent="0.25">
      <c r="E287" s="11">
        <f t="shared" ref="E287:E350" si="28">E80</f>
        <v>-55</v>
      </c>
      <c r="F287" s="11">
        <f t="shared" ref="F287:F350" si="29">$H$217*0+E287*$I$217+E287^2*$J$217+E287^3*$K$217+E287^4*$L$217+E287^5*$M$217+E287^6*$N$217+E287^7*$O$217+E287^8*$P$217</f>
        <v>-41.00780394877885</v>
      </c>
      <c r="G287" s="11">
        <f t="shared" ref="G287:G350" si="30">F80</f>
        <v>-37.467732141251275</v>
      </c>
    </row>
    <row r="288" spans="5:7" x14ac:dyDescent="0.25">
      <c r="E288" s="11">
        <f t="shared" si="28"/>
        <v>-54</v>
      </c>
      <c r="F288" s="11">
        <f t="shared" si="29"/>
        <v>-40.880827986518831</v>
      </c>
      <c r="G288" s="11">
        <f t="shared" si="30"/>
        <v>-37.291414253640276</v>
      </c>
    </row>
    <row r="289" spans="5:7" x14ac:dyDescent="0.25">
      <c r="E289" s="11">
        <f t="shared" si="28"/>
        <v>-53</v>
      </c>
      <c r="F289" s="11">
        <f t="shared" si="29"/>
        <v>-40.724413746767141</v>
      </c>
      <c r="G289" s="11">
        <f t="shared" si="30"/>
        <v>-37.116249560587271</v>
      </c>
    </row>
    <row r="290" spans="5:7" x14ac:dyDescent="0.25">
      <c r="E290" s="11">
        <f t="shared" si="28"/>
        <v>-52</v>
      </c>
      <c r="F290" s="11">
        <f t="shared" si="29"/>
        <v>-40.537341293823943</v>
      </c>
      <c r="G290" s="11">
        <f t="shared" si="30"/>
        <v>-36.941418109802967</v>
      </c>
    </row>
    <row r="291" spans="5:7" x14ac:dyDescent="0.25">
      <c r="E291" s="11">
        <f t="shared" si="28"/>
        <v>-51</v>
      </c>
      <c r="F291" s="11">
        <f t="shared" si="29"/>
        <v>-40.318509925898979</v>
      </c>
      <c r="G291" s="11">
        <f t="shared" si="30"/>
        <v>-36.766099948998033</v>
      </c>
    </row>
    <row r="292" spans="5:7" x14ac:dyDescent="0.25">
      <c r="E292" s="11">
        <f t="shared" si="28"/>
        <v>-50</v>
      </c>
      <c r="F292" s="11">
        <f t="shared" si="29"/>
        <v>-40.066942156271708</v>
      </c>
      <c r="G292" s="11">
        <f t="shared" si="30"/>
        <v>-36.589475125883204</v>
      </c>
    </row>
    <row r="293" spans="5:7" x14ac:dyDescent="0.25">
      <c r="E293" s="11">
        <f t="shared" si="28"/>
        <v>-49</v>
      </c>
      <c r="F293" s="11">
        <f t="shared" si="29"/>
        <v>-39.78178722627365</v>
      </c>
      <c r="G293" s="11">
        <f t="shared" si="30"/>
        <v>-36.410723688169142</v>
      </c>
    </row>
    <row r="294" spans="5:7" x14ac:dyDescent="0.25">
      <c r="E294" s="11">
        <f t="shared" si="28"/>
        <v>-48</v>
      </c>
      <c r="F294" s="11">
        <f t="shared" si="29"/>
        <v>-39.462324150427762</v>
      </c>
      <c r="G294" s="11">
        <f t="shared" si="30"/>
        <v>-36.229025683566562</v>
      </c>
    </row>
    <row r="295" spans="5:7" x14ac:dyDescent="0.25">
      <c r="E295" s="11">
        <f t="shared" si="28"/>
        <v>-47</v>
      </c>
      <c r="F295" s="11">
        <f t="shared" si="29"/>
        <v>-39.107964294643551</v>
      </c>
      <c r="G295" s="11">
        <f t="shared" si="30"/>
        <v>-36.043561159786151</v>
      </c>
    </row>
    <row r="296" spans="5:7" x14ac:dyDescent="0.25">
      <c r="E296" s="11">
        <f t="shared" si="28"/>
        <v>-46</v>
      </c>
      <c r="F296" s="11">
        <f t="shared" si="29"/>
        <v>-38.718253488929754</v>
      </c>
      <c r="G296" s="11">
        <f t="shared" si="30"/>
        <v>-35.853510164538605</v>
      </c>
    </row>
    <row r="297" spans="5:7" x14ac:dyDescent="0.25">
      <c r="E297" s="11">
        <f t="shared" si="28"/>
        <v>-45</v>
      </c>
      <c r="F297" s="11">
        <f t="shared" si="29"/>
        <v>-38.292873676650743</v>
      </c>
      <c r="G297" s="11">
        <f t="shared" si="30"/>
        <v>-35.658052745534626</v>
      </c>
    </row>
    <row r="298" spans="5:7" x14ac:dyDescent="0.25">
      <c r="E298" s="11">
        <f t="shared" si="28"/>
        <v>-44</v>
      </c>
      <c r="F298" s="11">
        <f t="shared" si="29"/>
        <v>-37.831644102915831</v>
      </c>
      <c r="G298" s="11">
        <f t="shared" si="30"/>
        <v>-35.456368950484901</v>
      </c>
    </row>
    <row r="299" spans="5:7" x14ac:dyDescent="0.25">
      <c r="E299" s="11">
        <f t="shared" si="28"/>
        <v>-43</v>
      </c>
      <c r="F299" s="11">
        <f t="shared" si="29"/>
        <v>-37.33452204525468</v>
      </c>
      <c r="G299" s="11">
        <f t="shared" si="30"/>
        <v>-35.247638827100133</v>
      </c>
    </row>
    <row r="300" spans="5:7" x14ac:dyDescent="0.25">
      <c r="E300" s="11">
        <f t="shared" si="28"/>
        <v>-42</v>
      </c>
      <c r="F300" s="11">
        <f t="shared" si="29"/>
        <v>-36.801603090295387</v>
      </c>
      <c r="G300" s="11">
        <f t="shared" si="30"/>
        <v>-35.031042423091009</v>
      </c>
    </row>
    <row r="301" spans="5:7" x14ac:dyDescent="0.25">
      <c r="E301" s="11">
        <f t="shared" si="28"/>
        <v>-41</v>
      </c>
      <c r="F301" s="11">
        <f t="shared" si="29"/>
        <v>-36.233120960725905</v>
      </c>
      <c r="G301" s="11">
        <f t="shared" si="30"/>
        <v>-34.805759786168238</v>
      </c>
    </row>
    <row r="302" spans="5:7" x14ac:dyDescent="0.25">
      <c r="E302" s="11">
        <f t="shared" si="28"/>
        <v>-40</v>
      </c>
      <c r="F302" s="11">
        <f t="shared" si="29"/>
        <v>-35.6294468973825</v>
      </c>
      <c r="G302" s="11">
        <f t="shared" si="30"/>
        <v>-34.570970964042495</v>
      </c>
    </row>
    <row r="303" spans="5:7" x14ac:dyDescent="0.25">
      <c r="E303" s="11">
        <f t="shared" si="28"/>
        <v>-39</v>
      </c>
      <c r="F303" s="11">
        <f t="shared" si="29"/>
        <v>-34.991088601872988</v>
      </c>
      <c r="G303" s="11">
        <f t="shared" si="30"/>
        <v>-34.325856004424494</v>
      </c>
    </row>
    <row r="304" spans="5:7" x14ac:dyDescent="0.25">
      <c r="E304" s="11">
        <f t="shared" si="28"/>
        <v>-38</v>
      </c>
      <c r="F304" s="11">
        <f t="shared" si="29"/>
        <v>-34.318688745706091</v>
      </c>
      <c r="G304" s="11">
        <f t="shared" si="30"/>
        <v>-34.069594955024925</v>
      </c>
    </row>
    <row r="305" spans="5:7" x14ac:dyDescent="0.25">
      <c r="E305" s="11">
        <f t="shared" si="28"/>
        <v>-37</v>
      </c>
      <c r="F305" s="11">
        <f t="shared" si="29"/>
        <v>-33.613023052461756</v>
      </c>
      <c r="G305" s="11">
        <f t="shared" si="30"/>
        <v>-33.801367863554489</v>
      </c>
    </row>
    <row r="306" spans="5:7" x14ac:dyDescent="0.25">
      <c r="E306" s="11">
        <f t="shared" si="28"/>
        <v>-36</v>
      </c>
      <c r="F306" s="11">
        <f t="shared" si="29"/>
        <v>-32.874997960101098</v>
      </c>
      <c r="G306" s="11">
        <f t="shared" si="30"/>
        <v>-33.520354777723867</v>
      </c>
    </row>
    <row r="307" spans="5:7" x14ac:dyDescent="0.25">
      <c r="E307" s="11">
        <f t="shared" si="28"/>
        <v>-35</v>
      </c>
      <c r="F307" s="11">
        <f t="shared" si="29"/>
        <v>-32.105647871078048</v>
      </c>
      <c r="G307" s="11">
        <f t="shared" si="30"/>
        <v>-33.225735745243767</v>
      </c>
    </row>
    <row r="308" spans="5:7" x14ac:dyDescent="0.25">
      <c r="E308" s="11">
        <f t="shared" si="28"/>
        <v>-34</v>
      </c>
      <c r="F308" s="11">
        <f t="shared" si="29"/>
        <v>-31.306131998478634</v>
      </c>
      <c r="G308" s="11">
        <f t="shared" si="30"/>
        <v>-32.916690813824886</v>
      </c>
    </row>
    <row r="309" spans="5:7" x14ac:dyDescent="0.25">
      <c r="E309" s="11">
        <f t="shared" si="28"/>
        <v>-33</v>
      </c>
      <c r="F309" s="11">
        <f t="shared" si="29"/>
        <v>-30.477730816977463</v>
      </c>
      <c r="G309" s="11">
        <f t="shared" si="30"/>
        <v>-32.592400031177917</v>
      </c>
    </row>
    <row r="310" spans="5:7" x14ac:dyDescent="0.25">
      <c r="E310" s="11">
        <f t="shared" si="28"/>
        <v>-32</v>
      </c>
      <c r="F310" s="11">
        <f t="shared" si="29"/>
        <v>-29.621842127964261</v>
      </c>
      <c r="G310" s="11">
        <f t="shared" si="30"/>
        <v>-32.252043445013541</v>
      </c>
    </row>
    <row r="311" spans="5:7" x14ac:dyDescent="0.25">
      <c r="E311" s="11">
        <f t="shared" si="28"/>
        <v>-31</v>
      </c>
      <c r="F311" s="11">
        <f t="shared" si="29"/>
        <v>-28.739976748757577</v>
      </c>
      <c r="G311" s="11">
        <f t="shared" si="30"/>
        <v>-31.894801103042475</v>
      </c>
    </row>
    <row r="312" spans="5:7" x14ac:dyDescent="0.25">
      <c r="E312" s="11">
        <f t="shared" si="28"/>
        <v>-30</v>
      </c>
      <c r="F312" s="11">
        <f t="shared" si="29"/>
        <v>-27.83375383638586</v>
      </c>
      <c r="G312" s="11">
        <f t="shared" si="30"/>
        <v>-31.519853052975407</v>
      </c>
    </row>
    <row r="313" spans="5:7" x14ac:dyDescent="0.25">
      <c r="E313" s="11">
        <f t="shared" si="28"/>
        <v>-29</v>
      </c>
      <c r="F313" s="11">
        <f t="shared" si="29"/>
        <v>-26.904895856980009</v>
      </c>
      <c r="G313" s="11">
        <f t="shared" si="30"/>
        <v>-31.126667810396924</v>
      </c>
    </row>
    <row r="314" spans="5:7" x14ac:dyDescent="0.25">
      <c r="E314" s="11">
        <f t="shared" si="28"/>
        <v>-28</v>
      </c>
      <c r="F314" s="11">
        <f t="shared" si="29"/>
        <v>-25.955223212385018</v>
      </c>
      <c r="G314" s="11">
        <f t="shared" si="30"/>
        <v>-30.715867762387184</v>
      </c>
    </row>
    <row r="315" spans="5:7" x14ac:dyDescent="0.25">
      <c r="E315" s="11">
        <f t="shared" si="28"/>
        <v>-27</v>
      </c>
      <c r="F315" s="11">
        <f t="shared" si="29"/>
        <v>-24.986648536162292</v>
      </c>
      <c r="G315" s="11">
        <f t="shared" si="30"/>
        <v>-30.288363763900247</v>
      </c>
    </row>
    <row r="316" spans="5:7" x14ac:dyDescent="0.25">
      <c r="E316" s="11">
        <f t="shared" si="28"/>
        <v>-26</v>
      </c>
      <c r="F316" s="11">
        <f t="shared" si="29"/>
        <v>-24.001170671717244</v>
      </c>
      <c r="G316" s="11">
        <f t="shared" si="30"/>
        <v>-29.845066669890162</v>
      </c>
    </row>
    <row r="317" spans="5:7" x14ac:dyDescent="0.25">
      <c r="E317" s="11">
        <f t="shared" si="28"/>
        <v>-25</v>
      </c>
      <c r="F317" s="11">
        <f t="shared" si="29"/>
        <v>-23.000868345851135</v>
      </c>
      <c r="G317" s="11">
        <f t="shared" si="30"/>
        <v>-29.386887335310995</v>
      </c>
    </row>
    <row r="318" spans="5:7" x14ac:dyDescent="0.25">
      <c r="E318" s="11">
        <f t="shared" si="28"/>
        <v>-24</v>
      </c>
      <c r="F318" s="11">
        <f t="shared" si="29"/>
        <v>-21.987893551599189</v>
      </c>
      <c r="G318" s="11">
        <f t="shared" si="30"/>
        <v>-28.914736615116791</v>
      </c>
    </row>
    <row r="319" spans="5:7" x14ac:dyDescent="0.25">
      <c r="E319" s="11">
        <f t="shared" si="28"/>
        <v>-23</v>
      </c>
      <c r="F319" s="11">
        <f t="shared" si="29"/>
        <v>-20.964464654780983</v>
      </c>
      <c r="G319" s="11">
        <f t="shared" si="30"/>
        <v>-28.429525364261607</v>
      </c>
    </row>
    <row r="320" spans="5:7" x14ac:dyDescent="0.25">
      <c r="E320" s="11">
        <f t="shared" si="28"/>
        <v>-22</v>
      </c>
      <c r="F320" s="11">
        <f t="shared" si="29"/>
        <v>-19.932859239252625</v>
      </c>
      <c r="G320" s="11">
        <f t="shared" si="30"/>
        <v>-27.932164437699502</v>
      </c>
    </row>
    <row r="321" spans="5:7" x14ac:dyDescent="0.25">
      <c r="E321" s="11">
        <f t="shared" si="28"/>
        <v>-21</v>
      </c>
      <c r="F321" s="11">
        <f t="shared" si="29"/>
        <v>-18.895406706413908</v>
      </c>
      <c r="G321" s="11">
        <f t="shared" si="30"/>
        <v>-27.42356469038452</v>
      </c>
    </row>
    <row r="322" spans="5:7" x14ac:dyDescent="0.25">
      <c r="E322" s="11">
        <f t="shared" si="28"/>
        <v>-20</v>
      </c>
      <c r="F322" s="11">
        <f t="shared" si="29"/>
        <v>-17.854480645087232</v>
      </c>
      <c r="G322" s="11">
        <f t="shared" si="30"/>
        <v>-26.904636977270727</v>
      </c>
    </row>
    <row r="323" spans="5:7" x14ac:dyDescent="0.25">
      <c r="E323" s="11">
        <f t="shared" si="28"/>
        <v>-19</v>
      </c>
      <c r="F323" s="11">
        <f t="shared" si="29"/>
        <v>-16.81249098844885</v>
      </c>
      <c r="G323" s="11">
        <f t="shared" si="30"/>
        <v>-26.376292153312171</v>
      </c>
    </row>
    <row r="324" spans="5:7" x14ac:dyDescent="0.25">
      <c r="E324" s="11">
        <f t="shared" si="28"/>
        <v>-18</v>
      </c>
      <c r="F324" s="11">
        <f t="shared" si="29"/>
        <v>-15.771875975256373</v>
      </c>
      <c r="G324" s="11">
        <f t="shared" si="30"/>
        <v>-25.839441073462908</v>
      </c>
    </row>
    <row r="325" spans="5:7" x14ac:dyDescent="0.25">
      <c r="E325" s="11">
        <f t="shared" si="28"/>
        <v>-17</v>
      </c>
      <c r="F325" s="11">
        <f t="shared" si="29"/>
        <v>-14.735093933180478</v>
      </c>
      <c r="G325" s="11">
        <f t="shared" si="30"/>
        <v>-25.294994592676993</v>
      </c>
    </row>
    <row r="326" spans="5:7" x14ac:dyDescent="0.25">
      <c r="E326" s="11">
        <f t="shared" si="28"/>
        <v>-16</v>
      </c>
      <c r="F326" s="11">
        <f t="shared" si="29"/>
        <v>-13.704614902612031</v>
      </c>
      <c r="G326" s="11">
        <f t="shared" si="30"/>
        <v>-24.743863565908484</v>
      </c>
    </row>
    <row r="327" spans="5:7" x14ac:dyDescent="0.25">
      <c r="E327" s="11">
        <f t="shared" si="28"/>
        <v>-15</v>
      </c>
      <c r="F327" s="11">
        <f t="shared" si="29"/>
        <v>-12.682912119879807</v>
      </c>
      <c r="G327" s="11">
        <f t="shared" si="30"/>
        <v>-24.186958848111431</v>
      </c>
    </row>
    <row r="328" spans="5:7" x14ac:dyDescent="0.25">
      <c r="E328" s="11">
        <f t="shared" si="28"/>
        <v>-14</v>
      </c>
      <c r="F328" s="11">
        <f t="shared" si="29"/>
        <v>-11.672453379377306</v>
      </c>
      <c r="G328" s="11">
        <f t="shared" si="30"/>
        <v>-23.62519129423989</v>
      </c>
    </row>
    <row r="329" spans="5:7" x14ac:dyDescent="0.25">
      <c r="E329" s="11">
        <f t="shared" si="28"/>
        <v>-13</v>
      </c>
      <c r="F329" s="11">
        <f t="shared" si="29"/>
        <v>-10.675692294661147</v>
      </c>
      <c r="G329" s="11">
        <f t="shared" si="30"/>
        <v>-23.059471759247913</v>
      </c>
    </row>
    <row r="330" spans="5:7" x14ac:dyDescent="0.25">
      <c r="E330" s="11">
        <f t="shared" si="28"/>
        <v>-12</v>
      </c>
      <c r="F330" s="11">
        <f t="shared" si="29"/>
        <v>-9.6950594791468507</v>
      </c>
      <c r="G330" s="11">
        <f t="shared" si="30"/>
        <v>-22.490711098089562</v>
      </c>
    </row>
    <row r="331" spans="5:7" x14ac:dyDescent="0.25">
      <c r="E331" s="11">
        <f t="shared" si="28"/>
        <v>-11</v>
      </c>
      <c r="F331" s="11">
        <f t="shared" si="29"/>
        <v>-8.7329536675916888</v>
      </c>
      <c r="G331" s="11">
        <f t="shared" si="30"/>
        <v>-21.919820165718889</v>
      </c>
    </row>
    <row r="332" spans="5:7" x14ac:dyDescent="0.25">
      <c r="E332" s="11">
        <f t="shared" si="28"/>
        <v>-10</v>
      </c>
      <c r="F332" s="11">
        <f t="shared" si="29"/>
        <v>-7.7917328001178001</v>
      </c>
      <c r="G332" s="11">
        <f t="shared" si="30"/>
        <v>-21.347709817089942</v>
      </c>
    </row>
    <row r="333" spans="5:7" x14ac:dyDescent="0.25">
      <c r="E333" s="11">
        <f t="shared" si="28"/>
        <v>-9</v>
      </c>
      <c r="F333" s="11">
        <f t="shared" si="29"/>
        <v>-6.8737050910924395</v>
      </c>
      <c r="G333" s="11">
        <f t="shared" si="30"/>
        <v>-20.77529090715678</v>
      </c>
    </row>
    <row r="334" spans="5:7" x14ac:dyDescent="0.25">
      <c r="E334" s="11">
        <f t="shared" si="28"/>
        <v>-8</v>
      </c>
      <c r="F334" s="11">
        <f t="shared" si="29"/>
        <v>-5.9811201057458785</v>
      </c>
      <c r="G334" s="11">
        <f t="shared" si="30"/>
        <v>-20.203474290873459</v>
      </c>
    </row>
    <row r="335" spans="5:7" x14ac:dyDescent="0.25">
      <c r="E335" s="11">
        <f t="shared" si="28"/>
        <v>-7</v>
      </c>
      <c r="F335" s="11">
        <f t="shared" si="29"/>
        <v>-5.1161598679711462</v>
      </c>
      <c r="G335" s="11">
        <f t="shared" si="30"/>
        <v>-19.633170823194035</v>
      </c>
    </row>
    <row r="336" spans="5:7" x14ac:dyDescent="0.25">
      <c r="E336" s="11">
        <f t="shared" si="28"/>
        <v>-6</v>
      </c>
      <c r="F336" s="11">
        <f t="shared" si="29"/>
        <v>-4.2809300233133429</v>
      </c>
      <c r="G336" s="11">
        <f t="shared" si="30"/>
        <v>-19.06529135907256</v>
      </c>
    </row>
    <row r="337" spans="5:7" x14ac:dyDescent="0.25">
      <c r="E337" s="11">
        <f t="shared" si="28"/>
        <v>-5</v>
      </c>
      <c r="F337" s="11">
        <f t="shared" si="29"/>
        <v>-3.4774510817200213</v>
      </c>
      <c r="G337" s="11">
        <f t="shared" si="30"/>
        <v>-18.500746753463087</v>
      </c>
    </row>
    <row r="338" spans="5:7" x14ac:dyDescent="0.25">
      <c r="E338" s="11">
        <f t="shared" si="28"/>
        <v>-4</v>
      </c>
      <c r="F338" s="11">
        <f t="shared" si="29"/>
        <v>-2.7076497651876856</v>
      </c>
      <c r="G338" s="11">
        <f t="shared" si="30"/>
        <v>-17.940447861319676</v>
      </c>
    </row>
    <row r="339" spans="5:7" x14ac:dyDescent="0.25">
      <c r="E339" s="11">
        <f t="shared" si="28"/>
        <v>-3</v>
      </c>
      <c r="F339" s="11">
        <f t="shared" si="29"/>
        <v>-1.973350486003131</v>
      </c>
      <c r="G339" s="11">
        <f t="shared" si="30"/>
        <v>-17.385305537596373</v>
      </c>
    </row>
    <row r="340" spans="5:7" x14ac:dyDescent="0.25">
      <c r="E340" s="11">
        <f t="shared" si="28"/>
        <v>-2</v>
      </c>
      <c r="F340" s="11">
        <f t="shared" si="29"/>
        <v>-1.2762669818419889</v>
      </c>
      <c r="G340" s="11">
        <f t="shared" si="30"/>
        <v>-16.836230637247244</v>
      </c>
    </row>
    <row r="341" spans="5:7" x14ac:dyDescent="0.25">
      <c r="E341" s="11">
        <f t="shared" si="28"/>
        <v>-1</v>
      </c>
      <c r="F341" s="11">
        <f t="shared" si="29"/>
        <v>-0.61799413455047858</v>
      </c>
      <c r="G341" s="11">
        <f t="shared" si="30"/>
        <v>-16.294134015226334</v>
      </c>
    </row>
    <row r="342" spans="5:7" x14ac:dyDescent="0.25">
      <c r="E342" s="11">
        <f t="shared" si="28"/>
        <v>0</v>
      </c>
      <c r="F342" s="11">
        <f t="shared" si="29"/>
        <v>0</v>
      </c>
      <c r="G342" s="11">
        <f t="shared" si="30"/>
        <v>-15.759926526487703</v>
      </c>
    </row>
    <row r="343" spans="5:7" x14ac:dyDescent="0.25">
      <c r="E343" s="11">
        <f t="shared" si="28"/>
        <v>1</v>
      </c>
      <c r="F343" s="11">
        <f t="shared" si="29"/>
        <v>0.57638192303213709</v>
      </c>
      <c r="G343" s="11">
        <f t="shared" si="30"/>
        <v>-15.234358199038235</v>
      </c>
    </row>
    <row r="344" spans="5:7" x14ac:dyDescent="0.25">
      <c r="E344" s="11">
        <f t="shared" si="28"/>
        <v>2</v>
      </c>
      <c r="F344" s="11">
        <f t="shared" si="29"/>
        <v>1.1099601564389323</v>
      </c>
      <c r="G344" s="11">
        <f t="shared" si="30"/>
        <v>-14.717535753096168</v>
      </c>
    </row>
    <row r="345" spans="5:7" x14ac:dyDescent="0.25">
      <c r="E345" s="11">
        <f t="shared" si="28"/>
        <v>3</v>
      </c>
      <c r="F345" s="11">
        <f t="shared" si="29"/>
        <v>1.5996924097362939</v>
      </c>
      <c r="G345" s="11">
        <f t="shared" si="30"/>
        <v>-14.209405081932562</v>
      </c>
    </row>
    <row r="346" spans="5:7" x14ac:dyDescent="0.25">
      <c r="E346" s="11">
        <f t="shared" si="28"/>
        <v>4</v>
      </c>
      <c r="F346" s="11">
        <f t="shared" si="29"/>
        <v>2.0446924207478077</v>
      </c>
      <c r="G346" s="11">
        <f t="shared" si="30"/>
        <v>-13.709912078818485</v>
      </c>
    </row>
    <row r="347" spans="5:7" x14ac:dyDescent="0.25">
      <c r="E347" s="11">
        <f t="shared" si="28"/>
        <v>5</v>
      </c>
      <c r="F347" s="11">
        <f t="shared" si="29"/>
        <v>2.4442364398138379</v>
      </c>
      <c r="G347" s="11">
        <f t="shared" si="30"/>
        <v>-13.219002637025</v>
      </c>
    </row>
    <row r="348" spans="5:7" x14ac:dyDescent="0.25">
      <c r="E348" s="11">
        <f t="shared" si="28"/>
        <v>6</v>
      </c>
      <c r="F348" s="11">
        <f t="shared" si="29"/>
        <v>2.79776932675346</v>
      </c>
      <c r="G348" s="11">
        <f t="shared" si="30"/>
        <v>-12.736622649823172</v>
      </c>
    </row>
    <row r="349" spans="5:7" x14ac:dyDescent="0.25">
      <c r="E349" s="11">
        <f t="shared" si="28"/>
        <v>7</v>
      </c>
      <c r="F349" s="11">
        <f t="shared" si="29"/>
        <v>3.1049102292441026</v>
      </c>
      <c r="G349" s="11">
        <f t="shared" si="30"/>
        <v>-12.262718010484072</v>
      </c>
    </row>
    <row r="350" spans="5:7" x14ac:dyDescent="0.25">
      <c r="E350" s="11">
        <f t="shared" si="28"/>
        <v>8</v>
      </c>
      <c r="F350" s="11">
        <f t="shared" si="29"/>
        <v>3.3654578107201303</v>
      </c>
      <c r="G350" s="11">
        <f t="shared" si="30"/>
        <v>-11.797234612278755</v>
      </c>
    </row>
    <row r="351" spans="5:7" x14ac:dyDescent="0.25">
      <c r="E351" s="11">
        <f t="shared" ref="E351:E414" si="31">E144</f>
        <v>9</v>
      </c>
      <c r="F351" s="11">
        <f t="shared" ref="F351:F414" si="32">$H$217*0+E351*$I$217+E351^2*$J$217+E351^3*$K$217+E351^4*$L$217+E351^5*$M$217+E351^6*$N$217+E351^7*$O$217+E351^8*$P$217</f>
        <v>3.5793949953279443</v>
      </c>
      <c r="G351" s="11">
        <f t="shared" ref="G351:G414" si="33">F144</f>
        <v>-11.340118348478292</v>
      </c>
    </row>
    <row r="352" spans="5:7" x14ac:dyDescent="0.25">
      <c r="E352" s="11">
        <f t="shared" si="31"/>
        <v>10</v>
      </c>
      <c r="F352" s="11">
        <f t="shared" si="32"/>
        <v>3.7468931969115662</v>
      </c>
      <c r="G352" s="11">
        <f t="shared" si="33"/>
        <v>-10.891315112353752</v>
      </c>
    </row>
    <row r="353" spans="5:7" x14ac:dyDescent="0.25">
      <c r="E353" s="11">
        <f t="shared" si="31"/>
        <v>11</v>
      </c>
      <c r="F353" s="11">
        <f t="shared" si="32"/>
        <v>3.8683159984389914</v>
      </c>
      <c r="G353" s="11">
        <f t="shared" si="33"/>
        <v>-10.450770797176192</v>
      </c>
    </row>
    <row r="354" spans="5:7" x14ac:dyDescent="0.25">
      <c r="E354" s="11">
        <f t="shared" si="31"/>
        <v>12</v>
      </c>
      <c r="F354" s="11">
        <f t="shared" si="32"/>
        <v>3.9442222477159978</v>
      </c>
      <c r="G354" s="11">
        <f t="shared" si="33"/>
        <v>-10.018431296216681</v>
      </c>
    </row>
    <row r="355" spans="5:7" x14ac:dyDescent="0.25">
      <c r="E355" s="11">
        <f t="shared" si="31"/>
        <v>13</v>
      </c>
      <c r="F355" s="11">
        <f t="shared" si="32"/>
        <v>3.975368534670412</v>
      </c>
      <c r="G355" s="11">
        <f t="shared" si="33"/>
        <v>-9.594242502746285</v>
      </c>
    </row>
    <row r="356" spans="5:7" x14ac:dyDescent="0.25">
      <c r="E356" s="11">
        <f t="shared" si="31"/>
        <v>14</v>
      </c>
      <c r="F356" s="11">
        <f t="shared" si="32"/>
        <v>3.9627110149262319</v>
      </c>
      <c r="G356" s="11">
        <f t="shared" si="33"/>
        <v>-9.1781503100360666</v>
      </c>
    </row>
    <row r="357" spans="5:7" x14ac:dyDescent="0.25">
      <c r="E357" s="11">
        <f t="shared" si="31"/>
        <v>15</v>
      </c>
      <c r="F357" s="11">
        <f t="shared" si="32"/>
        <v>3.9074065438233587</v>
      </c>
      <c r="G357" s="11">
        <f t="shared" si="33"/>
        <v>-8.7701006113570976</v>
      </c>
    </row>
    <row r="358" spans="5:7" x14ac:dyDescent="0.25">
      <c r="E358" s="11">
        <f t="shared" si="31"/>
        <v>16</v>
      </c>
      <c r="F358" s="11">
        <f t="shared" si="32"/>
        <v>3.8108130844749981</v>
      </c>
      <c r="G358" s="11">
        <f t="shared" si="33"/>
        <v>-8.3700392999804354</v>
      </c>
    </row>
    <row r="359" spans="5:7" x14ac:dyDescent="0.25">
      <c r="E359" s="11">
        <f t="shared" si="31"/>
        <v>17</v>
      </c>
      <c r="F359" s="11">
        <f t="shared" si="32"/>
        <v>3.6744893528912388</v>
      </c>
      <c r="G359" s="11">
        <f t="shared" si="33"/>
        <v>-7.977912269177148</v>
      </c>
    </row>
    <row r="360" spans="5:7" x14ac:dyDescent="0.25">
      <c r="E360" s="11">
        <f t="shared" si="31"/>
        <v>18</v>
      </c>
      <c r="F360" s="11">
        <f t="shared" si="32"/>
        <v>3.5001936626335977</v>
      </c>
      <c r="G360" s="11">
        <f t="shared" si="33"/>
        <v>-7.5936654122183009</v>
      </c>
    </row>
    <row r="361" spans="5:7" x14ac:dyDescent="0.25">
      <c r="E361" s="11">
        <f t="shared" si="31"/>
        <v>19</v>
      </c>
      <c r="F361" s="11">
        <f t="shared" si="32"/>
        <v>3.2898819309017222</v>
      </c>
      <c r="G361" s="11">
        <f t="shared" si="33"/>
        <v>-7.2172446223749596</v>
      </c>
    </row>
    <row r="362" spans="5:7" x14ac:dyDescent="0.25">
      <c r="E362" s="11">
        <f t="shared" si="31"/>
        <v>20</v>
      </c>
      <c r="F362" s="11">
        <f t="shared" si="32"/>
        <v>3.0457048073897823</v>
      </c>
      <c r="G362" s="11">
        <f t="shared" si="33"/>
        <v>-6.8485957929181875</v>
      </c>
    </row>
    <row r="363" spans="5:7" x14ac:dyDescent="0.25">
      <c r="E363" s="11">
        <f t="shared" si="31"/>
        <v>21</v>
      </c>
      <c r="F363" s="11">
        <f t="shared" si="32"/>
        <v>2.7700038866864505</v>
      </c>
      <c r="G363" s="11">
        <f t="shared" si="33"/>
        <v>-6.4876648171190521</v>
      </c>
    </row>
    <row r="364" spans="5:7" x14ac:dyDescent="0.25">
      <c r="E364" s="11">
        <f t="shared" si="31"/>
        <v>22</v>
      </c>
      <c r="F364" s="11">
        <f t="shared" si="32"/>
        <v>2.4653069644287156</v>
      </c>
      <c r="G364" s="11">
        <f t="shared" si="33"/>
        <v>-6.1343975882486186</v>
      </c>
    </row>
    <row r="365" spans="5:7" x14ac:dyDescent="0.25">
      <c r="E365" s="11">
        <f t="shared" si="31"/>
        <v>23</v>
      </c>
      <c r="F365" s="11">
        <f t="shared" si="32"/>
        <v>2.1343222968561748</v>
      </c>
      <c r="G365" s="11">
        <f t="shared" si="33"/>
        <v>-5.7887399995779507</v>
      </c>
    </row>
    <row r="366" spans="5:7" x14ac:dyDescent="0.25">
      <c r="E366" s="11">
        <f t="shared" si="31"/>
        <v>24</v>
      </c>
      <c r="F366" s="11">
        <f t="shared" si="32"/>
        <v>1.7799318228487233</v>
      </c>
      <c r="G366" s="11">
        <f t="shared" si="33"/>
        <v>-5.4506379443781121</v>
      </c>
    </row>
    <row r="367" spans="5:7" x14ac:dyDescent="0.25">
      <c r="E367" s="11">
        <f t="shared" si="31"/>
        <v>25</v>
      </c>
      <c r="F367" s="11">
        <f t="shared" si="32"/>
        <v>1.4051833069670407</v>
      </c>
      <c r="G367" s="11">
        <f t="shared" si="33"/>
        <v>-5.1200373159201717</v>
      </c>
    </row>
    <row r="368" spans="5:7" x14ac:dyDescent="0.25">
      <c r="E368" s="11">
        <f t="shared" si="31"/>
        <v>26</v>
      </c>
      <c r="F368" s="11">
        <f t="shared" si="32"/>
        <v>1.0132813614514939</v>
      </c>
      <c r="G368" s="11">
        <f t="shared" si="33"/>
        <v>-4.7968840074751924</v>
      </c>
    </row>
    <row r="369" spans="5:7" x14ac:dyDescent="0.25">
      <c r="E369" s="11">
        <f t="shared" si="31"/>
        <v>27</v>
      </c>
      <c r="F369" s="11">
        <f t="shared" si="32"/>
        <v>0.60757730457157788</v>
      </c>
      <c r="G369" s="11">
        <f t="shared" si="33"/>
        <v>-4.4811239123142403</v>
      </c>
    </row>
    <row r="370" spans="5:7" x14ac:dyDescent="0.25">
      <c r="E370" s="11">
        <f t="shared" si="31"/>
        <v>28</v>
      </c>
      <c r="F370" s="11">
        <f t="shared" si="32"/>
        <v>0.19155781215423798</v>
      </c>
      <c r="G370" s="11">
        <f t="shared" si="33"/>
        <v>-4.1727029237083801</v>
      </c>
    </row>
    <row r="371" spans="5:7" x14ac:dyDescent="0.25">
      <c r="E371" s="11">
        <f t="shared" si="31"/>
        <v>29</v>
      </c>
      <c r="F371" s="11">
        <f t="shared" si="32"/>
        <v>-0.2311676814441001</v>
      </c>
      <c r="G371" s="11">
        <f t="shared" si="33"/>
        <v>-3.8715669349286768</v>
      </c>
    </row>
    <row r="372" spans="5:7" x14ac:dyDescent="0.25">
      <c r="E372" s="11">
        <f t="shared" si="31"/>
        <v>30</v>
      </c>
      <c r="F372" s="11">
        <f t="shared" si="32"/>
        <v>-0.65688087722072308</v>
      </c>
      <c r="G372" s="11">
        <f t="shared" si="33"/>
        <v>-3.577661839246197</v>
      </c>
    </row>
    <row r="373" spans="5:7" x14ac:dyDescent="0.25">
      <c r="E373" s="11">
        <f t="shared" si="31"/>
        <v>31</v>
      </c>
      <c r="F373" s="11">
        <f t="shared" si="32"/>
        <v>-1.0817698451275144</v>
      </c>
      <c r="G373" s="11">
        <f t="shared" si="33"/>
        <v>-3.2909335299320035</v>
      </c>
    </row>
    <row r="374" spans="5:7" x14ac:dyDescent="0.25">
      <c r="E374" s="11">
        <f t="shared" si="31"/>
        <v>32</v>
      </c>
      <c r="F374" s="11">
        <f t="shared" si="32"/>
        <v>-1.5019456428156914</v>
      </c>
      <c r="G374" s="11">
        <f t="shared" si="33"/>
        <v>-3.0113279002571627</v>
      </c>
    </row>
    <row r="375" spans="5:7" x14ac:dyDescent="0.25">
      <c r="E375" s="11">
        <f t="shared" si="31"/>
        <v>33</v>
      </c>
      <c r="F375" s="11">
        <f t="shared" si="32"/>
        <v>-1.9134603655142188</v>
      </c>
      <c r="G375" s="11">
        <f t="shared" si="33"/>
        <v>-2.7387908434927408</v>
      </c>
    </row>
    <row r="376" spans="5:7" x14ac:dyDescent="0.25">
      <c r="E376" s="11">
        <f t="shared" si="31"/>
        <v>34</v>
      </c>
      <c r="F376" s="11">
        <f t="shared" si="32"/>
        <v>-2.3123266735953201</v>
      </c>
      <c r="G376" s="11">
        <f t="shared" si="33"/>
        <v>-2.4732682529098016</v>
      </c>
    </row>
    <row r="377" spans="5:7" x14ac:dyDescent="0.25">
      <c r="E377" s="11">
        <f t="shared" si="31"/>
        <v>35</v>
      </c>
      <c r="F377" s="11">
        <f t="shared" si="32"/>
        <v>-2.6945388449441339</v>
      </c>
      <c r="G377" s="11">
        <f t="shared" si="33"/>
        <v>-2.2147060217794103</v>
      </c>
    </row>
    <row r="378" spans="5:7" x14ac:dyDescent="0.25">
      <c r="E378" s="11">
        <f t="shared" si="31"/>
        <v>36</v>
      </c>
      <c r="F378" s="11">
        <f t="shared" si="32"/>
        <v>-3.0560953998133069</v>
      </c>
      <c r="G378" s="11">
        <f t="shared" si="33"/>
        <v>-1.963050043372633</v>
      </c>
    </row>
    <row r="379" spans="5:7" x14ac:dyDescent="0.25">
      <c r="E379" s="11">
        <f t="shared" si="31"/>
        <v>37</v>
      </c>
      <c r="F379" s="11">
        <f t="shared" si="32"/>
        <v>-3.3930233464067894</v>
      </c>
      <c r="G379" s="11">
        <f t="shared" si="33"/>
        <v>-1.7182462109605345</v>
      </c>
    </row>
    <row r="380" spans="5:7" x14ac:dyDescent="0.25">
      <c r="E380" s="11">
        <f t="shared" si="31"/>
        <v>38</v>
      </c>
      <c r="F380" s="11">
        <f t="shared" si="32"/>
        <v>-3.7014040960009402</v>
      </c>
      <c r="G380" s="11">
        <f t="shared" si="33"/>
        <v>-1.4802404178141799</v>
      </c>
    </row>
    <row r="381" spans="5:7" x14ac:dyDescent="0.25">
      <c r="E381" s="11">
        <f t="shared" si="31"/>
        <v>39</v>
      </c>
      <c r="F381" s="11">
        <f t="shared" si="32"/>
        <v>-3.9774010969744817</v>
      </c>
      <c r="G381" s="11">
        <f t="shared" si="33"/>
        <v>-1.2489785572046341</v>
      </c>
    </row>
    <row r="382" spans="5:7" x14ac:dyDescent="0.25">
      <c r="E382" s="11">
        <f t="shared" si="31"/>
        <v>40</v>
      </c>
      <c r="F382" s="11">
        <f t="shared" si="32"/>
        <v>-4.2172892376826638</v>
      </c>
      <c r="G382" s="11">
        <f t="shared" si="33"/>
        <v>-1.0244065224029626</v>
      </c>
    </row>
    <row r="383" spans="5:7" x14ac:dyDescent="0.25">
      <c r="E383" s="11">
        <f t="shared" si="31"/>
        <v>41</v>
      </c>
      <c r="F383" s="11">
        <f t="shared" si="32"/>
        <v>-4.4174860686745134</v>
      </c>
      <c r="G383" s="11">
        <f t="shared" si="33"/>
        <v>-0.80647020668023028</v>
      </c>
    </row>
    <row r="384" spans="5:7" x14ac:dyDescent="0.25">
      <c r="E384" s="11">
        <f t="shared" si="31"/>
        <v>42</v>
      </c>
      <c r="F384" s="11">
        <f t="shared" si="32"/>
        <v>-4.5745848953157697</v>
      </c>
      <c r="G384" s="11">
        <f t="shared" si="33"/>
        <v>-0.59511550330750262</v>
      </c>
    </row>
    <row r="385" spans="5:7" x14ac:dyDescent="0.25">
      <c r="E385" s="11">
        <f t="shared" si="31"/>
        <v>43</v>
      </c>
      <c r="F385" s="11">
        <f t="shared" si="32"/>
        <v>-4.6853897924436776</v>
      </c>
      <c r="G385" s="11">
        <f t="shared" si="33"/>
        <v>-0.39028830555584504</v>
      </c>
    </row>
    <row r="386" spans="5:7" x14ac:dyDescent="0.25">
      <c r="E386" s="11">
        <f t="shared" si="31"/>
        <v>44</v>
      </c>
      <c r="F386" s="11">
        <f t="shared" si="32"/>
        <v>-4.7469525932435417</v>
      </c>
      <c r="G386" s="11">
        <f t="shared" si="33"/>
        <v>-0.19193450669632295</v>
      </c>
    </row>
    <row r="387" spans="5:7" x14ac:dyDescent="0.25">
      <c r="E387" s="11">
        <f t="shared" si="31"/>
        <v>45</v>
      </c>
      <c r="F387" s="11">
        <f t="shared" si="32"/>
        <v>-4.756611905100411</v>
      </c>
      <c r="G387" s="11">
        <f t="shared" si="33"/>
        <v>0</v>
      </c>
    </row>
    <row r="388" spans="5:7" x14ac:dyDescent="0.25">
      <c r="E388" s="11">
        <f t="shared" si="31"/>
        <v>46</v>
      </c>
      <c r="F388" s="11">
        <f t="shared" si="32"/>
        <v>-4.7120342057432083</v>
      </c>
      <c r="G388" s="11">
        <f t="shared" si="33"/>
        <v>0.1855906138807312</v>
      </c>
    </row>
    <row r="389" spans="5:7" x14ac:dyDescent="0.25">
      <c r="E389" s="11">
        <f t="shared" si="31"/>
        <v>47</v>
      </c>
      <c r="F389" s="11">
        <f t="shared" si="32"/>
        <v>-4.6112570735619105</v>
      </c>
      <c r="G389" s="11">
        <f t="shared" si="33"/>
        <v>0.36499790476817601</v>
      </c>
    </row>
    <row r="390" spans="5:7" x14ac:dyDescent="0.25">
      <c r="E390" s="11">
        <f t="shared" si="31"/>
        <v>48</v>
      </c>
      <c r="F390" s="11">
        <f t="shared" si="32"/>
        <v>-4.4527346065422311</v>
      </c>
      <c r="G390" s="11">
        <f t="shared" si="33"/>
        <v>0.53840373510331363</v>
      </c>
    </row>
    <row r="391" spans="5:7" x14ac:dyDescent="0.25">
      <c r="E391" s="11">
        <f t="shared" si="31"/>
        <v>49</v>
      </c>
      <c r="F391" s="11">
        <f t="shared" si="32"/>
        <v>-4.2353850848259329</v>
      </c>
      <c r="G391" s="11">
        <f t="shared" si="33"/>
        <v>0.70598996732712282</v>
      </c>
    </row>
    <row r="392" spans="5:7" x14ac:dyDescent="0.25">
      <c r="E392" s="11">
        <f t="shared" si="31"/>
        <v>50</v>
      </c>
      <c r="F392" s="11">
        <f t="shared" si="32"/>
        <v>-3.9586409324683922</v>
      </c>
      <c r="G392" s="11">
        <f t="shared" si="33"/>
        <v>0.8679384638805826</v>
      </c>
    </row>
    <row r="393" spans="5:7" x14ac:dyDescent="0.25">
      <c r="E393" s="11">
        <f t="shared" si="31"/>
        <v>51</v>
      </c>
      <c r="F393" s="11">
        <f t="shared" si="32"/>
        <v>-3.622501034528756</v>
      </c>
      <c r="G393" s="11">
        <f t="shared" si="33"/>
        <v>1.0244310872046722</v>
      </c>
    </row>
    <row r="394" spans="5:7" x14ac:dyDescent="0.25">
      <c r="E394" s="11">
        <f t="shared" si="31"/>
        <v>52</v>
      </c>
      <c r="F394" s="11">
        <f t="shared" si="32"/>
        <v>-3.2275854661916643</v>
      </c>
      <c r="G394" s="11">
        <f t="shared" si="33"/>
        <v>1.1756496997403705</v>
      </c>
    </row>
    <row r="395" spans="5:7" x14ac:dyDescent="0.25">
      <c r="E395" s="11">
        <f t="shared" si="31"/>
        <v>53</v>
      </c>
      <c r="F395" s="11">
        <f t="shared" si="32"/>
        <v>-2.7751926911831659</v>
      </c>
      <c r="G395" s="11">
        <f t="shared" si="33"/>
        <v>1.3217761639286563</v>
      </c>
    </row>
    <row r="396" spans="5:7" x14ac:dyDescent="0.25">
      <c r="E396" s="11">
        <f t="shared" si="31"/>
        <v>54</v>
      </c>
      <c r="F396" s="11">
        <f t="shared" si="32"/>
        <v>-2.2673592873071571</v>
      </c>
      <c r="G396" s="11">
        <f t="shared" si="33"/>
        <v>1.4629923422105091</v>
      </c>
    </row>
    <row r="397" spans="5:7" x14ac:dyDescent="0.25">
      <c r="E397" s="11">
        <f t="shared" si="31"/>
        <v>55</v>
      </c>
      <c r="F397" s="11">
        <f t="shared" si="32"/>
        <v>-1.7069222574921044</v>
      </c>
      <c r="G397" s="11">
        <f t="shared" si="33"/>
        <v>1.5994800970269076</v>
      </c>
    </row>
    <row r="398" spans="5:7" x14ac:dyDescent="0.25">
      <c r="E398" s="11">
        <f t="shared" si="31"/>
        <v>56</v>
      </c>
      <c r="F398" s="11">
        <f t="shared" si="32"/>
        <v>-1.0975839853016121</v>
      </c>
      <c r="G398" s="11">
        <f t="shared" si="33"/>
        <v>1.7314212908188309</v>
      </c>
    </row>
    <row r="399" spans="5:7" x14ac:dyDescent="0.25">
      <c r="E399" s="11">
        <f t="shared" si="31"/>
        <v>57</v>
      </c>
      <c r="F399" s="11">
        <f t="shared" si="32"/>
        <v>-0.44397989442623254</v>
      </c>
      <c r="G399" s="11">
        <f t="shared" si="33"/>
        <v>1.8589977860272577</v>
      </c>
    </row>
    <row r="400" spans="5:7" x14ac:dyDescent="0.25">
      <c r="E400" s="11">
        <f t="shared" si="31"/>
        <v>58</v>
      </c>
      <c r="F400" s="11">
        <f t="shared" si="32"/>
        <v>0.24825112776302904</v>
      </c>
      <c r="G400" s="11">
        <f t="shared" si="33"/>
        <v>1.9823914450931674</v>
      </c>
    </row>
    <row r="401" spans="5:7" x14ac:dyDescent="0.25">
      <c r="E401" s="11">
        <f t="shared" si="31"/>
        <v>59</v>
      </c>
      <c r="F401" s="11">
        <f t="shared" si="32"/>
        <v>0.97239348195478348</v>
      </c>
      <c r="G401" s="11">
        <f t="shared" si="33"/>
        <v>2.1017841304575389</v>
      </c>
    </row>
    <row r="402" spans="5:7" x14ac:dyDescent="0.25">
      <c r="E402" s="11">
        <f t="shared" si="31"/>
        <v>60</v>
      </c>
      <c r="F402" s="11">
        <f t="shared" si="32"/>
        <v>1.7205787227226814</v>
      </c>
      <c r="G402" s="11">
        <f t="shared" si="33"/>
        <v>2.2173577045613508</v>
      </c>
    </row>
    <row r="403" spans="5:7" x14ac:dyDescent="0.25">
      <c r="E403" s="11">
        <f t="shared" si="31"/>
        <v>61</v>
      </c>
      <c r="F403" s="11">
        <f t="shared" si="32"/>
        <v>2.4837064766650956</v>
      </c>
      <c r="G403" s="11">
        <f t="shared" si="33"/>
        <v>2.3292940298455829</v>
      </c>
    </row>
    <row r="404" spans="5:7" x14ac:dyDescent="0.25">
      <c r="E404" s="11">
        <f t="shared" si="31"/>
        <v>62</v>
      </c>
      <c r="F404" s="11">
        <f t="shared" si="32"/>
        <v>3.2513623505225877</v>
      </c>
      <c r="G404" s="11">
        <f t="shared" si="33"/>
        <v>2.437774968751214</v>
      </c>
    </row>
    <row r="405" spans="5:7" x14ac:dyDescent="0.25">
      <c r="E405" s="11">
        <f t="shared" si="31"/>
        <v>63</v>
      </c>
      <c r="F405" s="11">
        <f t="shared" si="32"/>
        <v>4.0117327663753031</v>
      </c>
      <c r="G405" s="11">
        <f t="shared" si="33"/>
        <v>2.5429823837192229</v>
      </c>
    </row>
    <row r="406" spans="5:7" x14ac:dyDescent="0.25">
      <c r="E406" s="11">
        <f t="shared" si="31"/>
        <v>64</v>
      </c>
      <c r="F406" s="11">
        <f t="shared" si="32"/>
        <v>4.7515166604568613</v>
      </c>
      <c r="G406" s="11">
        <f t="shared" si="33"/>
        <v>2.6450981371905882</v>
      </c>
    </row>
    <row r="407" spans="5:7" x14ac:dyDescent="0.25">
      <c r="E407" s="11">
        <f t="shared" si="31"/>
        <v>65</v>
      </c>
      <c r="F407" s="11">
        <f t="shared" si="32"/>
        <v>5.4558339815585297</v>
      </c>
      <c r="G407" s="11">
        <f t="shared" si="33"/>
        <v>2.7443040916062893</v>
      </c>
    </row>
    <row r="408" spans="5:7" x14ac:dyDescent="0.25">
      <c r="E408" s="11">
        <f t="shared" si="31"/>
        <v>66</v>
      </c>
      <c r="F408" s="11">
        <f t="shared" si="32"/>
        <v>6.1081309244340982</v>
      </c>
      <c r="G408" s="11">
        <f t="shared" si="33"/>
        <v>2.8407821094073058</v>
      </c>
    </row>
    <row r="409" spans="5:7" x14ac:dyDescent="0.25">
      <c r="E409" s="11">
        <f t="shared" si="31"/>
        <v>67</v>
      </c>
      <c r="F409" s="11">
        <f t="shared" si="32"/>
        <v>6.6900818330514289</v>
      </c>
      <c r="G409" s="11">
        <f t="shared" si="33"/>
        <v>2.9347140530346154</v>
      </c>
    </row>
    <row r="410" spans="5:7" x14ac:dyDescent="0.25">
      <c r="E410" s="11">
        <f t="shared" si="31"/>
        <v>68</v>
      </c>
      <c r="F410" s="11">
        <f t="shared" si="32"/>
        <v>7.1814877079738109</v>
      </c>
      <c r="G410" s="11">
        <f t="shared" si="33"/>
        <v>3.0262817849291981</v>
      </c>
    </row>
    <row r="411" spans="5:7" x14ac:dyDescent="0.25">
      <c r="E411" s="11">
        <f t="shared" si="31"/>
        <v>69</v>
      </c>
      <c r="F411" s="11">
        <f t="shared" si="32"/>
        <v>7.56017125158988</v>
      </c>
      <c r="G411" s="11">
        <f t="shared" si="33"/>
        <v>3.1156671675320333</v>
      </c>
    </row>
    <row r="412" spans="5:7" x14ac:dyDescent="0.25">
      <c r="E412" s="11">
        <f t="shared" si="31"/>
        <v>70</v>
      </c>
      <c r="F412" s="11">
        <f t="shared" si="32"/>
        <v>7.8018683843479675</v>
      </c>
      <c r="G412" s="11">
        <f t="shared" si="33"/>
        <v>3.2030520632840989</v>
      </c>
    </row>
    <row r="413" spans="5:7" x14ac:dyDescent="0.25">
      <c r="E413" s="11">
        <f t="shared" si="31"/>
        <v>71</v>
      </c>
      <c r="F413" s="11">
        <f t="shared" si="32"/>
        <v>7.8801161645863544</v>
      </c>
      <c r="G413" s="11">
        <f t="shared" si="33"/>
        <v>3.2886183346263742</v>
      </c>
    </row>
    <row r="414" spans="5:7" x14ac:dyDescent="0.25">
      <c r="E414" s="11">
        <f t="shared" si="31"/>
        <v>72</v>
      </c>
      <c r="F414" s="11">
        <f t="shared" si="32"/>
        <v>7.7661370439879676</v>
      </c>
      <c r="G414" s="11">
        <f t="shared" si="33"/>
        <v>3.3725478439998384</v>
      </c>
    </row>
    <row r="415" spans="5:7" x14ac:dyDescent="0.25">
      <c r="E415" s="11">
        <f t="shared" ref="E415:E422" si="34">E208</f>
        <v>73</v>
      </c>
      <c r="F415" s="11">
        <f t="shared" ref="F415:F422" si="35">$H$217*0+E415*$I$217+E415^2*$J$217+E415^3*$K$217+E415^4*$L$217+E415^5*$M$217+E415^6*$N$217+E415^7*$O$217+E415^8*$P$217</f>
        <v>7.4287193901242325</v>
      </c>
      <c r="G415" s="11">
        <f t="shared" ref="G415:G422" si="36">F208</f>
        <v>3.455022453845471</v>
      </c>
    </row>
    <row r="416" spans="5:7" x14ac:dyDescent="0.25">
      <c r="E416" s="11">
        <f t="shared" si="34"/>
        <v>74</v>
      </c>
      <c r="F416" s="11">
        <f t="shared" si="35"/>
        <v>6.8340942069875901</v>
      </c>
      <c r="G416" s="11">
        <f t="shared" si="36"/>
        <v>3.5362240266042502</v>
      </c>
    </row>
    <row r="417" spans="5:7" x14ac:dyDescent="0.25">
      <c r="E417" s="11">
        <f t="shared" si="34"/>
        <v>75</v>
      </c>
      <c r="F417" s="11">
        <f t="shared" si="35"/>
        <v>5.9458079838526707</v>
      </c>
      <c r="G417" s="11">
        <f t="shared" si="36"/>
        <v>3.6163344247171554</v>
      </c>
    </row>
    <row r="418" spans="5:7" x14ac:dyDescent="0.25">
      <c r="E418" s="11">
        <f t="shared" si="34"/>
        <v>76</v>
      </c>
      <c r="F418" s="11">
        <f t="shared" si="35"/>
        <v>4.7245916022368952</v>
      </c>
      <c r="G418" s="11">
        <f t="shared" si="36"/>
        <v>3.6955355106251657</v>
      </c>
    </row>
    <row r="419" spans="5:7" x14ac:dyDescent="0.25">
      <c r="E419" s="11">
        <f t="shared" si="34"/>
        <v>77</v>
      </c>
      <c r="F419" s="11">
        <f t="shared" si="35"/>
        <v>3.1282252301723723</v>
      </c>
      <c r="G419" s="11">
        <f t="shared" si="36"/>
        <v>3.7740091467692598</v>
      </c>
    </row>
    <row r="420" spans="5:7" x14ac:dyDescent="0.25">
      <c r="E420" s="11">
        <f t="shared" si="34"/>
        <v>78</v>
      </c>
      <c r="F420" s="11">
        <f t="shared" si="35"/>
        <v>1.1113991324347232</v>
      </c>
      <c r="G420" s="11">
        <f t="shared" si="36"/>
        <v>3.8519371955904167</v>
      </c>
    </row>
    <row r="421" spans="5:7" x14ac:dyDescent="0.25">
      <c r="E421" s="11">
        <f t="shared" si="34"/>
        <v>79</v>
      </c>
      <c r="F421" s="11">
        <f t="shared" si="35"/>
        <v>-1.3744296751883418</v>
      </c>
      <c r="G421" s="11">
        <f t="shared" si="36"/>
        <v>3.9295015195296163</v>
      </c>
    </row>
    <row r="422" spans="5:7" x14ac:dyDescent="0.25">
      <c r="E422" s="11">
        <f t="shared" si="34"/>
        <v>80</v>
      </c>
      <c r="F422" s="11">
        <f t="shared" si="35"/>
        <v>-4.3811850000695074</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2022-01-17T07:46:07Z</dcterms:modified>
</cp:coreProperties>
</file>