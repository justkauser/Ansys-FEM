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<sst xmlns="http://schemas.openxmlformats.org/spreadsheetml/2006/main" count="309" uniqueCount="163">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</sst>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00323320"/>
        <c:axId val="400315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00323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315872"/>
        <c:crossesAt val="-8.0000000000000019E-3"/>
        <c:crossBetween val="midCat"/>
      </c:valAx>
      <c:valAx>
        <c:axId val="400315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3233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0471512"/>
        <c:axId val="4504722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47151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72296"/>
        <c:crosses val="autoZero"/>
        <c:crossBetween val="midCat"/>
      </c:valAx>
      <c:valAx>
        <c:axId val="4504722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7151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0465632"/>
        <c:axId val="4504683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0465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68376"/>
        <c:crosses val="autoZero"/>
        <c:crossBetween val="midCat"/>
        <c:majorUnit val="10000"/>
      </c:valAx>
      <c:valAx>
        <c:axId val="45046837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65632"/>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0469944"/>
        <c:axId val="4504687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469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468768"/>
        <c:crosses val="autoZero"/>
        <c:crossBetween val="midCat"/>
        <c:majorUnit val="10000"/>
      </c:valAx>
      <c:valAx>
        <c:axId val="45046876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469944"/>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0470336"/>
        <c:axId val="4504711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4703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71120"/>
        <c:crosses val="autoZero"/>
        <c:crossBetween val="midCat"/>
        <c:majorUnit val="10000"/>
      </c:valAx>
      <c:valAx>
        <c:axId val="45047112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7033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5.8822277032040659E-6</c:v>
                </c:pt>
                <c:pt idx="1">
                  <c:v>3.1292460163817796E-7</c:v>
                </c:pt>
                <c:pt idx="2">
                  <c:v>3.4718330964651326E-6</c:v>
                </c:pt>
                <c:pt idx="3">
                  <c:v>4.6156941511685394E-6</c:v>
                </c:pt>
                <c:pt idx="4">
                  <c:v>4.9605879372074826E-6</c:v>
                </c:pt>
                <c:pt idx="5">
                  <c:v>5.0715933726541635E-6</c:v>
                </c:pt>
                <c:pt idx="6">
                  <c:v>5.101733771300321E-6</c:v>
                </c:pt>
                <c:pt idx="7">
                  <c:v>4.8484833132307447E-6</c:v>
                </c:pt>
                <c:pt idx="8">
                  <c:v>2.3494290079813154E-6</c:v>
                </c:pt>
                <c:pt idx="9">
                  <c:v>1.9635941321651737E-5</c:v>
                </c:pt>
                <c:pt idx="10">
                  <c:v>5.6438230560157287E-5</c:v>
                </c:pt>
                <c:pt idx="11">
                  <c:v>9.6370424747464401E-5</c:v>
                </c:pt>
                <c:pt idx="12">
                  <c:v>1.2158075574748361E-4</c:v>
                </c:pt>
                <c:pt idx="13">
                  <c:v>1.3192310963620831E-4</c:v>
                </c:pt>
                <c:pt idx="14">
                  <c:v>1.2397952283339808E-4</c:v>
                </c:pt>
                <c:pt idx="15">
                  <c:v>9.9573991067723118E-5</c:v>
                </c:pt>
                <c:pt idx="16">
                  <c:v>6.9148170083638413E-5</c:v>
                </c:pt>
                <c:pt idx="17">
                  <c:v>4.2395387991534269E-5</c:v>
                </c:pt>
                <c:pt idx="18">
                  <c:v>2.2662255004447853E-5</c:v>
                </c:pt>
                <c:pt idx="19">
                  <c:v>1.0238187651819631E-5</c:v>
                </c:pt>
                <c:pt idx="20">
                  <c:v>3.7673055354275083E-6</c:v>
                </c:pt>
                <c:pt idx="21">
                  <c:v>1.0874723665866416E-6</c:v>
                </c:pt>
                <c:pt idx="22">
                  <c:v>4.3265634545997811E-7</c:v>
                </c:pt>
                <c:pt idx="23">
                  <c:v>4.4314099117206064E-7</c:v>
                </c:pt>
                <c:pt idx="24">
                  <c:v>3.6912463764745561E-6</c:v>
                </c:pt>
                <c:pt idx="25">
                  <c:v>6.8933953209469683E-6</c:v>
                </c:pt>
                <c:pt idx="26">
                  <c:v>3.5096578114306925E-6</c:v>
                </c:pt>
                <c:pt idx="27">
                  <c:v>9.9295200893702312E-6</c:v>
                </c:pt>
                <c:pt idx="28">
                  <c:v>2.6026622173401142E-5</c:v>
                </c:pt>
                <c:pt idx="29">
                  <c:v>2.383951423653847E-5</c:v>
                </c:pt>
                <c:pt idx="30">
                  <c:v>8.705901078462246E-6</c:v>
                </c:pt>
              </c:numCache>
            </c:numRef>
          </c:yVal>
          <c:smooth val="1"/>
        </c:ser>
        <c:dLbls>
          <c:showLegendKey val="0"/>
          <c:showVal val="0"/>
          <c:showCatName val="0"/>
          <c:showSerName val="0"/>
          <c:showPercent val="0"/>
          <c:showBubbleSize val="0"/>
        </c:dLbls>
        <c:axId val="450467592"/>
        <c:axId val="450467984"/>
      </c:scatterChart>
      <c:valAx>
        <c:axId val="450467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67984"/>
        <c:crossesAt val="-1.5000000000000005E-3"/>
        <c:crossBetween val="midCat"/>
      </c:valAx>
      <c:valAx>
        <c:axId val="45046798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675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5924.3223454607651</c:v>
                </c:pt>
                <c:pt idx="1">
                  <c:v>5924.3223454382824</c:v>
                </c:pt>
                <c:pt idx="2">
                  <c:v>5924.3223452134616</c:v>
                </c:pt>
                <c:pt idx="3">
                  <c:v>5924.3223429652517</c:v>
                </c:pt>
                <c:pt idx="4">
                  <c:v>5924.3223204831502</c:v>
                </c:pt>
                <c:pt idx="5">
                  <c:v>5924.3220956624627</c:v>
                </c:pt>
                <c:pt idx="6">
                  <c:v>5924.3198474884048</c:v>
                </c:pt>
                <c:pt idx="7">
                  <c:v>5924.2973690295794</c:v>
                </c:pt>
                <c:pt idx="8">
                  <c:v>5924.0729116822522</c:v>
                </c:pt>
                <c:pt idx="9">
                  <c:v>5921.8601540583113</c:v>
                </c:pt>
                <c:pt idx="10">
                  <c:v>5902.2081103099545</c:v>
                </c:pt>
                <c:pt idx="11">
                  <c:v>5789.3269779329539</c:v>
                </c:pt>
                <c:pt idx="12">
                  <c:v>5647.0619575109667</c:v>
                </c:pt>
                <c:pt idx="13">
                  <c:v>5493.8054243942206</c:v>
                </c:pt>
                <c:pt idx="14">
                  <c:v>5309.5141162606951</c:v>
                </c:pt>
                <c:pt idx="15">
                  <c:v>5117.4278504261974</c:v>
                </c:pt>
                <c:pt idx="16">
                  <c:v>4888.6691773134917</c:v>
                </c:pt>
                <c:pt idx="17">
                  <c:v>4599.3359574428214</c:v>
                </c:pt>
                <c:pt idx="18">
                  <c:v>4272.2957947174973</c:v>
                </c:pt>
                <c:pt idx="19">
                  <c:v>3941.1873595578249</c:v>
                </c:pt>
                <c:pt idx="20">
                  <c:v>3608.4814380980879</c:v>
                </c:pt>
                <c:pt idx="21">
                  <c:v>3262.5497579342496</c:v>
                </c:pt>
                <c:pt idx="22">
                  <c:v>2841.3133485517315</c:v>
                </c:pt>
                <c:pt idx="23">
                  <c:v>2350.399363924254</c:v>
                </c:pt>
                <c:pt idx="24">
                  <c:v>1794.2863976892534</c:v>
                </c:pt>
                <c:pt idx="25">
                  <c:v>1192.7443975902963</c:v>
                </c:pt>
                <c:pt idx="26">
                  <c:v>712.56457401443936</c:v>
                </c:pt>
                <c:pt idx="27">
                  <c:v>405.79753627693225</c:v>
                </c:pt>
                <c:pt idx="28">
                  <c:v>227.75057802143948</c:v>
                </c:pt>
                <c:pt idx="29">
                  <c:v>157.27859013277902</c:v>
                </c:pt>
                <c:pt idx="30">
                  <c:v>137.32710648672062</c:v>
                </c:pt>
              </c:numCache>
            </c:numRef>
          </c:yVal>
          <c:smooth val="1"/>
        </c:ser>
        <c:dLbls>
          <c:showLegendKey val="0"/>
          <c:showVal val="0"/>
          <c:showCatName val="0"/>
          <c:showSerName val="0"/>
          <c:showPercent val="0"/>
          <c:showBubbleSize val="0"/>
        </c:dLbls>
        <c:axId val="124765752"/>
        <c:axId val="124766536"/>
      </c:scatterChart>
      <c:valAx>
        <c:axId val="124765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6536"/>
        <c:crosses val="autoZero"/>
        <c:crossBetween val="midCat"/>
      </c:valAx>
      <c:valAx>
        <c:axId val="1247665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575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2.5912335839373209E-3</c:v>
                </c:pt>
                <c:pt idx="1">
                  <c:v>2.9775422994469921E-3</c:v>
                </c:pt>
                <c:pt idx="2">
                  <c:v>3.5580463641070787E-3</c:v>
                </c:pt>
                <c:pt idx="3">
                  <c:v>3.5609660630906178E-3</c:v>
                </c:pt>
                <c:pt idx="4">
                  <c:v>3.5606207597331605E-3</c:v>
                </c:pt>
                <c:pt idx="5">
                  <c:v>3.5604819613449827E-3</c:v>
                </c:pt>
                <c:pt idx="6">
                  <c:v>3.5604379523025836E-3</c:v>
                </c:pt>
                <c:pt idx="7">
                  <c:v>3.5604311837424299E-3</c:v>
                </c:pt>
                <c:pt idx="8">
                  <c:v>3.5604312046808033E-3</c:v>
                </c:pt>
                <c:pt idx="9">
                  <c:v>3.5604314140648412E-3</c:v>
                </c:pt>
                <c:pt idx="10">
                  <c:v>3.5604335079043006E-3</c:v>
                </c:pt>
                <c:pt idx="11">
                  <c:v>3.5604476756291698E-3</c:v>
                </c:pt>
                <c:pt idx="12">
                  <c:v>3.5605487272849625E-3</c:v>
                </c:pt>
                <c:pt idx="13">
                  <c:v>3.5614812147401211E-3</c:v>
                </c:pt>
                <c:pt idx="14">
                  <c:v>3.5708639331247347E-3</c:v>
                </c:pt>
                <c:pt idx="15">
                  <c:v>3.6632873867102041E-3</c:v>
                </c:pt>
                <c:pt idx="16">
                  <c:v>4.470794691413039E-3</c:v>
                </c:pt>
                <c:pt idx="17">
                  <c:v>8.6328471001023976E-3</c:v>
                </c:pt>
                <c:pt idx="18">
                  <c:v>1.045604896044338E-2</c:v>
                </c:pt>
                <c:pt idx="19">
                  <c:v>8.8544630303555496E-3</c:v>
                </c:pt>
                <c:pt idx="20">
                  <c:v>8.4806724279313517E-3</c:v>
                </c:pt>
                <c:pt idx="21">
                  <c:v>4.359796526105888E-3</c:v>
                </c:pt>
                <c:pt idx="22">
                  <c:v>1.916980809999929E-2</c:v>
                </c:pt>
                <c:pt idx="23">
                  <c:v>3.0795044304827844E-2</c:v>
                </c:pt>
                <c:pt idx="24">
                  <c:v>3.1180900670468581E-2</c:v>
                </c:pt>
                <c:pt idx="25">
                  <c:v>2.1961853638470759E-2</c:v>
                </c:pt>
                <c:pt idx="26">
                  <c:v>1.2776403992464842E-2</c:v>
                </c:pt>
                <c:pt idx="27">
                  <c:v>3.1442167979048455E-3</c:v>
                </c:pt>
                <c:pt idx="28">
                  <c:v>7.363373671160107E-3</c:v>
                </c:pt>
                <c:pt idx="29">
                  <c:v>3.0311483010814447E-2</c:v>
                </c:pt>
                <c:pt idx="30">
                  <c:v>5.6294960055391495E-2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5.8822277032040659E-6</c:v>
                </c:pt>
                <c:pt idx="1">
                  <c:v>3.1292460194521538E-7</c:v>
                </c:pt>
                <c:pt idx="2">
                  <c:v>3.4718330918595536E-6</c:v>
                </c:pt>
                <c:pt idx="3">
                  <c:v>4.6156941051126942E-6</c:v>
                </c:pt>
                <c:pt idx="4">
                  <c:v>4.9605874760347964E-6</c:v>
                </c:pt>
                <c:pt idx="5">
                  <c:v>5.0715887601590192E-6</c:v>
                </c:pt>
                <c:pt idx="6">
                  <c:v>5.1016876507820525E-6</c:v>
                </c:pt>
                <c:pt idx="7">
                  <c:v>4.8480222283099282E-6</c:v>
                </c:pt>
                <c:pt idx="8">
                  <c:v>2.34483018383944E-6</c:v>
                </c:pt>
                <c:pt idx="9">
                  <c:v>1.9680776346478665E-5</c:v>
                </c:pt>
                <c:pt idx="10">
                  <c:v>5.6806612355710699E-5</c:v>
                </c:pt>
                <c:pt idx="11">
                  <c:v>9.4858274442133331E-5</c:v>
                </c:pt>
                <c:pt idx="12">
                  <c:v>1.2272090079850072E-4</c:v>
                </c:pt>
                <c:pt idx="13">
                  <c:v>1.3024009895751224E-4</c:v>
                </c:pt>
                <c:pt idx="14">
                  <c:v>1.2567510599929125E-4</c:v>
                </c:pt>
                <c:pt idx="15">
                  <c:v>9.770510388833244E-5</c:v>
                </c:pt>
                <c:pt idx="16">
                  <c:v>7.1642547378348041E-5</c:v>
                </c:pt>
                <c:pt idx="17">
                  <c:v>3.9347417875927486E-5</c:v>
                </c:pt>
                <c:pt idx="18">
                  <c:v>2.5948959161819806E-5</c:v>
                </c:pt>
                <c:pt idx="19">
                  <c:v>6.8210889254761852E-6</c:v>
                </c:pt>
                <c:pt idx="20">
                  <c:v>7.7198591295625017E-6</c:v>
                </c:pt>
                <c:pt idx="21">
                  <c:v>3.0607061464073024E-6</c:v>
                </c:pt>
                <c:pt idx="22">
                  <c:v>9.1741707836951123E-6</c:v>
                </c:pt>
                <c:pt idx="23">
                  <c:v>1.1999419680801575E-5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1.2896299375631136E-3</c:v>
                </c:pt>
                <c:pt idx="1">
                  <c:v>1.2836997109912558E-3</c:v>
                </c:pt>
                <c:pt idx="2">
                  <c:v>1.2903214879266716E-3</c:v>
                </c:pt>
                <c:pt idx="3">
                  <c:v>1.3197578408010412E-3</c:v>
                </c:pt>
                <c:pt idx="4">
                  <c:v>1.6019881460110819E-3</c:v>
                </c:pt>
                <c:pt idx="5">
                  <c:v>3.9867824548463805E-3</c:v>
                </c:pt>
                <c:pt idx="6">
                  <c:v>4.0421867065117308E-3</c:v>
                </c:pt>
                <c:pt idx="7">
                  <c:v>6.4017494909765658E-3</c:v>
                </c:pt>
                <c:pt idx="8">
                  <c:v>6.3300935166526696E-3</c:v>
                </c:pt>
                <c:pt idx="9">
                  <c:v>8.5782149701802788E-3</c:v>
                </c:pt>
                <c:pt idx="10">
                  <c:v>9.1894511513349389E-3</c:v>
                </c:pt>
                <c:pt idx="11">
                  <c:v>1.0370939025604948E-2</c:v>
                </c:pt>
                <c:pt idx="12">
                  <c:v>4.2405190819985988E-3</c:v>
                </c:pt>
                <c:pt idx="13">
                  <c:v>1.0627831431542674E-2</c:v>
                </c:pt>
                <c:pt idx="14">
                  <c:v>2.2914845948474542E-2</c:v>
                </c:pt>
                <c:pt idx="15">
                  <c:v>3.5000075128001712E-2</c:v>
                </c:pt>
                <c:pt idx="16">
                  <c:v>2.3602082556369718E-2</c:v>
                </c:pt>
                <c:pt idx="17">
                  <c:v>1.8276666045106405E-2</c:v>
                </c:pt>
                <c:pt idx="18">
                  <c:v>2.4593018933133279E-3</c:v>
                </c:pt>
                <c:pt idx="19">
                  <c:v>3.3421379063885301E-2</c:v>
                </c:pt>
                <c:pt idx="20">
                  <c:v>3.8538019201630261E-2</c:v>
                </c:pt>
                <c:pt idx="21">
                  <c:v>7.3154534178200517E-2</c:v>
                </c:pt>
                <c:pt idx="22">
                  <c:v>6.7163313351055312E-2</c:v>
                </c:pt>
                <c:pt idx="23">
                  <c:v>6.2123189317633699E-2</c:v>
                </c:pt>
                <c:pt idx="24">
                  <c:v>2.1291967134035101E-2</c:v>
                </c:pt>
                <c:pt idx="25">
                  <c:v>2.6143890082201337E-3</c:v>
                </c:pt>
                <c:pt idx="26">
                  <c:v>0.27876190626442121</c:v>
                </c:pt>
                <c:pt idx="27">
                  <c:v>0.37105146514198029</c:v>
                </c:pt>
                <c:pt idx="28">
                  <c:v>0.37104123719809567</c:v>
                </c:pt>
                <c:pt idx="29">
                  <c:v>0.37103265135217472</c:v>
                </c:pt>
                <c:pt idx="30">
                  <c:v>0.37102483631649996</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2.5151704461327039E-3</c:v>
                </c:pt>
                <c:pt idx="1">
                  <c:v>1.2436378677260272E-2</c:v>
                </c:pt>
                <c:pt idx="2">
                  <c:v>3.4019806487242689E-3</c:v>
                </c:pt>
                <c:pt idx="3">
                  <c:v>1.1290355656521266E-2</c:v>
                </c:pt>
                <c:pt idx="4">
                  <c:v>2.1679563339241429E-2</c:v>
                </c:pt>
                <c:pt idx="5">
                  <c:v>3.1060126967379711E-2</c:v>
                </c:pt>
                <c:pt idx="6">
                  <c:v>1.3159481923633434E-2</c:v>
                </c:pt>
                <c:pt idx="7">
                  <c:v>1.1131227762412974E-2</c:v>
                </c:pt>
                <c:pt idx="8">
                  <c:v>1.2199398602735771E-2</c:v>
                </c:pt>
                <c:pt idx="9">
                  <c:v>6.3902619648423933E-2</c:v>
                </c:pt>
                <c:pt idx="10">
                  <c:v>6.6273594174787745E-2</c:v>
                </c:pt>
                <c:pt idx="11">
                  <c:v>0.10557712384038827</c:v>
                </c:pt>
                <c:pt idx="12">
                  <c:v>8.7155389889818483E-2</c:v>
                </c:pt>
                <c:pt idx="13">
                  <c:v>3.3273538791372764E-2</c:v>
                </c:pt>
                <c:pt idx="14">
                  <c:v>2.956344799165012E-3</c:v>
                </c:pt>
                <c:pt idx="15">
                  <c:v>4.8696441984674238E-2</c:v>
                </c:pt>
                <c:pt idx="16">
                  <c:v>0.36625316654173456</c:v>
                </c:pt>
                <c:pt idx="17">
                  <c:v>0.37810113279804586</c:v>
                </c:pt>
                <c:pt idx="18">
                  <c:v>0.37752967725041675</c:v>
                </c:pt>
                <c:pt idx="19">
                  <c:v>0.37690551253971288</c:v>
                </c:pt>
                <c:pt idx="20">
                  <c:v>0.37611606472559289</c:v>
                </c:pt>
                <c:pt idx="21">
                  <c:v>0.3751993084654433</c:v>
                </c:pt>
                <c:pt idx="22">
                  <c:v>0.37422375676016006</c:v>
                </c:pt>
                <c:pt idx="23">
                  <c:v>0.37323077939665333</c:v>
                </c:pt>
                <c:pt idx="24">
                  <c:v>0.37320916997645792</c:v>
                </c:pt>
                <c:pt idx="25">
                  <c:v>0.37274275848873117</c:v>
                </c:pt>
                <c:pt idx="26">
                  <c:v>0.37211225798513692</c:v>
                </c:pt>
                <c:pt idx="27">
                  <c:v>0.37146259415860267</c:v>
                </c:pt>
                <c:pt idx="28">
                  <c:v>0.37142493138975491</c:v>
                </c:pt>
                <c:pt idx="29">
                  <c:v>0.37140667699912805</c:v>
                </c:pt>
                <c:pt idx="30">
                  <c:v>0.3713937247136625</c:v>
                </c:pt>
              </c:numCache>
            </c:numRef>
          </c:yVal>
          <c:smooth val="1"/>
        </c:ser>
        <c:dLbls>
          <c:showLegendKey val="0"/>
          <c:showVal val="0"/>
          <c:showCatName val="0"/>
          <c:showSerName val="0"/>
          <c:showPercent val="0"/>
          <c:showBubbleSize val="0"/>
        </c:dLbls>
        <c:axId val="124768104"/>
        <c:axId val="124767712"/>
      </c:scatterChart>
      <c:valAx>
        <c:axId val="1247681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7712"/>
        <c:crossesAt val="1.0000000000000005E-9"/>
        <c:crossBetween val="midCat"/>
      </c:valAx>
      <c:valAx>
        <c:axId val="124767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810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-14.406597553292471</c:v>
                </c:pt>
                <c:pt idx="1">
                  <c:v>-10.950533411017616</c:v>
                </c:pt>
                <c:pt idx="2">
                  <c:v>-6.5769237458214267</c:v>
                </c:pt>
                <c:pt idx="3">
                  <c:v>0</c:v>
                </c:pt>
                <c:pt idx="4">
                  <c:v>12.063983763944035</c:v>
                </c:pt>
                <c:pt idx="5">
                  <c:v>31.800079672565541</c:v>
                </c:pt>
                <c:pt idx="6">
                  <c:v>35.860877462388487</c:v>
                </c:pt>
              </c:numCache>
            </c:numRef>
          </c:yVal>
          <c:smooth val="0"/>
        </c:ser>
        <c:dLbls>
          <c:showLegendKey val="0"/>
          <c:showVal val="0"/>
          <c:showCatName val="0"/>
          <c:showSerName val="0"/>
          <c:showPercent val="0"/>
          <c:showBubbleSize val="0"/>
        </c:dLbls>
        <c:axId val="124760656"/>
        <c:axId val="124764184"/>
      </c:scatterChart>
      <c:valAx>
        <c:axId val="124760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4184"/>
        <c:crossesAt val="-100"/>
        <c:crossBetween val="midCat"/>
      </c:valAx>
      <c:valAx>
        <c:axId val="124764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065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124763400"/>
        <c:axId val="124766928"/>
      </c:scatterChart>
      <c:valAx>
        <c:axId val="12476340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6928"/>
        <c:crosses val="autoZero"/>
        <c:crossBetween val="midCat"/>
      </c:valAx>
      <c:valAx>
        <c:axId val="12476692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340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-14.406597553292471</c:v>
                </c:pt>
                <c:pt idx="1">
                  <c:v>-14.343950995821592</c:v>
                </c:pt>
                <c:pt idx="2">
                  <c:v>-14.281215301217186</c:v>
                </c:pt>
                <c:pt idx="3">
                  <c:v>-14.218301332345714</c:v>
                </c:pt>
                <c:pt idx="4">
                  <c:v>-14.155119952073649</c:v>
                </c:pt>
                <c:pt idx="5">
                  <c:v>-14.091582023267463</c:v>
                </c:pt>
                <c:pt idx="6">
                  <c:v>-14.027598408793621</c:v>
                </c:pt>
                <c:pt idx="7">
                  <c:v>-13.963079971518596</c:v>
                </c:pt>
                <c:pt idx="8">
                  <c:v>-13.897937574308848</c:v>
                </c:pt>
                <c:pt idx="9">
                  <c:v>-13.832082080030858</c:v>
                </c:pt>
                <c:pt idx="10">
                  <c:v>-13.76542435155109</c:v>
                </c:pt>
                <c:pt idx="11">
                  <c:v>-13.697875251736008</c:v>
                </c:pt>
                <c:pt idx="12">
                  <c:v>-13.629345643452091</c:v>
                </c:pt>
                <c:pt idx="13">
                  <c:v>-13.559746389565799</c:v>
                </c:pt>
                <c:pt idx="14">
                  <c:v>-13.488988352943606</c:v>
                </c:pt>
                <c:pt idx="15">
                  <c:v>-13.416982396451981</c:v>
                </c:pt>
                <c:pt idx="16">
                  <c:v>-13.343639382957392</c:v>
                </c:pt>
                <c:pt idx="17">
                  <c:v>-13.268870175326308</c:v>
                </c:pt>
                <c:pt idx="18">
                  <c:v>-13.192585636425196</c:v>
                </c:pt>
                <c:pt idx="19">
                  <c:v>-13.11469662912053</c:v>
                </c:pt>
                <c:pt idx="20">
                  <c:v>-13.035114016278776</c:v>
                </c:pt>
                <c:pt idx="21">
                  <c:v>-12.953748660766401</c:v>
                </c:pt>
                <c:pt idx="22">
                  <c:v>-12.870511425449877</c:v>
                </c:pt>
                <c:pt idx="23">
                  <c:v>-12.785313173195672</c:v>
                </c:pt>
                <c:pt idx="24">
                  <c:v>-12.698064766870257</c:v>
                </c:pt>
                <c:pt idx="25">
                  <c:v>-12.6086770693401</c:v>
                </c:pt>
                <c:pt idx="26">
                  <c:v>-12.51706094347167</c:v>
                </c:pt>
                <c:pt idx="27">
                  <c:v>-12.423127252131433</c:v>
                </c:pt>
                <c:pt idx="28">
                  <c:v>-12.326786858185862</c:v>
                </c:pt>
                <c:pt idx="29">
                  <c:v>-12.227950624501426</c:v>
                </c:pt>
                <c:pt idx="30">
                  <c:v>-12.126529413944594</c:v>
                </c:pt>
                <c:pt idx="31">
                  <c:v>-12.022434089381832</c:v>
                </c:pt>
                <c:pt idx="32">
                  <c:v>-11.915575513679611</c:v>
                </c:pt>
                <c:pt idx="33">
                  <c:v>-11.805864549704403</c:v>
                </c:pt>
                <c:pt idx="34">
                  <c:v>-11.69321206032267</c:v>
                </c:pt>
                <c:pt idx="35">
                  <c:v>-11.577528908400888</c:v>
                </c:pt>
                <c:pt idx="36">
                  <c:v>-11.458725956805523</c:v>
                </c:pt>
                <c:pt idx="37">
                  <c:v>-11.336714068403044</c:v>
                </c:pt>
                <c:pt idx="38">
                  <c:v>-11.21140410605992</c:v>
                </c:pt>
                <c:pt idx="39">
                  <c:v>-11.082706932642623</c:v>
                </c:pt>
                <c:pt idx="40">
                  <c:v>-10.950533411017616</c:v>
                </c:pt>
                <c:pt idx="41">
                  <c:v>-10.815864244231859</c:v>
                </c:pt>
                <c:pt idx="42">
                  <c:v>-10.677653732530564</c:v>
                </c:pt>
                <c:pt idx="43">
                  <c:v>-10.535926016339429</c:v>
                </c:pt>
                <c:pt idx="44">
                  <c:v>-10.390705236084157</c:v>
                </c:pt>
                <c:pt idx="45">
                  <c:v>-10.242015532190445</c:v>
                </c:pt>
                <c:pt idx="46">
                  <c:v>-10.089881045083995</c:v>
                </c:pt>
                <c:pt idx="47">
                  <c:v>-9.9343259151905041</c:v>
                </c:pt>
                <c:pt idx="48">
                  <c:v>-9.7753742829356742</c:v>
                </c:pt>
                <c:pt idx="49">
                  <c:v>-9.6130502887452032</c:v>
                </c:pt>
                <c:pt idx="50">
                  <c:v>-9.4473780730447903</c:v>
                </c:pt>
                <c:pt idx="51">
                  <c:v>-9.2783817762601366</c:v>
                </c:pt>
                <c:pt idx="52">
                  <c:v>-9.1060855388169433</c:v>
                </c:pt>
                <c:pt idx="53">
                  <c:v>-8.930513501140906</c:v>
                </c:pt>
                <c:pt idx="54">
                  <c:v>-8.751689803657726</c:v>
                </c:pt>
                <c:pt idx="55">
                  <c:v>-8.5696385867931024</c:v>
                </c:pt>
                <c:pt idx="56">
                  <c:v>-8.3843839909727365</c:v>
                </c:pt>
                <c:pt idx="57">
                  <c:v>-8.1959501566223274</c:v>
                </c:pt>
                <c:pt idx="58">
                  <c:v>-8.0043612241675746</c:v>
                </c:pt>
                <c:pt idx="59">
                  <c:v>-7.8096413340341755</c:v>
                </c:pt>
                <c:pt idx="60">
                  <c:v>-7.6118146266478313</c:v>
                </c:pt>
                <c:pt idx="61">
                  <c:v>-7.410905242434243</c:v>
                </c:pt>
                <c:pt idx="62">
                  <c:v>-7.2069373218191082</c:v>
                </c:pt>
                <c:pt idx="63">
                  <c:v>-6.9999350052281279</c:v>
                </c:pt>
                <c:pt idx="64">
                  <c:v>-6.7899224330870016</c:v>
                </c:pt>
                <c:pt idx="65">
                  <c:v>-6.5769237458214267</c:v>
                </c:pt>
                <c:pt idx="66">
                  <c:v>-6.3609405507438952</c:v>
                </c:pt>
                <c:pt idx="67">
                  <c:v>-6.1418843227140556</c:v>
                </c:pt>
                <c:pt idx="68">
                  <c:v>-5.9196440034783446</c:v>
                </c:pt>
                <c:pt idx="69">
                  <c:v>-5.6941085347832052</c:v>
                </c:pt>
                <c:pt idx="70">
                  <c:v>-5.4651668583750723</c:v>
                </c:pt>
                <c:pt idx="71">
                  <c:v>-5.232707916000388</c:v>
                </c:pt>
                <c:pt idx="72">
                  <c:v>-4.9966206494055871</c:v>
                </c:pt>
                <c:pt idx="73">
                  <c:v>-4.7567940003371127</c:v>
                </c:pt>
                <c:pt idx="74">
                  <c:v>-4.5131169105414024</c:v>
                </c:pt>
                <c:pt idx="75">
                  <c:v>-4.2654783217648928</c:v>
                </c:pt>
                <c:pt idx="76">
                  <c:v>-4.0137671757540261</c:v>
                </c:pt>
                <c:pt idx="77">
                  <c:v>-3.7578724142552398</c:v>
                </c:pt>
                <c:pt idx="78">
                  <c:v>-3.4976829790149715</c:v>
                </c:pt>
                <c:pt idx="79">
                  <c:v>-3.2330878117796615</c:v>
                </c:pt>
                <c:pt idx="80">
                  <c:v>-2.9639758542957484</c:v>
                </c:pt>
                <c:pt idx="81">
                  <c:v>-2.6902360483096714</c:v>
                </c:pt>
                <c:pt idx="82">
                  <c:v>-2.4117573355678692</c:v>
                </c:pt>
                <c:pt idx="83">
                  <c:v>-2.1284286578167801</c:v>
                </c:pt>
                <c:pt idx="84">
                  <c:v>-1.8401389568028432</c:v>
                </c:pt>
                <c:pt idx="85">
                  <c:v>-1.5467771742724976</c:v>
                </c:pt>
                <c:pt idx="86">
                  <c:v>-1.2482322519721825</c:v>
                </c:pt>
                <c:pt idx="87">
                  <c:v>-0.94439313164833627</c:v>
                </c:pt>
                <c:pt idx="88">
                  <c:v>-0.63514875504739765</c:v>
                </c:pt>
                <c:pt idx="89">
                  <c:v>-0.32038806391580604</c:v>
                </c:pt>
                <c:pt idx="90">
                  <c:v>0</c:v>
                </c:pt>
                <c:pt idx="91">
                  <c:v>0.32610000475225365</c:v>
                </c:pt>
                <c:pt idx="92">
                  <c:v>0.65789055758787651</c:v>
                </c:pt>
                <c:pt idx="93">
                  <c:v>0.99532377555246254</c:v>
                </c:pt>
                <c:pt idx="94">
                  <c:v>1.3383517756916055</c:v>
                </c:pt>
                <c:pt idx="95">
                  <c:v>1.6869266750508989</c:v>
                </c:pt>
                <c:pt idx="96">
                  <c:v>2.041000590675937</c:v>
                </c:pt>
                <c:pt idx="97">
                  <c:v>2.4005256396123134</c:v>
                </c:pt>
                <c:pt idx="98">
                  <c:v>2.7654539389056216</c:v>
                </c:pt>
                <c:pt idx="99">
                  <c:v>3.1357376056014554</c:v>
                </c:pt>
                <c:pt idx="100">
                  <c:v>3.5113287567454092</c:v>
                </c:pt>
                <c:pt idx="101">
                  <c:v>3.8921795093830762</c:v>
                </c:pt>
                <c:pt idx="102">
                  <c:v>4.2782419805600505</c:v>
                </c:pt>
                <c:pt idx="103">
                  <c:v>4.6694682873219255</c:v>
                </c:pt>
                <c:pt idx="104">
                  <c:v>5.065810546714296</c:v>
                </c:pt>
                <c:pt idx="105">
                  <c:v>5.4672208757827541</c:v>
                </c:pt>
                <c:pt idx="106">
                  <c:v>5.8736513915728947</c:v>
                </c:pt>
                <c:pt idx="107">
                  <c:v>6.285054211130312</c:v>
                </c:pt>
                <c:pt idx="108">
                  <c:v>6.7013814515005992</c:v>
                </c:pt>
                <c:pt idx="109">
                  <c:v>7.1225852297293502</c:v>
                </c:pt>
                <c:pt idx="110">
                  <c:v>7.5486176628621582</c:v>
                </c:pt>
                <c:pt idx="111">
                  <c:v>7.9794308679446173</c:v>
                </c:pt>
                <c:pt idx="112">
                  <c:v>8.4149769620223225</c:v>
                </c:pt>
                <c:pt idx="113">
                  <c:v>8.8552080621408642</c:v>
                </c:pt>
                <c:pt idx="114">
                  <c:v>9.3000762853458419</c:v>
                </c:pt>
                <c:pt idx="115">
                  <c:v>9.7495337486828433</c:v>
                </c:pt>
                <c:pt idx="116">
                  <c:v>10.203532569197467</c:v>
                </c:pt>
                <c:pt idx="117">
                  <c:v>10.662024863935303</c:v>
                </c:pt>
                <c:pt idx="118">
                  <c:v>11.124962749941947</c:v>
                </c:pt>
                <c:pt idx="119">
                  <c:v>11.592298344262993</c:v>
                </c:pt>
                <c:pt idx="120">
                  <c:v>12.063983763944035</c:v>
                </c:pt>
                <c:pt idx="121">
                  <c:v>12.53991389261372</c:v>
                </c:pt>
                <c:pt idx="122">
                  <c:v>13.019754680232936</c:v>
                </c:pt>
                <c:pt idx="123">
                  <c:v>13.50311484334561</c:v>
                </c:pt>
                <c:pt idx="124">
                  <c:v>13.989603098495682</c:v>
                </c:pt>
                <c:pt idx="125">
                  <c:v>14.47882816222709</c:v>
                </c:pt>
                <c:pt idx="126">
                  <c:v>14.970398751083767</c:v>
                </c:pt>
                <c:pt idx="127">
                  <c:v>15.463923581609652</c:v>
                </c:pt>
                <c:pt idx="128">
                  <c:v>15.959011370348678</c:v>
                </c:pt>
                <c:pt idx="129">
                  <c:v>16.455270833844786</c:v>
                </c:pt>
                <c:pt idx="130">
                  <c:v>16.952310688641909</c:v>
                </c:pt>
                <c:pt idx="131">
                  <c:v>17.449739651283977</c:v>
                </c:pt>
                <c:pt idx="132">
                  <c:v>17.947166438314937</c:v>
                </c:pt>
                <c:pt idx="133">
                  <c:v>18.444199766278725</c:v>
                </c:pt>
                <c:pt idx="134">
                  <c:v>18.940448351719269</c:v>
                </c:pt>
                <c:pt idx="135">
                  <c:v>19.435520911180515</c:v>
                </c:pt>
                <c:pt idx="136">
                  <c:v>19.929026161206387</c:v>
                </c:pt>
                <c:pt idx="137">
                  <c:v>20.420572818340833</c:v>
                </c:pt>
                <c:pt idx="138">
                  <c:v>20.909769599127785</c:v>
                </c:pt>
                <c:pt idx="139">
                  <c:v>21.396225220111177</c:v>
                </c:pt>
                <c:pt idx="140">
                  <c:v>21.879548397834945</c:v>
                </c:pt>
                <c:pt idx="141">
                  <c:v>22.359347848843026</c:v>
                </c:pt>
                <c:pt idx="142">
                  <c:v>22.835232289679361</c:v>
                </c:pt>
                <c:pt idx="143">
                  <c:v>23.306810436887883</c:v>
                </c:pt>
                <c:pt idx="144">
                  <c:v>23.773691007012523</c:v>
                </c:pt>
                <c:pt idx="145">
                  <c:v>24.235482716597229</c:v>
                </c:pt>
                <c:pt idx="146">
                  <c:v>24.691794282185928</c:v>
                </c:pt>
                <c:pt idx="147">
                  <c:v>25.142234420322559</c:v>
                </c:pt>
                <c:pt idx="148">
                  <c:v>25.586411847551055</c:v>
                </c:pt>
                <c:pt idx="149">
                  <c:v>26.023935280415358</c:v>
                </c:pt>
                <c:pt idx="150">
                  <c:v>26.454413435459401</c:v>
                </c:pt>
                <c:pt idx="151">
                  <c:v>26.877455029227118</c:v>
                </c:pt>
                <c:pt idx="152">
                  <c:v>27.292668778262453</c:v>
                </c:pt>
                <c:pt idx="153">
                  <c:v>27.699663399109333</c:v>
                </c:pt>
                <c:pt idx="154">
                  <c:v>28.098047608311699</c:v>
                </c:pt>
                <c:pt idx="155">
                  <c:v>28.487430122413485</c:v>
                </c:pt>
                <c:pt idx="156">
                  <c:v>28.867419657958635</c:v>
                </c:pt>
                <c:pt idx="157">
                  <c:v>29.237624931491073</c:v>
                </c:pt>
                <c:pt idx="158">
                  <c:v>29.597654659554745</c:v>
                </c:pt>
                <c:pt idx="159">
                  <c:v>29.947117558693584</c:v>
                </c:pt>
                <c:pt idx="160">
                  <c:v>30.285622345451525</c:v>
                </c:pt>
                <c:pt idx="161">
                  <c:v>30.6127777363725</c:v>
                </c:pt>
                <c:pt idx="162">
                  <c:v>30.928192448000456</c:v>
                </c:pt>
                <c:pt idx="163">
                  <c:v>31.231475196879327</c:v>
                </c:pt>
                <c:pt idx="164">
                  <c:v>31.522234699553039</c:v>
                </c:pt>
                <c:pt idx="165">
                  <c:v>31.800079672565534</c:v>
                </c:pt>
                <c:pt idx="166">
                  <c:v>32.064747407384942</c:v>
                </c:pt>
                <c:pt idx="167">
                  <c:v>32.316489495176143</c:v>
                </c:pt>
                <c:pt idx="168">
                  <c:v>32.555686102028183</c:v>
                </c:pt>
                <c:pt idx="169">
                  <c:v>32.782717394030144</c:v>
                </c:pt>
                <c:pt idx="170">
                  <c:v>32.997963537271083</c:v>
                </c:pt>
                <c:pt idx="171">
                  <c:v>33.201804697840075</c:v>
                </c:pt>
                <c:pt idx="172">
                  <c:v>33.39462104182617</c:v>
                </c:pt>
                <c:pt idx="173">
                  <c:v>33.576792735318442</c:v>
                </c:pt>
                <c:pt idx="174">
                  <c:v>33.748699944405956</c:v>
                </c:pt>
                <c:pt idx="175">
                  <c:v>33.910722835177779</c:v>
                </c:pt>
                <c:pt idx="176">
                  <c:v>34.063241573722969</c:v>
                </c:pt>
                <c:pt idx="177">
                  <c:v>34.206636326130607</c:v>
                </c:pt>
                <c:pt idx="178">
                  <c:v>34.341287258489736</c:v>
                </c:pt>
                <c:pt idx="179">
                  <c:v>34.467574536889437</c:v>
                </c:pt>
                <c:pt idx="180">
                  <c:v>34.585878327418769</c:v>
                </c:pt>
                <c:pt idx="181">
                  <c:v>34.696578796166804</c:v>
                </c:pt>
                <c:pt idx="182">
                  <c:v>34.800056109222588</c:v>
                </c:pt>
                <c:pt idx="183">
                  <c:v>34.896690432675214</c:v>
                </c:pt>
                <c:pt idx="184">
                  <c:v>34.986861932613721</c:v>
                </c:pt>
                <c:pt idx="185">
                  <c:v>35.070950775127194</c:v>
                </c:pt>
                <c:pt idx="186">
                  <c:v>35.149337126304687</c:v>
                </c:pt>
                <c:pt idx="187">
                  <c:v>35.222401152235264</c:v>
                </c:pt>
                <c:pt idx="188">
                  <c:v>35.290523019008006</c:v>
                </c:pt>
                <c:pt idx="189">
                  <c:v>35.354082892711958</c:v>
                </c:pt>
                <c:pt idx="190">
                  <c:v>35.413460939436192</c:v>
                </c:pt>
                <c:pt idx="191">
                  <c:v>35.469037325269781</c:v>
                </c:pt>
                <c:pt idx="192">
                  <c:v>35.521192216301777</c:v>
                </c:pt>
                <c:pt idx="193">
                  <c:v>35.570305778621254</c:v>
                </c:pt>
                <c:pt idx="194">
                  <c:v>35.616758178317276</c:v>
                </c:pt>
                <c:pt idx="195">
                  <c:v>35.660929581478911</c:v>
                </c:pt>
                <c:pt idx="196">
                  <c:v>35.703200154195216</c:v>
                </c:pt>
                <c:pt idx="197">
                  <c:v>35.743950062555264</c:v>
                </c:pt>
                <c:pt idx="198">
                  <c:v>35.783559472648108</c:v>
                </c:pt>
                <c:pt idx="199">
                  <c:v>35.822408550562827</c:v>
                </c:pt>
                <c:pt idx="200">
                  <c:v>35.860877462388487</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-14.406597553292471</c:v>
                </c:pt>
                <c:pt idx="1">
                  <c:v>-10.950533411017616</c:v>
                </c:pt>
                <c:pt idx="2">
                  <c:v>-6.5769237458214267</c:v>
                </c:pt>
                <c:pt idx="3">
                  <c:v>0</c:v>
                </c:pt>
                <c:pt idx="4">
                  <c:v>12.063983763944035</c:v>
                </c:pt>
                <c:pt idx="5">
                  <c:v>31.800079672565541</c:v>
                </c:pt>
                <c:pt idx="6">
                  <c:v>35.860877462388487</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-14.495316752372815</c:v>
                </c:pt>
                <c:pt idx="1">
                  <c:v>-14.394676384071309</c:v>
                </c:pt>
                <c:pt idx="2">
                  <c:v>-14.30166896850943</c:v>
                </c:pt>
                <c:pt idx="3">
                  <c:v>-14.215261056573425</c:v>
                </c:pt>
                <c:pt idx="4">
                  <c:v>-14.134492359526025</c:v>
                </c:pt>
                <c:pt idx="5">
                  <c:v>-14.058472199705642</c:v>
                </c:pt>
                <c:pt idx="6">
                  <c:v>-13.986376067788056</c:v>
                </c:pt>
                <c:pt idx="7">
                  <c:v>-13.917442284920231</c:v>
                </c:pt>
                <c:pt idx="8">
                  <c:v>-13.850968768045757</c:v>
                </c:pt>
                <c:pt idx="9">
                  <c:v>-13.78630989675057</c:v>
                </c:pt>
                <c:pt idx="10">
                  <c:v>-13.722873479967188</c:v>
                </c:pt>
                <c:pt idx="11">
                  <c:v>-13.660117820885183</c:v>
                </c:pt>
                <c:pt idx="12">
                  <c:v>-13.597548878424972</c:v>
                </c:pt>
                <c:pt idx="13">
                  <c:v>-13.534717523641483</c:v>
                </c:pt>
                <c:pt idx="14">
                  <c:v>-13.471216889433821</c:v>
                </c:pt>
                <c:pt idx="15">
                  <c:v>-13.406679811946324</c:v>
                </c:pt>
                <c:pt idx="16">
                  <c:v>-13.340776362056051</c:v>
                </c:pt>
                <c:pt idx="17">
                  <c:v>-13.273211465350983</c:v>
                </c:pt>
                <c:pt idx="18">
                  <c:v>-13.203722609012916</c:v>
                </c:pt>
                <c:pt idx="19">
                  <c:v>-13.132077634028262</c:v>
                </c:pt>
                <c:pt idx="20">
                  <c:v>-13.058072611159552</c:v>
                </c:pt>
                <c:pt idx="21">
                  <c:v>-12.981529799119876</c:v>
                </c:pt>
                <c:pt idx="22">
                  <c:v>-12.902295683401894</c:v>
                </c:pt>
                <c:pt idx="23">
                  <c:v>-12.820239094222567</c:v>
                </c:pt>
                <c:pt idx="24">
                  <c:v>-12.735249402054166</c:v>
                </c:pt>
                <c:pt idx="25">
                  <c:v>-12.647234789221628</c:v>
                </c:pt>
                <c:pt idx="26">
                  <c:v>-12.556120596055706</c:v>
                </c:pt>
                <c:pt idx="27">
                  <c:v>-12.46184774010089</c:v>
                </c:pt>
                <c:pt idx="28">
                  <c:v>-12.364371206886473</c:v>
                </c:pt>
                <c:pt idx="29">
                  <c:v>-12.263658610778592</c:v>
                </c:pt>
                <c:pt idx="30">
                  <c:v>-12.159688824440625</c:v>
                </c:pt>
                <c:pt idx="31">
                  <c:v>-12.052450675438624</c:v>
                </c:pt>
                <c:pt idx="32">
                  <c:v>-11.941941708538026</c:v>
                </c:pt>
                <c:pt idx="33">
                  <c:v>-11.828167012247325</c:v>
                </c:pt>
                <c:pt idx="34">
                  <c:v>-11.711138108173802</c:v>
                </c:pt>
                <c:pt idx="35">
                  <c:v>-11.590871901765919</c:v>
                </c:pt>
                <c:pt idx="36">
                  <c:v>-11.467389693026373</c:v>
                </c:pt>
                <c:pt idx="37">
                  <c:v>-11.3407162457893</c:v>
                </c:pt>
                <c:pt idx="38">
                  <c:v>-11.210878914164647</c:v>
                </c:pt>
                <c:pt idx="39">
                  <c:v>-11.077906824761968</c:v>
                </c:pt>
                <c:pt idx="40">
                  <c:v>-10.941830113315572</c:v>
                </c:pt>
                <c:pt idx="41">
                  <c:v>-10.802679214342392</c:v>
                </c:pt>
                <c:pt idx="42">
                  <c:v>-10.660484202473159</c:v>
                </c:pt>
                <c:pt idx="43">
                  <c:v>-10.51527418410727</c:v>
                </c:pt>
                <c:pt idx="44">
                  <c:v>-10.367076738050889</c:v>
                </c:pt>
                <c:pt idx="45">
                  <c:v>-10.215917403807486</c:v>
                </c:pt>
                <c:pt idx="46">
                  <c:v>-10.061819216199314</c:v>
                </c:pt>
                <c:pt idx="47">
                  <c:v>-9.9048022850079338</c:v>
                </c:pt>
                <c:pt idx="48">
                  <c:v>-9.7448834183311881</c:v>
                </c:pt>
                <c:pt idx="49">
                  <c:v>-9.5820757883636212</c:v>
                </c:pt>
                <c:pt idx="50">
                  <c:v>-9.4163886383167146</c:v>
                </c:pt>
                <c:pt idx="51">
                  <c:v>-9.2478270292047799</c:v>
                </c:pt>
                <c:pt idx="52">
                  <c:v>-9.0763916252318104</c:v>
                </c:pt>
                <c:pt idx="53">
                  <c:v>-8.9020785165240657</c:v>
                </c:pt>
                <c:pt idx="54">
                  <c:v>-8.7248790779625711</c:v>
                </c:pt>
                <c:pt idx="55">
                  <c:v>-8.5447798628791993</c:v>
                </c:pt>
                <c:pt idx="56">
                  <c:v>-8.3617625303894894</c:v>
                </c:pt>
                <c:pt idx="57">
                  <c:v>-8.1758038051447066</c:v>
                </c:pt>
                <c:pt idx="58">
                  <c:v>-7.9868754682952314</c:v>
                </c:pt>
                <c:pt idx="59">
                  <c:v>-7.7949443784667354</c:v>
                </c:pt>
                <c:pt idx="60">
                  <c:v>-7.5999725215600691</c:v>
                </c:pt>
                <c:pt idx="61">
                  <c:v>-7.4019170881952627</c:v>
                </c:pt>
                <c:pt idx="62">
                  <c:v>-7.2007305776294919</c:v>
                </c:pt>
                <c:pt idx="63">
                  <c:v>-6.9963609269882694</c:v>
                </c:pt>
                <c:pt idx="64">
                  <c:v>-6.7887516646586672</c:v>
                </c:pt>
                <c:pt idx="65">
                  <c:v>-6.5778420867027485</c:v>
                </c:pt>
                <c:pt idx="66">
                  <c:v>-6.363567455158849</c:v>
                </c:pt>
                <c:pt idx="67">
                  <c:v>-6.1458592171078621</c:v>
                </c:pt>
                <c:pt idx="68">
                  <c:v>-5.9246452433910841</c:v>
                </c:pt>
                <c:pt idx="69">
                  <c:v>-5.6998500858756351</c:v>
                </c:pt>
                <c:pt idx="70">
                  <c:v>-5.4713952521729281</c:v>
                </c:pt>
                <c:pt idx="71">
                  <c:v>-5.2391994967251492</c:v>
                </c:pt>
                <c:pt idx="72">
                  <c:v>-5.0031791271840964</c:v>
                </c:pt>
                <c:pt idx="73">
                  <c:v>-4.7632483250162574</c:v>
                </c:pt>
                <c:pt idx="74">
                  <c:v>-4.5193194792773896</c:v>
                </c:pt>
                <c:pt idx="75">
                  <c:v>-4.271303532509366</c:v>
                </c:pt>
                <c:pt idx="76">
                  <c:v>-4.019110337721493</c:v>
                </c:pt>
                <c:pt idx="77">
                  <c:v>-3.7626490254279576</c:v>
                </c:pt>
                <c:pt idx="78">
                  <c:v>-3.501828379722518</c:v>
                </c:pt>
                <c:pt idx="79">
                  <c:v>-3.2365572223809891</c:v>
                </c:pt>
                <c:pt idx="80">
                  <c:v>-2.9667448039915709</c:v>
                </c:pt>
                <c:pt idx="81">
                  <c:v>-2.6923012011224809</c:v>
                </c:pt>
                <c:pt idx="82">
                  <c:v>-2.4131377185458147</c:v>
                </c:pt>
                <c:pt idx="83">
                  <c:v>-2.1291672955460315</c:v>
                </c:pt>
                <c:pt idx="84">
                  <c:v>-1.8403049153508999</c:v>
                </c:pt>
                <c:pt idx="85">
                  <c:v>-1.5464680167321956</c:v>
                </c:pt>
                <c:pt idx="86">
                  <c:v>-1.2475769068328948</c:v>
                </c:pt>
                <c:pt idx="87">
                  <c:v>-0.94355517428707503</c:v>
                </c:pt>
                <c:pt idx="88">
                  <c:v>-0.63433010170816995</c:v>
                </c:pt>
                <c:pt idx="89">
                  <c:v>-0.3198330766306936</c:v>
                </c:pt>
                <c:pt idx="90">
                  <c:v>0</c:v>
                </c:pt>
                <c:pt idx="91">
                  <c:v>0.32522830868590824</c:v>
                </c:pt>
                <c:pt idx="92">
                  <c:v>0.65590571046904245</c:v>
                </c:pt>
                <c:pt idx="93">
                  <c:v>0.99208035113563808</c:v>
                </c:pt>
                <c:pt idx="94">
                  <c:v>1.3337942713995277</c:v>
                </c:pt>
                <c:pt idx="95">
                  <c:v>1.6810830239228425</c:v>
                </c:pt>
                <c:pt idx="96">
                  <c:v>2.033975298022749</c:v>
                </c:pt>
                <c:pt idx="97">
                  <c:v>2.3924925529034797</c:v>
                </c:pt>
                <c:pt idx="98">
                  <c:v>2.7566486602434521</c:v>
                </c:pt>
                <c:pt idx="99">
                  <c:v>3.1264495569578266</c:v>
                </c:pt>
                <c:pt idx="100">
                  <c:v>3.5018929089473967</c:v>
                </c:pt>
                <c:pt idx="101">
                  <c:v>3.882967786635247</c:v>
                </c:pt>
                <c:pt idx="102">
                  <c:v>4.2696543530831557</c:v>
                </c:pt>
                <c:pt idx="103">
                  <c:v>4.6619235654702793</c:v>
                </c:pt>
                <c:pt idx="104">
                  <c:v>5.0597368907071987</c:v>
                </c:pt>
                <c:pt idx="105">
                  <c:v>5.4630460359489277</c:v>
                </c:pt>
                <c:pt idx="106">
                  <c:v>5.8717926947610666</c:v>
                </c:pt>
                <c:pt idx="107">
                  <c:v>6.2859083096838058</c:v>
                </c:pt>
                <c:pt idx="108">
                  <c:v>6.7053138519290494</c:v>
                </c:pt>
                <c:pt idx="109">
                  <c:v>7.1299196189364267</c:v>
                </c:pt>
                <c:pt idx="110">
                  <c:v>7.5596250505045797</c:v>
                </c:pt>
                <c:pt idx="111">
                  <c:v>7.9943185642046108</c:v>
                </c:pt>
                <c:pt idx="112">
                  <c:v>8.4338774107731069</c:v>
                </c:pt>
                <c:pt idx="113">
                  <c:v>8.8781675501727548</c:v>
                </c:pt>
                <c:pt idx="114">
                  <c:v>9.3270435489990628</c:v>
                </c:pt>
                <c:pt idx="115">
                  <c:v>9.7803484999022796</c:v>
                </c:pt>
                <c:pt idx="116">
                  <c:v>10.237913963684091</c:v>
                </c:pt>
                <c:pt idx="117">
                  <c:v>10.69955993471936</c:v>
                </c:pt>
                <c:pt idx="118">
                  <c:v>11.165094830343476</c:v>
                </c:pt>
                <c:pt idx="119">
                  <c:v>11.634315504836719</c:v>
                </c:pt>
                <c:pt idx="120">
                  <c:v>12.107007288627369</c:v>
                </c:pt>
                <c:pt idx="121">
                  <c:v>12.582944053325884</c:v>
                </c:pt>
                <c:pt idx="122">
                  <c:v>13.06188830319314</c:v>
                </c:pt>
                <c:pt idx="123">
                  <c:v>13.543591293636077</c:v>
                </c:pt>
                <c:pt idx="124">
                  <c:v>14.027793177314793</c:v>
                </c:pt>
                <c:pt idx="125">
                  <c:v>14.514223178435625</c:v>
                </c:pt>
                <c:pt idx="126">
                  <c:v>15.0025997957952</c:v>
                </c:pt>
                <c:pt idx="127">
                  <c:v>15.492631035131302</c:v>
                </c:pt>
                <c:pt idx="128">
                  <c:v>15.984014671326417</c:v>
                </c:pt>
                <c:pt idx="129">
                  <c:v>16.47643854100096</c:v>
                </c:pt>
                <c:pt idx="130">
                  <c:v>16.969580866023264</c:v>
                </c:pt>
                <c:pt idx="131">
                  <c:v>17.463110608454219</c:v>
                </c:pt>
                <c:pt idx="132">
                  <c:v>17.956687857434879</c:v>
                </c:pt>
                <c:pt idx="133">
                  <c:v>18.449964248515958</c:v>
                </c:pt>
                <c:pt idx="134">
                  <c:v>18.942583415918651</c:v>
                </c:pt>
                <c:pt idx="135">
                  <c:v>19.43418147820676</c:v>
                </c:pt>
                <c:pt idx="136">
                  <c:v>19.924387557840713</c:v>
                </c:pt>
                <c:pt idx="137">
                  <c:v>20.412824335074422</c:v>
                </c:pt>
                <c:pt idx="138">
                  <c:v>20.899108636646822</c:v>
                </c:pt>
                <c:pt idx="139">
                  <c:v>21.382852059710078</c:v>
                </c:pt>
                <c:pt idx="140">
                  <c:v>21.863661631427192</c:v>
                </c:pt>
                <c:pt idx="141">
                  <c:v>22.341140504662455</c:v>
                </c:pt>
                <c:pt idx="142">
                  <c:v>22.814888690178325</c:v>
                </c:pt>
                <c:pt idx="143">
                  <c:v>23.284503825743194</c:v>
                </c:pt>
                <c:pt idx="144">
                  <c:v>23.749581982544985</c:v>
                </c:pt>
                <c:pt idx="145">
                  <c:v>24.209718509295968</c:v>
                </c:pt>
                <c:pt idx="146">
                  <c:v>24.664508914404717</c:v>
                </c:pt>
                <c:pt idx="147">
                  <c:v>25.113549786581999</c:v>
                </c:pt>
                <c:pt idx="148">
                  <c:v>25.556439754237282</c:v>
                </c:pt>
                <c:pt idx="149">
                  <c:v>25.992780484013942</c:v>
                </c:pt>
                <c:pt idx="150">
                  <c:v>26.422177718800949</c:v>
                </c:pt>
                <c:pt idx="151">
                  <c:v>26.844242355550037</c:v>
                </c:pt>
                <c:pt idx="152">
                  <c:v>27.258591563217411</c:v>
                </c:pt>
                <c:pt idx="153">
                  <c:v>27.664849941139984</c:v>
                </c:pt>
                <c:pt idx="154">
                  <c:v>28.062650718146458</c:v>
                </c:pt>
                <c:pt idx="155">
                  <c:v>28.451636992693906</c:v>
                </c:pt>
                <c:pt idx="156">
                  <c:v>28.831463014311801</c:v>
                </c:pt>
                <c:pt idx="157">
                  <c:v>29.20179550662499</c:v>
                </c:pt>
                <c:pt idx="158">
                  <c:v>29.562315032218443</c:v>
                </c:pt>
                <c:pt idx="159">
                  <c:v>29.912717399596779</c:v>
                </c:pt>
                <c:pt idx="160">
                  <c:v>30.252715112482235</c:v>
                </c:pt>
                <c:pt idx="161">
                  <c:v>30.582038861685103</c:v>
                </c:pt>
                <c:pt idx="162">
                  <c:v>30.90043905977171</c:v>
                </c:pt>
                <c:pt idx="163">
                  <c:v>31.207687418744698</c:v>
                </c:pt>
                <c:pt idx="164">
                  <c:v>31.503578570941979</c:v>
                </c:pt>
                <c:pt idx="165">
                  <c:v>31.787931733350241</c:v>
                </c:pt>
                <c:pt idx="166">
                  <c:v>32.06059241552024</c:v>
                </c:pt>
                <c:pt idx="167">
                  <c:v>32.321434171261139</c:v>
                </c:pt>
                <c:pt idx="168">
                  <c:v>32.570360394282027</c:v>
                </c:pt>
                <c:pt idx="169">
                  <c:v>32.807306157938989</c:v>
                </c:pt>
                <c:pt idx="170">
                  <c:v>33.032240099237114</c:v>
                </c:pt>
                <c:pt idx="171">
                  <c:v>33.245166347226643</c:v>
                </c:pt>
                <c:pt idx="172">
                  <c:v>33.446126495923828</c:v>
                </c:pt>
                <c:pt idx="173">
                  <c:v>33.635201621877115</c:v>
                </c:pt>
                <c:pt idx="174">
                  <c:v>33.812514346489706</c:v>
                </c:pt>
                <c:pt idx="175">
                  <c:v>33.978230943200671</c:v>
                </c:pt>
                <c:pt idx="176">
                  <c:v>34.132563489616722</c:v>
                </c:pt>
                <c:pt idx="177">
                  <c:v>34.275772064677625</c:v>
                </c:pt>
                <c:pt idx="178">
                  <c:v>34.408166990928741</c:v>
                </c:pt>
                <c:pt idx="179">
                  <c:v>34.530111121964637</c:v>
                </c:pt>
                <c:pt idx="180">
                  <c:v>34.642022175098361</c:v>
                </c:pt>
                <c:pt idx="181">
                  <c:v>34.744375109301465</c:v>
                </c:pt>
                <c:pt idx="182">
                  <c:v>34.837704548450368</c:v>
                </c:pt>
                <c:pt idx="183">
                  <c:v>34.922607249905283</c:v>
                </c:pt>
                <c:pt idx="184">
                  <c:v>34.999744618438434</c:v>
                </c:pt>
                <c:pt idx="185">
                  <c:v>35.069845265518843</c:v>
                </c:pt>
                <c:pt idx="186">
                  <c:v>35.133707613951465</c:v>
                </c:pt>
                <c:pt idx="187">
                  <c:v>35.192202547859111</c:v>
                </c:pt>
                <c:pt idx="188">
                  <c:v>35.246276107985899</c:v>
                </c:pt>
                <c:pt idx="189">
                  <c:v>35.296952232292035</c:v>
                </c:pt>
                <c:pt idx="190">
                  <c:v>35.345335541799436</c:v>
                </c:pt>
                <c:pt idx="191">
                  <c:v>35.392614171639252</c:v>
                </c:pt>
                <c:pt idx="192">
                  <c:v>35.440062647241938</c:v>
                </c:pt>
                <c:pt idx="193">
                  <c:v>35.489044805601942</c:v>
                </c:pt>
                <c:pt idx="194">
                  <c:v>35.541016761538714</c:v>
                </c:pt>
                <c:pt idx="195">
                  <c:v>35.597529918867188</c:v>
                </c:pt>
                <c:pt idx="196">
                  <c:v>35.66023402638082</c:v>
                </c:pt>
                <c:pt idx="197">
                  <c:v>35.730880278541008</c:v>
                </c:pt>
                <c:pt idx="198">
                  <c:v>35.811324460757213</c:v>
                </c:pt>
                <c:pt idx="199">
                  <c:v>35.90353013913299</c:v>
                </c:pt>
                <c:pt idx="200">
                  <c:v>36.009571894542837</c:v>
                </c:pt>
              </c:numCache>
            </c:numRef>
          </c:yVal>
          <c:smooth val="1"/>
        </c:ser>
        <c:dLbls>
          <c:showLegendKey val="0"/>
          <c:showVal val="0"/>
          <c:showCatName val="0"/>
          <c:showSerName val="0"/>
          <c:showPercent val="0"/>
          <c:showBubbleSize val="0"/>
        </c:dLbls>
        <c:axId val="124761048"/>
        <c:axId val="124764576"/>
      </c:scatterChart>
      <c:valAx>
        <c:axId val="1247610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4576"/>
        <c:crossesAt val="-1000"/>
        <c:crossBetween val="midCat"/>
      </c:valAx>
      <c:valAx>
        <c:axId val="12476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7610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0.32252125924501707</v>
      </c>
      <c r="D59" s="55">
        <v>1</v>
      </c>
    </row>
    <row r="60" spans="1:4" s="11" customFormat="1" x14ac:dyDescent="0.25">
      <c r="A60" s="54">
        <v>2</v>
      </c>
      <c r="B60" s="56">
        <f>'Shiftfunktion bestimmen'!N2</f>
        <v>2.6978377001792972E-3</v>
      </c>
      <c r="D60" s="55">
        <v>2</v>
      </c>
    </row>
    <row r="61" spans="1:4" s="11" customFormat="1" x14ac:dyDescent="0.25">
      <c r="A61" s="54">
        <v>3</v>
      </c>
      <c r="B61" s="56">
        <f>'Shiftfunktion bestimmen'!N3</f>
        <v>9.4367351303233709E-6</v>
      </c>
      <c r="D61" s="55">
        <v>3</v>
      </c>
    </row>
    <row r="62" spans="1:4" s="11" customFormat="1" x14ac:dyDescent="0.25">
      <c r="A62" s="54">
        <v>4</v>
      </c>
      <c r="B62" s="56">
        <f>'Shiftfunktion bestimmen'!N4</f>
        <v>-2.2167967441130535E-7</v>
      </c>
      <c r="D62" s="55">
        <v>4</v>
      </c>
    </row>
    <row r="63" spans="1:4" s="11" customFormat="1" x14ac:dyDescent="0.25">
      <c r="A63" s="54">
        <v>5</v>
      </c>
      <c r="B63" s="56">
        <f>'Shiftfunktion bestimmen'!N5</f>
        <v>-3.3220195421969645E-9</v>
      </c>
      <c r="D63" s="55">
        <v>5</v>
      </c>
    </row>
    <row r="64" spans="1:4" s="11" customFormat="1" x14ac:dyDescent="0.25">
      <c r="A64" s="54">
        <v>6</v>
      </c>
      <c r="B64" s="56">
        <f>'Shiftfunktion bestimmen'!N6</f>
        <v>7.1026523371587048E-12</v>
      </c>
      <c r="D64" s="55">
        <v>6</v>
      </c>
    </row>
    <row r="65" spans="1:5" s="11" customFormat="1" x14ac:dyDescent="0.25">
      <c r="A65" s="54">
        <v>7</v>
      </c>
      <c r="B65" s="56">
        <f>'Shiftfunktion bestimmen'!N7</f>
        <v>1.7308432098132293E-13</v>
      </c>
      <c r="D65" s="55">
        <v>7</v>
      </c>
    </row>
    <row r="66" spans="1:5" x14ac:dyDescent="0.25">
      <c r="A66" s="54">
        <v>8</v>
      </c>
      <c r="B66" s="56">
        <f>'Shiftfunktion bestimmen'!N8</f>
        <v>-2.3448240870094348E-16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H107" zoomScale="120" zoomScaleNormal="120" zoomScaleSheetLayoutView="110" workbookViewId="0">
      <selection activeCell="F126" sqref="F12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5924.2874974527258</v>
      </c>
      <c r="G16" s="26">
        <f>INDEX(Comparison!$AM$3:$AS$33,G14,$B$3)</f>
        <v>5924.3241993050724</v>
      </c>
      <c r="H16" s="26">
        <f>INDEX(Comparison!$AM$3:$AS$33,H14,$B$3)</f>
        <v>5924.3017770264787</v>
      </c>
      <c r="I16" s="26">
        <f>INDEX(Comparison!$AM$3:$AS$33,I14,$B$3)</f>
        <v>5924.2949982314785</v>
      </c>
      <c r="J16" s="26">
        <f>INDEX(Comparison!$AM$3:$AS$33,J14,$B$3)</f>
        <v>5924.2929325070927</v>
      </c>
      <c r="K16" s="26">
        <f>INDEX(Comparison!$AM$3:$AS$33,K14,$B$3)</f>
        <v>5924.292050062164</v>
      </c>
      <c r="L16" s="26">
        <f>INDEX(Comparison!$AM$3:$AS$33,L14,$B$3)</f>
        <v>5924.2896233399624</v>
      </c>
      <c r="M16" s="26">
        <f>INDEX(Comparison!$AM$3:$AS$33,M14,$B$3)</f>
        <v>5924.2686453119095</v>
      </c>
      <c r="N16" s="26">
        <f>INDEX(Comparison!$AM$3:$AS$33,N14,$B$3)</f>
        <v>5924.0589935262078</v>
      </c>
      <c r="O16" s="26">
        <f>INDEX(Comparison!$AM$3:$AS$33,O14,$B$3)</f>
        <v>5921.976437640149</v>
      </c>
      <c r="P16" s="26">
        <f>INDEX(Comparison!$AM$3:$AS$33,P14,$B$3)</f>
        <v>5902.5412392933085</v>
      </c>
      <c r="Q16" s="26">
        <f>INDEX(Comparison!$AM$3:$AS$33,Q14,$B$3)</f>
        <v>5788.7691117948852</v>
      </c>
      <c r="R16" s="26">
        <f>INDEX(Comparison!$AM$3:$AS$33,R14,$B$3)</f>
        <v>5647.748615055857</v>
      </c>
      <c r="S16" s="26">
        <f>INDEX(Comparison!$AM$3:$AS$33,S14,$B$3)</f>
        <v>5493.0807600988655</v>
      </c>
      <c r="T16" s="26">
        <f>INDEX(Comparison!$AM$3:$AS$33,T14,$B$3)</f>
        <v>5310.1724689095536</v>
      </c>
      <c r="U16" s="26">
        <f>INDEX(Comparison!$AM$3:$AS$33,U14,$B$3)</f>
        <v>5116.9183384452708</v>
      </c>
      <c r="V16" s="26">
        <f>INDEX(Comparison!$AM$3:$AS$33,V14,$B$3)</f>
        <v>4889.0072432178858</v>
      </c>
      <c r="W16" s="26">
        <f>INDEX(Comparison!$AM$3:$AS$33,W14,$B$3)</f>
        <v>4599.1409750767552</v>
      </c>
      <c r="X16" s="26">
        <f>INDEX(Comparison!$AM$3:$AS$33,X14,$B$3)</f>
        <v>4272.3926167684576</v>
      </c>
      <c r="Y16" s="26">
        <f>INDEX(Comparison!$AM$3:$AS$33,Y14,$B$3)</f>
        <v>3941.1470093551798</v>
      </c>
      <c r="Z16" s="26">
        <f>INDEX(Comparison!$AM$3:$AS$33,Z14,$B$3)</f>
        <v>3608.495032401398</v>
      </c>
      <c r="AA16" s="26">
        <f>INDEX(Comparison!$AM$3:$AS$33,AA14,$B$3)</f>
        <v>3262.5462100054015</v>
      </c>
      <c r="AB16" s="26">
        <f>INDEX(Comparison!$AM$3:$AS$33,AB14,$B$3)</f>
        <v>2841.314577864513</v>
      </c>
      <c r="AC16" s="26">
        <f>INDEX(Comparison!$AM$3:$AS$33,AC14,$B$3)</f>
        <v>2350.4004054830193</v>
      </c>
      <c r="AD16" s="26">
        <f>INDEX(Comparison!$AM$3:$AS$33,AD14,$B$3)</f>
        <v>1794.2797745605371</v>
      </c>
      <c r="AE16" s="26">
        <f>INDEX(Comparison!$AM$3:$AS$33,AE14,$B$3)</f>
        <v>1192.7526197056241</v>
      </c>
      <c r="AF16" s="26">
        <f>INDEX(Comparison!$AM$3:$AS$33,AF14,$B$3)</f>
        <v>712.56207316539314</v>
      </c>
      <c r="AG16" s="26">
        <f>INDEX(Comparison!$AM$3:$AS$33,AG14,$B$3)</f>
        <v>405.79350694215293</v>
      </c>
      <c r="AH16" s="26">
        <f>INDEX(Comparison!$AM$3:$AS$33,AH14,$B$3)</f>
        <v>227.75650575396227</v>
      </c>
      <c r="AI16" s="26">
        <f>INDEX(Comparison!$AM$3:$AS$33,AI14,$B$3)</f>
        <v>157.27484077697326</v>
      </c>
      <c r="AJ16" s="26">
        <f>INDEX(Comparison!$AM$3:$AS$33,AJ14,$B$3)</f>
        <v>137.32830205333357</v>
      </c>
    </row>
    <row r="17" spans="1:36" x14ac:dyDescent="0.25">
      <c r="A17" s="14" t="s">
        <v>20</v>
      </c>
      <c r="B17" s="14">
        <v>1.6109766939938219E-2</v>
      </c>
      <c r="C17" s="18">
        <f t="shared" ref="C17:C48" si="3">ABS(B17/$B$49)</f>
        <v>1.3147853577774735E-2</v>
      </c>
      <c r="D17" s="67"/>
      <c r="E17" s="66" t="s">
        <v>22</v>
      </c>
      <c r="F17" s="27">
        <f>($C$17+SUM(F18:F48))*$B$51</f>
        <v>5924.3223454607651</v>
      </c>
      <c r="G17" s="27">
        <f t="shared" ref="G17:M17" si="4">($C$17+SUM(G18:G48))*$B$51</f>
        <v>5924.3223454382824</v>
      </c>
      <c r="H17" s="27">
        <f t="shared" si="4"/>
        <v>5924.3223452134616</v>
      </c>
      <c r="I17" s="27">
        <f t="shared" si="4"/>
        <v>5924.3223429652517</v>
      </c>
      <c r="J17" s="27">
        <f t="shared" si="4"/>
        <v>5924.3223204831502</v>
      </c>
      <c r="K17" s="27">
        <f t="shared" si="4"/>
        <v>5924.3220956624627</v>
      </c>
      <c r="L17" s="27">
        <f t="shared" si="4"/>
        <v>5924.3198474884048</v>
      </c>
      <c r="M17" s="27">
        <f t="shared" si="4"/>
        <v>5924.2973690295794</v>
      </c>
      <c r="N17" s="27">
        <f t="shared" ref="N17" si="5">($C$17+SUM(N18:N48))*$B$51</f>
        <v>5924.0729116822522</v>
      </c>
      <c r="O17" s="27">
        <f t="shared" ref="O17" si="6">($C$17+SUM(O18:O48))*$B$51</f>
        <v>5921.8601540583113</v>
      </c>
      <c r="P17" s="27">
        <f t="shared" ref="P17" si="7">($C$17+SUM(P18:P48))*$B$51</f>
        <v>5902.2081103099545</v>
      </c>
      <c r="Q17" s="27">
        <f t="shared" ref="Q17" si="8">($C$17+SUM(Q18:Q48))*$B$51</f>
        <v>5789.3269779329539</v>
      </c>
      <c r="R17" s="27">
        <f t="shared" ref="R17" si="9">($C$17+SUM(R18:R48))*$B$51</f>
        <v>5647.0619575109667</v>
      </c>
      <c r="S17" s="27">
        <f t="shared" ref="S17:T17" si="10">($C$17+SUM(S18:S48))*$B$51</f>
        <v>5493.8054243942206</v>
      </c>
      <c r="T17" s="27">
        <f t="shared" si="10"/>
        <v>5309.5141162606951</v>
      </c>
      <c r="U17" s="27">
        <f t="shared" ref="U17" si="11">($C$17+SUM(U18:U48))*$B$51</f>
        <v>5117.4278504261974</v>
      </c>
      <c r="V17" s="27">
        <f t="shared" ref="V17" si="12">($C$17+SUM(V18:V48))*$B$51</f>
        <v>4888.6691773134917</v>
      </c>
      <c r="W17" s="27">
        <f t="shared" ref="W17" si="13">($C$17+SUM(W18:W48))*$B$51</f>
        <v>4599.3359574428214</v>
      </c>
      <c r="X17" s="27">
        <f t="shared" ref="X17" si="14">($C$17+SUM(X18:X48))*$B$51</f>
        <v>4272.2957947174973</v>
      </c>
      <c r="Y17" s="27">
        <f t="shared" ref="Y17" si="15">($C$17+SUM(Y18:Y48))*$B$51</f>
        <v>3941.1873595578249</v>
      </c>
      <c r="Z17" s="27">
        <f t="shared" ref="Z17:AA17" si="16">($C$17+SUM(Z18:Z48))*$B$51</f>
        <v>3608.4814380980879</v>
      </c>
      <c r="AA17" s="27">
        <f t="shared" si="16"/>
        <v>3262.5497579342496</v>
      </c>
      <c r="AB17" s="27">
        <f t="shared" ref="AB17" si="17">($C$17+SUM(AB18:AB48))*$B$51</f>
        <v>2841.3133485517315</v>
      </c>
      <c r="AC17" s="27">
        <f t="shared" ref="AC17" si="18">($C$17+SUM(AC18:AC48))*$B$51</f>
        <v>2350.399363924254</v>
      </c>
      <c r="AD17" s="27">
        <f t="shared" ref="AD17" si="19">($C$17+SUM(AD18:AD48))*$B$51</f>
        <v>1794.2863976892534</v>
      </c>
      <c r="AE17" s="27">
        <f t="shared" ref="AE17" si="20">($C$17+SUM(AE18:AE48))*$B$51</f>
        <v>1192.7443975902963</v>
      </c>
      <c r="AF17" s="27">
        <f t="shared" ref="AF17" si="21">($C$17+SUM(AF18:AF48))*$B$51</f>
        <v>712.56457401443936</v>
      </c>
      <c r="AG17" s="27">
        <f t="shared" ref="AG17:AH17" si="22">($C$17+SUM(AG18:AG48))*$B$51</f>
        <v>405.79753627693225</v>
      </c>
      <c r="AH17" s="27">
        <f t="shared" si="22"/>
        <v>227.75057802143948</v>
      </c>
      <c r="AI17" s="27">
        <f t="shared" ref="AI17" si="23">($C$17+SUM(AI18:AI48))*$B$51</f>
        <v>157.27859013277902</v>
      </c>
      <c r="AJ17" s="27">
        <f t="shared" ref="AJ17" si="24">($C$17+SUM(AJ18:AJ48))*$B$51</f>
        <v>137.32710648672062</v>
      </c>
    </row>
    <row r="18" spans="1:36" x14ac:dyDescent="0.25">
      <c r="A18" s="3">
        <f>0.000000000000001/10^5</f>
        <v>1.0000000000000001E-20</v>
      </c>
      <c r="B18" s="17">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7">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7">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7">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7">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7">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7">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7">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7">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-3.4848008039261913E-2</v>
      </c>
      <c r="G49" s="3">
        <f t="shared" si="31"/>
        <v>1.8538667900429573E-3</v>
      </c>
      <c r="H49" s="3">
        <f t="shared" si="31"/>
        <v>-2.0568186982927728E-2</v>
      </c>
      <c r="I49" s="3">
        <f t="shared" si="31"/>
        <v>-2.7344733773134067E-2</v>
      </c>
      <c r="J49" s="3">
        <f t="shared" si="31"/>
        <v>-2.9387976057478227E-2</v>
      </c>
      <c r="K49" s="3">
        <f t="shared" si="31"/>
        <v>-3.004560029876302E-2</v>
      </c>
      <c r="L49" s="3">
        <f t="shared" si="31"/>
        <v>-3.0224148442357546E-2</v>
      </c>
      <c r="M49" s="3">
        <f t="shared" si="31"/>
        <v>-2.8723717669890902E-2</v>
      </c>
      <c r="N49" s="3">
        <f t="shared" si="31"/>
        <v>-1.3918156044383068E-2</v>
      </c>
      <c r="O49" s="3">
        <f t="shared" si="31"/>
        <v>0.11628358183770615</v>
      </c>
      <c r="P49" s="3">
        <f t="shared" si="31"/>
        <v>0.33312898335407226</v>
      </c>
      <c r="Q49" s="3">
        <f t="shared" si="31"/>
        <v>-0.55786613806867535</v>
      </c>
      <c r="R49" s="3">
        <f t="shared" si="31"/>
        <v>0.68665754489029496</v>
      </c>
      <c r="S49" s="3">
        <f t="shared" si="31"/>
        <v>-0.72466429535506904</v>
      </c>
      <c r="T49" s="3">
        <f t="shared" si="31"/>
        <v>0.6583526488584539</v>
      </c>
      <c r="U49" s="3">
        <f t="shared" si="31"/>
        <v>-0.50951198092661798</v>
      </c>
      <c r="V49" s="3">
        <f t="shared" si="31"/>
        <v>0.3380659043941705</v>
      </c>
      <c r="W49" s="3">
        <f t="shared" si="31"/>
        <v>-0.19498236606614228</v>
      </c>
      <c r="X49" s="3">
        <f t="shared" si="31"/>
        <v>9.6822050960327033E-2</v>
      </c>
      <c r="Y49" s="3">
        <f t="shared" si="31"/>
        <v>-4.0350202645186073E-2</v>
      </c>
      <c r="Z49" s="3">
        <f t="shared" si="31"/>
        <v>1.3594303310128453E-2</v>
      </c>
      <c r="AA49" s="3">
        <f t="shared" si="31"/>
        <v>-3.5479288480928517E-3</v>
      </c>
      <c r="AB49" s="3">
        <f t="shared" si="31"/>
        <v>1.2293127815610205E-3</v>
      </c>
      <c r="AC49" s="3">
        <f t="shared" si="31"/>
        <v>1.0415587653369585E-3</v>
      </c>
      <c r="AD49" s="3">
        <f t="shared" si="31"/>
        <v>-6.623128716228166E-3</v>
      </c>
      <c r="AE49" s="3">
        <f t="shared" si="31"/>
        <v>8.2221153277259873E-3</v>
      </c>
      <c r="AF49" s="3">
        <f t="shared" si="31"/>
        <v>-2.5008490462141708E-3</v>
      </c>
      <c r="AG49" s="3">
        <f t="shared" si="31"/>
        <v>-4.0293347793181056E-3</v>
      </c>
      <c r="AH49" s="3">
        <f t="shared" si="31"/>
        <v>5.9277325227924393E-3</v>
      </c>
      <c r="AI49" s="3">
        <f t="shared" si="31"/>
        <v>-3.7493558057519749E-3</v>
      </c>
      <c r="AJ49" s="3">
        <f t="shared" si="31"/>
        <v>1.1955666129495057E-3</v>
      </c>
    </row>
    <row r="50" spans="1:36" x14ac:dyDescent="0.25">
      <c r="F50" s="57">
        <f t="shared" ref="F50:AJ50" si="32">F49/F17</f>
        <v>-5.8821931028048413E-6</v>
      </c>
      <c r="G50" s="57">
        <f t="shared" si="32"/>
        <v>3.129246995600149E-7</v>
      </c>
      <c r="H50" s="57">
        <f t="shared" si="32"/>
        <v>-3.471821042881931E-6</v>
      </c>
      <c r="I50" s="57">
        <f t="shared" si="32"/>
        <v>-4.6156728466343774E-6</v>
      </c>
      <c r="J50" s="57">
        <f t="shared" si="32"/>
        <v>-4.9605633298968663E-6</v>
      </c>
      <c r="K50" s="57">
        <f t="shared" si="32"/>
        <v>-5.0715676517252723E-6</v>
      </c>
      <c r="L50" s="57">
        <f t="shared" si="32"/>
        <v>-5.1017077437456334E-6</v>
      </c>
      <c r="M50" s="57">
        <f t="shared" si="32"/>
        <v>-4.8484598055542823E-6</v>
      </c>
      <c r="N50" s="57">
        <f t="shared" si="32"/>
        <v>-2.3494234881776202E-6</v>
      </c>
      <c r="O50" s="57">
        <f t="shared" si="32"/>
        <v>1.9636326899414506E-5</v>
      </c>
      <c r="P50" s="57">
        <f t="shared" si="32"/>
        <v>5.6441416013807411E-5</v>
      </c>
      <c r="Q50" s="57">
        <f t="shared" si="32"/>
        <v>-9.636113838362923E-5</v>
      </c>
      <c r="R50" s="57">
        <f t="shared" si="32"/>
        <v>1.2159553942506243E-4</v>
      </c>
      <c r="S50" s="57">
        <f t="shared" si="32"/>
        <v>-1.3190570822500049E-4</v>
      </c>
      <c r="T50" s="57">
        <f t="shared" si="32"/>
        <v>1.2399489566139595E-4</v>
      </c>
      <c r="U50" s="57">
        <f t="shared" si="32"/>
        <v>-9.9564077075201755E-5</v>
      </c>
      <c r="V50" s="57">
        <f t="shared" si="32"/>
        <v>6.9152951883717049E-5</v>
      </c>
      <c r="W50" s="57">
        <f t="shared" si="32"/>
        <v>-4.2393590698808239E-5</v>
      </c>
      <c r="X50" s="57">
        <f t="shared" si="32"/>
        <v>2.2662768593888835E-5</v>
      </c>
      <c r="Y50" s="57">
        <f t="shared" si="32"/>
        <v>-1.0238082832406399E-5</v>
      </c>
      <c r="Z50" s="57">
        <f t="shared" si="32"/>
        <v>3.7673197280719736E-6</v>
      </c>
      <c r="AA50" s="57">
        <f t="shared" si="32"/>
        <v>-1.0874711839917794E-6</v>
      </c>
      <c r="AB50" s="57">
        <f t="shared" si="32"/>
        <v>4.3265653265157234E-7</v>
      </c>
      <c r="AC50" s="57">
        <f t="shared" si="32"/>
        <v>4.4314118754608574E-7</v>
      </c>
      <c r="AD50" s="57">
        <f t="shared" si="32"/>
        <v>-3.6912327512250383E-6</v>
      </c>
      <c r="AE50" s="57">
        <f t="shared" si="32"/>
        <v>6.8934428401735879E-6</v>
      </c>
      <c r="AF50" s="57">
        <f t="shared" si="32"/>
        <v>-3.5096454937759703E-6</v>
      </c>
      <c r="AG50" s="57">
        <f t="shared" si="32"/>
        <v>-9.9294214949800209E-6</v>
      </c>
      <c r="AH50" s="57">
        <f t="shared" si="32"/>
        <v>2.6027299576093404E-5</v>
      </c>
      <c r="AI50" s="57">
        <f t="shared" si="32"/>
        <v>-2.3838945927647641E-5</v>
      </c>
      <c r="AJ50" s="57">
        <f t="shared" si="32"/>
        <v>8.7059768718356834E-6</v>
      </c>
    </row>
    <row r="51" spans="1:36" x14ac:dyDescent="0.25">
      <c r="A51" s="13" t="s">
        <v>21</v>
      </c>
      <c r="B51" s="3">
        <f>STUTT!D8</f>
        <v>5930.4079000000002</v>
      </c>
      <c r="E51" s="11" t="s">
        <v>24</v>
      </c>
      <c r="F51" s="20">
        <f t="shared" ref="F51:AJ51" si="33">(F16-F17)^2</f>
        <v>1.2143836643044629E-3</v>
      </c>
      <c r="G51" s="20">
        <f t="shared" si="33"/>
        <v>3.4368220752241783E-6</v>
      </c>
      <c r="H51" s="20">
        <f t="shared" si="33"/>
        <v>4.230503157646776E-4</v>
      </c>
      <c r="I51" s="20">
        <f t="shared" si="33"/>
        <v>7.4773446512357887E-4</v>
      </c>
      <c r="J51" s="20">
        <f t="shared" si="33"/>
        <v>8.6365313675491353E-4</v>
      </c>
      <c r="K51" s="20">
        <f t="shared" si="33"/>
        <v>9.0273809731302845E-4</v>
      </c>
      <c r="L51" s="20">
        <f t="shared" si="33"/>
        <v>9.1349914906566402E-4</v>
      </c>
      <c r="M51" s="20">
        <f t="shared" si="33"/>
        <v>8.2505195677960285E-4</v>
      </c>
      <c r="N51" s="20">
        <f t="shared" si="33"/>
        <v>1.9371506767579692E-4</v>
      </c>
      <c r="O51" s="20">
        <f t="shared" si="33"/>
        <v>1.3521871405006504E-2</v>
      </c>
      <c r="P51" s="20">
        <f t="shared" si="33"/>
        <v>0.11097491955051775</v>
      </c>
      <c r="Q51" s="20">
        <f t="shared" si="33"/>
        <v>0.31121462800365834</v>
      </c>
      <c r="R51" s="20">
        <f t="shared" si="33"/>
        <v>0.47149858395476746</v>
      </c>
      <c r="S51" s="20">
        <f t="shared" si="33"/>
        <v>0.52513834096245871</v>
      </c>
      <c r="T51" s="20">
        <f t="shared" si="33"/>
        <v>0.43342821025894268</v>
      </c>
      <c r="U51" s="20">
        <f t="shared" si="33"/>
        <v>0.25960245870776633</v>
      </c>
      <c r="V51" s="20">
        <f t="shared" si="33"/>
        <v>0.11428855571384842</v>
      </c>
      <c r="W51" s="20">
        <f t="shared" si="33"/>
        <v>3.8018123076751113E-2</v>
      </c>
      <c r="X51" s="20">
        <f t="shared" si="33"/>
        <v>9.3745095521641647E-3</v>
      </c>
      <c r="Y51" s="20">
        <f t="shared" si="33"/>
        <v>1.6281388535075811E-3</v>
      </c>
      <c r="Z51" s="20">
        <f t="shared" si="33"/>
        <v>1.848050824877694E-4</v>
      </c>
      <c r="AA51" s="20">
        <f t="shared" si="33"/>
        <v>1.258779911112947E-5</v>
      </c>
      <c r="AB51" s="20">
        <f t="shared" si="33"/>
        <v>1.5112099149092935E-6</v>
      </c>
      <c r="AC51" s="20">
        <f t="shared" si="33"/>
        <v>1.0848446616502493E-6</v>
      </c>
      <c r="AD51" s="20">
        <f t="shared" si="33"/>
        <v>4.3865833991726157E-5</v>
      </c>
      <c r="AE51" s="20">
        <f t="shared" si="33"/>
        <v>6.7603180462426615E-5</v>
      </c>
      <c r="AF51" s="20">
        <f t="shared" si="33"/>
        <v>6.2542459519503275E-6</v>
      </c>
      <c r="AG51" s="20">
        <f t="shared" si="33"/>
        <v>1.6235538763822485E-5</v>
      </c>
      <c r="AH51" s="20">
        <f t="shared" si="33"/>
        <v>3.513801286177122E-5</v>
      </c>
      <c r="AI51" s="20">
        <f t="shared" si="33"/>
        <v>1.4057668958126041E-5</v>
      </c>
      <c r="AJ51" s="20">
        <f t="shared" si="33"/>
        <v>1.4293795259995533E-6</v>
      </c>
    </row>
    <row r="52" spans="1:36" x14ac:dyDescent="0.25">
      <c r="A52" s="13"/>
    </row>
    <row r="53" spans="1:36" x14ac:dyDescent="0.25">
      <c r="E53" s="108" t="s">
        <v>25</v>
      </c>
      <c r="F53" s="108"/>
      <c r="G53" s="21">
        <f>SUM(F51:AJ51)</f>
        <v>2.295160175510937</v>
      </c>
      <c r="I53" s="3">
        <f>G53+C123</f>
        <v>2.295160175510937</v>
      </c>
      <c r="K53" s="3">
        <f>SUM(Z51:AJ51)</f>
        <v>3.8457279669128078E-4</v>
      </c>
    </row>
    <row r="55" spans="1:36" x14ac:dyDescent="0.25">
      <c r="E55" s="30" t="s">
        <v>30</v>
      </c>
      <c r="F55" s="31">
        <f t="shared" ref="F55:AJ55" si="34">ABS(F17-F16)/F16</f>
        <v>5.8822277032040659E-6</v>
      </c>
      <c r="G55" s="31">
        <f t="shared" si="34"/>
        <v>3.1292460163817796E-7</v>
      </c>
      <c r="H55" s="31">
        <f t="shared" si="34"/>
        <v>3.4718330964651326E-6</v>
      </c>
      <c r="I55" s="31">
        <f t="shared" si="34"/>
        <v>4.6156941511685394E-6</v>
      </c>
      <c r="J55" s="31">
        <f t="shared" si="34"/>
        <v>4.9605879372074826E-6</v>
      </c>
      <c r="K55" s="31">
        <f t="shared" si="34"/>
        <v>5.0715933726541635E-6</v>
      </c>
      <c r="L55" s="31">
        <f t="shared" si="34"/>
        <v>5.101733771300321E-6</v>
      </c>
      <c r="M55" s="31">
        <f t="shared" si="34"/>
        <v>4.8484833132307447E-6</v>
      </c>
      <c r="N55" s="31">
        <f t="shared" si="34"/>
        <v>2.3494290079813154E-6</v>
      </c>
      <c r="O55" s="31">
        <f t="shared" si="34"/>
        <v>1.9635941321651737E-5</v>
      </c>
      <c r="P55" s="31">
        <f t="shared" si="34"/>
        <v>5.6438230560157287E-5</v>
      </c>
      <c r="Q55" s="31">
        <f t="shared" si="34"/>
        <v>9.6370424747464401E-5</v>
      </c>
      <c r="R55" s="31">
        <f t="shared" si="34"/>
        <v>1.2158075574748361E-4</v>
      </c>
      <c r="S55" s="31">
        <f t="shared" si="34"/>
        <v>1.3192310963620831E-4</v>
      </c>
      <c r="T55" s="31">
        <f t="shared" si="34"/>
        <v>1.2397952283339808E-4</v>
      </c>
      <c r="U55" s="31">
        <f t="shared" si="34"/>
        <v>9.9573991067723118E-5</v>
      </c>
      <c r="V55" s="31">
        <f t="shared" si="34"/>
        <v>6.9148170083638413E-5</v>
      </c>
      <c r="W55" s="31">
        <f t="shared" si="34"/>
        <v>4.2395387991534269E-5</v>
      </c>
      <c r="X55" s="31">
        <f t="shared" si="34"/>
        <v>2.2662255004447853E-5</v>
      </c>
      <c r="Y55" s="31">
        <f t="shared" si="34"/>
        <v>1.0238187651819631E-5</v>
      </c>
      <c r="Z55" s="31">
        <f t="shared" si="34"/>
        <v>3.7673055354275083E-6</v>
      </c>
      <c r="AA55" s="31">
        <f t="shared" si="34"/>
        <v>1.0874723665866416E-6</v>
      </c>
      <c r="AB55" s="31">
        <f t="shared" si="34"/>
        <v>4.3265634545997811E-7</v>
      </c>
      <c r="AC55" s="31">
        <f t="shared" si="34"/>
        <v>4.4314099117206064E-7</v>
      </c>
      <c r="AD55" s="31">
        <f t="shared" si="34"/>
        <v>3.6912463764745561E-6</v>
      </c>
      <c r="AE55" s="31">
        <f t="shared" si="34"/>
        <v>6.8933953209469683E-6</v>
      </c>
      <c r="AF55" s="31">
        <f t="shared" si="34"/>
        <v>3.5096578114306925E-6</v>
      </c>
      <c r="AG55" s="31">
        <f t="shared" si="34"/>
        <v>9.9295200893702312E-6</v>
      </c>
      <c r="AH55" s="31">
        <f t="shared" si="34"/>
        <v>2.6026622173401142E-5</v>
      </c>
      <c r="AI55" s="31">
        <f t="shared" si="34"/>
        <v>2.383951423653847E-5</v>
      </c>
      <c r="AJ55" s="31">
        <f t="shared" si="34"/>
        <v>8.705901078462246E-6</v>
      </c>
    </row>
    <row r="56" spans="1:36" x14ac:dyDescent="0.25">
      <c r="E56" s="13" t="s">
        <v>31</v>
      </c>
      <c r="F56" s="32">
        <f>AVERAGE(F55:AJ55)</f>
        <v>2.9641513416956362E-5</v>
      </c>
    </row>
    <row r="57" spans="1:36" x14ac:dyDescent="0.25">
      <c r="A57" s="42"/>
      <c r="B57" s="15"/>
      <c r="C57" s="15"/>
      <c r="D57" s="15"/>
      <c r="F57" s="60">
        <f>AVERAGE(S55:X55)</f>
        <v>8.1613739436158333E-5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-14.406597553292471</v>
      </c>
    </row>
    <row r="119" spans="1:14" x14ac:dyDescent="0.25">
      <c r="L119" s="11">
        <f>L118+1</f>
        <v>2</v>
      </c>
      <c r="M119" s="11">
        <f t="shared" ref="M119:M124" si="35">INDEX($B$125:$K$126,1,L119)</f>
        <v>0</v>
      </c>
      <c r="N119" s="11">
        <f t="shared" ref="N119:N124" si="36">IF(L119=$B$3,0,INDEX($B$125:$K$126,2,L119))</f>
        <v>-10.950533411017616</v>
      </c>
    </row>
    <row r="120" spans="1:14" x14ac:dyDescent="0.25">
      <c r="L120" s="11">
        <f t="shared" ref="L120:L124" si="37">L119+1</f>
        <v>3</v>
      </c>
      <c r="M120" s="11">
        <f t="shared" si="35"/>
        <v>25</v>
      </c>
      <c r="N120" s="11">
        <f t="shared" si="36"/>
        <v>-6.5769237458214267</v>
      </c>
    </row>
    <row r="121" spans="1:14" x14ac:dyDescent="0.25">
      <c r="A121" s="3">
        <f>(A165+A204+A243+A282+A321+A360+A399)*10^9</f>
        <v>522059099517362.81</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12.063983763944035</v>
      </c>
    </row>
    <row r="123" spans="1:14" x14ac:dyDescent="0.25">
      <c r="A123" s="108"/>
      <c r="B123" s="108"/>
      <c r="C123" s="3"/>
      <c r="D123" s="3"/>
      <c r="E123" s="3"/>
      <c r="F123" s="3"/>
      <c r="G123" s="3"/>
      <c r="H123" s="3"/>
      <c r="I123" s="3"/>
      <c r="J123" s="3"/>
      <c r="K123" s="3"/>
      <c r="L123" s="11">
        <f t="shared" si="37"/>
        <v>6</v>
      </c>
      <c r="M123" s="11">
        <f t="shared" si="35"/>
        <v>125</v>
      </c>
      <c r="N123" s="11">
        <f t="shared" si="36"/>
        <v>31.800079672565541</v>
      </c>
    </row>
    <row r="124" spans="1:14" x14ac:dyDescent="0.25">
      <c r="B124" s="3"/>
      <c r="C124" s="3"/>
      <c r="D124" s="3"/>
      <c r="E124" s="3"/>
      <c r="F124" s="3"/>
      <c r="G124" s="3"/>
      <c r="H124" s="3"/>
      <c r="I124" s="3"/>
      <c r="J124" s="3"/>
      <c r="K124" s="3"/>
      <c r="L124" s="11">
        <f t="shared" si="37"/>
        <v>7</v>
      </c>
      <c r="M124" s="11">
        <f t="shared" si="35"/>
        <v>160</v>
      </c>
      <c r="N124" s="11">
        <f t="shared" si="36"/>
        <v>35.860877462388487</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-14.406597553292471</v>
      </c>
      <c r="C126" s="3">
        <v>-10.950533411017616</v>
      </c>
      <c r="D126" s="3">
        <v>-6.5769237458214267</v>
      </c>
      <c r="E126" s="3">
        <v>1.0937688026017593E-4</v>
      </c>
      <c r="F126" s="3">
        <v>12.063983763944035</v>
      </c>
      <c r="G126" s="3">
        <v>31.800079672565541</v>
      </c>
      <c r="H126" s="3">
        <v>35.860877462388487</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5930.0800872559203</v>
      </c>
      <c r="C131" s="27">
        <f t="shared" ref="C131:AF131" si="40">($C$17+SUM(C132:C162))*$B$51</f>
        <v>5927.8203504182356</v>
      </c>
      <c r="D131" s="27">
        <f t="shared" si="40"/>
        <v>5924.3463063438203</v>
      </c>
      <c r="E131" s="27">
        <f t="shared" si="40"/>
        <v>5924.3223454632616</v>
      </c>
      <c r="F131" s="27">
        <f t="shared" si="40"/>
        <v>5924.3223454632498</v>
      </c>
      <c r="G131" s="27">
        <f t="shared" si="40"/>
        <v>5924.3223454631243</v>
      </c>
      <c r="H131" s="27">
        <f t="shared" si="40"/>
        <v>5924.3223454618801</v>
      </c>
      <c r="I131" s="27">
        <f t="shared" si="40"/>
        <v>5924.3223454494309</v>
      </c>
      <c r="J131" s="27">
        <f t="shared" si="40"/>
        <v>5924.322345324942</v>
      </c>
      <c r="K131" s="27">
        <f t="shared" si="40"/>
        <v>5924.3223440800512</v>
      </c>
      <c r="L131" s="27">
        <f t="shared" si="40"/>
        <v>5924.3223316311478</v>
      </c>
      <c r="M131" s="27">
        <f t="shared" si="40"/>
        <v>5924.3222071422088</v>
      </c>
      <c r="N131" s="27">
        <f t="shared" si="40"/>
        <v>5924.3209622628774</v>
      </c>
      <c r="O131" s="27">
        <f t="shared" si="40"/>
        <v>5924.3085144759434</v>
      </c>
      <c r="P131" s="27">
        <f t="shared" si="40"/>
        <v>5924.1841370841039</v>
      </c>
      <c r="Q131" s="27">
        <f t="shared" si="40"/>
        <v>5922.950254640049</v>
      </c>
      <c r="R131" s="27">
        <f t="shared" si="40"/>
        <v>5911.4653237298189</v>
      </c>
      <c r="S131" s="27">
        <f t="shared" si="40"/>
        <v>5833.2358912157388</v>
      </c>
      <c r="T131" s="27">
        <f t="shared" si="40"/>
        <v>5678.5612285595907</v>
      </c>
      <c r="U131" s="27">
        <f t="shared" si="40"/>
        <v>5538.794014566658</v>
      </c>
      <c r="V131" s="27">
        <f t="shared" si="40"/>
        <v>5353.7023274419325</v>
      </c>
      <c r="W131" s="27">
        <f t="shared" si="40"/>
        <v>5164.2634527974724</v>
      </c>
      <c r="X131" s="27">
        <f t="shared" si="40"/>
        <v>4948.4254230512288</v>
      </c>
      <c r="Y131" s="27">
        <f t="shared" si="40"/>
        <v>4670.1095720139419</v>
      </c>
      <c r="Z131" s="27">
        <f t="shared" si="40"/>
        <v>4346.6236583340224</v>
      </c>
      <c r="AA131" s="27">
        <f t="shared" si="40"/>
        <v>4015.3713836674046</v>
      </c>
      <c r="AB131" s="27">
        <f t="shared" si="40"/>
        <v>3687.7640097865215</v>
      </c>
      <c r="AC131" s="27">
        <f t="shared" si="40"/>
        <v>3341.9806437727998</v>
      </c>
      <c r="AD131" s="27">
        <f t="shared" si="40"/>
        <v>2974.5681980801987</v>
      </c>
      <c r="AE131" s="27">
        <f t="shared" si="40"/>
        <v>2485.3179342599606</v>
      </c>
      <c r="AF131" s="27">
        <f t="shared" si="40"/>
        <v>1943.5731923507326</v>
      </c>
    </row>
    <row r="132" spans="1:33" x14ac:dyDescent="0.25">
      <c r="B132" s="3">
        <f t="shared" ref="B132:Z133" si="41">$C18*EXP(-B$129/$A18/EXP(-$B$126))</f>
        <v>9.7088461531574766E-4</v>
      </c>
      <c r="C132" s="3">
        <f t="shared" ref="C132:AF132" si="42">$C18*EXP(-C$129/$A18/EXP(-$B$126))</f>
        <v>5.8984221894285422E-4</v>
      </c>
      <c r="D132" s="3">
        <f t="shared" si="42"/>
        <v>4.0403427489541391E-6</v>
      </c>
      <c r="E132" s="3">
        <f t="shared" si="42"/>
        <v>9.1884392370086036E-28</v>
      </c>
      <c r="F132" s="3">
        <f t="shared" si="42"/>
        <v>3.3999860779548902E-244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7.2761897872456458E-4</v>
      </c>
      <c r="G141" s="3">
        <f t="shared" si="59"/>
        <v>7.2761897872049156E-4</v>
      </c>
      <c r="H141" s="3">
        <f t="shared" si="59"/>
        <v>7.2761897867976144E-4</v>
      </c>
      <c r="I141" s="3">
        <f t="shared" si="59"/>
        <v>7.2761897827246062E-4</v>
      </c>
      <c r="J141" s="3">
        <f t="shared" si="59"/>
        <v>7.2761897419945187E-4</v>
      </c>
      <c r="K141" s="3">
        <f t="shared" si="59"/>
        <v>7.2761893346936547E-4</v>
      </c>
      <c r="L141" s="3">
        <f t="shared" si="59"/>
        <v>7.2761852616862763E-4</v>
      </c>
      <c r="M141" s="3">
        <f t="shared" si="59"/>
        <v>7.2761445317378844E-4</v>
      </c>
      <c r="N141" s="3">
        <f t="shared" si="59"/>
        <v>7.2757372447934416E-4</v>
      </c>
      <c r="O141" s="3">
        <f t="shared" si="59"/>
        <v>7.2716656290368797E-4</v>
      </c>
      <c r="P141" s="3">
        <f t="shared" si="59"/>
        <v>7.2310745809877838E-4</v>
      </c>
      <c r="Q141" s="3">
        <f t="shared" si="59"/>
        <v>6.8374197648192415E-4</v>
      </c>
      <c r="R141" s="3">
        <f t="shared" si="59"/>
        <v>3.9064859351773513E-4</v>
      </c>
      <c r="S141" s="3">
        <f t="shared" si="59"/>
        <v>1.4478597157832361E-6</v>
      </c>
      <c r="T141" s="3">
        <f t="shared" si="59"/>
        <v>7.0815558124492956E-31</v>
      </c>
      <c r="U141" s="3">
        <f t="shared" si="59"/>
        <v>5.5481814751738729E-274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3.1446025256999376E-2</v>
      </c>
      <c r="H142" s="3">
        <f t="shared" si="61"/>
        <v>3.1446025256840586E-2</v>
      </c>
      <c r="I142" s="3">
        <f t="shared" si="61"/>
        <v>3.1446025255252683E-2</v>
      </c>
      <c r="J142" s="3">
        <f t="shared" si="61"/>
        <v>3.1446025239373669E-2</v>
      </c>
      <c r="K142" s="3">
        <f t="shared" si="61"/>
        <v>3.1446025080583473E-2</v>
      </c>
      <c r="L142" s="3">
        <f t="shared" si="61"/>
        <v>3.1446023492681593E-2</v>
      </c>
      <c r="M142" s="3">
        <f t="shared" si="61"/>
        <v>3.1446007613667178E-2</v>
      </c>
      <c r="N142" s="3">
        <f t="shared" si="61"/>
        <v>3.1445848823964069E-2</v>
      </c>
      <c r="O142" s="3">
        <f t="shared" si="61"/>
        <v>3.1444260971032596E-2</v>
      </c>
      <c r="P142" s="3">
        <f t="shared" si="61"/>
        <v>3.1428386850860315E-2</v>
      </c>
      <c r="Q142" s="3">
        <f t="shared" si="61"/>
        <v>3.1270085740709518E-2</v>
      </c>
      <c r="R142" s="3">
        <f t="shared" si="61"/>
        <v>2.9730272536635467E-2</v>
      </c>
      <c r="S142" s="3">
        <f t="shared" si="61"/>
        <v>1.7943083317029696E-2</v>
      </c>
      <c r="T142" s="3">
        <f t="shared" si="61"/>
        <v>1.150479560244863E-4</v>
      </c>
      <c r="U142" s="3">
        <f t="shared" si="61"/>
        <v>1.3511303283783208E-26</v>
      </c>
      <c r="V142" s="3">
        <f t="shared" si="61"/>
        <v>6.7434259898535854E-246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1.9599632072084254E-2</v>
      </c>
      <c r="J143" s="3">
        <f t="shared" si="63"/>
        <v>1.9599632071191458E-2</v>
      </c>
      <c r="K143" s="3">
        <f t="shared" si="63"/>
        <v>1.9599632062263492E-2</v>
      </c>
      <c r="L143" s="3">
        <f t="shared" si="63"/>
        <v>1.9599631972983853E-2</v>
      </c>
      <c r="M143" s="3">
        <f t="shared" si="63"/>
        <v>1.9599631080187484E-2</v>
      </c>
      <c r="N143" s="3">
        <f t="shared" si="63"/>
        <v>1.9599622152226024E-2</v>
      </c>
      <c r="O143" s="3">
        <f t="shared" si="63"/>
        <v>1.9599532872835109E-2</v>
      </c>
      <c r="P143" s="3">
        <f t="shared" si="63"/>
        <v>1.9598640101293151E-2</v>
      </c>
      <c r="Q143" s="3">
        <f t="shared" si="63"/>
        <v>1.9589714622215967E-2</v>
      </c>
      <c r="R143" s="3">
        <f t="shared" si="63"/>
        <v>1.9500683089227758E-2</v>
      </c>
      <c r="S143" s="3">
        <f t="shared" si="63"/>
        <v>1.8632321797010076E-2</v>
      </c>
      <c r="T143" s="3">
        <f t="shared" si="63"/>
        <v>1.181512970105833E-2</v>
      </c>
      <c r="U143" s="3">
        <f t="shared" si="63"/>
        <v>1.2420917173578574E-4</v>
      </c>
      <c r="V143" s="3">
        <f t="shared" si="63"/>
        <v>2.0478841695177629E-24</v>
      </c>
      <c r="W143" s="3">
        <f t="shared" si="63"/>
        <v>3.0396432790092901E-222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3.251621456434458E-2</v>
      </c>
      <c r="K144" s="3">
        <f t="shared" si="65"/>
        <v>3.251621456300844E-2</v>
      </c>
      <c r="L144" s="3">
        <f t="shared" si="65"/>
        <v>3.2516214549647066E-2</v>
      </c>
      <c r="M144" s="3">
        <f t="shared" si="65"/>
        <v>3.2516214416033341E-2</v>
      </c>
      <c r="N144" s="3">
        <f t="shared" si="65"/>
        <v>3.2516213079896099E-2</v>
      </c>
      <c r="O144" s="3">
        <f t="shared" si="65"/>
        <v>3.2516199718526685E-2</v>
      </c>
      <c r="P144" s="3">
        <f t="shared" si="65"/>
        <v>3.2516066105134529E-2</v>
      </c>
      <c r="Q144" s="3">
        <f t="shared" si="65"/>
        <v>3.2514730001409524E-2</v>
      </c>
      <c r="R144" s="3">
        <f t="shared" si="65"/>
        <v>3.2501371983356883E-2</v>
      </c>
      <c r="S144" s="3">
        <f t="shared" si="65"/>
        <v>3.2368093264039263E-2</v>
      </c>
      <c r="T144" s="3">
        <f t="shared" si="65"/>
        <v>3.1064998849564835E-2</v>
      </c>
      <c r="U144" s="3">
        <f t="shared" si="65"/>
        <v>2.0597456420519186E-2</v>
      </c>
      <c r="V144" s="3">
        <f t="shared" si="65"/>
        <v>3.3824867235253642E-4</v>
      </c>
      <c r="W144" s="3">
        <f t="shared" si="65"/>
        <v>4.8245985325159011E-22</v>
      </c>
      <c r="X144" s="3">
        <f t="shared" si="65"/>
        <v>1.6815584898167525E-200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3.2163923063136091E-2</v>
      </c>
      <c r="L145" s="3">
        <f t="shared" si="68"/>
        <v>3.2163923061943843E-2</v>
      </c>
      <c r="M145" s="3">
        <f t="shared" si="68"/>
        <v>3.2163923050021359E-2</v>
      </c>
      <c r="N145" s="3">
        <f t="shared" si="68"/>
        <v>3.2163922930796528E-2</v>
      </c>
      <c r="O145" s="3">
        <f t="shared" si="68"/>
        <v>3.2163921738548276E-2</v>
      </c>
      <c r="P145" s="3">
        <f t="shared" si="68"/>
        <v>3.2163909816068155E-2</v>
      </c>
      <c r="Q145" s="3">
        <f t="shared" si="68"/>
        <v>3.2163790591510005E-2</v>
      </c>
      <c r="R145" s="3">
        <f t="shared" si="68"/>
        <v>3.2162598370234927E-2</v>
      </c>
      <c r="S145" s="3">
        <f t="shared" si="68"/>
        <v>3.2150678587789791E-2</v>
      </c>
      <c r="T145" s="3">
        <f t="shared" si="68"/>
        <v>3.2031723460919412E-2</v>
      </c>
      <c r="U145" s="3">
        <f t="shared" si="68"/>
        <v>3.0866112362412698E-2</v>
      </c>
      <c r="V145" s="3">
        <f t="shared" si="68"/>
        <v>2.1305817212425571E-2</v>
      </c>
      <c r="W145" s="3">
        <f t="shared" si="68"/>
        <v>5.2319168889897682E-4</v>
      </c>
      <c r="X145" s="3">
        <f t="shared" si="68"/>
        <v>4.1714518300614712E-20</v>
      </c>
      <c r="Y145" s="3">
        <f t="shared" si="68"/>
        <v>4.330631173570601E-181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3.3900572604875133E-2</v>
      </c>
      <c r="M146" s="3">
        <f t="shared" si="70"/>
        <v>3.3900572603741554E-2</v>
      </c>
      <c r="N146" s="3">
        <f t="shared" si="70"/>
        <v>3.3900572592405781E-2</v>
      </c>
      <c r="O146" s="3">
        <f t="shared" si="70"/>
        <v>3.3900572479048006E-2</v>
      </c>
      <c r="P146" s="3">
        <f t="shared" si="70"/>
        <v>3.3900571345470275E-2</v>
      </c>
      <c r="Q146" s="3">
        <f t="shared" si="70"/>
        <v>3.3900560009695019E-2</v>
      </c>
      <c r="R146" s="3">
        <f t="shared" si="70"/>
        <v>3.3900446652150987E-2</v>
      </c>
      <c r="S146" s="3">
        <f t="shared" si="70"/>
        <v>3.3899313097558094E-2</v>
      </c>
      <c r="T146" s="3">
        <f t="shared" si="70"/>
        <v>3.3887979636113279E-2</v>
      </c>
      <c r="U146" s="3">
        <f t="shared" si="70"/>
        <v>3.3774853212409431E-2</v>
      </c>
      <c r="V146" s="3">
        <f t="shared" si="70"/>
        <v>3.2664152760209279E-2</v>
      </c>
      <c r="W146" s="3">
        <f t="shared" si="70"/>
        <v>2.3380332090614769E-2</v>
      </c>
      <c r="X146" s="3">
        <f t="shared" si="70"/>
        <v>8.2536006344386531E-4</v>
      </c>
      <c r="Y146" s="3">
        <f t="shared" si="70"/>
        <v>2.4806826253792156E-18</v>
      </c>
      <c r="Z146" s="3">
        <f t="shared" si="70"/>
        <v>1.4922745915323825E-163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4.6234934193600599E-2</v>
      </c>
      <c r="N147" s="3">
        <f t="shared" si="72"/>
        <v>4.6234934192205958E-2</v>
      </c>
      <c r="O147" s="3">
        <f t="shared" si="72"/>
        <v>4.6234934178259593E-2</v>
      </c>
      <c r="P147" s="3">
        <f t="shared" si="72"/>
        <v>4.6234934038795916E-2</v>
      </c>
      <c r="Q147" s="3">
        <f t="shared" si="72"/>
        <v>4.6234932644159156E-2</v>
      </c>
      <c r="R147" s="3">
        <f t="shared" si="72"/>
        <v>4.6234918697793864E-2</v>
      </c>
      <c r="S147" s="3">
        <f t="shared" si="72"/>
        <v>4.6234779234372289E-2</v>
      </c>
      <c r="T147" s="3">
        <f t="shared" si="72"/>
        <v>4.6233384623293711E-2</v>
      </c>
      <c r="U147" s="3">
        <f t="shared" si="72"/>
        <v>4.6219440825961619E-2</v>
      </c>
      <c r="V147" s="3">
        <f t="shared" si="72"/>
        <v>4.6080233940026777E-2</v>
      </c>
      <c r="W147" s="3">
        <f t="shared" si="72"/>
        <v>4.4711017976613733E-2</v>
      </c>
      <c r="X147" s="3">
        <f t="shared" si="72"/>
        <v>3.3068415443744024E-2</v>
      </c>
      <c r="Y147" s="3">
        <f t="shared" si="72"/>
        <v>1.619577208402667E-3</v>
      </c>
      <c r="Z147" s="3">
        <f t="shared" si="72"/>
        <v>1.2861285250097152E-16</v>
      </c>
      <c r="AA147" s="3">
        <f t="shared" ref="AA147" si="73">$C33*EXP(-AA$129/$A33/EXP(-$B$126))</f>
        <v>1.2826598804873219E-147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5.6671396993715817E-2</v>
      </c>
      <c r="O148" s="3">
        <f t="shared" si="74"/>
        <v>5.6671396992173752E-2</v>
      </c>
      <c r="P148" s="3">
        <f t="shared" si="74"/>
        <v>5.6671396976753143E-2</v>
      </c>
      <c r="Q148" s="3">
        <f t="shared" si="74"/>
        <v>5.6671396822547113E-2</v>
      </c>
      <c r="R148" s="3">
        <f t="shared" si="74"/>
        <v>5.6671395280486744E-2</v>
      </c>
      <c r="S148" s="3">
        <f t="shared" si="74"/>
        <v>5.66713798598854E-2</v>
      </c>
      <c r="T148" s="3">
        <f t="shared" si="74"/>
        <v>5.6671225654102757E-2</v>
      </c>
      <c r="U148" s="3">
        <f t="shared" si="74"/>
        <v>5.6669683619354254E-2</v>
      </c>
      <c r="V148" s="3">
        <f t="shared" si="74"/>
        <v>5.6654265579428917E-2</v>
      </c>
      <c r="W148" s="3">
        <f t="shared" si="74"/>
        <v>5.6500315703995753E-2</v>
      </c>
      <c r="X148" s="3">
        <f t="shared" si="74"/>
        <v>5.4983638922014536E-2</v>
      </c>
      <c r="Y148" s="3">
        <f t="shared" si="74"/>
        <v>4.1885096728356996E-2</v>
      </c>
      <c r="Z148" s="3">
        <f t="shared" si="74"/>
        <v>2.7562585947287213E-3</v>
      </c>
      <c r="AA148" s="3">
        <f>$C34*EXP(-AA$129/$A34/EXP(-$B$126))</f>
        <v>4.1968586684035478E-15</v>
      </c>
      <c r="AB148" s="3">
        <f t="shared" si="67"/>
        <v>2.8116947968976145E-133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5.8705737383082615E-2</v>
      </c>
      <c r="O149" s="3">
        <f t="shared" si="75"/>
        <v>5.8705737382938515E-2</v>
      </c>
      <c r="P149" s="3">
        <f t="shared" si="75"/>
        <v>5.8705737381497515E-2</v>
      </c>
      <c r="Q149" s="3">
        <f t="shared" si="75"/>
        <v>5.87057373670875E-2</v>
      </c>
      <c r="R149" s="3">
        <f t="shared" si="75"/>
        <v>5.8705737222987289E-2</v>
      </c>
      <c r="S149" s="3">
        <f t="shared" si="75"/>
        <v>5.8705735781985249E-2</v>
      </c>
      <c r="T149" s="3">
        <f t="shared" si="75"/>
        <v>5.8705721371966807E-2</v>
      </c>
      <c r="U149" s="3">
        <f t="shared" si="75"/>
        <v>5.8705577271976866E-2</v>
      </c>
      <c r="V149" s="3">
        <f t="shared" si="75"/>
        <v>5.8704136291531449E-2</v>
      </c>
      <c r="W149" s="3">
        <f t="shared" si="75"/>
        <v>5.8689728432291775E-2</v>
      </c>
      <c r="X149" s="3">
        <f t="shared" si="75"/>
        <v>5.854584418480524E-2</v>
      </c>
      <c r="Y149" s="3">
        <f t="shared" si="75"/>
        <v>5.7126260848067878E-2</v>
      </c>
      <c r="Z149" s="3">
        <f t="shared" si="75"/>
        <v>4.4692336396818237E-2</v>
      </c>
      <c r="AA149" s="3">
        <f t="shared" ref="AA149" si="76">$C35*EXP(-AA$129/$A35/EXP(-$B$126))</f>
        <v>3.8388899571980971E-3</v>
      </c>
      <c r="AB149" s="3">
        <f t="shared" si="67"/>
        <v>8.3932798611453777E-14</v>
      </c>
      <c r="AC149" s="3">
        <f t="shared" si="67"/>
        <v>2.095039016594865E-120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5.6202356064833849E-2</v>
      </c>
      <c r="Q150" s="3">
        <f t="shared" si="77"/>
        <v>5.6202356063589372E-2</v>
      </c>
      <c r="R150" s="3">
        <f t="shared" si="77"/>
        <v>5.6202356051144646E-2</v>
      </c>
      <c r="S150" s="3">
        <f t="shared" si="77"/>
        <v>5.6202355926697443E-2</v>
      </c>
      <c r="T150" s="3">
        <f t="shared" si="77"/>
        <v>5.6202354682225349E-2</v>
      </c>
      <c r="U150" s="3">
        <f t="shared" si="77"/>
        <v>5.6202342237505948E-2</v>
      </c>
      <c r="V150" s="3">
        <f t="shared" si="77"/>
        <v>5.6202217790463506E-2</v>
      </c>
      <c r="W150" s="3">
        <f t="shared" si="77"/>
        <v>5.6200973335194741E-2</v>
      </c>
      <c r="X150" s="3">
        <f t="shared" si="77"/>
        <v>5.618853029794782E-2</v>
      </c>
      <c r="Y150" s="3">
        <f t="shared" si="77"/>
        <v>5.6064251345472736E-2</v>
      </c>
      <c r="Z150" s="3">
        <f t="shared" si="77"/>
        <v>5.4836480496095096E-2</v>
      </c>
      <c r="AA150" s="3">
        <f t="shared" ref="AA150" si="78">$C36*EXP(-AA$129/$A36/EXP(-$B$126))</f>
        <v>4.3944551217285917E-2</v>
      </c>
      <c r="AB150" s="3">
        <f t="shared" si="67"/>
        <v>4.8002033708911557E-3</v>
      </c>
      <c r="AC150" s="3">
        <f t="shared" si="67"/>
        <v>1.1609290462410981E-12</v>
      </c>
      <c r="AD150" s="3">
        <f t="shared" si="67"/>
        <v>7.9481503636175558E-109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6.3415296184092418E-2</v>
      </c>
      <c r="R151" s="3">
        <f t="shared" si="79"/>
        <v>6.3415296182825737E-2</v>
      </c>
      <c r="S151" s="3">
        <f t="shared" si="79"/>
        <v>6.34152961701588E-2</v>
      </c>
      <c r="T151" s="3">
        <f t="shared" si="79"/>
        <v>6.3415296043489527E-2</v>
      </c>
      <c r="U151" s="3">
        <f t="shared" si="79"/>
        <v>6.341529477679686E-2</v>
      </c>
      <c r="V151" s="3">
        <f t="shared" si="79"/>
        <v>6.3415282109871601E-2</v>
      </c>
      <c r="W151" s="3">
        <f t="shared" si="79"/>
        <v>6.3415155440758014E-2</v>
      </c>
      <c r="X151" s="3">
        <f t="shared" si="79"/>
        <v>6.3413888763537998E-2</v>
      </c>
      <c r="Y151" s="3">
        <f t="shared" si="79"/>
        <v>6.340122338281319E-2</v>
      </c>
      <c r="Z151" s="3">
        <f t="shared" si="79"/>
        <v>6.3274708620319281E-2</v>
      </c>
      <c r="AA151" s="3">
        <f t="shared" ref="AA151" si="80">$C37*EXP(-AA$129/$A37/EXP(-$B$126))</f>
        <v>6.2023363255294783E-2</v>
      </c>
      <c r="AB151" s="3">
        <f t="shared" si="67"/>
        <v>5.0793354744359899E-2</v>
      </c>
      <c r="AC151" s="3">
        <f t="shared" si="67"/>
        <v>6.8916426364016613E-3</v>
      </c>
      <c r="AD151" s="3">
        <f t="shared" si="67"/>
        <v>1.4570728471594587E-11</v>
      </c>
      <c r="AE151" s="3">
        <f t="shared" si="67"/>
        <v>2.6005572821157806E-98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3.5348869965728794E-2</v>
      </c>
      <c r="S152" s="3">
        <f t="shared" si="81"/>
        <v>3.5348869965091852E-2</v>
      </c>
      <c r="T152" s="3">
        <f t="shared" si="81"/>
        <v>3.534886995872244E-2</v>
      </c>
      <c r="U152" s="3">
        <f t="shared" si="81"/>
        <v>3.5348869895028313E-2</v>
      </c>
      <c r="V152" s="3">
        <f t="shared" si="81"/>
        <v>3.5348869258087091E-2</v>
      </c>
      <c r="W152" s="3">
        <f t="shared" si="81"/>
        <v>3.5348862888675496E-2</v>
      </c>
      <c r="X152" s="3">
        <f t="shared" si="81"/>
        <v>3.5348799194622652E-2</v>
      </c>
      <c r="Y152" s="3">
        <f t="shared" si="81"/>
        <v>3.5348162260406442E-2</v>
      </c>
      <c r="Z152" s="3">
        <f t="shared" si="81"/>
        <v>3.534179354942505E-2</v>
      </c>
      <c r="AA152" s="3">
        <f t="shared" ref="AA152" si="82">$C38*EXP(-AA$129/$A38/EXP(-$B$126))</f>
        <v>3.5278169515620642E-2</v>
      </c>
      <c r="AB152" s="3">
        <f t="shared" si="67"/>
        <v>3.4648194928145734E-2</v>
      </c>
      <c r="AC152" s="3">
        <f t="shared" si="67"/>
        <v>2.8935189241654353E-2</v>
      </c>
      <c r="AD152" s="3">
        <f t="shared" si="67"/>
        <v>4.7740114631910253E-3</v>
      </c>
      <c r="AE152" s="3">
        <f t="shared" si="67"/>
        <v>7.1359986886177155E-11</v>
      </c>
      <c r="AF152" s="3">
        <f t="shared" si="67"/>
        <v>3.9734504561285281E-89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7.0460456800496382E-2</v>
      </c>
      <c r="S153" s="3">
        <f t="shared" si="83"/>
        <v>7.0460456800145246E-2</v>
      </c>
      <c r="T153" s="3">
        <f t="shared" si="83"/>
        <v>7.0460456796633833E-2</v>
      </c>
      <c r="U153" s="3">
        <f t="shared" si="83"/>
        <v>7.0460456761519685E-2</v>
      </c>
      <c r="V153" s="3">
        <f t="shared" si="83"/>
        <v>7.0460456410378208E-2</v>
      </c>
      <c r="W153" s="3">
        <f t="shared" si="83"/>
        <v>7.0460452898963438E-2</v>
      </c>
      <c r="X153" s="3">
        <f t="shared" si="83"/>
        <v>7.046041778482548E-2</v>
      </c>
      <c r="Y153" s="3">
        <f t="shared" si="83"/>
        <v>7.0460066644408251E-2</v>
      </c>
      <c r="Z153" s="3">
        <f t="shared" si="83"/>
        <v>7.0456555336479806E-2</v>
      </c>
      <c r="AA153" s="3">
        <f t="shared" ref="AA153" si="84">$C39*EXP(-AA$129/$A39/EXP(-$B$126))</f>
        <v>7.0421451879797883E-2</v>
      </c>
      <c r="AB153" s="3">
        <f t="shared" si="67"/>
        <v>7.0071377801279797E-2</v>
      </c>
      <c r="AC153" s="3">
        <f t="shared" si="67"/>
        <v>6.6664938158242412E-2</v>
      </c>
      <c r="AD153" s="3">
        <f t="shared" si="67"/>
        <v>4.0500997161395706E-2</v>
      </c>
      <c r="AE153" s="3">
        <f t="shared" si="67"/>
        <v>2.7742658112831875E-4</v>
      </c>
      <c r="AF153" s="3">
        <f t="shared" si="67"/>
        <v>6.3091609841477618E-26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8.6875447409276579E-2</v>
      </c>
      <c r="T154" s="3">
        <f t="shared" si="85"/>
        <v>8.6875447408843648E-2</v>
      </c>
      <c r="U154" s="3">
        <f t="shared" si="85"/>
        <v>8.6875447404514181E-2</v>
      </c>
      <c r="V154" s="3">
        <f t="shared" si="85"/>
        <v>8.6875447361219577E-2</v>
      </c>
      <c r="W154" s="3">
        <f t="shared" si="85"/>
        <v>8.6875446928273578E-2</v>
      </c>
      <c r="X154" s="3">
        <f t="shared" si="85"/>
        <v>8.6875442598813579E-2</v>
      </c>
      <c r="Y154" s="3">
        <f t="shared" si="85"/>
        <v>8.6875399304225609E-2</v>
      </c>
      <c r="Z154" s="3">
        <f t="shared" si="85"/>
        <v>8.6874966359532443E-2</v>
      </c>
      <c r="AA154" s="3">
        <f t="shared" ref="AA154:AF154" si="86">$C40*EXP(-AA$129/$A40/EXP(-$B$126))</f>
        <v>8.687063703126624E-2</v>
      </c>
      <c r="AB154" s="3">
        <f t="shared" si="86"/>
        <v>8.6827355612959678E-2</v>
      </c>
      <c r="AC154" s="3">
        <f t="shared" si="86"/>
        <v>8.6395725680673538E-2</v>
      </c>
      <c r="AD154" s="3">
        <f t="shared" si="86"/>
        <v>8.2195696593443932E-2</v>
      </c>
      <c r="AE154" s="3">
        <f t="shared" si="86"/>
        <v>4.9936409848726743E-2</v>
      </c>
      <c r="AF154" s="3">
        <f t="shared" si="86"/>
        <v>3.42057935091032E-4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9.6215979998642953E-2</v>
      </c>
      <c r="V155" s="3">
        <f t="shared" si="87"/>
        <v>9.6215979993847997E-2</v>
      </c>
      <c r="W155" s="3">
        <f t="shared" si="87"/>
        <v>9.6215979945898519E-2</v>
      </c>
      <c r="X155" s="3">
        <f t="shared" si="87"/>
        <v>9.6215979466403728E-2</v>
      </c>
      <c r="Y155" s="3">
        <f t="shared" si="87"/>
        <v>9.6215974671455928E-2</v>
      </c>
      <c r="Z155" s="3">
        <f t="shared" si="87"/>
        <v>9.6215926721991085E-2</v>
      </c>
      <c r="AA155" s="3">
        <f t="shared" ref="AA155:AF155" si="88">$C41*EXP(-AA$129/$A41/EXP(-$B$126))</f>
        <v>9.6215447228656895E-2</v>
      </c>
      <c r="AB155" s="3">
        <f t="shared" si="88"/>
        <v>9.6210652426738832E-2</v>
      </c>
      <c r="AC155" s="3">
        <f t="shared" si="88"/>
        <v>9.6162717547526075E-2</v>
      </c>
      <c r="AD155" s="3">
        <f t="shared" si="88"/>
        <v>9.5684680332520811E-2</v>
      </c>
      <c r="AE155" s="3">
        <f t="shared" si="88"/>
        <v>9.1033079371563172E-2</v>
      </c>
      <c r="AF155" s="3">
        <f t="shared" si="88"/>
        <v>5.5305391275832755E-2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0.11161416834608225</v>
      </c>
      <c r="V156" s="3">
        <f t="shared" si="89"/>
        <v>0.11161416834552602</v>
      </c>
      <c r="W156" s="3">
        <f t="shared" si="89"/>
        <v>0.11161416833996371</v>
      </c>
      <c r="X156" s="3">
        <f t="shared" si="89"/>
        <v>0.1116141682843405</v>
      </c>
      <c r="Y156" s="3">
        <f t="shared" si="89"/>
        <v>0.11161416772810845</v>
      </c>
      <c r="Z156" s="3">
        <f t="shared" si="89"/>
        <v>0.11161416216578801</v>
      </c>
      <c r="AA156" s="3">
        <f t="shared" ref="AA156:AF156" si="90">$C42*EXP(-AA$129/$A42/EXP(-$B$126))</f>
        <v>0.111614106542599</v>
      </c>
      <c r="AB156" s="3">
        <f t="shared" si="90"/>
        <v>0.11161355031223348</v>
      </c>
      <c r="AC156" s="3">
        <f t="shared" si="90"/>
        <v>0.11160798816103497</v>
      </c>
      <c r="AD156" s="3">
        <f t="shared" si="90"/>
        <v>0.11155238189190847</v>
      </c>
      <c r="AE156" s="3">
        <f t="shared" si="90"/>
        <v>0.11099784067960905</v>
      </c>
      <c r="AF156" s="3">
        <f t="shared" si="90"/>
        <v>0.10560180799626623</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6.6462351022029964E-2</v>
      </c>
      <c r="X157" s="3">
        <f t="shared" si="91"/>
        <v>6.6462351018717794E-2</v>
      </c>
      <c r="Y157" s="3">
        <f t="shared" si="91"/>
        <v>6.6462350985596108E-2</v>
      </c>
      <c r="Z157" s="3">
        <f t="shared" si="91"/>
        <v>6.646235065437929E-2</v>
      </c>
      <c r="AA157" s="3">
        <f t="shared" ref="AA157:AF157" si="92">$C43*EXP(-AA$129/$A43/EXP(-$B$126))</f>
        <v>6.6462347342211139E-2</v>
      </c>
      <c r="AB157" s="3">
        <f t="shared" si="92"/>
        <v>6.646231422053879E-2</v>
      </c>
      <c r="AC157" s="3">
        <f t="shared" si="92"/>
        <v>6.6461983004723182E-2</v>
      </c>
      <c r="AD157" s="3">
        <f t="shared" si="92"/>
        <v>6.6458670937349723E-2</v>
      </c>
      <c r="AE157" s="3">
        <f t="shared" si="92"/>
        <v>6.6425559340206691E-2</v>
      </c>
      <c r="AF157" s="3">
        <f t="shared" si="92"/>
        <v>6.6095349356524974E-2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4.7100906601729629E-2</v>
      </c>
      <c r="X158" s="3">
        <f t="shared" si="93"/>
        <v>4.71009066014949E-2</v>
      </c>
      <c r="Y158" s="3">
        <f t="shared" si="93"/>
        <v>4.7100906599147618E-2</v>
      </c>
      <c r="Z158" s="3">
        <f t="shared" si="93"/>
        <v>4.7100906575674763E-2</v>
      </c>
      <c r="AA158" s="3">
        <f t="shared" ref="AA158:AF158" si="94">$C44*EXP(-AA$129/$A44/EXP(-$B$126))</f>
        <v>4.7100906340946193E-2</v>
      </c>
      <c r="AB158" s="3">
        <f t="shared" si="94"/>
        <v>4.7100903993660549E-2</v>
      </c>
      <c r="AC158" s="3">
        <f t="shared" si="94"/>
        <v>4.7100880520810559E-2</v>
      </c>
      <c r="AD158" s="3">
        <f t="shared" si="94"/>
        <v>4.7100645792954018E-2</v>
      </c>
      <c r="AE158" s="3">
        <f t="shared" si="94"/>
        <v>4.7098298578724961E-2</v>
      </c>
      <c r="AF158" s="3">
        <f t="shared" si="94"/>
        <v>4.7074832868883566E-2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2.2598128773546722E-2</v>
      </c>
      <c r="Y159" s="3">
        <f t="shared" si="95"/>
        <v>2.2598128773434104E-2</v>
      </c>
      <c r="Z159" s="3">
        <f t="shared" si="95"/>
        <v>2.2598128772307921E-2</v>
      </c>
      <c r="AA159" s="3">
        <f t="shared" ref="AA159:AF159" si="96">$C45*EXP(-AA$129/$A45/EXP(-$B$126))</f>
        <v>2.2598128761046086E-2</v>
      </c>
      <c r="AB159" s="3">
        <f t="shared" si="96"/>
        <v>2.2598128648427734E-2</v>
      </c>
      <c r="AC159" s="3">
        <f t="shared" si="96"/>
        <v>2.2598127522244247E-2</v>
      </c>
      <c r="AD159" s="3">
        <f t="shared" si="96"/>
        <v>2.2598116260412471E-2</v>
      </c>
      <c r="AE159" s="3">
        <f t="shared" si="96"/>
        <v>2.2598003642403358E-2</v>
      </c>
      <c r="AF159" s="3">
        <f t="shared" si="96"/>
        <v>2.2596877493179613E-2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6.4467605951974809E-3</v>
      </c>
      <c r="Z160" s="3">
        <f t="shared" si="97"/>
        <v>6.4467605951653538E-3</v>
      </c>
      <c r="AA160" s="3">
        <f t="shared" ref="AA160:AF160" si="98">$C46*EXP(-AA$129/$A46/EXP(-$B$126))</f>
        <v>6.4467605948440778E-3</v>
      </c>
      <c r="AB160" s="3">
        <f t="shared" si="98"/>
        <v>6.4467605916313179E-3</v>
      </c>
      <c r="AC160" s="3">
        <f t="shared" si="98"/>
        <v>6.4467605595037222E-3</v>
      </c>
      <c r="AD160" s="3">
        <f t="shared" si="98"/>
        <v>6.4467602382277701E-3</v>
      </c>
      <c r="AE160" s="3">
        <f t="shared" si="98"/>
        <v>6.4467570254691364E-3</v>
      </c>
      <c r="AF160" s="3">
        <f t="shared" si="98"/>
        <v>6.4467248979708496E-3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9.8307104636636343E-5</v>
      </c>
      <c r="AA161" s="3">
        <f t="shared" ref="AA161:AF161" si="100">$C47*EXP(-AA$129/$A47/EXP(-$B$126))</f>
        <v>9.8307104636146433E-5</v>
      </c>
      <c r="AB161" s="3">
        <f t="shared" si="100"/>
        <v>9.8307104631247276E-5</v>
      </c>
      <c r="AC161" s="3">
        <f t="shared" si="100"/>
        <v>9.8307104582255676E-5</v>
      </c>
      <c r="AD161" s="3">
        <f t="shared" si="100"/>
        <v>9.8307104092339721E-5</v>
      </c>
      <c r="AE161" s="3">
        <f t="shared" si="100"/>
        <v>9.8307099193180178E-5</v>
      </c>
      <c r="AF161" s="3">
        <f t="shared" si="100"/>
        <v>9.830705020159835E-5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1.1020901234638496E-2</v>
      </c>
      <c r="AC162" s="3">
        <f t="shared" si="102"/>
        <v>1.1020901234089267E-2</v>
      </c>
      <c r="AD162" s="3">
        <f t="shared" si="102"/>
        <v>1.1020901228596973E-2</v>
      </c>
      <c r="AE162" s="3">
        <f t="shared" si="102"/>
        <v>1.102090117367403E-2</v>
      </c>
      <c r="AF162" s="3">
        <f t="shared" si="102"/>
        <v>1.1020900624444618E-2</v>
      </c>
    </row>
    <row r="163" spans="1:34" x14ac:dyDescent="0.25">
      <c r="A163" s="80">
        <f>AVERAGE(B163:AF163)</f>
        <v>1.0121946845474133E-2</v>
      </c>
      <c r="B163" s="81">
        <f>IF($A$64&lt;=B129,IF($B$64&gt;=B129,ABS((B131-B130)/B130),0),0)</f>
        <v>2.5912335839373209E-3</v>
      </c>
      <c r="C163" s="81">
        <f t="shared" ref="C163:AF163" si="103">IF($A$64&lt;=C129,IF($B$64&gt;=C129,ABS((C131-C130)/C130),0),0)</f>
        <v>2.9775422994469921E-3</v>
      </c>
      <c r="D163" s="81">
        <f t="shared" si="103"/>
        <v>3.5580463641070787E-3</v>
      </c>
      <c r="E163" s="81">
        <f t="shared" si="103"/>
        <v>3.5609660630906178E-3</v>
      </c>
      <c r="F163" s="81">
        <f t="shared" si="103"/>
        <v>3.5606207597331605E-3</v>
      </c>
      <c r="G163" s="81">
        <f t="shared" si="103"/>
        <v>3.5604819613449827E-3</v>
      </c>
      <c r="H163" s="81">
        <f t="shared" si="103"/>
        <v>3.5604379523025836E-3</v>
      </c>
      <c r="I163" s="81">
        <f t="shared" si="103"/>
        <v>3.5604311837424299E-3</v>
      </c>
      <c r="J163" s="81">
        <f t="shared" si="103"/>
        <v>3.5604312046808033E-3</v>
      </c>
      <c r="K163" s="81">
        <f t="shared" si="103"/>
        <v>3.5604314140648412E-3</v>
      </c>
      <c r="L163" s="81">
        <f t="shared" si="103"/>
        <v>3.5604335079043006E-3</v>
      </c>
      <c r="M163" s="81">
        <f t="shared" si="103"/>
        <v>3.5604476756291698E-3</v>
      </c>
      <c r="N163" s="81">
        <f t="shared" si="103"/>
        <v>3.5605487272849625E-3</v>
      </c>
      <c r="O163" s="81">
        <f t="shared" si="103"/>
        <v>3.5614812147401211E-3</v>
      </c>
      <c r="P163" s="81">
        <f t="shared" si="103"/>
        <v>3.5708639331247347E-3</v>
      </c>
      <c r="Q163" s="81">
        <f t="shared" si="103"/>
        <v>3.6632873867102041E-3</v>
      </c>
      <c r="R163" s="81">
        <f t="shared" si="103"/>
        <v>4.470794691413039E-3</v>
      </c>
      <c r="S163" s="81">
        <f t="shared" si="103"/>
        <v>8.6328471001023976E-3</v>
      </c>
      <c r="T163" s="81">
        <f t="shared" si="103"/>
        <v>1.045604896044338E-2</v>
      </c>
      <c r="U163" s="81">
        <f t="shared" si="103"/>
        <v>8.8544630303555496E-3</v>
      </c>
      <c r="V163" s="81">
        <f t="shared" si="103"/>
        <v>8.4806724279313517E-3</v>
      </c>
      <c r="W163" s="81">
        <f t="shared" si="103"/>
        <v>4.359796526105888E-3</v>
      </c>
      <c r="X163" s="81">
        <f t="shared" si="103"/>
        <v>1.916980809999929E-2</v>
      </c>
      <c r="Y163" s="81">
        <f t="shared" si="103"/>
        <v>3.0795044304827844E-2</v>
      </c>
      <c r="Z163" s="81">
        <f t="shared" si="103"/>
        <v>3.1180900670468581E-2</v>
      </c>
      <c r="AA163" s="81">
        <f t="shared" si="103"/>
        <v>2.1961853638470759E-2</v>
      </c>
      <c r="AB163" s="81">
        <f t="shared" si="103"/>
        <v>1.2776403992464842E-2</v>
      </c>
      <c r="AC163" s="81">
        <f t="shared" si="103"/>
        <v>3.1442167979048455E-3</v>
      </c>
      <c r="AD163" s="81">
        <f t="shared" si="103"/>
        <v>7.363373671160107E-3</v>
      </c>
      <c r="AE163" s="81">
        <f t="shared" si="103"/>
        <v>3.0311483010814447E-2</v>
      </c>
      <c r="AF163" s="81">
        <f t="shared" si="103"/>
        <v>5.6294960055391495E-2</v>
      </c>
    </row>
    <row r="164" spans="1:34" x14ac:dyDescent="0.25">
      <c r="B164" s="21">
        <f>(B131-B130)^2</f>
        <v>237.34926044559626</v>
      </c>
      <c r="C164" s="21">
        <f t="shared" ref="C164:AF164" si="104">(C131-C130)^2</f>
        <v>313.39788757888141</v>
      </c>
      <c r="D164" s="21">
        <f t="shared" si="104"/>
        <v>447.50724544598989</v>
      </c>
      <c r="E164" s="21">
        <f t="shared" si="104"/>
        <v>448.24098815527026</v>
      </c>
      <c r="F164" s="21">
        <f t="shared" si="104"/>
        <v>448.15375079532862</v>
      </c>
      <c r="G164" s="21">
        <f t="shared" si="104"/>
        <v>448.11868721201523</v>
      </c>
      <c r="H164" s="21">
        <f t="shared" si="104"/>
        <v>448.10756982994792</v>
      </c>
      <c r="I164" s="21">
        <f t="shared" si="104"/>
        <v>448.10585999477661</v>
      </c>
      <c r="J164" s="21">
        <f t="shared" si="104"/>
        <v>448.10586526526617</v>
      </c>
      <c r="K164" s="21">
        <f t="shared" si="104"/>
        <v>448.10591797024085</v>
      </c>
      <c r="L164" s="21">
        <f t="shared" si="104"/>
        <v>448.10644501992664</v>
      </c>
      <c r="M164" s="21">
        <f t="shared" si="104"/>
        <v>448.11000515972222</v>
      </c>
      <c r="N164" s="21">
        <f t="shared" si="104"/>
        <v>448.13534435246362</v>
      </c>
      <c r="O164" s="21">
        <f t="shared" si="104"/>
        <v>448.36905829985113</v>
      </c>
      <c r="P164" s="21">
        <f t="shared" si="104"/>
        <v>450.72418844168436</v>
      </c>
      <c r="Q164" s="21">
        <f t="shared" si="104"/>
        <v>474.24841145574084</v>
      </c>
      <c r="R164" s="21">
        <f t="shared" si="104"/>
        <v>704.77702081024461</v>
      </c>
      <c r="S164" s="21">
        <f t="shared" si="104"/>
        <v>2580.2282512460406</v>
      </c>
      <c r="T164" s="21">
        <f t="shared" si="104"/>
        <v>3600.3246621245771</v>
      </c>
      <c r="U164" s="21">
        <f t="shared" si="104"/>
        <v>2448.3867861635072</v>
      </c>
      <c r="V164" s="21">
        <f t="shared" si="104"/>
        <v>2096.8465483876639</v>
      </c>
      <c r="W164" s="21">
        <f t="shared" si="104"/>
        <v>502.53993698340508</v>
      </c>
      <c r="X164" s="21">
        <f t="shared" si="104"/>
        <v>8663.1630910365348</v>
      </c>
      <c r="Y164" s="21">
        <f t="shared" si="104"/>
        <v>19465.750974855968</v>
      </c>
      <c r="Z164" s="21">
        <f t="shared" si="104"/>
        <v>17274.745965030615</v>
      </c>
      <c r="AA164" s="21">
        <f t="shared" si="104"/>
        <v>7445.9489491714858</v>
      </c>
      <c r="AB164" s="21">
        <f t="shared" si="104"/>
        <v>2164.2945502577213</v>
      </c>
      <c r="AC164" s="21">
        <f t="shared" si="104"/>
        <v>111.11384137212208</v>
      </c>
      <c r="AD164" s="21">
        <f t="shared" si="104"/>
        <v>486.87889572097043</v>
      </c>
      <c r="AE164" s="21">
        <f t="shared" si="104"/>
        <v>6035.5071965188226</v>
      </c>
      <c r="AF164" s="21">
        <f t="shared" si="104"/>
        <v>13442.135911461241</v>
      </c>
    </row>
    <row r="165" spans="1:34" x14ac:dyDescent="0.25">
      <c r="A165" s="72">
        <f>SUM(B165:AF165)</f>
        <v>93875.529066563642</v>
      </c>
      <c r="B165" s="60">
        <f>IF($A$64&lt;=B129,IF($B$64&gt;=B129,ABS(B164),0),0)</f>
        <v>237.34926044559626</v>
      </c>
      <c r="C165" s="60">
        <f t="shared" ref="C165:AF165" si="105">IF($A$64&lt;=C129,IF($B$64&gt;=C129,ABS(C164),0),0)</f>
        <v>313.39788757888141</v>
      </c>
      <c r="D165" s="60">
        <f t="shared" si="105"/>
        <v>447.50724544598989</v>
      </c>
      <c r="E165" s="60">
        <f t="shared" si="105"/>
        <v>448.24098815527026</v>
      </c>
      <c r="F165" s="60">
        <f t="shared" si="105"/>
        <v>448.15375079532862</v>
      </c>
      <c r="G165" s="60">
        <f t="shared" si="105"/>
        <v>448.11868721201523</v>
      </c>
      <c r="H165" s="60">
        <f t="shared" si="105"/>
        <v>448.10756982994792</v>
      </c>
      <c r="I165" s="60">
        <f t="shared" si="105"/>
        <v>448.10585999477661</v>
      </c>
      <c r="J165" s="60">
        <f t="shared" si="105"/>
        <v>448.10586526526617</v>
      </c>
      <c r="K165" s="60">
        <f t="shared" si="105"/>
        <v>448.10591797024085</v>
      </c>
      <c r="L165" s="60">
        <f t="shared" si="105"/>
        <v>448.10644501992664</v>
      </c>
      <c r="M165" s="60">
        <f t="shared" si="105"/>
        <v>448.11000515972222</v>
      </c>
      <c r="N165" s="60">
        <f t="shared" si="105"/>
        <v>448.13534435246362</v>
      </c>
      <c r="O165" s="60">
        <f t="shared" si="105"/>
        <v>448.36905829985113</v>
      </c>
      <c r="P165" s="60">
        <f t="shared" si="105"/>
        <v>450.72418844168436</v>
      </c>
      <c r="Q165" s="60">
        <f t="shared" si="105"/>
        <v>474.24841145574084</v>
      </c>
      <c r="R165" s="60">
        <f t="shared" si="105"/>
        <v>704.77702081024461</v>
      </c>
      <c r="S165" s="60">
        <f t="shared" si="105"/>
        <v>2580.2282512460406</v>
      </c>
      <c r="T165" s="60">
        <f t="shared" si="105"/>
        <v>3600.3246621245771</v>
      </c>
      <c r="U165" s="60">
        <f t="shared" si="105"/>
        <v>2448.3867861635072</v>
      </c>
      <c r="V165" s="60">
        <f t="shared" si="105"/>
        <v>2096.8465483876639</v>
      </c>
      <c r="W165" s="60">
        <f t="shared" si="105"/>
        <v>502.53993698340508</v>
      </c>
      <c r="X165" s="60">
        <f t="shared" si="105"/>
        <v>8663.1630910365348</v>
      </c>
      <c r="Y165" s="60">
        <f t="shared" si="105"/>
        <v>19465.750974855968</v>
      </c>
      <c r="Z165" s="60">
        <f t="shared" si="105"/>
        <v>17274.745965030615</v>
      </c>
      <c r="AA165" s="60">
        <f t="shared" si="105"/>
        <v>7445.9489491714858</v>
      </c>
      <c r="AB165" s="60">
        <f t="shared" si="105"/>
        <v>2164.2945502577213</v>
      </c>
      <c r="AC165" s="60">
        <f t="shared" si="105"/>
        <v>111.11384137212208</v>
      </c>
      <c r="AD165" s="60">
        <f t="shared" si="105"/>
        <v>486.87889572097043</v>
      </c>
      <c r="AE165" s="60">
        <f t="shared" si="105"/>
        <v>6035.5071965188226</v>
      </c>
      <c r="AF165" s="60">
        <f t="shared" si="105"/>
        <v>13442.135911461241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5925.3747237502521</v>
      </c>
      <c r="C170" s="27">
        <f t="shared" ref="C170:AF170" si="106">($C$17+SUM(C171:C201))*$B$51</f>
        <v>5924.3223456088144</v>
      </c>
      <c r="D170" s="27">
        <f t="shared" si="106"/>
        <v>5924.3223454632589</v>
      </c>
      <c r="E170" s="27">
        <f t="shared" si="106"/>
        <v>5924.3223454632189</v>
      </c>
      <c r="F170" s="27">
        <f t="shared" si="106"/>
        <v>5924.3223454628242</v>
      </c>
      <c r="G170" s="27">
        <f t="shared" si="106"/>
        <v>5924.3223454588788</v>
      </c>
      <c r="H170" s="27">
        <f t="shared" si="106"/>
        <v>5924.3223454194258</v>
      </c>
      <c r="I170" s="27">
        <f t="shared" si="106"/>
        <v>5924.3223450248961</v>
      </c>
      <c r="J170" s="27">
        <f t="shared" si="106"/>
        <v>5924.322341079589</v>
      </c>
      <c r="K170" s="27">
        <f t="shared" si="106"/>
        <v>5924.3223016265365</v>
      </c>
      <c r="L170" s="27">
        <f t="shared" si="106"/>
        <v>5924.3219070970135</v>
      </c>
      <c r="M170" s="27">
        <f t="shared" si="106"/>
        <v>5924.3179619028779</v>
      </c>
      <c r="N170" s="27">
        <f t="shared" si="106"/>
        <v>5924.2785200653825</v>
      </c>
      <c r="O170" s="27">
        <f t="shared" si="106"/>
        <v>5923.8851070465307</v>
      </c>
      <c r="P170" s="27">
        <f t="shared" si="106"/>
        <v>5920.0467129868875</v>
      </c>
      <c r="Q170" s="27">
        <f t="shared" si="106"/>
        <v>5888.0732390422327</v>
      </c>
      <c r="R170" s="27">
        <f t="shared" si="106"/>
        <v>5744.755457704231</v>
      </c>
      <c r="S170" s="27">
        <f t="shared" si="106"/>
        <v>5611.9380334359585</v>
      </c>
      <c r="T170" s="27">
        <f t="shared" si="106"/>
        <v>5443.8008651720847</v>
      </c>
      <c r="U170" s="27">
        <f t="shared" si="106"/>
        <v>5259.8326769838477</v>
      </c>
      <c r="V170" s="27">
        <f t="shared" si="106"/>
        <v>5063.4298958709969</v>
      </c>
      <c r="W170" s="27">
        <f t="shared" si="106"/>
        <v>4819.2672523690053</v>
      </c>
      <c r="X170" s="27">
        <f t="shared" si="106"/>
        <v>4519.6082414676112</v>
      </c>
      <c r="Y170" s="27">
        <f t="shared" si="106"/>
        <v>4193.0898180244139</v>
      </c>
      <c r="Z170" s="27">
        <f t="shared" si="106"/>
        <v>3866.1223373591447</v>
      </c>
      <c r="AA170" s="27">
        <f t="shared" si="106"/>
        <v>3529.9457946530697</v>
      </c>
      <c r="AB170" s="27">
        <f t="shared" si="106"/>
        <v>3189.3597004561166</v>
      </c>
      <c r="AC170" s="27">
        <f t="shared" si="106"/>
        <v>2715.9071119026394</v>
      </c>
      <c r="AD170" s="27">
        <f t="shared" si="106"/>
        <v>2207.1548734172979</v>
      </c>
      <c r="AE170" s="27">
        <f t="shared" si="106"/>
        <v>1636.322906232353</v>
      </c>
      <c r="AF170" s="27">
        <f t="shared" si="106"/>
        <v>1035.5641973079378</v>
      </c>
      <c r="AG170" s="27"/>
      <c r="AH170" s="27"/>
    </row>
    <row r="171" spans="1:34" x14ac:dyDescent="0.25">
      <c r="B171" s="3">
        <f t="shared" ref="B171:AF171" si="107">$C18*EXP(-B$168/$A18/EXP(-$C$126))</f>
        <v>1.7745462112120627E-4</v>
      </c>
      <c r="C171" s="3">
        <f t="shared" si="107"/>
        <v>2.4543290924414788E-11</v>
      </c>
      <c r="D171" s="3">
        <f t="shared" si="107"/>
        <v>6.2861916160987014E-80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7.2761897872358294E-4</v>
      </c>
      <c r="F180" s="3">
        <f t="shared" si="116"/>
        <v>7.2761897871067465E-4</v>
      </c>
      <c r="G180" s="3">
        <f t="shared" si="116"/>
        <v>7.276189785815929E-4</v>
      </c>
      <c r="H180" s="3">
        <f t="shared" si="116"/>
        <v>7.2761897729077519E-4</v>
      </c>
      <c r="I180" s="3">
        <f t="shared" si="116"/>
        <v>7.2761896438259773E-4</v>
      </c>
      <c r="J180" s="3">
        <f t="shared" si="116"/>
        <v>7.2761883530083585E-4</v>
      </c>
      <c r="K180" s="3">
        <f t="shared" si="116"/>
        <v>7.2761754448447699E-4</v>
      </c>
      <c r="L180" s="3">
        <f t="shared" si="116"/>
        <v>7.2760463644683433E-4</v>
      </c>
      <c r="M180" s="3">
        <f t="shared" si="116"/>
        <v>7.2747556866420947E-4</v>
      </c>
      <c r="N180" s="3">
        <f t="shared" si="116"/>
        <v>7.2618614939190529E-4</v>
      </c>
      <c r="O180" s="3">
        <f t="shared" si="116"/>
        <v>7.1341698986531127E-4</v>
      </c>
      <c r="P180" s="3">
        <f t="shared" si="116"/>
        <v>5.9744552435453196E-4</v>
      </c>
      <c r="Q180" s="3">
        <f t="shared" si="116"/>
        <v>1.0135541471710279E-4</v>
      </c>
      <c r="R180" s="3">
        <f t="shared" si="116"/>
        <v>2.0013976451421862E-12</v>
      </c>
      <c r="S180" s="3">
        <f t="shared" si="116"/>
        <v>1.8038386125201738E-89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3.1446025256457871E-2</v>
      </c>
      <c r="H181" s="3">
        <f t="shared" si="117"/>
        <v>3.1446025251425487E-2</v>
      </c>
      <c r="I181" s="3">
        <f t="shared" si="117"/>
        <v>3.1446025201101707E-2</v>
      </c>
      <c r="J181" s="3">
        <f t="shared" si="117"/>
        <v>3.1446024697863909E-2</v>
      </c>
      <c r="K181" s="3">
        <f t="shared" si="117"/>
        <v>3.1446019665486304E-2</v>
      </c>
      <c r="L181" s="3">
        <f t="shared" si="117"/>
        <v>3.1445969341754601E-2</v>
      </c>
      <c r="M181" s="3">
        <f t="shared" si="117"/>
        <v>3.1445466108866948E-2</v>
      </c>
      <c r="N181" s="3">
        <f t="shared" si="117"/>
        <v>3.1440434222899806E-2</v>
      </c>
      <c r="O181" s="3">
        <f t="shared" si="117"/>
        <v>3.1390159627952705E-2</v>
      </c>
      <c r="P181" s="3">
        <f t="shared" si="117"/>
        <v>3.0891814052736926E-2</v>
      </c>
      <c r="Q181" s="3">
        <f t="shared" si="117"/>
        <v>2.632341860115827E-2</v>
      </c>
      <c r="R181" s="3">
        <f t="shared" si="117"/>
        <v>5.3128930146184574E-3</v>
      </c>
      <c r="S181" s="3">
        <f t="shared" si="117"/>
        <v>5.9596242167638047E-10</v>
      </c>
      <c r="T181" s="3">
        <f t="shared" si="117"/>
        <v>1.8797363167573212E-79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1.9599632071869069E-2</v>
      </c>
      <c r="I182" s="3">
        <f t="shared" si="118"/>
        <v>1.959963206903962E-2</v>
      </c>
      <c r="J182" s="3">
        <f t="shared" si="118"/>
        <v>1.9599632040745118E-2</v>
      </c>
      <c r="K182" s="3">
        <f t="shared" si="118"/>
        <v>1.9599631757800131E-2</v>
      </c>
      <c r="L182" s="3">
        <f t="shared" si="118"/>
        <v>1.9599628928350443E-2</v>
      </c>
      <c r="M182" s="3">
        <f t="shared" si="118"/>
        <v>1.9599600633876058E-2</v>
      </c>
      <c r="N182" s="3">
        <f t="shared" si="118"/>
        <v>1.9599317691378747E-2</v>
      </c>
      <c r="O182" s="3">
        <f t="shared" si="118"/>
        <v>1.9596488491048714E-2</v>
      </c>
      <c r="P182" s="3">
        <f t="shared" si="118"/>
        <v>1.9568218940060819E-2</v>
      </c>
      <c r="Q182" s="3">
        <f t="shared" si="118"/>
        <v>1.928775671489617E-2</v>
      </c>
      <c r="R182" s="3">
        <f t="shared" si="118"/>
        <v>1.669498086117906E-2</v>
      </c>
      <c r="S182" s="3">
        <f t="shared" si="118"/>
        <v>3.9411955723921734E-3</v>
      </c>
      <c r="T182" s="3">
        <f t="shared" si="118"/>
        <v>2.1185981720338312E-9</v>
      </c>
      <c r="U182" s="3">
        <f t="shared" si="118"/>
        <v>4.2682973150946591E-72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3.2516214564022539E-2</v>
      </c>
      <c r="J183" s="3">
        <f t="shared" si="119"/>
        <v>3.2516214559788051E-2</v>
      </c>
      <c r="K183" s="3">
        <f t="shared" si="119"/>
        <v>3.2516214517443194E-2</v>
      </c>
      <c r="L183" s="3">
        <f t="shared" si="119"/>
        <v>3.2516214093994633E-2</v>
      </c>
      <c r="M183" s="3">
        <f t="shared" si="119"/>
        <v>3.2516209859509308E-2</v>
      </c>
      <c r="N183" s="3">
        <f t="shared" si="119"/>
        <v>3.2516167514686396E-2</v>
      </c>
      <c r="O183" s="3">
        <f t="shared" si="119"/>
        <v>3.2515744069490184E-2</v>
      </c>
      <c r="P183" s="3">
        <f t="shared" si="119"/>
        <v>3.2511509920806023E-2</v>
      </c>
      <c r="Q183" s="3">
        <f t="shared" si="119"/>
        <v>3.2469198747148161E-2</v>
      </c>
      <c r="R183" s="3">
        <f t="shared" si="119"/>
        <v>3.2049103773604003E-2</v>
      </c>
      <c r="S183" s="3">
        <f t="shared" si="119"/>
        <v>2.8135786993820997E-2</v>
      </c>
      <c r="T183" s="3">
        <f t="shared" si="119"/>
        <v>7.6505181236313832E-3</v>
      </c>
      <c r="U183" s="3">
        <f t="shared" si="119"/>
        <v>1.690474628594386E-8</v>
      </c>
      <c r="V183" s="3">
        <f t="shared" si="119"/>
        <v>4.690150130989514E-65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3.216392306284873E-2</v>
      </c>
      <c r="K184" s="3">
        <f t="shared" si="120"/>
        <v>3.216392305907026E-2</v>
      </c>
      <c r="L184" s="3">
        <f t="shared" si="120"/>
        <v>3.2163923021285533E-2</v>
      </c>
      <c r="M184" s="3">
        <f t="shared" si="120"/>
        <v>3.2163922643438259E-2</v>
      </c>
      <c r="N184" s="3">
        <f t="shared" si="120"/>
        <v>3.2163918864965807E-2</v>
      </c>
      <c r="O184" s="3">
        <f t="shared" si="120"/>
        <v>3.2163881080265695E-2</v>
      </c>
      <c r="P184" s="3">
        <f t="shared" si="120"/>
        <v>3.2163503235705881E-2</v>
      </c>
      <c r="Q184" s="3">
        <f t="shared" si="120"/>
        <v>3.2159725034228821E-2</v>
      </c>
      <c r="R184" s="3">
        <f t="shared" si="120"/>
        <v>3.2121967420958623E-2</v>
      </c>
      <c r="S184" s="3">
        <f t="shared" si="120"/>
        <v>3.1746820865207227E-2</v>
      </c>
      <c r="T184" s="3">
        <f t="shared" si="120"/>
        <v>2.8228076322815175E-2</v>
      </c>
      <c r="U184" s="3">
        <f t="shared" si="120"/>
        <v>8.7195023410157353E-3</v>
      </c>
      <c r="V184" s="3">
        <f t="shared" si="120"/>
        <v>6.8959777994945416E-8</v>
      </c>
      <c r="W184" s="3">
        <f t="shared" si="120"/>
        <v>6.6014207709728678E-59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3.3900572604601921E-2</v>
      </c>
      <c r="L185" s="3">
        <f t="shared" si="121"/>
        <v>3.3900572601009385E-2</v>
      </c>
      <c r="M185" s="3">
        <f t="shared" si="121"/>
        <v>3.3900572565084039E-2</v>
      </c>
      <c r="N185" s="3">
        <f t="shared" si="121"/>
        <v>3.3900572205830634E-2</v>
      </c>
      <c r="O185" s="3">
        <f t="shared" si="121"/>
        <v>3.3900568613296746E-2</v>
      </c>
      <c r="P185" s="3">
        <f t="shared" si="121"/>
        <v>3.3900532687978803E-2</v>
      </c>
      <c r="Q185" s="3">
        <f t="shared" si="121"/>
        <v>3.3900173436893291E-2</v>
      </c>
      <c r="R185" s="3">
        <f t="shared" si="121"/>
        <v>3.3896581135419782E-2</v>
      </c>
      <c r="S185" s="3">
        <f t="shared" si="121"/>
        <v>3.3860679050638318E-2</v>
      </c>
      <c r="T185" s="3">
        <f t="shared" si="121"/>
        <v>3.3503743014790123E-2</v>
      </c>
      <c r="U185" s="3">
        <f t="shared" si="121"/>
        <v>3.0134915911023741E-2</v>
      </c>
      <c r="V185" s="3">
        <f t="shared" si="121"/>
        <v>1.0443270691318614E-2</v>
      </c>
      <c r="W185" s="3">
        <f t="shared" si="121"/>
        <v>2.6091680213647334E-7</v>
      </c>
      <c r="X185" s="3">
        <f t="shared" si="121"/>
        <v>2.4726187960416464E-53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4.6234934193264458E-2</v>
      </c>
      <c r="M186" s="3">
        <f t="shared" si="122"/>
        <v>4.6234934188844577E-2</v>
      </c>
      <c r="N186" s="3">
        <f t="shared" si="122"/>
        <v>4.6234934144645759E-2</v>
      </c>
      <c r="O186" s="3">
        <f t="shared" si="122"/>
        <v>4.6234933702657528E-2</v>
      </c>
      <c r="P186" s="3">
        <f t="shared" si="122"/>
        <v>4.6234929282775505E-2</v>
      </c>
      <c r="Q186" s="3">
        <f t="shared" si="122"/>
        <v>4.6234885083978515E-2</v>
      </c>
      <c r="R186" s="3">
        <f t="shared" si="122"/>
        <v>4.6234443098332453E-2</v>
      </c>
      <c r="S186" s="3">
        <f t="shared" si="122"/>
        <v>4.6230023474250793E-2</v>
      </c>
      <c r="T186" s="3">
        <f t="shared" si="122"/>
        <v>4.6185850463111848E-2</v>
      </c>
      <c r="U186" s="3">
        <f t="shared" si="122"/>
        <v>4.5746435123979655E-2</v>
      </c>
      <c r="V186" s="3">
        <f t="shared" si="122"/>
        <v>4.1575776642382906E-2</v>
      </c>
      <c r="W186" s="3">
        <f t="shared" si="122"/>
        <v>1.5983486262017361E-2</v>
      </c>
      <c r="X186" s="3">
        <f t="shared" si="122"/>
        <v>1.1271531433447468E-6</v>
      </c>
      <c r="Y186" s="3">
        <f t="shared" si="122"/>
        <v>3.4284440826228943E-48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5.6671396993832855E-2</v>
      </c>
      <c r="M187" s="3">
        <f t="shared" si="123"/>
        <v>5.6671396993344142E-2</v>
      </c>
      <c r="N187" s="3">
        <f t="shared" si="123"/>
        <v>5.6671396988457044E-2</v>
      </c>
      <c r="O187" s="3">
        <f t="shared" si="123"/>
        <v>5.6671396939586074E-2</v>
      </c>
      <c r="P187" s="3">
        <f t="shared" si="123"/>
        <v>5.667139645087637E-2</v>
      </c>
      <c r="Q187" s="3">
        <f t="shared" si="123"/>
        <v>5.6671391563779518E-2</v>
      </c>
      <c r="R187" s="3">
        <f t="shared" si="123"/>
        <v>5.6671342692834255E-2</v>
      </c>
      <c r="S187" s="3">
        <f t="shared" si="123"/>
        <v>5.6670853985699543E-2</v>
      </c>
      <c r="T187" s="3">
        <f t="shared" si="123"/>
        <v>5.6665967146137391E-2</v>
      </c>
      <c r="U187" s="3">
        <f t="shared" si="123"/>
        <v>5.6617121921621064E-2</v>
      </c>
      <c r="V187" s="3">
        <f t="shared" si="123"/>
        <v>5.6130979410750154E-2</v>
      </c>
      <c r="W187" s="3">
        <f t="shared" si="123"/>
        <v>5.1493324936308253E-2</v>
      </c>
      <c r="X187" s="3">
        <f t="shared" si="123"/>
        <v>2.1738725872867459E-2</v>
      </c>
      <c r="Y187" s="3">
        <f t="shared" si="123"/>
        <v>3.9089993180395891E-6</v>
      </c>
      <c r="Z187" s="3">
        <f t="shared" si="123"/>
        <v>1.3815947696308241E-43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5.8705737383047893E-2</v>
      </c>
      <c r="N188" s="3">
        <f t="shared" si="124"/>
        <v>5.8705737382591203E-2</v>
      </c>
      <c r="O188" s="3">
        <f t="shared" si="124"/>
        <v>5.8705737378024384E-2</v>
      </c>
      <c r="P188" s="3">
        <f t="shared" si="124"/>
        <v>5.8705737332356157E-2</v>
      </c>
      <c r="Q188" s="3">
        <f t="shared" si="124"/>
        <v>5.8705736875673847E-2</v>
      </c>
      <c r="R188" s="3">
        <f t="shared" si="124"/>
        <v>5.8705732308850969E-2</v>
      </c>
      <c r="S188" s="3">
        <f t="shared" si="124"/>
        <v>5.8705686640641803E-2</v>
      </c>
      <c r="T188" s="3">
        <f t="shared" si="124"/>
        <v>5.8705229960504007E-2</v>
      </c>
      <c r="U188" s="3">
        <f t="shared" si="124"/>
        <v>5.8700663354513502E-2</v>
      </c>
      <c r="V188" s="3">
        <f t="shared" si="124"/>
        <v>5.8655016827729195E-2</v>
      </c>
      <c r="W188" s="3">
        <f t="shared" si="124"/>
        <v>5.820049926142945E-2</v>
      </c>
      <c r="X188" s="3">
        <f t="shared" si="124"/>
        <v>5.3844602439155113E-2</v>
      </c>
      <c r="Y188" s="3">
        <f t="shared" si="124"/>
        <v>2.473414030330285E-2</v>
      </c>
      <c r="Z188" s="3">
        <f t="shared" si="124"/>
        <v>1.0347686741141971E-5</v>
      </c>
      <c r="AA188" s="3">
        <f t="shared" si="124"/>
        <v>1.6994476850473951E-39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5.6202356064533901E-2</v>
      </c>
      <c r="P189" s="3">
        <f t="shared" si="125"/>
        <v>5.6202356060589917E-2</v>
      </c>
      <c r="Q189" s="3">
        <f t="shared" si="125"/>
        <v>5.6202356021150118E-2</v>
      </c>
      <c r="R189" s="3">
        <f t="shared" si="125"/>
        <v>5.6202355626752069E-2</v>
      </c>
      <c r="S189" s="3">
        <f t="shared" si="125"/>
        <v>5.6202351682771795E-2</v>
      </c>
      <c r="T189" s="3">
        <f t="shared" si="125"/>
        <v>5.62023122429842E-2</v>
      </c>
      <c r="U189" s="3">
        <f t="shared" si="125"/>
        <v>5.6201917846630499E-2</v>
      </c>
      <c r="V189" s="3">
        <f t="shared" si="125"/>
        <v>5.6197974035311217E-2</v>
      </c>
      <c r="W189" s="3">
        <f t="shared" si="125"/>
        <v>5.6158551139936522E-2</v>
      </c>
      <c r="X189" s="3">
        <f t="shared" si="125"/>
        <v>5.5765840024158603E-2</v>
      </c>
      <c r="Y189" s="3">
        <f t="shared" si="125"/>
        <v>5.1986644539413922E-2</v>
      </c>
      <c r="Z189" s="3">
        <f t="shared" si="125"/>
        <v>2.577075670847373E-2</v>
      </c>
      <c r="AA189" s="3">
        <f t="shared" si="125"/>
        <v>2.3093034855318024E-5</v>
      </c>
      <c r="AB189" s="3">
        <f t="shared" si="125"/>
        <v>7.709379276716566E-36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6.341529617977272E-2</v>
      </c>
      <c r="R190" s="3">
        <f t="shared" si="126"/>
        <v>6.3415296139628693E-2</v>
      </c>
      <c r="S190" s="3">
        <f t="shared" si="126"/>
        <v>6.3415295738188521E-2</v>
      </c>
      <c r="T190" s="3">
        <f t="shared" si="126"/>
        <v>6.3415291723786793E-2</v>
      </c>
      <c r="U190" s="3">
        <f t="shared" si="126"/>
        <v>6.3415251579783491E-2</v>
      </c>
      <c r="V190" s="3">
        <f t="shared" si="126"/>
        <v>6.3414850141148227E-2</v>
      </c>
      <c r="W190" s="3">
        <f t="shared" si="126"/>
        <v>6.3410835894560785E-2</v>
      </c>
      <c r="X190" s="3">
        <f t="shared" si="126"/>
        <v>6.3370707401933485E-2</v>
      </c>
      <c r="Y190" s="3">
        <f t="shared" si="126"/>
        <v>6.2970816533062871E-2</v>
      </c>
      <c r="Z190" s="3">
        <f t="shared" si="126"/>
        <v>5.9108102941590801E-2</v>
      </c>
      <c r="AA190" s="3">
        <f t="shared" si="126"/>
        <v>3.1385133724395789E-2</v>
      </c>
      <c r="AB190" s="3">
        <f t="shared" si="126"/>
        <v>5.5910529782042622E-5</v>
      </c>
      <c r="AC190" s="3">
        <f t="shared" si="126"/>
        <v>1.7996574467926421E-32</v>
      </c>
      <c r="AD190" s="3">
        <f t="shared" si="126"/>
        <v>2.1485835750780111E-307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3.5348869963556684E-2</v>
      </c>
      <c r="S191" s="3">
        <f t="shared" si="127"/>
        <v>3.5348869943370748E-2</v>
      </c>
      <c r="T191" s="3">
        <f t="shared" si="127"/>
        <v>3.5348869741511357E-2</v>
      </c>
      <c r="U191" s="3">
        <f t="shared" si="127"/>
        <v>3.5348867722917565E-2</v>
      </c>
      <c r="V191" s="3">
        <f t="shared" si="127"/>
        <v>3.5348847536986E-2</v>
      </c>
      <c r="W191" s="3">
        <f t="shared" si="127"/>
        <v>3.5348645678304313E-2</v>
      </c>
      <c r="X191" s="3">
        <f t="shared" si="127"/>
        <v>3.5346627154885367E-2</v>
      </c>
      <c r="Y191" s="3">
        <f t="shared" si="127"/>
        <v>3.5326448259146298E-2</v>
      </c>
      <c r="Z191" s="3">
        <f t="shared" si="127"/>
        <v>3.51252918096027E-2</v>
      </c>
      <c r="AA191" s="3">
        <f t="shared" si="127"/>
        <v>3.3175661852799208E-2</v>
      </c>
      <c r="AB191" s="3">
        <f t="shared" si="127"/>
        <v>1.8742009102593382E-2</v>
      </c>
      <c r="AC191" s="3">
        <f t="shared" si="127"/>
        <v>6.2055693214749127E-5</v>
      </c>
      <c r="AD191" s="3">
        <f t="shared" si="127"/>
        <v>9.8273517467403044E-30</v>
      </c>
      <c r="AE191" s="3">
        <f t="shared" si="127"/>
        <v>9.7495640204633739E-278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7.0460456799298923E-2</v>
      </c>
      <c r="S192" s="3">
        <f t="shared" si="128"/>
        <v>7.0460456788170547E-2</v>
      </c>
      <c r="T192" s="3">
        <f t="shared" si="128"/>
        <v>7.0460456676886801E-2</v>
      </c>
      <c r="U192" s="3">
        <f t="shared" si="128"/>
        <v>7.0460455564049368E-2</v>
      </c>
      <c r="V192" s="3">
        <f t="shared" si="128"/>
        <v>7.046044443567602E-2</v>
      </c>
      <c r="W192" s="3">
        <f t="shared" si="128"/>
        <v>7.0460333152039159E-2</v>
      </c>
      <c r="X192" s="3">
        <f t="shared" si="128"/>
        <v>7.045922032533726E-2</v>
      </c>
      <c r="Y192" s="3">
        <f t="shared" si="128"/>
        <v>7.0448093024931047E-2</v>
      </c>
      <c r="Z192" s="3">
        <f t="shared" si="128"/>
        <v>7.0336916625676496E-2</v>
      </c>
      <c r="AA192" s="3">
        <f t="shared" si="128"/>
        <v>6.9234756898635813E-2</v>
      </c>
      <c r="AB192" s="3">
        <f t="shared" si="128"/>
        <v>5.9119755112077219E-2</v>
      </c>
      <c r="AC192" s="3">
        <f t="shared" si="128"/>
        <v>1.2184765477092499E-2</v>
      </c>
      <c r="AD192" s="3">
        <f t="shared" si="128"/>
        <v>1.6852434839991282E-9</v>
      </c>
      <c r="AE192" s="3">
        <f t="shared" si="128"/>
        <v>4.316358182293308E-78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8.6875447409172246E-2</v>
      </c>
      <c r="S193" s="3">
        <f t="shared" si="129"/>
        <v>8.6875447407800149E-2</v>
      </c>
      <c r="T193" s="3">
        <f t="shared" si="129"/>
        <v>8.6875447394079222E-2</v>
      </c>
      <c r="U193" s="3">
        <f t="shared" si="129"/>
        <v>8.6875447256869992E-2</v>
      </c>
      <c r="V193" s="3">
        <f t="shared" si="129"/>
        <v>8.6875445884777705E-2</v>
      </c>
      <c r="W193" s="3">
        <f t="shared" si="129"/>
        <v>8.6875432163855945E-2</v>
      </c>
      <c r="X193" s="3">
        <f t="shared" si="129"/>
        <v>8.6875294954757681E-2</v>
      </c>
      <c r="Y193" s="3">
        <f t="shared" si="129"/>
        <v>8.6873922875693677E-2</v>
      </c>
      <c r="Z193" s="3">
        <f t="shared" si="129"/>
        <v>8.6860203276855646E-2</v>
      </c>
      <c r="AA193" s="3">
        <f t="shared" si="129"/>
        <v>8.6723126399055384E-2</v>
      </c>
      <c r="AB193" s="3">
        <f t="shared" si="129"/>
        <v>8.5364199367482824E-2</v>
      </c>
      <c r="AC193" s="3">
        <f t="shared" si="129"/>
        <v>7.2892731743578354E-2</v>
      </c>
      <c r="AD193" s="3">
        <f t="shared" si="129"/>
        <v>1.5023418814850217E-2</v>
      </c>
      <c r="AE193" s="3">
        <f t="shared" si="129"/>
        <v>2.0778503051794136E-9</v>
      </c>
      <c r="AF193" s="3">
        <f t="shared" si="129"/>
        <v>5.3219289980927459E-78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9.6215979999006884E-2</v>
      </c>
      <c r="T194" s="3">
        <f t="shared" si="130"/>
        <v>9.6215979997487266E-2</v>
      </c>
      <c r="U194" s="3">
        <f t="shared" si="130"/>
        <v>9.6215979982291117E-2</v>
      </c>
      <c r="V194" s="3">
        <f t="shared" si="130"/>
        <v>9.6215979830329645E-2</v>
      </c>
      <c r="W194" s="3">
        <f t="shared" si="130"/>
        <v>9.6215978310714975E-2</v>
      </c>
      <c r="X194" s="3">
        <f t="shared" si="130"/>
        <v>9.621596311456955E-2</v>
      </c>
      <c r="Y194" s="3">
        <f t="shared" si="130"/>
        <v>9.6215811153247358E-2</v>
      </c>
      <c r="Z194" s="3">
        <f t="shared" si="130"/>
        <v>9.6214291553225528E-2</v>
      </c>
      <c r="AA194" s="3">
        <f t="shared" si="130"/>
        <v>9.6199096872947476E-2</v>
      </c>
      <c r="AB194" s="3">
        <f t="shared" si="130"/>
        <v>9.6047281987084079E-2</v>
      </c>
      <c r="AC194" s="3">
        <f t="shared" si="130"/>
        <v>9.4542248056449132E-2</v>
      </c>
      <c r="AD194" s="3">
        <f t="shared" si="130"/>
        <v>8.0729893527692331E-2</v>
      </c>
      <c r="AE194" s="3">
        <f t="shared" si="130"/>
        <v>1.6638682243537064E-2</v>
      </c>
      <c r="AF194" s="3">
        <f t="shared" si="130"/>
        <v>2.3012532236232851E-9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0.1116141683459482</v>
      </c>
      <c r="U195" s="3">
        <f t="shared" si="131"/>
        <v>0.11161416834418539</v>
      </c>
      <c r="V195" s="3">
        <f t="shared" si="131"/>
        <v>0.11161416832655728</v>
      </c>
      <c r="W195" s="3">
        <f t="shared" si="131"/>
        <v>0.11161416815027624</v>
      </c>
      <c r="X195" s="3">
        <f t="shared" si="131"/>
        <v>0.11161416638746587</v>
      </c>
      <c r="Y195" s="3">
        <f t="shared" si="131"/>
        <v>0.11161414875936361</v>
      </c>
      <c r="Z195" s="3">
        <f t="shared" si="131"/>
        <v>0.11161397247849428</v>
      </c>
      <c r="AA195" s="3">
        <f t="shared" si="131"/>
        <v>0.11161220968511364</v>
      </c>
      <c r="AB195" s="3">
        <f t="shared" si="131"/>
        <v>0.11159458328248763</v>
      </c>
      <c r="AC195" s="3">
        <f t="shared" si="131"/>
        <v>0.11141847228483055</v>
      </c>
      <c r="AD195" s="3">
        <f t="shared" si="131"/>
        <v>0.10967257611974461</v>
      </c>
      <c r="AE195" s="3">
        <f t="shared" si="131"/>
        <v>9.3649723537018795E-2</v>
      </c>
      <c r="AF195" s="3">
        <f t="shared" si="131"/>
        <v>1.9301499407936743E-2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6.6462351022281346E-2</v>
      </c>
      <c r="V196" s="3">
        <f t="shared" si="132"/>
        <v>6.6462351021231658E-2</v>
      </c>
      <c r="W196" s="3">
        <f t="shared" si="132"/>
        <v>6.6462351010734735E-2</v>
      </c>
      <c r="X196" s="3">
        <f t="shared" si="132"/>
        <v>6.6462350905765508E-2</v>
      </c>
      <c r="Y196" s="3">
        <f t="shared" si="132"/>
        <v>6.6462349856073313E-2</v>
      </c>
      <c r="Z196" s="3">
        <f t="shared" si="132"/>
        <v>6.6462339359152203E-2</v>
      </c>
      <c r="AA196" s="3">
        <f t="shared" si="132"/>
        <v>6.6462234390032335E-2</v>
      </c>
      <c r="AB196" s="3">
        <f t="shared" si="132"/>
        <v>6.6461184707951815E-2</v>
      </c>
      <c r="AC196" s="3">
        <f t="shared" si="132"/>
        <v>6.645068879891132E-2</v>
      </c>
      <c r="AD196" s="3">
        <f t="shared" si="132"/>
        <v>6.6345820831711227E-2</v>
      </c>
      <c r="AE196" s="3">
        <f t="shared" si="132"/>
        <v>6.5306200454728777E-2</v>
      </c>
      <c r="AF196" s="3">
        <f t="shared" si="132"/>
        <v>5.576514963194542E-2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4.7100906600929159E-2</v>
      </c>
      <c r="X197" s="3">
        <f t="shared" si="133"/>
        <v>4.7100906593490137E-2</v>
      </c>
      <c r="Y197" s="3">
        <f t="shared" si="133"/>
        <v>4.7100906519099969E-2</v>
      </c>
      <c r="Z197" s="3">
        <f t="shared" si="133"/>
        <v>4.7100905775198293E-2</v>
      </c>
      <c r="AA197" s="3">
        <f t="shared" si="133"/>
        <v>4.7100898336182175E-2</v>
      </c>
      <c r="AB197" s="3">
        <f t="shared" si="133"/>
        <v>4.7100823946085606E-2</v>
      </c>
      <c r="AC197" s="3">
        <f t="shared" si="133"/>
        <v>4.710008005158179E-2</v>
      </c>
      <c r="AD197" s="3">
        <f t="shared" si="133"/>
        <v>4.709264175269811E-2</v>
      </c>
      <c r="AE197" s="3">
        <f t="shared" si="133"/>
        <v>4.7018323341558199E-2</v>
      </c>
      <c r="AF197" s="3">
        <f t="shared" si="133"/>
        <v>4.6281559421470109E-2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2.259812877351958E-2</v>
      </c>
      <c r="X198" s="3">
        <f t="shared" si="134"/>
        <v>2.2598128773162671E-2</v>
      </c>
      <c r="Y198" s="3">
        <f t="shared" si="134"/>
        <v>2.2598128769593568E-2</v>
      </c>
      <c r="Z198" s="3">
        <f t="shared" si="134"/>
        <v>2.2598128733902566E-2</v>
      </c>
      <c r="AA198" s="3">
        <f t="shared" si="134"/>
        <v>2.259812837699254E-2</v>
      </c>
      <c r="AB198" s="3">
        <f t="shared" si="134"/>
        <v>2.2598124807892569E-2</v>
      </c>
      <c r="AC198" s="3">
        <f t="shared" si="134"/>
        <v>2.2598089116923903E-2</v>
      </c>
      <c r="AD198" s="3">
        <f t="shared" si="134"/>
        <v>2.2597732210337514E-2</v>
      </c>
      <c r="AE198" s="3">
        <f t="shared" si="134"/>
        <v>2.2594163454486359E-2</v>
      </c>
      <c r="AF198" s="3">
        <f t="shared" si="134"/>
        <v>2.2558506879138754E-2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6.4467605951897379E-3</v>
      </c>
      <c r="Y199" s="3">
        <f t="shared" si="135"/>
        <v>6.4467605950879192E-3</v>
      </c>
      <c r="Z199" s="3">
        <f t="shared" si="135"/>
        <v>6.4467605940697311E-3</v>
      </c>
      <c r="AA199" s="3">
        <f t="shared" si="135"/>
        <v>6.4467605838878549E-3</v>
      </c>
      <c r="AB199" s="3">
        <f t="shared" si="135"/>
        <v>6.4467604820690931E-3</v>
      </c>
      <c r="AC199" s="3">
        <f t="shared" si="135"/>
        <v>6.446759463881558E-3</v>
      </c>
      <c r="AD199" s="3">
        <f t="shared" si="135"/>
        <v>6.4467492820150536E-3</v>
      </c>
      <c r="AE199" s="3">
        <f t="shared" si="135"/>
        <v>6.4466474642344597E-3</v>
      </c>
      <c r="AF199" s="3">
        <f t="shared" si="135"/>
        <v>6.4456293748684926E-3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9.8307104636518274E-5</v>
      </c>
      <c r="Z200" s="3">
        <f t="shared" si="136"/>
        <v>9.8307104634965628E-5</v>
      </c>
      <c r="AA200" s="3">
        <f t="shared" si="136"/>
        <v>9.8307104619439216E-5</v>
      </c>
      <c r="AB200" s="3">
        <f t="shared" si="136"/>
        <v>9.8307104464175068E-5</v>
      </c>
      <c r="AC200" s="3">
        <f t="shared" si="136"/>
        <v>9.8307102911533617E-5</v>
      </c>
      <c r="AD200" s="3">
        <f t="shared" si="136"/>
        <v>9.8307087385120454E-5</v>
      </c>
      <c r="AE200" s="3">
        <f t="shared" si="136"/>
        <v>9.8306932121123753E-5</v>
      </c>
      <c r="AF200" s="3">
        <f t="shared" si="136"/>
        <v>9.8305379494643692E-5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1.1020901234506121E-2</v>
      </c>
      <c r="AB201" s="3">
        <f t="shared" si="137"/>
        <v>1.1020901232765503E-2</v>
      </c>
      <c r="AC201" s="3">
        <f t="shared" si="137"/>
        <v>1.1020901215359325E-2</v>
      </c>
      <c r="AD201" s="3">
        <f t="shared" si="137"/>
        <v>1.1020901041297562E-2</v>
      </c>
      <c r="AE201" s="3">
        <f t="shared" si="137"/>
        <v>1.1020899300680068E-2</v>
      </c>
      <c r="AF201" s="3">
        <f t="shared" si="137"/>
        <v>1.1020881894520267E-2</v>
      </c>
      <c r="AG201" s="3"/>
      <c r="AH201" s="3"/>
    </row>
    <row r="202" spans="1:34" x14ac:dyDescent="0.25">
      <c r="A202" s="80">
        <f>AVERAGE(B202:AF202)</f>
        <v>1.4419418959545483E-2</v>
      </c>
      <c r="B202" s="81">
        <f>IF($A$64&lt;=B168,IF($B$64&gt;=B168,ABS((B170-B169)/B169),0),0)</f>
        <v>1.847701662981781E-3</v>
      </c>
      <c r="C202" s="81">
        <f t="shared" ref="C202:AF202" si="138">IF($A$64&lt;=C168,IF($B$64&gt;=C168,ABS((C170-C169)/C169),0),0)</f>
        <v>2.0311976785075997E-3</v>
      </c>
      <c r="D202" s="81">
        <f t="shared" si="138"/>
        <v>2.0274196780339323E-3</v>
      </c>
      <c r="E202" s="81">
        <f t="shared" si="138"/>
        <v>2.0262754374962802E-3</v>
      </c>
      <c r="F202" s="81">
        <f t="shared" si="138"/>
        <v>2.0259267488761949E-3</v>
      </c>
      <c r="G202" s="81">
        <f t="shared" si="138"/>
        <v>2.0258251897290213E-3</v>
      </c>
      <c r="H202" s="81">
        <f t="shared" si="138"/>
        <v>2.025777801796207E-3</v>
      </c>
      <c r="I202" s="81">
        <f t="shared" si="138"/>
        <v>2.0257744829293286E-3</v>
      </c>
      <c r="J202" s="81">
        <f t="shared" si="138"/>
        <v>2.0257379089335557E-3</v>
      </c>
      <c r="K202" s="81">
        <f t="shared" si="138"/>
        <v>2.0257445549478528E-3</v>
      </c>
      <c r="L202" s="81">
        <f t="shared" si="138"/>
        <v>2.0257602350196541E-3</v>
      </c>
      <c r="M202" s="81">
        <f t="shared" si="138"/>
        <v>2.0260388907667338E-3</v>
      </c>
      <c r="N202" s="81">
        <f t="shared" si="138"/>
        <v>2.0284615471493532E-3</v>
      </c>
      <c r="O202" s="81">
        <f t="shared" si="138"/>
        <v>2.0526775521413805E-3</v>
      </c>
      <c r="P202" s="81">
        <f t="shared" si="138"/>
        <v>2.2823862902324413E-3</v>
      </c>
      <c r="Q202" s="81">
        <f t="shared" si="138"/>
        <v>3.8340407462762365E-3</v>
      </c>
      <c r="R202" s="81">
        <f t="shared" si="138"/>
        <v>7.5749637418460513E-3</v>
      </c>
      <c r="S202" s="81">
        <f t="shared" si="138"/>
        <v>5.9093811547440422E-3</v>
      </c>
      <c r="T202" s="81">
        <f t="shared" si="138"/>
        <v>6.0645698890273644E-3</v>
      </c>
      <c r="U202" s="81">
        <f t="shared" si="138"/>
        <v>3.2185113431369588E-3</v>
      </c>
      <c r="V202" s="81">
        <f t="shared" si="138"/>
        <v>1.938286866108983E-2</v>
      </c>
      <c r="W202" s="81">
        <f t="shared" si="138"/>
        <v>3.3479222020997151E-2</v>
      </c>
      <c r="X202" s="81">
        <f t="shared" si="138"/>
        <v>3.9883705878619134E-2</v>
      </c>
      <c r="Y202" s="81">
        <f t="shared" si="138"/>
        <v>3.4635567997358147E-2</v>
      </c>
      <c r="Z202" s="81">
        <f t="shared" si="138"/>
        <v>2.5088905737170951E-2</v>
      </c>
      <c r="AA202" s="81">
        <f t="shared" si="138"/>
        <v>1.2230897297345866E-2</v>
      </c>
      <c r="AB202" s="81">
        <f t="shared" si="138"/>
        <v>5.6964932654598923E-3</v>
      </c>
      <c r="AC202" s="81">
        <f t="shared" si="138"/>
        <v>2.013816250473353E-2</v>
      </c>
      <c r="AD202" s="81">
        <f t="shared" si="138"/>
        <v>3.8146474951561059E-2</v>
      </c>
      <c r="AE202" s="81">
        <f t="shared" si="138"/>
        <v>6.1840592484845802E-2</v>
      </c>
      <c r="AF202" s="81">
        <f t="shared" si="138"/>
        <v>9.9374924412156687E-2</v>
      </c>
    </row>
    <row r="203" spans="1:34" x14ac:dyDescent="0.25">
      <c r="B203" s="21">
        <f>(B170-B169)^2</f>
        <v>120.30999763935698</v>
      </c>
      <c r="C203" s="21">
        <f t="shared" ref="C203:AF203" si="139">(C170-C169)^2</f>
        <v>145.39444516614759</v>
      </c>
      <c r="D203" s="21">
        <f t="shared" si="139"/>
        <v>144.85298797849273</v>
      </c>
      <c r="E203" s="21">
        <f t="shared" si="139"/>
        <v>144.68919729367278</v>
      </c>
      <c r="F203" s="21">
        <f t="shared" si="139"/>
        <v>144.63930325109445</v>
      </c>
      <c r="G203" s="21">
        <f t="shared" si="139"/>
        <v>144.62477272233005</v>
      </c>
      <c r="H203" s="21">
        <f t="shared" si="139"/>
        <v>144.61799296433037</v>
      </c>
      <c r="I203" s="21">
        <f t="shared" si="139"/>
        <v>144.61751812324778</v>
      </c>
      <c r="J203" s="21">
        <f t="shared" si="139"/>
        <v>144.61228543416422</v>
      </c>
      <c r="K203" s="21">
        <f t="shared" si="139"/>
        <v>144.61323431989013</v>
      </c>
      <c r="L203" s="21">
        <f t="shared" si="139"/>
        <v>144.61545833998755</v>
      </c>
      <c r="M203" s="21">
        <f t="shared" si="139"/>
        <v>144.65513468381312</v>
      </c>
      <c r="N203" s="21">
        <f t="shared" si="139"/>
        <v>145.0000604590453</v>
      </c>
      <c r="O203" s="21">
        <f t="shared" si="139"/>
        <v>148.47026546579161</v>
      </c>
      <c r="P203" s="21">
        <f t="shared" si="139"/>
        <v>183.40589410513388</v>
      </c>
      <c r="Q203" s="21">
        <f t="shared" si="139"/>
        <v>513.5662324861064</v>
      </c>
      <c r="R203" s="21">
        <f t="shared" si="139"/>
        <v>1922.6878678686262</v>
      </c>
      <c r="S203" s="21">
        <f t="shared" si="139"/>
        <v>1112.9042188326057</v>
      </c>
      <c r="T203" s="21">
        <f t="shared" si="139"/>
        <v>1103.2860511420208</v>
      </c>
      <c r="U203" s="21">
        <f t="shared" si="139"/>
        <v>284.7494353174144</v>
      </c>
      <c r="V203" s="21">
        <f t="shared" si="139"/>
        <v>9269.3877031608499</v>
      </c>
      <c r="W203" s="21">
        <f t="shared" si="139"/>
        <v>24373.013957591855</v>
      </c>
      <c r="X203" s="21">
        <f t="shared" si="139"/>
        <v>30048.517294652895</v>
      </c>
      <c r="Y203" s="21">
        <f t="shared" si="139"/>
        <v>19703.262822778644</v>
      </c>
      <c r="Z203" s="21">
        <f t="shared" si="139"/>
        <v>8953.4736116463573</v>
      </c>
      <c r="AA203" s="21">
        <f t="shared" si="139"/>
        <v>1819.2548134573135</v>
      </c>
      <c r="AB203" s="21">
        <f t="shared" si="139"/>
        <v>326.35352628120648</v>
      </c>
      <c r="AC203" s="21">
        <f t="shared" si="139"/>
        <v>3115.5865448744808</v>
      </c>
      <c r="AD203" s="21">
        <f t="shared" si="139"/>
        <v>7662.2542362454042</v>
      </c>
      <c r="AE203" s="21">
        <f t="shared" si="139"/>
        <v>11634.079517523596</v>
      </c>
      <c r="AF203" s="21">
        <f t="shared" si="139"/>
        <v>13056.284582287752</v>
      </c>
      <c r="AG203" s="3"/>
      <c r="AH203" s="3"/>
    </row>
    <row r="204" spans="1:34" x14ac:dyDescent="0.25">
      <c r="A204" s="72">
        <f>SUM(B204:AF204)</f>
        <v>137087.78096409366</v>
      </c>
      <c r="B204" s="60">
        <f>IF($A$64&lt;=B168,IF($B$64&gt;=B168,ABS(B203),0),0)</f>
        <v>120.30999763935698</v>
      </c>
      <c r="C204" s="60">
        <f t="shared" ref="C204" si="140">IF($A$64&lt;=C168,IF($B$64&gt;=C168,ABS(C203),0),0)</f>
        <v>145.39444516614759</v>
      </c>
      <c r="D204" s="60">
        <f t="shared" ref="D204" si="141">IF($A$64&lt;=D168,IF($B$64&gt;=D168,ABS(D203),0),0)</f>
        <v>144.85298797849273</v>
      </c>
      <c r="E204" s="60">
        <f t="shared" ref="E204" si="142">IF($A$64&lt;=E168,IF($B$64&gt;=E168,ABS(E203),0),0)</f>
        <v>144.68919729367278</v>
      </c>
      <c r="F204" s="60">
        <f t="shared" ref="F204" si="143">IF($A$64&lt;=F168,IF($B$64&gt;=F168,ABS(F203),0),0)</f>
        <v>144.63930325109445</v>
      </c>
      <c r="G204" s="60">
        <f t="shared" ref="G204" si="144">IF($A$64&lt;=G168,IF($B$64&gt;=G168,ABS(G203),0),0)</f>
        <v>144.62477272233005</v>
      </c>
      <c r="H204" s="60">
        <f t="shared" ref="H204" si="145">IF($A$64&lt;=H168,IF($B$64&gt;=H168,ABS(H203),0),0)</f>
        <v>144.61799296433037</v>
      </c>
      <c r="I204" s="60">
        <f t="shared" ref="I204" si="146">IF($A$64&lt;=I168,IF($B$64&gt;=I168,ABS(I203),0),0)</f>
        <v>144.61751812324778</v>
      </c>
      <c r="J204" s="60">
        <f t="shared" ref="J204" si="147">IF($A$64&lt;=J168,IF($B$64&gt;=J168,ABS(J203),0),0)</f>
        <v>144.61228543416422</v>
      </c>
      <c r="K204" s="60">
        <f t="shared" ref="K204" si="148">IF($A$64&lt;=K168,IF($B$64&gt;=K168,ABS(K203),0),0)</f>
        <v>144.61323431989013</v>
      </c>
      <c r="L204" s="60">
        <f t="shared" ref="L204" si="149">IF($A$64&lt;=L168,IF($B$64&gt;=L168,ABS(L203),0),0)</f>
        <v>144.61545833998755</v>
      </c>
      <c r="M204" s="60">
        <f t="shared" ref="M204" si="150">IF($A$64&lt;=M168,IF($B$64&gt;=M168,ABS(M203),0),0)</f>
        <v>144.65513468381312</v>
      </c>
      <c r="N204" s="60">
        <f t="shared" ref="N204" si="151">IF($A$64&lt;=N168,IF($B$64&gt;=N168,ABS(N203),0),0)</f>
        <v>145.0000604590453</v>
      </c>
      <c r="O204" s="60">
        <f t="shared" ref="O204" si="152">IF($A$64&lt;=O168,IF($B$64&gt;=O168,ABS(O203),0),0)</f>
        <v>148.47026546579161</v>
      </c>
      <c r="P204" s="60">
        <f t="shared" ref="P204" si="153">IF($A$64&lt;=P168,IF($B$64&gt;=P168,ABS(P203),0),0)</f>
        <v>183.40589410513388</v>
      </c>
      <c r="Q204" s="60">
        <f t="shared" ref="Q204" si="154">IF($A$64&lt;=Q168,IF($B$64&gt;=Q168,ABS(Q203),0),0)</f>
        <v>513.5662324861064</v>
      </c>
      <c r="R204" s="60">
        <f t="shared" ref="R204" si="155">IF($A$64&lt;=R168,IF($B$64&gt;=R168,ABS(R203),0),0)</f>
        <v>1922.6878678686262</v>
      </c>
      <c r="S204" s="60">
        <f t="shared" ref="S204" si="156">IF($A$64&lt;=S168,IF($B$64&gt;=S168,ABS(S203),0),0)</f>
        <v>1112.9042188326057</v>
      </c>
      <c r="T204" s="60">
        <f t="shared" ref="T204" si="157">IF($A$64&lt;=T168,IF($B$64&gt;=T168,ABS(T203),0),0)</f>
        <v>1103.2860511420208</v>
      </c>
      <c r="U204" s="60">
        <f t="shared" ref="U204" si="158">IF($A$64&lt;=U168,IF($B$64&gt;=U168,ABS(U203),0),0)</f>
        <v>284.7494353174144</v>
      </c>
      <c r="V204" s="60">
        <f t="shared" ref="V204" si="159">IF($A$64&lt;=V168,IF($B$64&gt;=V168,ABS(V203),0),0)</f>
        <v>9269.3877031608499</v>
      </c>
      <c r="W204" s="60">
        <f t="shared" ref="W204" si="160">IF($A$64&lt;=W168,IF($B$64&gt;=W168,ABS(W203),0),0)</f>
        <v>24373.013957591855</v>
      </c>
      <c r="X204" s="60">
        <f t="shared" ref="X204" si="161">IF($A$64&lt;=X168,IF($B$64&gt;=X168,ABS(X203),0),0)</f>
        <v>30048.517294652895</v>
      </c>
      <c r="Y204" s="60">
        <f t="shared" ref="Y204" si="162">IF($A$64&lt;=Y168,IF($B$64&gt;=Y168,ABS(Y203),0),0)</f>
        <v>19703.262822778644</v>
      </c>
      <c r="Z204" s="60">
        <f t="shared" ref="Z204" si="163">IF($A$64&lt;=Z168,IF($B$64&gt;=Z168,ABS(Z203),0),0)</f>
        <v>8953.4736116463573</v>
      </c>
      <c r="AA204" s="60">
        <f t="shared" ref="AA204" si="164">IF($A$64&lt;=AA168,IF($B$64&gt;=AA168,ABS(AA203),0),0)</f>
        <v>1819.2548134573135</v>
      </c>
      <c r="AB204" s="60">
        <f t="shared" ref="AB204" si="165">IF($A$64&lt;=AB168,IF($B$64&gt;=AB168,ABS(AB203),0),0)</f>
        <v>326.35352628120648</v>
      </c>
      <c r="AC204" s="60">
        <f t="shared" ref="AC204" si="166">IF($A$64&lt;=AC168,IF($B$64&gt;=AC168,ABS(AC203),0),0)</f>
        <v>3115.5865448744808</v>
      </c>
      <c r="AD204" s="60">
        <f t="shared" ref="AD204" si="167">IF($A$64&lt;=AD168,IF($B$64&gt;=AD168,ABS(AD203),0),0)</f>
        <v>7662.2542362454042</v>
      </c>
      <c r="AE204" s="60">
        <f t="shared" ref="AE204" si="168">IF($A$64&lt;=AE168,IF($B$64&gt;=AE168,ABS(AE203),0),0)</f>
        <v>11634.079517523596</v>
      </c>
      <c r="AF204" s="60">
        <f t="shared" ref="AF204" si="169">IF($A$64&lt;=AF168,IF($B$64&gt;=AF168,ABS(AF203),0),0)</f>
        <v>13056.284582287752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5924.3223454632598</v>
      </c>
      <c r="C209" s="27">
        <f t="shared" ref="C209:AF209" si="170">($C$17+SUM(C210:C240))*$B$51</f>
        <v>5924.3223454632289</v>
      </c>
      <c r="D209" s="27">
        <f t="shared" si="170"/>
        <v>5924.3223454629151</v>
      </c>
      <c r="E209" s="27">
        <f t="shared" si="170"/>
        <v>5924.3223454597846</v>
      </c>
      <c r="F209" s="27">
        <f t="shared" si="170"/>
        <v>5924.3223454284871</v>
      </c>
      <c r="G209" s="27">
        <f t="shared" si="170"/>
        <v>5924.3223451155091</v>
      </c>
      <c r="H209" s="27">
        <f t="shared" si="170"/>
        <v>5924.3223419857177</v>
      </c>
      <c r="I209" s="27">
        <f t="shared" si="170"/>
        <v>5924.3223106878186</v>
      </c>
      <c r="J209" s="27">
        <f t="shared" si="170"/>
        <v>5924.3219977094623</v>
      </c>
      <c r="K209" s="27">
        <f t="shared" si="170"/>
        <v>5924.318867989512</v>
      </c>
      <c r="L209" s="27">
        <f t="shared" si="170"/>
        <v>5924.2875771492691</v>
      </c>
      <c r="M209" s="27">
        <f t="shared" si="170"/>
        <v>5923.9753021587794</v>
      </c>
      <c r="N209" s="27">
        <f t="shared" si="170"/>
        <v>5920.9134715016289</v>
      </c>
      <c r="O209" s="27">
        <f t="shared" si="170"/>
        <v>5894.6632776376</v>
      </c>
      <c r="P209" s="27">
        <f t="shared" si="170"/>
        <v>5762.7149446843669</v>
      </c>
      <c r="Q209" s="27">
        <f t="shared" si="170"/>
        <v>5626.7572959587624</v>
      </c>
      <c r="R209" s="27">
        <f t="shared" si="170"/>
        <v>5464.7490218102403</v>
      </c>
      <c r="S209" s="27">
        <f t="shared" si="170"/>
        <v>5280.9226366810753</v>
      </c>
      <c r="T209" s="27">
        <f t="shared" si="170"/>
        <v>5086.7035536196836</v>
      </c>
      <c r="U209" s="27">
        <f t="shared" si="170"/>
        <v>4849.3418320107758</v>
      </c>
      <c r="V209" s="27">
        <f t="shared" si="170"/>
        <v>4554.2485508592681</v>
      </c>
      <c r="W209" s="27">
        <f t="shared" si="170"/>
        <v>4227.5264319193448</v>
      </c>
      <c r="X209" s="27">
        <f t="shared" si="170"/>
        <v>3898.7348645897696</v>
      </c>
      <c r="Y209" s="27">
        <f t="shared" si="170"/>
        <v>3563.9216351527116</v>
      </c>
      <c r="Z209" s="27">
        <f t="shared" si="170"/>
        <v>3221.0470249583823</v>
      </c>
      <c r="AA209" s="27">
        <f t="shared" si="170"/>
        <v>2766.7630577255968</v>
      </c>
      <c r="AB209" s="27">
        <f t="shared" si="170"/>
        <v>2266.3154443087446</v>
      </c>
      <c r="AC209" s="27">
        <f t="shared" si="170"/>
        <v>1701.4991478849572</v>
      </c>
      <c r="AD209" s="27">
        <f t="shared" si="170"/>
        <v>1098.8800053059547</v>
      </c>
      <c r="AE209" s="27">
        <f t="shared" si="170"/>
        <v>655.24665654230603</v>
      </c>
      <c r="AF209" s="27">
        <f t="shared" si="170"/>
        <v>367.63309488723212</v>
      </c>
      <c r="AG209" s="27"/>
      <c r="AH209" s="27"/>
    </row>
    <row r="210" spans="1:34" x14ac:dyDescent="0.25">
      <c r="B210" s="3">
        <f t="shared" ref="B210:AF210" si="171">$C18*EXP(-B$207/$A18/EXP(-$D$126))</f>
        <v>3.5643830058351892E-64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7.2761897872387936E-4</v>
      </c>
      <c r="D219" s="3">
        <f t="shared" si="180"/>
        <v>7.276189787136394E-4</v>
      </c>
      <c r="E219" s="3">
        <f t="shared" si="180"/>
        <v>7.2761897861123954E-4</v>
      </c>
      <c r="F219" s="3">
        <f t="shared" si="180"/>
        <v>7.2761897758724062E-4</v>
      </c>
      <c r="G219" s="3">
        <f t="shared" si="180"/>
        <v>7.2761896734725208E-4</v>
      </c>
      <c r="H219" s="3">
        <f t="shared" si="180"/>
        <v>7.2761886494737444E-4</v>
      </c>
      <c r="I219" s="3">
        <f t="shared" si="180"/>
        <v>7.2761784094939037E-4</v>
      </c>
      <c r="J219" s="3">
        <f t="shared" si="180"/>
        <v>7.2760760104881046E-4</v>
      </c>
      <c r="K219" s="3">
        <f t="shared" si="180"/>
        <v>7.2750520996861761E-4</v>
      </c>
      <c r="L219" s="3">
        <f t="shared" si="180"/>
        <v>7.2648209131477874E-4</v>
      </c>
      <c r="M219" s="3">
        <f t="shared" si="180"/>
        <v>7.1632970865283263E-4</v>
      </c>
      <c r="N219" s="3">
        <f t="shared" si="180"/>
        <v>6.2229092366671707E-4</v>
      </c>
      <c r="O219" s="3">
        <f t="shared" si="180"/>
        <v>1.5233458067963977E-4</v>
      </c>
      <c r="P219" s="3">
        <f t="shared" si="180"/>
        <v>1.1771961934104665E-10</v>
      </c>
      <c r="Q219" s="3">
        <f t="shared" si="180"/>
        <v>8.9403048019854456E-72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3.1446025256573452E-2</v>
      </c>
      <c r="F220" s="3">
        <f t="shared" si="181"/>
        <v>3.1446025252581292E-2</v>
      </c>
      <c r="G220" s="3">
        <f t="shared" si="181"/>
        <v>3.1446025212659705E-2</v>
      </c>
      <c r="H220" s="3">
        <f t="shared" si="181"/>
        <v>3.1446024813443822E-2</v>
      </c>
      <c r="I220" s="3">
        <f t="shared" si="181"/>
        <v>3.144602082128535E-2</v>
      </c>
      <c r="J220" s="3">
        <f t="shared" si="181"/>
        <v>3.1445980899728485E-2</v>
      </c>
      <c r="K220" s="3">
        <f t="shared" si="181"/>
        <v>3.144558168694727E-2</v>
      </c>
      <c r="L220" s="3">
        <f t="shared" si="181"/>
        <v>3.1441589837869051E-2</v>
      </c>
      <c r="M220" s="3">
        <f t="shared" si="181"/>
        <v>3.140169920739401E-2</v>
      </c>
      <c r="N220" s="3">
        <f t="shared" si="181"/>
        <v>3.1005565890992997E-2</v>
      </c>
      <c r="O220" s="3">
        <f t="shared" si="181"/>
        <v>2.7308936754959323E-2</v>
      </c>
      <c r="P220" s="3">
        <f t="shared" si="181"/>
        <v>7.6728390185508196E-3</v>
      </c>
      <c r="Q220" s="3">
        <f t="shared" si="181"/>
        <v>2.3521717777426171E-8</v>
      </c>
      <c r="R220" s="3">
        <f t="shared" si="181"/>
        <v>1.7242431853267555E-63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1.9599632071934051E-2</v>
      </c>
      <c r="G221" s="3">
        <f t="shared" si="182"/>
        <v>1.9599632069689468E-2</v>
      </c>
      <c r="H221" s="3">
        <f t="shared" si="182"/>
        <v>1.959963204724359E-2</v>
      </c>
      <c r="I221" s="3">
        <f t="shared" si="182"/>
        <v>1.9599631822784833E-2</v>
      </c>
      <c r="J221" s="3">
        <f t="shared" si="182"/>
        <v>1.95996295781974E-2</v>
      </c>
      <c r="K221" s="3">
        <f t="shared" si="182"/>
        <v>1.9599607132337212E-2</v>
      </c>
      <c r="L221" s="3">
        <f t="shared" si="182"/>
        <v>1.9599382675149119E-2</v>
      </c>
      <c r="M221" s="3">
        <f t="shared" si="182"/>
        <v>1.9597138244641526E-2</v>
      </c>
      <c r="N221" s="3">
        <f t="shared" si="182"/>
        <v>1.957470807090838E-2</v>
      </c>
      <c r="O221" s="3">
        <f t="shared" si="182"/>
        <v>1.9351813498266545E-2</v>
      </c>
      <c r="P221" s="3">
        <f t="shared" si="182"/>
        <v>1.7257799930320367E-2</v>
      </c>
      <c r="Q221" s="3">
        <f t="shared" si="182"/>
        <v>5.4906407638308057E-3</v>
      </c>
      <c r="R221" s="3">
        <f t="shared" si="182"/>
        <v>5.8344380318182552E-8</v>
      </c>
      <c r="S221" s="3">
        <f t="shared" si="182"/>
        <v>1.0709249732560291E-57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3.2516214564455713E-2</v>
      </c>
      <c r="G222" s="3">
        <f t="shared" si="183"/>
        <v>3.2516214564119794E-2</v>
      </c>
      <c r="H222" s="3">
        <f t="shared" si="183"/>
        <v>3.2516214560760599E-2</v>
      </c>
      <c r="I222" s="3">
        <f t="shared" si="183"/>
        <v>3.2516214527168651E-2</v>
      </c>
      <c r="J222" s="3">
        <f t="shared" si="183"/>
        <v>3.2516214191249157E-2</v>
      </c>
      <c r="K222" s="3">
        <f t="shared" si="183"/>
        <v>3.2516210832054408E-2</v>
      </c>
      <c r="L222" s="3">
        <f t="shared" si="183"/>
        <v>3.2516177240126003E-2</v>
      </c>
      <c r="M222" s="3">
        <f t="shared" si="183"/>
        <v>3.2515841322750622E-2</v>
      </c>
      <c r="N222" s="3">
        <f t="shared" si="183"/>
        <v>3.2512482339856694E-2</v>
      </c>
      <c r="O222" s="3">
        <f t="shared" si="183"/>
        <v>3.2478911589613704E-2</v>
      </c>
      <c r="P222" s="3">
        <f t="shared" si="183"/>
        <v>3.2145104684261988E-2</v>
      </c>
      <c r="Q222" s="3">
        <f t="shared" si="183"/>
        <v>2.8990026897826277E-2</v>
      </c>
      <c r="R222" s="3">
        <f t="shared" si="183"/>
        <v>1.0317782224767612E-2</v>
      </c>
      <c r="S222" s="3">
        <f t="shared" si="183"/>
        <v>3.3648347828110437E-7</v>
      </c>
      <c r="T222" s="3">
        <f t="shared" si="183"/>
        <v>4.578651842610683E-52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3.2163923063235254E-2</v>
      </c>
      <c r="H223" s="3">
        <f t="shared" si="184"/>
        <v>3.2163923062935515E-2</v>
      </c>
      <c r="I223" s="3">
        <f t="shared" si="184"/>
        <v>3.2163923059938072E-2</v>
      </c>
      <c r="J223" s="3">
        <f t="shared" si="184"/>
        <v>3.2163923029963647E-2</v>
      </c>
      <c r="K223" s="3">
        <f t="shared" si="184"/>
        <v>3.2163922730219417E-2</v>
      </c>
      <c r="L223" s="3">
        <f t="shared" si="184"/>
        <v>3.2163919732777269E-2</v>
      </c>
      <c r="M223" s="3">
        <f t="shared" si="184"/>
        <v>3.216388975837111E-2</v>
      </c>
      <c r="N223" s="3">
        <f t="shared" si="184"/>
        <v>3.2163590015845921E-2</v>
      </c>
      <c r="O223" s="3">
        <f t="shared" si="184"/>
        <v>3.2160592744224975E-2</v>
      </c>
      <c r="P223" s="3">
        <f t="shared" si="184"/>
        <v>3.2130635385814114E-2</v>
      </c>
      <c r="Q223" s="3">
        <f t="shared" si="184"/>
        <v>3.1832592299170751E-2</v>
      </c>
      <c r="R223" s="3">
        <f t="shared" si="184"/>
        <v>2.900006281017245E-2</v>
      </c>
      <c r="S223" s="3">
        <f t="shared" si="184"/>
        <v>1.1420056532226549E-2</v>
      </c>
      <c r="T223" s="3">
        <f t="shared" si="184"/>
        <v>1.0241448994136536E-6</v>
      </c>
      <c r="U223" s="3">
        <f t="shared" si="184"/>
        <v>3.4458227395303852E-47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3.3900572604684424E-2</v>
      </c>
      <c r="J224" s="3">
        <f t="shared" si="185"/>
        <v>3.3900572601834489E-2</v>
      </c>
      <c r="K224" s="3">
        <f t="shared" si="185"/>
        <v>3.3900572573335105E-2</v>
      </c>
      <c r="L224" s="3">
        <f t="shared" si="185"/>
        <v>3.3900572288341285E-2</v>
      </c>
      <c r="M224" s="3">
        <f t="shared" si="185"/>
        <v>3.3900569438403215E-2</v>
      </c>
      <c r="N224" s="3">
        <f t="shared" si="185"/>
        <v>3.3900540939035689E-2</v>
      </c>
      <c r="O224" s="3">
        <f t="shared" si="185"/>
        <v>3.3900255946678101E-2</v>
      </c>
      <c r="P224" s="3">
        <f t="shared" si="185"/>
        <v>3.3897406154870746E-2</v>
      </c>
      <c r="Q224" s="3">
        <f t="shared" si="185"/>
        <v>3.3868921409547427E-2</v>
      </c>
      <c r="R224" s="3">
        <f t="shared" si="185"/>
        <v>3.3585387143155843E-2</v>
      </c>
      <c r="S224" s="3">
        <f t="shared" si="185"/>
        <v>3.0877368728033091E-2</v>
      </c>
      <c r="T224" s="3">
        <f t="shared" si="185"/>
        <v>1.3321083054378416E-2</v>
      </c>
      <c r="U224" s="3">
        <f t="shared" si="185"/>
        <v>2.9753088648209656E-6</v>
      </c>
      <c r="V224" s="3">
        <f t="shared" si="185"/>
        <v>9.1929999540689225E-43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4.6234934193716597E-2</v>
      </c>
      <c r="J225" s="3">
        <f t="shared" si="186"/>
        <v>4.6234934193365974E-2</v>
      </c>
      <c r="K225" s="3">
        <f t="shared" si="186"/>
        <v>4.6234934189859703E-2</v>
      </c>
      <c r="L225" s="3">
        <f t="shared" si="186"/>
        <v>4.6234934154797014E-2</v>
      </c>
      <c r="M225" s="3">
        <f t="shared" si="186"/>
        <v>4.6234933804170097E-2</v>
      </c>
      <c r="N225" s="3">
        <f t="shared" si="186"/>
        <v>4.6234930297901149E-2</v>
      </c>
      <c r="O225" s="3">
        <f t="shared" si="186"/>
        <v>4.6234895235226253E-2</v>
      </c>
      <c r="P225" s="3">
        <f t="shared" si="186"/>
        <v>4.6234544609939768E-2</v>
      </c>
      <c r="Q225" s="3">
        <f t="shared" si="186"/>
        <v>4.6231038503315988E-2</v>
      </c>
      <c r="R225" s="3">
        <f t="shared" si="186"/>
        <v>4.6195992057084009E-2</v>
      </c>
      <c r="S225" s="3">
        <f t="shared" si="186"/>
        <v>4.5846985501384975E-2</v>
      </c>
      <c r="T225" s="3">
        <f t="shared" si="186"/>
        <v>4.2498701483673698E-2</v>
      </c>
      <c r="U225" s="3">
        <f t="shared" si="186"/>
        <v>1.9907852419023011E-2</v>
      </c>
      <c r="V225" s="3">
        <f t="shared" si="186"/>
        <v>1.0127725719364238E-5</v>
      </c>
      <c r="W225" s="3">
        <f t="shared" si="186"/>
        <v>1.1759452914802477E-38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5.6671396993456385E-2</v>
      </c>
      <c r="L226" s="3">
        <f t="shared" si="187"/>
        <v>5.667139698957948E-2</v>
      </c>
      <c r="M226" s="3">
        <f t="shared" si="187"/>
        <v>5.6671396950810395E-2</v>
      </c>
      <c r="N226" s="3">
        <f t="shared" si="187"/>
        <v>5.6671396563119578E-2</v>
      </c>
      <c r="O226" s="3">
        <f t="shared" si="187"/>
        <v>5.6671392686211595E-2</v>
      </c>
      <c r="P226" s="3">
        <f t="shared" si="187"/>
        <v>5.6671353917146332E-2</v>
      </c>
      <c r="Q226" s="3">
        <f t="shared" si="187"/>
        <v>5.6670966227952382E-2</v>
      </c>
      <c r="R226" s="3">
        <f t="shared" si="187"/>
        <v>5.6667089481880116E-2</v>
      </c>
      <c r="S226" s="3">
        <f t="shared" si="187"/>
        <v>5.6628336604183704E-2</v>
      </c>
      <c r="T226" s="3">
        <f t="shared" si="187"/>
        <v>5.6242262445364635E-2</v>
      </c>
      <c r="U226" s="3">
        <f t="shared" si="187"/>
        <v>5.2523367174395458E-2</v>
      </c>
      <c r="V226" s="3">
        <f t="shared" si="187"/>
        <v>2.6500272203277289E-2</v>
      </c>
      <c r="W226" s="3">
        <f t="shared" si="187"/>
        <v>2.8328793774043759E-5</v>
      </c>
      <c r="X226" s="3">
        <f t="shared" si="187"/>
        <v>5.520845103882801E-35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5.8705737383058378E-2</v>
      </c>
      <c r="L227" s="3">
        <f t="shared" si="188"/>
        <v>5.8705737382696091E-2</v>
      </c>
      <c r="M227" s="3">
        <f t="shared" si="188"/>
        <v>5.8705737379073253E-2</v>
      </c>
      <c r="N227" s="3">
        <f t="shared" si="188"/>
        <v>5.8705737342844892E-2</v>
      </c>
      <c r="O227" s="3">
        <f t="shared" si="188"/>
        <v>5.8705736980561245E-2</v>
      </c>
      <c r="P227" s="3">
        <f t="shared" si="188"/>
        <v>5.8705733357724901E-2</v>
      </c>
      <c r="Q227" s="3">
        <f t="shared" si="188"/>
        <v>5.8705697129373818E-2</v>
      </c>
      <c r="R227" s="3">
        <f t="shared" si="188"/>
        <v>5.8705334847092575E-2</v>
      </c>
      <c r="S227" s="3">
        <f t="shared" si="188"/>
        <v>5.8701712147241417E-2</v>
      </c>
      <c r="T227" s="3">
        <f t="shared" si="188"/>
        <v>5.8665497442056749E-2</v>
      </c>
      <c r="U227" s="3">
        <f t="shared" si="188"/>
        <v>5.8304576920541161E-2</v>
      </c>
      <c r="V227" s="3">
        <f t="shared" si="188"/>
        <v>5.4815269786214114E-2</v>
      </c>
      <c r="W227" s="3">
        <f t="shared" si="188"/>
        <v>2.9572676485094651E-2</v>
      </c>
      <c r="X227" s="3">
        <f t="shared" si="188"/>
        <v>6.1770539676173609E-5</v>
      </c>
      <c r="Y227" s="3">
        <f t="shared" si="188"/>
        <v>9.7653773522132325E-32</v>
      </c>
      <c r="Z227" s="3">
        <f t="shared" si="188"/>
        <v>9.5228155368042616E-300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5.6202356064624481E-2</v>
      </c>
      <c r="N228" s="3">
        <f t="shared" si="189"/>
        <v>5.6202356061495741E-2</v>
      </c>
      <c r="O228" s="3">
        <f t="shared" si="189"/>
        <v>5.6202356030208359E-2</v>
      </c>
      <c r="P228" s="3">
        <f t="shared" si="189"/>
        <v>5.6202355717334486E-2</v>
      </c>
      <c r="Q228" s="3">
        <f t="shared" si="189"/>
        <v>5.6202352588595871E-2</v>
      </c>
      <c r="R228" s="3">
        <f t="shared" si="189"/>
        <v>5.6202321301219292E-2</v>
      </c>
      <c r="S228" s="3">
        <f t="shared" si="189"/>
        <v>5.6202008428411478E-2</v>
      </c>
      <c r="T228" s="3">
        <f t="shared" si="189"/>
        <v>5.6198879796126977E-2</v>
      </c>
      <c r="U228" s="3">
        <f t="shared" si="189"/>
        <v>5.6167603050676383E-2</v>
      </c>
      <c r="V228" s="3">
        <f t="shared" si="189"/>
        <v>5.5855791365832165E-2</v>
      </c>
      <c r="W228" s="3">
        <f t="shared" si="189"/>
        <v>5.2831311799155449E-2</v>
      </c>
      <c r="X228" s="3">
        <f t="shared" si="189"/>
        <v>3.0277725326804016E-2</v>
      </c>
      <c r="Y228" s="3">
        <f t="shared" si="189"/>
        <v>1.157288799188574E-4</v>
      </c>
      <c r="Z228" s="3">
        <f t="shared" si="189"/>
        <v>7.7024129676931154E-29</v>
      </c>
      <c r="AA228" s="3">
        <f t="shared" si="189"/>
        <v>1.3136428283142647E-270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6.3415296184197778E-2</v>
      </c>
      <c r="N229" s="3">
        <f t="shared" si="190"/>
        <v>6.3415296183879324E-2</v>
      </c>
      <c r="O229" s="3">
        <f t="shared" si="190"/>
        <v>6.3415296180694719E-2</v>
      </c>
      <c r="P229" s="3">
        <f t="shared" si="190"/>
        <v>6.3415296148848679E-2</v>
      </c>
      <c r="Q229" s="3">
        <f t="shared" si="190"/>
        <v>6.341529583038831E-2</v>
      </c>
      <c r="R229" s="3">
        <f t="shared" si="190"/>
        <v>6.3415292645784743E-2</v>
      </c>
      <c r="S229" s="3">
        <f t="shared" si="190"/>
        <v>6.3415260799757817E-2</v>
      </c>
      <c r="T229" s="3">
        <f t="shared" si="190"/>
        <v>6.3414942340368166E-2</v>
      </c>
      <c r="U229" s="3">
        <f t="shared" si="190"/>
        <v>6.341175783442865E-2</v>
      </c>
      <c r="V229" s="3">
        <f t="shared" si="190"/>
        <v>6.3379921569100897E-2</v>
      </c>
      <c r="W229" s="3">
        <f t="shared" si="190"/>
        <v>6.3062436690750859E-2</v>
      </c>
      <c r="X229" s="3">
        <f t="shared" si="190"/>
        <v>5.9973756105502207E-2</v>
      </c>
      <c r="Y229" s="3">
        <f t="shared" si="190"/>
        <v>3.6296626723591324E-2</v>
      </c>
      <c r="Z229" s="3">
        <f t="shared" si="190"/>
        <v>2.392855234187534E-4</v>
      </c>
      <c r="AA229" s="3">
        <f t="shared" si="190"/>
        <v>3.7103768594821579E-26</v>
      </c>
      <c r="AB229" s="3">
        <f t="shared" si="190"/>
        <v>2.981494418635518E-244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3.5348869965621636E-2</v>
      </c>
      <c r="P230" s="3">
        <f t="shared" si="191"/>
        <v>3.5348869964020292E-2</v>
      </c>
      <c r="Q230" s="3">
        <f t="shared" si="191"/>
        <v>3.53488699480069E-2</v>
      </c>
      <c r="R230" s="3">
        <f t="shared" si="191"/>
        <v>3.5348869787872925E-2</v>
      </c>
      <c r="S230" s="3">
        <f t="shared" si="191"/>
        <v>3.534886818653319E-2</v>
      </c>
      <c r="T230" s="3">
        <f t="shared" si="191"/>
        <v>3.534885217313985E-2</v>
      </c>
      <c r="U230" s="3">
        <f t="shared" si="191"/>
        <v>3.5348692039605389E-2</v>
      </c>
      <c r="V230" s="3">
        <f t="shared" si="191"/>
        <v>3.5347090744158365E-2</v>
      </c>
      <c r="W230" s="3">
        <f t="shared" si="191"/>
        <v>3.5331081778772824E-2</v>
      </c>
      <c r="X230" s="3">
        <f t="shared" si="191"/>
        <v>3.517139036557259E-2</v>
      </c>
      <c r="Y230" s="3">
        <f t="shared" si="191"/>
        <v>3.3613640804161335E-2</v>
      </c>
      <c r="Z230" s="3">
        <f t="shared" si="191"/>
        <v>2.1368583565329197E-2</v>
      </c>
      <c r="AA230" s="3">
        <f t="shared" si="191"/>
        <v>2.3034433832241178E-4</v>
      </c>
      <c r="AB230" s="3">
        <f t="shared" si="191"/>
        <v>4.8797279223088374E-24</v>
      </c>
      <c r="AC230" s="3">
        <f t="shared" si="191"/>
        <v>8.8833396011522045E-221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7.0460456800437318E-2</v>
      </c>
      <c r="P231" s="3">
        <f t="shared" si="192"/>
        <v>7.0460456799554511E-2</v>
      </c>
      <c r="Q231" s="3">
        <f t="shared" si="192"/>
        <v>7.0460456790726433E-2</v>
      </c>
      <c r="R231" s="3">
        <f t="shared" si="192"/>
        <v>7.0460456702445634E-2</v>
      </c>
      <c r="S231" s="3">
        <f t="shared" si="192"/>
        <v>7.0460455819637599E-2</v>
      </c>
      <c r="T231" s="3">
        <f t="shared" si="192"/>
        <v>7.0460446991558012E-2</v>
      </c>
      <c r="U231" s="3">
        <f t="shared" si="192"/>
        <v>7.0460358710822957E-2</v>
      </c>
      <c r="V231" s="3">
        <f t="shared" si="192"/>
        <v>7.0459475909555744E-2</v>
      </c>
      <c r="W231" s="3">
        <f t="shared" si="192"/>
        <v>7.0450648505197083E-2</v>
      </c>
      <c r="X231" s="3">
        <f t="shared" si="192"/>
        <v>7.0362435264763892E-2</v>
      </c>
      <c r="Y231" s="3">
        <f t="shared" si="192"/>
        <v>6.9486355083000453E-2</v>
      </c>
      <c r="Z231" s="3">
        <f t="shared" si="192"/>
        <v>6.1303634493237578E-2</v>
      </c>
      <c r="AA231" s="3">
        <f t="shared" si="192"/>
        <v>1.7512701372762847E-2</v>
      </c>
      <c r="AB231" s="3">
        <f t="shared" si="192"/>
        <v>6.3390230585240581E-8</v>
      </c>
      <c r="AC231" s="3">
        <f t="shared" si="192"/>
        <v>2.4474522400276715E-62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8.6875447409203749E-2</v>
      </c>
      <c r="Q232" s="3">
        <f t="shared" si="193"/>
        <v>8.6875447408115286E-2</v>
      </c>
      <c r="R232" s="3">
        <f t="shared" si="193"/>
        <v>8.6875447397230549E-2</v>
      </c>
      <c r="S232" s="3">
        <f t="shared" si="193"/>
        <v>8.6875447288383201E-2</v>
      </c>
      <c r="T232" s="3">
        <f t="shared" si="193"/>
        <v>8.6875446199909667E-2</v>
      </c>
      <c r="U232" s="3">
        <f t="shared" si="193"/>
        <v>8.6875435315175178E-2</v>
      </c>
      <c r="V232" s="3">
        <f t="shared" si="193"/>
        <v>8.6875326467905314E-2</v>
      </c>
      <c r="W232" s="3">
        <f t="shared" si="193"/>
        <v>8.6874238002707313E-2</v>
      </c>
      <c r="X232" s="3">
        <f t="shared" si="193"/>
        <v>8.6863354100757989E-2</v>
      </c>
      <c r="Y232" s="3">
        <f t="shared" si="193"/>
        <v>8.6754590049571742E-2</v>
      </c>
      <c r="Z232" s="3">
        <f t="shared" si="193"/>
        <v>8.5674411730935554E-2</v>
      </c>
      <c r="AA232" s="3">
        <f t="shared" si="193"/>
        <v>7.5585383862814465E-2</v>
      </c>
      <c r="AB232" s="3">
        <f t="shared" si="193"/>
        <v>2.1592590173118296E-2</v>
      </c>
      <c r="AC232" s="3">
        <f t="shared" si="193"/>
        <v>7.8158088856318446E-8</v>
      </c>
      <c r="AD232" s="3">
        <f t="shared" si="193"/>
        <v>3.017628866177635E-62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9.6215979999041773E-2</v>
      </c>
      <c r="R233" s="3">
        <f t="shared" si="194"/>
        <v>9.6215979997836279E-2</v>
      </c>
      <c r="S233" s="3">
        <f t="shared" si="194"/>
        <v>9.6215979985781255E-2</v>
      </c>
      <c r="T233" s="3">
        <f t="shared" si="194"/>
        <v>9.6215979865231033E-2</v>
      </c>
      <c r="U233" s="3">
        <f t="shared" si="194"/>
        <v>9.6215978659728779E-2</v>
      </c>
      <c r="V233" s="3">
        <f t="shared" si="194"/>
        <v>9.6215966604707173E-2</v>
      </c>
      <c r="W233" s="3">
        <f t="shared" si="194"/>
        <v>9.6215846054574158E-2</v>
      </c>
      <c r="X233" s="3">
        <f t="shared" si="194"/>
        <v>9.6214640561551185E-2</v>
      </c>
      <c r="Y233" s="3">
        <f t="shared" si="194"/>
        <v>9.620258646199259E-2</v>
      </c>
      <c r="Z233" s="3">
        <f t="shared" si="194"/>
        <v>9.6082128495033767E-2</v>
      </c>
      <c r="AA233" s="3">
        <f t="shared" si="194"/>
        <v>9.4885813326586216E-2</v>
      </c>
      <c r="AB233" s="3">
        <f t="shared" si="194"/>
        <v>8.3712049823572901E-2</v>
      </c>
      <c r="AC233" s="3">
        <f t="shared" si="194"/>
        <v>2.391414704822753E-2</v>
      </c>
      <c r="AD233" s="3">
        <f t="shared" si="194"/>
        <v>8.6561362714388467E-8</v>
      </c>
      <c r="AE233" s="3">
        <f t="shared" si="194"/>
        <v>3.3420733623976575E-62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0.11161416834598868</v>
      </c>
      <c r="S234" s="3">
        <f t="shared" si="195"/>
        <v>0.11161416834459026</v>
      </c>
      <c r="T234" s="3">
        <f t="shared" si="195"/>
        <v>0.11161416833060597</v>
      </c>
      <c r="U234" s="3">
        <f t="shared" si="195"/>
        <v>0.11161416819076317</v>
      </c>
      <c r="V234" s="3">
        <f t="shared" si="195"/>
        <v>0.11161416679233505</v>
      </c>
      <c r="W234" s="3">
        <f t="shared" si="195"/>
        <v>0.11161415280805499</v>
      </c>
      <c r="X234" s="3">
        <f t="shared" si="195"/>
        <v>0.11161401296535069</v>
      </c>
      <c r="Y234" s="3">
        <f t="shared" si="195"/>
        <v>0.11161261454794426</v>
      </c>
      <c r="Z234" s="3">
        <f t="shared" si="195"/>
        <v>0.11159863133748998</v>
      </c>
      <c r="AA234" s="3">
        <f t="shared" si="195"/>
        <v>0.11145889554928835</v>
      </c>
      <c r="AB234" s="3">
        <f t="shared" si="195"/>
        <v>0.11007112480052816</v>
      </c>
      <c r="AC234" s="3">
        <f t="shared" si="195"/>
        <v>9.7109137397853346E-2</v>
      </c>
      <c r="AD234" s="3">
        <f t="shared" si="195"/>
        <v>2.7741313184339839E-2</v>
      </c>
      <c r="AE234" s="3">
        <f t="shared" si="195"/>
        <v>1.0041444789481083E-7</v>
      </c>
      <c r="AF234" s="3">
        <f t="shared" si="195"/>
        <v>3.8769312425962043E-62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6.6462351022305452E-2</v>
      </c>
      <c r="T235" s="3">
        <f t="shared" si="196"/>
        <v>6.6462351021472743E-2</v>
      </c>
      <c r="U235" s="3">
        <f t="shared" si="196"/>
        <v>6.6462351013145585E-2</v>
      </c>
      <c r="V235" s="3">
        <f t="shared" si="196"/>
        <v>6.6462350929874056E-2</v>
      </c>
      <c r="W235" s="3">
        <f t="shared" si="196"/>
        <v>6.6462350097158812E-2</v>
      </c>
      <c r="X235" s="3">
        <f t="shared" si="196"/>
        <v>6.6462341770006941E-2</v>
      </c>
      <c r="Y235" s="3">
        <f t="shared" si="196"/>
        <v>6.6462258498545632E-2</v>
      </c>
      <c r="Z235" s="3">
        <f t="shared" si="196"/>
        <v>6.6461425789670778E-2</v>
      </c>
      <c r="AA235" s="3">
        <f t="shared" si="196"/>
        <v>6.6453099274718389E-2</v>
      </c>
      <c r="AB235" s="3">
        <f t="shared" si="196"/>
        <v>6.6369891478222101E-2</v>
      </c>
      <c r="AC235" s="3">
        <f t="shared" si="196"/>
        <v>6.5543522317304537E-2</v>
      </c>
      <c r="AD235" s="3">
        <f t="shared" si="196"/>
        <v>5.7825110134786702E-2</v>
      </c>
      <c r="AE235" s="3">
        <f t="shared" si="196"/>
        <v>1.651898609289389E-2</v>
      </c>
      <c r="AF235" s="3">
        <f t="shared" si="196"/>
        <v>5.9793307450073101E-8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4.710090660169014E-2</v>
      </c>
      <c r="U236" s="3">
        <f t="shared" si="197"/>
        <v>4.7100906601100015E-2</v>
      </c>
      <c r="V236" s="3">
        <f t="shared" si="197"/>
        <v>4.7100906595198673E-2</v>
      </c>
      <c r="W236" s="3">
        <f t="shared" si="197"/>
        <v>4.7100906536185351E-2</v>
      </c>
      <c r="X236" s="3">
        <f t="shared" si="197"/>
        <v>4.7100905946052103E-2</v>
      </c>
      <c r="Y236" s="3">
        <f t="shared" si="197"/>
        <v>4.7100900044720055E-2</v>
      </c>
      <c r="Z236" s="3">
        <f t="shared" si="197"/>
        <v>4.7100841031440181E-2</v>
      </c>
      <c r="AA236" s="3">
        <f t="shared" si="197"/>
        <v>4.7100250902708085E-2</v>
      </c>
      <c r="AB236" s="3">
        <f t="shared" si="197"/>
        <v>4.7094350022028157E-2</v>
      </c>
      <c r="AC236" s="3">
        <f t="shared" si="197"/>
        <v>4.7035381860489778E-2</v>
      </c>
      <c r="AD236" s="3">
        <f t="shared" si="197"/>
        <v>4.6449745991938678E-2</v>
      </c>
      <c r="AE236" s="3">
        <f t="shared" si="197"/>
        <v>4.0979818947075176E-2</v>
      </c>
      <c r="AF236" s="3">
        <f t="shared" si="197"/>
        <v>1.170676644969855E-2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2.2598128773244644E-2</v>
      </c>
      <c r="W237" s="3">
        <f t="shared" si="198"/>
        <v>2.2598128770413294E-2</v>
      </c>
      <c r="X237" s="3">
        <f t="shared" si="198"/>
        <v>2.2598128742099811E-2</v>
      </c>
      <c r="Y237" s="3">
        <f t="shared" si="198"/>
        <v>2.2598128458964983E-2</v>
      </c>
      <c r="Z237" s="3">
        <f t="shared" si="198"/>
        <v>2.25981256276169E-2</v>
      </c>
      <c r="AA237" s="3">
        <f t="shared" si="198"/>
        <v>2.2598097314155564E-2</v>
      </c>
      <c r="AB237" s="3">
        <f t="shared" si="198"/>
        <v>2.2597814181493304E-2</v>
      </c>
      <c r="AC237" s="3">
        <f t="shared" si="198"/>
        <v>2.2594983049969451E-2</v>
      </c>
      <c r="AD237" s="3">
        <f t="shared" si="198"/>
        <v>2.2566691235562323E-2</v>
      </c>
      <c r="AE237" s="3">
        <f t="shared" si="198"/>
        <v>2.2285714164699752E-2</v>
      </c>
      <c r="AF237" s="3">
        <f t="shared" si="198"/>
        <v>1.9661346086459999E-2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6.4467605951920763E-3</v>
      </c>
      <c r="W238" s="3">
        <f t="shared" si="199"/>
        <v>6.4467605951113041E-3</v>
      </c>
      <c r="X238" s="3">
        <f t="shared" si="199"/>
        <v>6.4467605943035813E-3</v>
      </c>
      <c r="Y238" s="3">
        <f t="shared" si="199"/>
        <v>6.4467605862263532E-3</v>
      </c>
      <c r="Z238" s="3">
        <f t="shared" si="199"/>
        <v>6.4467605054540694E-3</v>
      </c>
      <c r="AA238" s="3">
        <f t="shared" si="199"/>
        <v>6.4467596977312962E-3</v>
      </c>
      <c r="AB238" s="3">
        <f t="shared" si="199"/>
        <v>6.4467516205091203E-3</v>
      </c>
      <c r="AC238" s="3">
        <f t="shared" si="199"/>
        <v>6.4466708488439732E-3</v>
      </c>
      <c r="AD238" s="3">
        <f t="shared" si="199"/>
        <v>6.4458631878499721E-3</v>
      </c>
      <c r="AE238" s="3">
        <f t="shared" si="199"/>
        <v>6.4377921410781686E-3</v>
      </c>
      <c r="AF238" s="3">
        <f t="shared" si="199"/>
        <v>6.3576354198406461E-3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9.830710463655393E-5</v>
      </c>
      <c r="X239" s="3">
        <f t="shared" si="200"/>
        <v>9.8307104635322236E-5</v>
      </c>
      <c r="Y239" s="3">
        <f t="shared" si="200"/>
        <v>9.8307104623005198E-5</v>
      </c>
      <c r="Z239" s="3">
        <f t="shared" si="200"/>
        <v>9.8307104499834993E-5</v>
      </c>
      <c r="AA239" s="3">
        <f t="shared" si="200"/>
        <v>9.8307103268132766E-5</v>
      </c>
      <c r="AB239" s="3">
        <f t="shared" si="200"/>
        <v>9.8307090951111516E-5</v>
      </c>
      <c r="AC239" s="3">
        <f t="shared" si="200"/>
        <v>9.8306967780983855E-5</v>
      </c>
      <c r="AD239" s="3">
        <f t="shared" si="200"/>
        <v>9.8305736088194874E-5</v>
      </c>
      <c r="AE239" s="3">
        <f t="shared" si="200"/>
        <v>9.8293420009029891E-5</v>
      </c>
      <c r="AF239" s="3">
        <f t="shared" si="200"/>
        <v>9.8170344050522315E-5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1.1020901234546097E-2</v>
      </c>
      <c r="Z240" s="3">
        <f t="shared" si="201"/>
        <v>1.1020901233165275E-2</v>
      </c>
      <c r="AA240" s="3">
        <f t="shared" si="201"/>
        <v>1.1020901219357048E-2</v>
      </c>
      <c r="AB240" s="3">
        <f t="shared" si="201"/>
        <v>1.1020901081274775E-2</v>
      </c>
      <c r="AC240" s="3">
        <f t="shared" si="201"/>
        <v>1.1020899700452145E-2</v>
      </c>
      <c r="AD240" s="3">
        <f t="shared" si="201"/>
        <v>1.1020885892235363E-2</v>
      </c>
      <c r="AE240" s="3">
        <f t="shared" si="201"/>
        <v>1.1020747811019067E-2</v>
      </c>
      <c r="AF240" s="3">
        <f t="shared" si="201"/>
        <v>1.1019367094003977E-2</v>
      </c>
      <c r="AG240" s="3"/>
      <c r="AH240" s="3"/>
    </row>
    <row r="241" spans="1:34" x14ac:dyDescent="0.25">
      <c r="A241" s="80">
        <f>AVERAGE(B241:AF241)</f>
        <v>1.2697248397049927E-2</v>
      </c>
      <c r="B241" s="81">
        <f>IF($A$64&lt;=B207,IF($B$64&gt;=B207,ABS((B209-B208)/B208),0),0)</f>
        <v>1.0259045222157186E-3</v>
      </c>
      <c r="C241" s="81">
        <f t="shared" ref="C241:AF241" si="202">IF($A$64&lt;=C207,IF($B$64&gt;=C207,ABS((C209-C208)/C208),0),0)</f>
        <v>1.0320962854036121E-3</v>
      </c>
      <c r="D241" s="81">
        <f t="shared" si="202"/>
        <v>1.0283148751365479E-3</v>
      </c>
      <c r="E241" s="81">
        <f t="shared" si="202"/>
        <v>1.0271706351200783E-3</v>
      </c>
      <c r="F241" s="81">
        <f t="shared" si="202"/>
        <v>1.0268219517106862E-3</v>
      </c>
      <c r="G241" s="81">
        <f t="shared" si="202"/>
        <v>1.0266865914038605E-3</v>
      </c>
      <c r="H241" s="81">
        <f t="shared" si="202"/>
        <v>1.0266735778485065E-3</v>
      </c>
      <c r="I241" s="81">
        <f t="shared" si="202"/>
        <v>1.026638231450228E-3</v>
      </c>
      <c r="J241" s="81">
        <f t="shared" si="202"/>
        <v>1.0266436120313514E-3</v>
      </c>
      <c r="K241" s="81">
        <f t="shared" si="202"/>
        <v>1.0267921964934134E-3</v>
      </c>
      <c r="L241" s="81">
        <f t="shared" si="202"/>
        <v>1.0281144960847981E-3</v>
      </c>
      <c r="M241" s="81">
        <f t="shared" si="202"/>
        <v>1.0413886930763225E-3</v>
      </c>
      <c r="N241" s="81">
        <f t="shared" si="202"/>
        <v>1.1669242130743062E-3</v>
      </c>
      <c r="O241" s="81">
        <f t="shared" si="202"/>
        <v>1.9778311592021898E-3</v>
      </c>
      <c r="P241" s="81">
        <f t="shared" si="202"/>
        <v>4.2646470346682673E-3</v>
      </c>
      <c r="Q241" s="81">
        <f t="shared" si="202"/>
        <v>3.3682534820670901E-3</v>
      </c>
      <c r="R241" s="81">
        <f t="shared" si="202"/>
        <v>4.3781470266828909E-3</v>
      </c>
      <c r="S241" s="81">
        <f t="shared" si="202"/>
        <v>2.7845542895652926E-3</v>
      </c>
      <c r="T241" s="81">
        <f t="shared" si="202"/>
        <v>4.7502416090291107E-3</v>
      </c>
      <c r="U241" s="81">
        <f t="shared" si="202"/>
        <v>1.8290956620990909E-2</v>
      </c>
      <c r="V241" s="81">
        <f t="shared" si="202"/>
        <v>2.8292954199102074E-2</v>
      </c>
      <c r="W241" s="81">
        <f t="shared" si="202"/>
        <v>2.8165929354026016E-2</v>
      </c>
      <c r="X241" s="81">
        <f t="shared" si="202"/>
        <v>2.2156004010813971E-2</v>
      </c>
      <c r="Y241" s="81">
        <f t="shared" si="202"/>
        <v>1.3116593817589391E-2</v>
      </c>
      <c r="Z241" s="81">
        <f t="shared" si="202"/>
        <v>8.0762521789271915E-3</v>
      </c>
      <c r="AA241" s="81">
        <f t="shared" si="202"/>
        <v>8.8315927552351358E-3</v>
      </c>
      <c r="AB241" s="81">
        <f t="shared" si="202"/>
        <v>1.9836131043567851E-2</v>
      </c>
      <c r="AC241" s="81">
        <f t="shared" si="202"/>
        <v>3.4017660237808188E-2</v>
      </c>
      <c r="AD241" s="81">
        <f t="shared" si="202"/>
        <v>5.6827693398795946E-2</v>
      </c>
      <c r="AE241" s="81">
        <f t="shared" si="202"/>
        <v>5.4306389033453889E-2</v>
      </c>
      <c r="AF241" s="81">
        <f t="shared" si="202"/>
        <v>6.6662699175972923E-2</v>
      </c>
    </row>
    <row r="242" spans="1:34" x14ac:dyDescent="0.25">
      <c r="B242" s="21">
        <f>(B209-B208)^2</f>
        <v>37.015429800726331</v>
      </c>
      <c r="C242" s="21">
        <f t="shared" ref="C242:AF242" si="203">(C209-C208)^2</f>
        <v>37.464049770681264</v>
      </c>
      <c r="D242" s="21">
        <f t="shared" si="203"/>
        <v>37.189748395298508</v>
      </c>
      <c r="E242" s="21">
        <f t="shared" si="203"/>
        <v>37.106944907392339</v>
      </c>
      <c r="F242" s="21">
        <f t="shared" si="203"/>
        <v>37.081730645011824</v>
      </c>
      <c r="G242" s="21">
        <f t="shared" si="203"/>
        <v>37.071944676642815</v>
      </c>
      <c r="H242" s="21">
        <f t="shared" si="203"/>
        <v>37.071003881921953</v>
      </c>
      <c r="I242" s="21">
        <f t="shared" si="203"/>
        <v>37.068448344189797</v>
      </c>
      <c r="J242" s="21">
        <f t="shared" si="203"/>
        <v>37.068833377193556</v>
      </c>
      <c r="K242" s="21">
        <f t="shared" si="203"/>
        <v>37.079535830908149</v>
      </c>
      <c r="L242" s="21">
        <f t="shared" si="203"/>
        <v>37.174804845795705</v>
      </c>
      <c r="M242" s="21">
        <f t="shared" si="203"/>
        <v>38.137937655976593</v>
      </c>
      <c r="N242" s="21">
        <f t="shared" si="203"/>
        <v>47.849444540245884</v>
      </c>
      <c r="O242" s="21">
        <f t="shared" si="203"/>
        <v>136.46335873844984</v>
      </c>
      <c r="P242" s="21">
        <f t="shared" si="203"/>
        <v>609.16172301387587</v>
      </c>
      <c r="Q242" s="21">
        <f t="shared" si="203"/>
        <v>361.62335105582247</v>
      </c>
      <c r="R242" s="21">
        <f t="shared" si="203"/>
        <v>577.47380001490978</v>
      </c>
      <c r="S242" s="21">
        <f t="shared" si="203"/>
        <v>217.4467878598945</v>
      </c>
      <c r="T242" s="21">
        <f t="shared" si="203"/>
        <v>578.34637373782607</v>
      </c>
      <c r="U242" s="21">
        <f t="shared" si="203"/>
        <v>7587.4294063337538</v>
      </c>
      <c r="V242" s="21">
        <f t="shared" si="203"/>
        <v>15702.049082614843</v>
      </c>
      <c r="W242" s="21">
        <f t="shared" si="203"/>
        <v>13412.026959245479</v>
      </c>
      <c r="X242" s="21">
        <f t="shared" si="203"/>
        <v>7141.6063152130146</v>
      </c>
      <c r="Y242" s="21">
        <f t="shared" si="203"/>
        <v>2129.0191827295657</v>
      </c>
      <c r="Z242" s="21">
        <f t="shared" si="203"/>
        <v>665.92773806709158</v>
      </c>
      <c r="AA242" s="21">
        <f t="shared" si="203"/>
        <v>607.75298991467662</v>
      </c>
      <c r="AB242" s="21">
        <f t="shared" si="203"/>
        <v>2103.5714864872803</v>
      </c>
      <c r="AC242" s="21">
        <f t="shared" si="203"/>
        <v>3590.3267673055411</v>
      </c>
      <c r="AD242" s="21">
        <f t="shared" si="203"/>
        <v>4383.6767168893175</v>
      </c>
      <c r="AE242" s="21">
        <f t="shared" si="203"/>
        <v>1415.8282387172474</v>
      </c>
      <c r="AF242" s="21">
        <f t="shared" si="203"/>
        <v>689.47376200291376</v>
      </c>
      <c r="AG242" s="3"/>
      <c r="AH242" s="3"/>
    </row>
    <row r="243" spans="1:34" x14ac:dyDescent="0.25">
      <c r="A243" s="72">
        <f>SUM(B243:AF243)</f>
        <v>62403.583896613476</v>
      </c>
      <c r="B243" s="60">
        <f>IF($A$64&lt;=B207,IF($B$64&gt;=B207,ABS(B242),0),0)</f>
        <v>37.015429800726331</v>
      </c>
      <c r="C243" s="60">
        <f t="shared" ref="C243" si="204">IF($A$64&lt;=C207,IF($B$64&gt;=C207,ABS(C242),0),0)</f>
        <v>37.464049770681264</v>
      </c>
      <c r="D243" s="60">
        <f t="shared" ref="D243" si="205">IF($A$64&lt;=D207,IF($B$64&gt;=D207,ABS(D242),0),0)</f>
        <v>37.189748395298508</v>
      </c>
      <c r="E243" s="60">
        <f t="shared" ref="E243" si="206">IF($A$64&lt;=E207,IF($B$64&gt;=E207,ABS(E242),0),0)</f>
        <v>37.106944907392339</v>
      </c>
      <c r="F243" s="60">
        <f t="shared" ref="F243" si="207">IF($A$64&lt;=F207,IF($B$64&gt;=F207,ABS(F242),0),0)</f>
        <v>37.081730645011824</v>
      </c>
      <c r="G243" s="60">
        <f t="shared" ref="G243" si="208">IF($A$64&lt;=G207,IF($B$64&gt;=G207,ABS(G242),0),0)</f>
        <v>37.071944676642815</v>
      </c>
      <c r="H243" s="60">
        <f t="shared" ref="H243" si="209">IF($A$64&lt;=H207,IF($B$64&gt;=H207,ABS(H242),0),0)</f>
        <v>37.071003881921953</v>
      </c>
      <c r="I243" s="60">
        <f t="shared" ref="I243" si="210">IF($A$64&lt;=I207,IF($B$64&gt;=I207,ABS(I242),0),0)</f>
        <v>37.068448344189797</v>
      </c>
      <c r="J243" s="60">
        <f t="shared" ref="J243" si="211">IF($A$64&lt;=J207,IF($B$64&gt;=J207,ABS(J242),0),0)</f>
        <v>37.068833377193556</v>
      </c>
      <c r="K243" s="60">
        <f t="shared" ref="K243" si="212">IF($A$64&lt;=K207,IF($B$64&gt;=K207,ABS(K242),0),0)</f>
        <v>37.079535830908149</v>
      </c>
      <c r="L243" s="60">
        <f t="shared" ref="L243" si="213">IF($A$64&lt;=L207,IF($B$64&gt;=L207,ABS(L242),0),0)</f>
        <v>37.174804845795705</v>
      </c>
      <c r="M243" s="60">
        <f t="shared" ref="M243" si="214">IF($A$64&lt;=M207,IF($B$64&gt;=M207,ABS(M242),0),0)</f>
        <v>38.137937655976593</v>
      </c>
      <c r="N243" s="60">
        <f t="shared" ref="N243" si="215">IF($A$64&lt;=N207,IF($B$64&gt;=N207,ABS(N242),0),0)</f>
        <v>47.849444540245884</v>
      </c>
      <c r="O243" s="60">
        <f t="shared" ref="O243" si="216">IF($A$64&lt;=O207,IF($B$64&gt;=O207,ABS(O242),0),0)</f>
        <v>136.46335873844984</v>
      </c>
      <c r="P243" s="60">
        <f t="shared" ref="P243" si="217">IF($A$64&lt;=P207,IF($B$64&gt;=P207,ABS(P242),0),0)</f>
        <v>609.16172301387587</v>
      </c>
      <c r="Q243" s="60">
        <f t="shared" ref="Q243" si="218">IF($A$64&lt;=Q207,IF($B$64&gt;=Q207,ABS(Q242),0),0)</f>
        <v>361.62335105582247</v>
      </c>
      <c r="R243" s="60">
        <f t="shared" ref="R243" si="219">IF($A$64&lt;=R207,IF($B$64&gt;=R207,ABS(R242),0),0)</f>
        <v>577.47380001490978</v>
      </c>
      <c r="S243" s="60">
        <f t="shared" ref="S243" si="220">IF($A$64&lt;=S207,IF($B$64&gt;=S207,ABS(S242),0),0)</f>
        <v>217.4467878598945</v>
      </c>
      <c r="T243" s="60">
        <f t="shared" ref="T243" si="221">IF($A$64&lt;=T207,IF($B$64&gt;=T207,ABS(T242),0),0)</f>
        <v>578.34637373782607</v>
      </c>
      <c r="U243" s="60">
        <f t="shared" ref="U243" si="222">IF($A$64&lt;=U207,IF($B$64&gt;=U207,ABS(U242),0),0)</f>
        <v>7587.4294063337538</v>
      </c>
      <c r="V243" s="60">
        <f t="shared" ref="V243" si="223">IF($A$64&lt;=V207,IF($B$64&gt;=V207,ABS(V242),0),0)</f>
        <v>15702.049082614843</v>
      </c>
      <c r="W243" s="60">
        <f t="shared" ref="W243" si="224">IF($A$64&lt;=W207,IF($B$64&gt;=W207,ABS(W242),0),0)</f>
        <v>13412.026959245479</v>
      </c>
      <c r="X243" s="60">
        <f t="shared" ref="X243" si="225">IF($A$64&lt;=X207,IF($B$64&gt;=X207,ABS(X242),0),0)</f>
        <v>7141.6063152130146</v>
      </c>
      <c r="Y243" s="60">
        <f t="shared" ref="Y243" si="226">IF($A$64&lt;=Y207,IF($B$64&gt;=Y207,ABS(Y242),0),0)</f>
        <v>2129.0191827295657</v>
      </c>
      <c r="Z243" s="60">
        <f t="shared" ref="Z243" si="227">IF($A$64&lt;=Z207,IF($B$64&gt;=Z207,ABS(Z242),0),0)</f>
        <v>665.92773806709158</v>
      </c>
      <c r="AA243" s="60">
        <f t="shared" ref="AA243" si="228">IF($A$64&lt;=AA207,IF($B$64&gt;=AA207,ABS(AA242),0),0)</f>
        <v>607.75298991467662</v>
      </c>
      <c r="AB243" s="60">
        <f t="shared" ref="AB243" si="229">IF($A$64&lt;=AB207,IF($B$64&gt;=AB207,ABS(AB242),0),0)</f>
        <v>2103.5714864872803</v>
      </c>
      <c r="AC243" s="60">
        <f t="shared" ref="AC243" si="230">IF($A$64&lt;=AC207,IF($B$64&gt;=AC207,ABS(AC242),0),0)</f>
        <v>3590.3267673055411</v>
      </c>
      <c r="AD243" s="60">
        <f t="shared" ref="AD243" si="231">IF($A$64&lt;=AD207,IF($B$64&gt;=AD207,ABS(AD242),0),0)</f>
        <v>4383.6767168893175</v>
      </c>
      <c r="AE243" s="60">
        <f t="shared" ref="AE243" si="232">IF($A$64&lt;=AE207,IF($B$64&gt;=AE207,ABS(AE242),0),0)</f>
        <v>1415.8282387172474</v>
      </c>
      <c r="AF243" s="60">
        <f t="shared" ref="AF243" si="233">IF($A$64&lt;=AF207,IF($B$64&gt;=AF207,ABS(AF242),0),0)</f>
        <v>689.47376200291376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5924.3223454607651</v>
      </c>
      <c r="C248" s="27">
        <f t="shared" ref="C248:AF248" si="234">($C$17+SUM(C249:C279))*$B$51</f>
        <v>5924.3223454382805</v>
      </c>
      <c r="D248" s="27">
        <f t="shared" si="234"/>
        <v>5924.3223452134343</v>
      </c>
      <c r="E248" s="27">
        <f t="shared" si="234"/>
        <v>5924.3223429649788</v>
      </c>
      <c r="F248" s="27">
        <f t="shared" si="234"/>
        <v>5924.3223204804181</v>
      </c>
      <c r="G248" s="27">
        <f t="shared" si="234"/>
        <v>5924.322095635137</v>
      </c>
      <c r="H248" s="27">
        <f t="shared" si="234"/>
        <v>5924.3198472151735</v>
      </c>
      <c r="I248" s="27">
        <f t="shared" si="234"/>
        <v>5924.2973662979884</v>
      </c>
      <c r="J248" s="27">
        <f t="shared" si="234"/>
        <v>5924.0728844385467</v>
      </c>
      <c r="K248" s="27">
        <f t="shared" si="234"/>
        <v>5921.8598885463507</v>
      </c>
      <c r="L248" s="27">
        <f t="shared" si="234"/>
        <v>5902.2059359212144</v>
      </c>
      <c r="M248" s="27">
        <f t="shared" si="234"/>
        <v>5789.318224443974</v>
      </c>
      <c r="N248" s="27">
        <f t="shared" si="234"/>
        <v>5647.0555182583339</v>
      </c>
      <c r="O248" s="27">
        <f t="shared" si="234"/>
        <v>5493.7961794806424</v>
      </c>
      <c r="P248" s="27">
        <f t="shared" si="234"/>
        <v>5309.5051124216488</v>
      </c>
      <c r="Q248" s="27">
        <f t="shared" si="234"/>
        <v>5117.4182874831167</v>
      </c>
      <c r="R248" s="27">
        <f t="shared" si="234"/>
        <v>4888.6569822848305</v>
      </c>
      <c r="S248" s="27">
        <f t="shared" si="234"/>
        <v>4599.3219393985719</v>
      </c>
      <c r="T248" s="27">
        <f t="shared" si="234"/>
        <v>4272.2817526269218</v>
      </c>
      <c r="U248" s="27">
        <f t="shared" si="234"/>
        <v>3941.1738922693989</v>
      </c>
      <c r="V248" s="27">
        <f t="shared" si="234"/>
        <v>3608.4671753280782</v>
      </c>
      <c r="W248" s="27">
        <f t="shared" si="234"/>
        <v>3262.5362243101636</v>
      </c>
      <c r="X248" s="27">
        <f t="shared" si="234"/>
        <v>2841.2885111593255</v>
      </c>
      <c r="Y248" s="27">
        <f t="shared" si="234"/>
        <v>2350.372202042136</v>
      </c>
      <c r="Z248" s="27">
        <f t="shared" si="234"/>
        <v>1794.2564025170768</v>
      </c>
      <c r="AA248" s="27">
        <f t="shared" si="234"/>
        <v>1192.7135167765482</v>
      </c>
      <c r="AB248" s="27">
        <f t="shared" si="234"/>
        <v>712.54576761401984</v>
      </c>
      <c r="AC248" s="27">
        <f t="shared" si="234"/>
        <v>405.78490868736247</v>
      </c>
      <c r="AD248" s="27">
        <f t="shared" si="234"/>
        <v>227.74478551654562</v>
      </c>
      <c r="AE248" s="27">
        <f t="shared" si="234"/>
        <v>157.27696857442697</v>
      </c>
      <c r="AF248" s="27">
        <f t="shared" si="234"/>
        <v>137.32643425749035</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7.2761897864327869E-4</v>
      </c>
      <c r="C258" s="3">
        <f t="shared" si="244"/>
        <v>7.2761897790763299E-4</v>
      </c>
      <c r="D258" s="3">
        <f t="shared" si="244"/>
        <v>7.2761897055117672E-4</v>
      </c>
      <c r="E258" s="3">
        <f t="shared" si="244"/>
        <v>7.276188969866169E-4</v>
      </c>
      <c r="F258" s="3">
        <f t="shared" si="244"/>
        <v>7.2761816134142749E-4</v>
      </c>
      <c r="G258" s="3">
        <f t="shared" si="244"/>
        <v>7.2761080493044105E-4</v>
      </c>
      <c r="H258" s="3">
        <f t="shared" si="244"/>
        <v>7.2753724491109086E-4</v>
      </c>
      <c r="I258" s="3">
        <f t="shared" si="244"/>
        <v>7.2680205361607916E-4</v>
      </c>
      <c r="J258" s="3">
        <f t="shared" si="244"/>
        <v>7.1949087796638138E-4</v>
      </c>
      <c r="K258" s="3">
        <f t="shared" si="244"/>
        <v>6.5030449477494734E-4</v>
      </c>
      <c r="L258" s="3">
        <f t="shared" si="244"/>
        <v>2.3660907204135266E-4</v>
      </c>
      <c r="M258" s="3">
        <f t="shared" si="244"/>
        <v>9.6200594833474714E-9</v>
      </c>
      <c r="N258" s="3">
        <f t="shared" si="244"/>
        <v>1.1875213012675975E-52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3.1446025256698359E-2</v>
      </c>
      <c r="C259" s="3">
        <f t="shared" si="245"/>
        <v>3.1446025253830369E-2</v>
      </c>
      <c r="D259" s="3">
        <f t="shared" si="245"/>
        <v>3.1446025225150512E-2</v>
      </c>
      <c r="E259" s="3">
        <f t="shared" si="245"/>
        <v>3.1446024938351934E-2</v>
      </c>
      <c r="F259" s="3">
        <f t="shared" si="245"/>
        <v>3.1446022070366272E-2</v>
      </c>
      <c r="G259" s="3">
        <f t="shared" si="245"/>
        <v>3.1445993390524105E-2</v>
      </c>
      <c r="H259" s="3">
        <f t="shared" si="245"/>
        <v>3.1445706593541033E-2</v>
      </c>
      <c r="I259" s="3">
        <f t="shared" si="245"/>
        <v>3.1442838767568516E-2</v>
      </c>
      <c r="J259" s="3">
        <f t="shared" si="245"/>
        <v>3.1414174888810764E-2</v>
      </c>
      <c r="K259" s="3">
        <f t="shared" si="245"/>
        <v>3.1128969356894357E-2</v>
      </c>
      <c r="L259" s="3">
        <f t="shared" si="245"/>
        <v>2.8415518779178368E-2</v>
      </c>
      <c r="M259" s="3">
        <f t="shared" si="245"/>
        <v>1.1414688466365321E-2</v>
      </c>
      <c r="N259" s="3">
        <f t="shared" si="245"/>
        <v>1.2489607792698682E-6</v>
      </c>
      <c r="O259" s="3">
        <f t="shared" si="245"/>
        <v>3.0718229134403207E-46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1.9599632072004283E-2</v>
      </c>
      <c r="D260" s="3">
        <f t="shared" si="246"/>
        <v>1.9599632070391761E-2</v>
      </c>
      <c r="E260" s="3">
        <f t="shared" si="246"/>
        <v>1.9599632054266538E-2</v>
      </c>
      <c r="F260" s="3">
        <f t="shared" si="246"/>
        <v>1.9599631893014301E-2</v>
      </c>
      <c r="G260" s="3">
        <f t="shared" si="246"/>
        <v>1.9599630280492004E-2</v>
      </c>
      <c r="H260" s="3">
        <f t="shared" si="246"/>
        <v>1.9599614155276352E-2</v>
      </c>
      <c r="I260" s="3">
        <f t="shared" si="246"/>
        <v>1.9599452903849464E-2</v>
      </c>
      <c r="J260" s="3">
        <f t="shared" si="246"/>
        <v>1.9597840462545087E-2</v>
      </c>
      <c r="K260" s="3">
        <f t="shared" si="246"/>
        <v>1.9581723343730206E-2</v>
      </c>
      <c r="L260" s="3">
        <f t="shared" si="246"/>
        <v>1.9421279362907853E-2</v>
      </c>
      <c r="M260" s="3">
        <f t="shared" si="246"/>
        <v>1.7887394467806995E-2</v>
      </c>
      <c r="N260" s="3">
        <f t="shared" si="246"/>
        <v>7.8566892510304309E-3</v>
      </c>
      <c r="O260" s="3">
        <f t="shared" si="246"/>
        <v>2.0997350269424167E-6</v>
      </c>
      <c r="P260" s="3">
        <f t="shared" si="246"/>
        <v>3.9031357950315929E-42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3.2516214564224898E-2</v>
      </c>
      <c r="E261" s="3">
        <f t="shared" si="247"/>
        <v>3.251621456181164E-2</v>
      </c>
      <c r="F261" s="3">
        <f t="shared" si="247"/>
        <v>3.2516214537679021E-2</v>
      </c>
      <c r="G261" s="3">
        <f t="shared" si="247"/>
        <v>3.2516214296352861E-2</v>
      </c>
      <c r="H261" s="3">
        <f t="shared" si="247"/>
        <v>3.2516211883091367E-2</v>
      </c>
      <c r="I261" s="3">
        <f t="shared" si="247"/>
        <v>3.25161877504863E-2</v>
      </c>
      <c r="J261" s="3">
        <f t="shared" si="247"/>
        <v>3.2515946425420682E-2</v>
      </c>
      <c r="K261" s="3">
        <f t="shared" si="247"/>
        <v>3.2513533273269529E-2</v>
      </c>
      <c r="L261" s="3">
        <f t="shared" si="247"/>
        <v>3.2489411599553257E-2</v>
      </c>
      <c r="M261" s="3">
        <f t="shared" si="247"/>
        <v>3.2249176943039359E-2</v>
      </c>
      <c r="N261" s="3">
        <f t="shared" si="247"/>
        <v>2.9942394317408225E-2</v>
      </c>
      <c r="O261" s="3">
        <f t="shared" si="247"/>
        <v>1.4254941118468719E-2</v>
      </c>
      <c r="P261" s="3">
        <f t="shared" si="247"/>
        <v>8.526179107013325E-6</v>
      </c>
      <c r="Q261" s="3">
        <f t="shared" si="247"/>
        <v>4.9962560720807542E-38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3.2163923060875919E-2</v>
      </c>
      <c r="G262" s="3">
        <f t="shared" si="248"/>
        <v>3.2163923039342152E-2</v>
      </c>
      <c r="H262" s="3">
        <f t="shared" si="248"/>
        <v>3.2163922824004473E-2</v>
      </c>
      <c r="I262" s="3">
        <f t="shared" si="248"/>
        <v>3.2163920670627774E-2</v>
      </c>
      <c r="J262" s="3">
        <f t="shared" si="248"/>
        <v>3.2163899136868693E-2</v>
      </c>
      <c r="K262" s="3">
        <f t="shared" si="248"/>
        <v>3.2163683800070814E-2</v>
      </c>
      <c r="L262" s="3">
        <f t="shared" si="248"/>
        <v>3.2161530511382617E-2</v>
      </c>
      <c r="M262" s="3">
        <f t="shared" si="248"/>
        <v>3.2140005551598239E-2</v>
      </c>
      <c r="N262" s="3">
        <f t="shared" si="248"/>
        <v>3.192554670335554E-2</v>
      </c>
      <c r="O262" s="3">
        <f t="shared" si="248"/>
        <v>2.9858108958665596E-2</v>
      </c>
      <c r="P262" s="3">
        <f t="shared" si="248"/>
        <v>1.528628153538303E-2</v>
      </c>
      <c r="Q262" s="3">
        <f t="shared" si="248"/>
        <v>1.8910255993645746E-5</v>
      </c>
      <c r="R262" s="3">
        <f t="shared" si="248"/>
        <v>1.5872778254288408E-34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3.3900572602726192E-2</v>
      </c>
      <c r="H263" s="3">
        <f t="shared" si="249"/>
        <v>3.3900572582252098E-2</v>
      </c>
      <c r="I263" s="3">
        <f t="shared" si="249"/>
        <v>3.3900572377511186E-2</v>
      </c>
      <c r="J263" s="3">
        <f t="shared" si="249"/>
        <v>3.3900570330102117E-2</v>
      </c>
      <c r="K263" s="3">
        <f t="shared" si="249"/>
        <v>3.3900549856018279E-2</v>
      </c>
      <c r="L263" s="3">
        <f t="shared" si="249"/>
        <v>3.3900345115859945E-2</v>
      </c>
      <c r="M263" s="3">
        <f t="shared" si="249"/>
        <v>3.3898297782283725E-2</v>
      </c>
      <c r="N263" s="3">
        <f t="shared" si="249"/>
        <v>3.3877831245710359E-2</v>
      </c>
      <c r="O263" s="3">
        <f t="shared" si="249"/>
        <v>3.3673844281970428E-2</v>
      </c>
      <c r="P263" s="3">
        <f t="shared" si="249"/>
        <v>3.1700323067058556E-2</v>
      </c>
      <c r="Q263" s="3">
        <f t="shared" si="249"/>
        <v>1.7329003055673167E-2</v>
      </c>
      <c r="R263" s="3">
        <f t="shared" si="249"/>
        <v>4.1292623723191006E-5</v>
      </c>
      <c r="S263" s="3">
        <f t="shared" si="249"/>
        <v>2.4370334087322146E-31</v>
      </c>
      <c r="T263" s="3">
        <f t="shared" si="249"/>
        <v>1.2495439163290677E-293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4.6234934193727574E-2</v>
      </c>
      <c r="G264" s="3">
        <f t="shared" si="250"/>
        <v>4.6234934193475678E-2</v>
      </c>
      <c r="H264" s="3">
        <f t="shared" si="250"/>
        <v>4.6234934190956756E-2</v>
      </c>
      <c r="I264" s="3">
        <f t="shared" si="250"/>
        <v>4.6234934165767558E-2</v>
      </c>
      <c r="J264" s="3">
        <f t="shared" si="250"/>
        <v>4.6234933913875516E-2</v>
      </c>
      <c r="K264" s="3">
        <f t="shared" si="250"/>
        <v>4.6234931394955228E-2</v>
      </c>
      <c r="L264" s="3">
        <f t="shared" si="250"/>
        <v>4.6234906205759908E-2</v>
      </c>
      <c r="M264" s="3">
        <f t="shared" si="250"/>
        <v>4.623465431456146E-2</v>
      </c>
      <c r="N264" s="3">
        <f t="shared" si="250"/>
        <v>4.6232135478053431E-2</v>
      </c>
      <c r="O264" s="3">
        <f t="shared" si="250"/>
        <v>4.6206954659099145E-2</v>
      </c>
      <c r="P264" s="3">
        <f t="shared" si="250"/>
        <v>4.5955899563232164E-2</v>
      </c>
      <c r="Q264" s="3">
        <f t="shared" si="250"/>
        <v>4.3519161760280346E-2</v>
      </c>
      <c r="R264" s="3">
        <f t="shared" si="250"/>
        <v>2.5239051048253122E-2</v>
      </c>
      <c r="S264" s="3">
        <f t="shared" si="250"/>
        <v>1.0864206851410899E-4</v>
      </c>
      <c r="T264" s="3">
        <f t="shared" si="250"/>
        <v>2.37272859436198E-28</v>
      </c>
      <c r="U264" s="3">
        <f t="shared" si="250"/>
        <v>5.8579875773559291E-265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5.6671396993577684E-2</v>
      </c>
      <c r="I265" s="3">
        <f t="shared" si="251"/>
        <v>5.6671396990792496E-2</v>
      </c>
      <c r="J265" s="3">
        <f t="shared" si="251"/>
        <v>5.6671396962940601E-2</v>
      </c>
      <c r="K265" s="3">
        <f t="shared" si="251"/>
        <v>5.6671396684421685E-2</v>
      </c>
      <c r="L265" s="3">
        <f t="shared" si="251"/>
        <v>5.6671393899232557E-2</v>
      </c>
      <c r="M265" s="3">
        <f t="shared" si="251"/>
        <v>5.6671366047348806E-2</v>
      </c>
      <c r="N265" s="3">
        <f t="shared" si="251"/>
        <v>5.667108752926419E-2</v>
      </c>
      <c r="O265" s="3">
        <f t="shared" si="251"/>
        <v>5.6668302423701467E-2</v>
      </c>
      <c r="P265" s="3">
        <f t="shared" si="251"/>
        <v>5.6640458895048498E-2</v>
      </c>
      <c r="Q265" s="3">
        <f t="shared" si="251"/>
        <v>5.636277493903518E-2</v>
      </c>
      <c r="R265" s="3">
        <f t="shared" si="251"/>
        <v>5.3659719975865591E-2</v>
      </c>
      <c r="S265" s="3">
        <f t="shared" si="251"/>
        <v>3.2825303744550637E-2</v>
      </c>
      <c r="T265" s="3">
        <f t="shared" si="251"/>
        <v>2.4088639290454063E-4</v>
      </c>
      <c r="U265" s="3">
        <f t="shared" si="251"/>
        <v>1.0910569450947716E-25</v>
      </c>
      <c r="V265" s="3">
        <f t="shared" si="251"/>
        <v>3.964595787125183E-239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5.8705737382809445E-2</v>
      </c>
      <c r="J266" s="3">
        <f t="shared" si="252"/>
        <v>5.8705737380206784E-2</v>
      </c>
      <c r="K266" s="3">
        <f t="shared" si="252"/>
        <v>5.8705737354180151E-2</v>
      </c>
      <c r="L266" s="3">
        <f t="shared" si="252"/>
        <v>5.8705737093913864E-2</v>
      </c>
      <c r="M266" s="3">
        <f t="shared" si="252"/>
        <v>5.8705734491251015E-2</v>
      </c>
      <c r="N266" s="3">
        <f t="shared" si="252"/>
        <v>5.8705708464628907E-2</v>
      </c>
      <c r="O266" s="3">
        <f t="shared" si="252"/>
        <v>5.8705448199042429E-2</v>
      </c>
      <c r="P266" s="3">
        <f t="shared" si="252"/>
        <v>5.8702845606639131E-2</v>
      </c>
      <c r="Q266" s="3">
        <f t="shared" si="252"/>
        <v>5.8676826027711439E-2</v>
      </c>
      <c r="R266" s="3">
        <f t="shared" si="252"/>
        <v>5.8417263709377547E-2</v>
      </c>
      <c r="S266" s="3">
        <f t="shared" si="252"/>
        <v>5.5883960707650067E-2</v>
      </c>
      <c r="T266" s="3">
        <f t="shared" si="252"/>
        <v>3.5871278782775275E-2</v>
      </c>
      <c r="U266" s="3">
        <f t="shared" si="252"/>
        <v>4.2593533009267423E-4</v>
      </c>
      <c r="V266" s="3">
        <f t="shared" si="252"/>
        <v>2.373076415827815E-23</v>
      </c>
      <c r="W266" s="3">
        <f t="shared" si="252"/>
        <v>6.8389952999283547E-216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5.6202356064947147E-2</v>
      </c>
      <c r="J267" s="3">
        <f t="shared" si="253"/>
        <v>5.6202356064722375E-2</v>
      </c>
      <c r="K267" s="3">
        <f t="shared" si="253"/>
        <v>5.6202356062474673E-2</v>
      </c>
      <c r="L267" s="3">
        <f t="shared" si="253"/>
        <v>5.6202356039997667E-2</v>
      </c>
      <c r="M267" s="3">
        <f t="shared" si="253"/>
        <v>5.6202355815227589E-2</v>
      </c>
      <c r="N267" s="3">
        <f t="shared" si="253"/>
        <v>5.6202353567526897E-2</v>
      </c>
      <c r="O267" s="3">
        <f t="shared" si="253"/>
        <v>5.6202331090524943E-2</v>
      </c>
      <c r="P267" s="3">
        <f t="shared" si="253"/>
        <v>5.6202106320999722E-2</v>
      </c>
      <c r="Q267" s="3">
        <f t="shared" si="253"/>
        <v>5.6199858675187474E-2</v>
      </c>
      <c r="R267" s="3">
        <f t="shared" si="253"/>
        <v>5.6177387160328364E-2</v>
      </c>
      <c r="S267" s="3">
        <f t="shared" si="253"/>
        <v>5.5953165607374761E-2</v>
      </c>
      <c r="T267" s="3">
        <f t="shared" si="253"/>
        <v>5.3759586995505163E-2</v>
      </c>
      <c r="U267" s="3">
        <f t="shared" si="253"/>
        <v>3.6038651963223353E-2</v>
      </c>
      <c r="V267" s="3">
        <f t="shared" si="253"/>
        <v>6.6053324142223684E-4</v>
      </c>
      <c r="W267" s="3">
        <f t="shared" si="253"/>
        <v>2.8258954214102324E-21</v>
      </c>
      <c r="X267" s="3">
        <f t="shared" si="253"/>
        <v>5.8045714203884868E-195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6.3415296183978967E-2</v>
      </c>
      <c r="L268" s="3">
        <f t="shared" si="254"/>
        <v>6.341529618169113E-2</v>
      </c>
      <c r="M268" s="3">
        <f t="shared" si="254"/>
        <v>6.3415296158812778E-2</v>
      </c>
      <c r="N268" s="3">
        <f t="shared" si="254"/>
        <v>6.3415295930029342E-2</v>
      </c>
      <c r="O268" s="3">
        <f t="shared" si="254"/>
        <v>6.3415293642195003E-2</v>
      </c>
      <c r="P268" s="3">
        <f t="shared" si="254"/>
        <v>6.3415270763856155E-2</v>
      </c>
      <c r="Q268" s="3">
        <f t="shared" si="254"/>
        <v>6.3415041980921655E-2</v>
      </c>
      <c r="R268" s="3">
        <f t="shared" si="254"/>
        <v>6.3412754196971954E-2</v>
      </c>
      <c r="S268" s="3">
        <f t="shared" si="254"/>
        <v>6.3389880896404252E-2</v>
      </c>
      <c r="T268" s="3">
        <f t="shared" si="254"/>
        <v>6.316160117836514E-2</v>
      </c>
      <c r="U268" s="3">
        <f t="shared" si="254"/>
        <v>6.0923533485618304E-2</v>
      </c>
      <c r="V268" s="3">
        <f t="shared" si="254"/>
        <v>4.2472185818648547E-2</v>
      </c>
      <c r="W268" s="3">
        <f t="shared" si="254"/>
        <v>1.1515953361556511E-3</v>
      </c>
      <c r="X268" s="3">
        <f t="shared" si="254"/>
        <v>2.4731630361892598E-19</v>
      </c>
      <c r="Y268" s="3">
        <f t="shared" si="254"/>
        <v>5.1615631191657372E-176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3.5348869965671742E-2</v>
      </c>
      <c r="M269" s="3">
        <f t="shared" si="255"/>
        <v>3.5348869964521329E-2</v>
      </c>
      <c r="N269" s="3">
        <f t="shared" si="255"/>
        <v>3.5348869953017226E-2</v>
      </c>
      <c r="O269" s="3">
        <f t="shared" si="255"/>
        <v>3.5348869837976221E-2</v>
      </c>
      <c r="P269" s="3">
        <f t="shared" si="255"/>
        <v>3.5348868687566148E-2</v>
      </c>
      <c r="Q269" s="3">
        <f t="shared" si="255"/>
        <v>3.5348857183467475E-2</v>
      </c>
      <c r="R269" s="3">
        <f t="shared" si="255"/>
        <v>3.5348742142686719E-2</v>
      </c>
      <c r="S269" s="3">
        <f t="shared" si="255"/>
        <v>3.534759175547058E-2</v>
      </c>
      <c r="T269" s="3">
        <f t="shared" si="255"/>
        <v>3.5336089942205183E-2</v>
      </c>
      <c r="U269" s="3">
        <f t="shared" si="255"/>
        <v>3.5221277451450053E-2</v>
      </c>
      <c r="V269" s="3">
        <f t="shared" si="255"/>
        <v>3.4093471251891279E-2</v>
      </c>
      <c r="W269" s="3">
        <f t="shared" si="255"/>
        <v>2.4622514486536455E-2</v>
      </c>
      <c r="X269" s="3">
        <f t="shared" si="255"/>
        <v>9.5048267048068139E-4</v>
      </c>
      <c r="Y269" s="3">
        <f t="shared" si="255"/>
        <v>6.9833244064294009E-18</v>
      </c>
      <c r="Z269" s="3">
        <f t="shared" si="255"/>
        <v>3.2006807722476403E-159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7.046045679983072E-2</v>
      </c>
      <c r="N270" s="3">
        <f t="shared" si="256"/>
        <v>7.0460456793488599E-2</v>
      </c>
      <c r="O270" s="3">
        <f t="shared" si="256"/>
        <v>7.0460456730067247E-2</v>
      </c>
      <c r="P270" s="3">
        <f t="shared" si="256"/>
        <v>7.0460456095853774E-2</v>
      </c>
      <c r="Q270" s="3">
        <f t="shared" si="256"/>
        <v>7.0460449753719359E-2</v>
      </c>
      <c r="R270" s="3">
        <f t="shared" si="256"/>
        <v>7.0460386332406685E-2</v>
      </c>
      <c r="S270" s="3">
        <f t="shared" si="256"/>
        <v>7.0459752122419519E-2</v>
      </c>
      <c r="T270" s="3">
        <f t="shared" si="256"/>
        <v>7.0453410336506317E-2</v>
      </c>
      <c r="U270" s="3">
        <f t="shared" si="256"/>
        <v>7.0390023862760095E-2</v>
      </c>
      <c r="V270" s="3">
        <f t="shared" si="256"/>
        <v>6.9759287236513812E-2</v>
      </c>
      <c r="W270" s="3">
        <f t="shared" si="256"/>
        <v>6.375456043558729E-2</v>
      </c>
      <c r="X270" s="3">
        <f t="shared" si="256"/>
        <v>2.5918118319446983E-2</v>
      </c>
      <c r="Y270" s="3">
        <f t="shared" si="256"/>
        <v>3.1954026546121537E-6</v>
      </c>
      <c r="Z270" s="3">
        <f t="shared" si="256"/>
        <v>2.5926675183116916E-45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8.6875447408455847E-2</v>
      </c>
      <c r="O271" s="3">
        <f t="shared" si="257"/>
        <v>8.6875447400636199E-2</v>
      </c>
      <c r="P271" s="3">
        <f t="shared" si="257"/>
        <v>8.687544732243975E-2</v>
      </c>
      <c r="Q271" s="3">
        <f t="shared" si="257"/>
        <v>8.6875446540475201E-2</v>
      </c>
      <c r="R271" s="3">
        <f t="shared" si="257"/>
        <v>8.6875438720830117E-2</v>
      </c>
      <c r="S271" s="3">
        <f t="shared" si="257"/>
        <v>8.6875360524418049E-2</v>
      </c>
      <c r="T271" s="3">
        <f t="shared" si="257"/>
        <v>8.6874578564168456E-2</v>
      </c>
      <c r="U271" s="3">
        <f t="shared" si="257"/>
        <v>8.686675934877304E-2</v>
      </c>
      <c r="V271" s="3">
        <f t="shared" si="257"/>
        <v>8.6788605891976817E-2</v>
      </c>
      <c r="W271" s="3">
        <f t="shared" si="257"/>
        <v>8.6010928183220065E-2</v>
      </c>
      <c r="X271" s="3">
        <f t="shared" si="257"/>
        <v>7.8607295690770906E-2</v>
      </c>
      <c r="Y271" s="3">
        <f t="shared" si="257"/>
        <v>3.1956195393167845E-2</v>
      </c>
      <c r="Z271" s="3">
        <f t="shared" si="257"/>
        <v>3.9398273567574326E-6</v>
      </c>
      <c r="AA271" s="3">
        <f t="shared" si="257"/>
        <v>3.1966745727263044E-45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9.6215979998213449E-2</v>
      </c>
      <c r="P272" s="3">
        <f t="shared" si="258"/>
        <v>9.6215979989553072E-2</v>
      </c>
      <c r="Q272" s="3">
        <f t="shared" si="258"/>
        <v>9.6215979902949222E-2</v>
      </c>
      <c r="R272" s="3">
        <f t="shared" si="258"/>
        <v>9.621597903691069E-2</v>
      </c>
      <c r="S272" s="3">
        <f t="shared" si="258"/>
        <v>9.6215970376525767E-2</v>
      </c>
      <c r="T272" s="3">
        <f t="shared" si="258"/>
        <v>9.621588377271946E-2</v>
      </c>
      <c r="U272" s="3">
        <f t="shared" si="258"/>
        <v>9.6215017738943767E-2</v>
      </c>
      <c r="V272" s="3">
        <f t="shared" si="258"/>
        <v>9.6206357829906983E-2</v>
      </c>
      <c r="W272" s="3">
        <f t="shared" si="258"/>
        <v>9.611980159727497E-2</v>
      </c>
      <c r="X272" s="3">
        <f t="shared" si="258"/>
        <v>9.5258510805654673E-2</v>
      </c>
      <c r="Y272" s="3">
        <f t="shared" si="258"/>
        <v>8.7058866636244903E-2</v>
      </c>
      <c r="Z272" s="3">
        <f t="shared" si="258"/>
        <v>3.5392009462834363E-2</v>
      </c>
      <c r="AA272" s="3">
        <f t="shared" si="258"/>
        <v>4.3634232854297905E-6</v>
      </c>
      <c r="AB272" s="3">
        <f t="shared" si="258"/>
        <v>3.540369413053461E-45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0.1116141683450278</v>
      </c>
      <c r="Q273" s="3">
        <f t="shared" si="259"/>
        <v>0.11161416833498143</v>
      </c>
      <c r="R273" s="3">
        <f t="shared" si="259"/>
        <v>0.11161416823451768</v>
      </c>
      <c r="S273" s="3">
        <f t="shared" si="259"/>
        <v>0.1116141672298803</v>
      </c>
      <c r="T273" s="3">
        <f t="shared" si="259"/>
        <v>0.11161415718350691</v>
      </c>
      <c r="U273" s="3">
        <f t="shared" si="259"/>
        <v>0.11161405671982286</v>
      </c>
      <c r="V273" s="3">
        <f t="shared" si="259"/>
        <v>0.11161305208795573</v>
      </c>
      <c r="W273" s="3">
        <f t="shared" si="259"/>
        <v>0.11160300626661605</v>
      </c>
      <c r="X273" s="3">
        <f t="shared" si="259"/>
        <v>0.11150259776981043</v>
      </c>
      <c r="Y273" s="3">
        <f t="shared" si="259"/>
        <v>0.11050346794322949</v>
      </c>
      <c r="Z273" s="3">
        <f t="shared" si="259"/>
        <v>0.10099157122180315</v>
      </c>
      <c r="AA273" s="3">
        <f t="shared" si="259"/>
        <v>4.1056066802281278E-2</v>
      </c>
      <c r="AB273" s="3">
        <f t="shared" si="259"/>
        <v>5.0617357028387374E-6</v>
      </c>
      <c r="AC273" s="3">
        <f t="shared" si="259"/>
        <v>4.106962145783616E-45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6.6462351021733285E-2</v>
      </c>
      <c r="R274" s="3">
        <f t="shared" si="260"/>
        <v>6.6462351015751014E-2</v>
      </c>
      <c r="S274" s="3">
        <f t="shared" si="260"/>
        <v>6.6462350955928354E-2</v>
      </c>
      <c r="T274" s="3">
        <f t="shared" si="260"/>
        <v>6.6462350357701774E-2</v>
      </c>
      <c r="U274" s="3">
        <f t="shared" si="260"/>
        <v>6.6462344375436216E-2</v>
      </c>
      <c r="V274" s="3">
        <f t="shared" si="260"/>
        <v>6.646228455281035E-2</v>
      </c>
      <c r="W274" s="3">
        <f t="shared" si="260"/>
        <v>6.6461686329513159E-2</v>
      </c>
      <c r="X274" s="3">
        <f t="shared" si="260"/>
        <v>6.6455704392684889E-2</v>
      </c>
      <c r="Y274" s="3">
        <f t="shared" si="260"/>
        <v>6.6395914628901223E-2</v>
      </c>
      <c r="Z274" s="3">
        <f t="shared" si="260"/>
        <v>6.5800967605282923E-2</v>
      </c>
      <c r="AA274" s="3">
        <f t="shared" si="260"/>
        <v>6.0136964296781156E-2</v>
      </c>
      <c r="AB274" s="3">
        <f t="shared" si="260"/>
        <v>2.4447458273844737E-2</v>
      </c>
      <c r="AC274" s="3">
        <f t="shared" si="260"/>
        <v>3.0140873694580067E-6</v>
      </c>
      <c r="AD274" s="3">
        <f t="shared" si="260"/>
        <v>2.4455529599276132E-45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4.7100906601284652E-2</v>
      </c>
      <c r="S275" s="3">
        <f t="shared" si="261"/>
        <v>4.7100906597045106E-2</v>
      </c>
      <c r="T275" s="3">
        <f t="shared" si="261"/>
        <v>4.7100906554649657E-2</v>
      </c>
      <c r="U275" s="3">
        <f t="shared" si="261"/>
        <v>4.7100906130695133E-2</v>
      </c>
      <c r="V275" s="3">
        <f t="shared" si="261"/>
        <v>4.7100901891150085E-2</v>
      </c>
      <c r="W275" s="3">
        <f t="shared" si="261"/>
        <v>4.710085949572064E-2</v>
      </c>
      <c r="X275" s="3">
        <f t="shared" si="261"/>
        <v>4.7100435543524929E-2</v>
      </c>
      <c r="Y275" s="3">
        <f t="shared" si="261"/>
        <v>4.709619623144054E-2</v>
      </c>
      <c r="Z275" s="3">
        <f t="shared" si="261"/>
        <v>4.7053824090876835E-2</v>
      </c>
      <c r="AA275" s="3">
        <f t="shared" si="261"/>
        <v>4.6632193742847251E-2</v>
      </c>
      <c r="AB275" s="3">
        <f t="shared" si="261"/>
        <v>4.261819654410428E-2</v>
      </c>
      <c r="AC275" s="3">
        <f t="shared" si="261"/>
        <v>1.7325559976333418E-2</v>
      </c>
      <c r="AD275" s="3">
        <f t="shared" si="261"/>
        <v>2.1360401113486065E-6</v>
      </c>
      <c r="AE275" s="3">
        <f t="shared" si="261"/>
        <v>1.7331280007891864E-45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2.2598128773333229E-2</v>
      </c>
      <c r="T276" s="3">
        <f t="shared" si="262"/>
        <v>2.2598128771299176E-2</v>
      </c>
      <c r="U276" s="3">
        <f t="shared" si="262"/>
        <v>2.2598128750958638E-2</v>
      </c>
      <c r="V276" s="3">
        <f t="shared" si="262"/>
        <v>2.259812854755323E-2</v>
      </c>
      <c r="W276" s="3">
        <f t="shared" si="262"/>
        <v>2.2598126513499288E-2</v>
      </c>
      <c r="X276" s="3">
        <f t="shared" si="262"/>
        <v>2.2598106172969916E-2</v>
      </c>
      <c r="Y276" s="3">
        <f t="shared" si="262"/>
        <v>2.2597902768683169E-2</v>
      </c>
      <c r="Z276" s="3">
        <f t="shared" si="262"/>
        <v>2.2595868826508676E-2</v>
      </c>
      <c r="AA276" s="3">
        <f t="shared" si="262"/>
        <v>2.2575539470707392E-2</v>
      </c>
      <c r="AB276" s="3">
        <f t="shared" si="262"/>
        <v>2.2373249162790945E-2</v>
      </c>
      <c r="AC276" s="3">
        <f t="shared" si="262"/>
        <v>2.0447408831078127E-2</v>
      </c>
      <c r="AD276" s="3">
        <f t="shared" si="262"/>
        <v>8.3124776924062907E-3</v>
      </c>
      <c r="AE276" s="3">
        <f t="shared" si="262"/>
        <v>1.0248318553584764E-6</v>
      </c>
      <c r="AF276" s="3">
        <f t="shared" si="262"/>
        <v>8.3152220559243747E-46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6.4467605951365765E-3</v>
      </c>
      <c r="U277" s="3">
        <f t="shared" si="263"/>
        <v>6.4467605945563045E-3</v>
      </c>
      <c r="V277" s="3">
        <f t="shared" si="263"/>
        <v>6.4467605887535851E-3</v>
      </c>
      <c r="W277" s="3">
        <f t="shared" si="263"/>
        <v>6.4467605307263936E-3</v>
      </c>
      <c r="X277" s="3">
        <f t="shared" si="263"/>
        <v>6.4467599504545066E-3</v>
      </c>
      <c r="Y277" s="3">
        <f t="shared" si="263"/>
        <v>6.4467541477385149E-3</v>
      </c>
      <c r="Z277" s="3">
        <f t="shared" si="263"/>
        <v>6.4466961208658547E-3</v>
      </c>
      <c r="AA277" s="3">
        <f t="shared" si="263"/>
        <v>6.4461158808647983E-3</v>
      </c>
      <c r="AB277" s="3">
        <f t="shared" si="263"/>
        <v>6.4403163524516813E-3</v>
      </c>
      <c r="AC277" s="3">
        <f t="shared" si="263"/>
        <v>6.3826072740171555E-3</v>
      </c>
      <c r="AD277" s="3">
        <f t="shared" si="263"/>
        <v>5.8332064060275151E-3</v>
      </c>
      <c r="AE277" s="3">
        <f t="shared" si="263"/>
        <v>2.3713712835636861E-3</v>
      </c>
      <c r="AF277" s="3">
        <f t="shared" si="263"/>
        <v>2.9236250877382807E-7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9.8307104635707602E-5</v>
      </c>
      <c r="V278" s="3">
        <f t="shared" si="264"/>
        <v>9.8307104626859008E-5</v>
      </c>
      <c r="W278" s="3">
        <f t="shared" si="264"/>
        <v>9.8307104538372932E-5</v>
      </c>
      <c r="X278" s="3">
        <f t="shared" si="264"/>
        <v>9.8307103653512212E-5</v>
      </c>
      <c r="Y278" s="3">
        <f t="shared" si="264"/>
        <v>9.8307094804905496E-5</v>
      </c>
      <c r="Z278" s="3">
        <f t="shared" si="264"/>
        <v>9.8307006318882205E-5</v>
      </c>
      <c r="AA278" s="3">
        <f t="shared" si="264"/>
        <v>9.8306121463029701E-5</v>
      </c>
      <c r="AB278" s="3">
        <f t="shared" si="264"/>
        <v>9.8297273342542541E-5</v>
      </c>
      <c r="AC278" s="3">
        <f t="shared" si="264"/>
        <v>9.8208835926861835E-5</v>
      </c>
      <c r="AD278" s="3">
        <f t="shared" si="264"/>
        <v>9.7328826140803852E-5</v>
      </c>
      <c r="AE278" s="3">
        <f t="shared" si="264"/>
        <v>8.8950973757522973E-5</v>
      </c>
      <c r="AF278" s="3">
        <f t="shared" si="264"/>
        <v>3.6161207084264119E-5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1.1020901234589301E-2</v>
      </c>
      <c r="W279" s="3">
        <f t="shared" si="265"/>
        <v>1.1020901233597311E-2</v>
      </c>
      <c r="X279" s="3">
        <f t="shared" si="265"/>
        <v>1.1020901223677415E-2</v>
      </c>
      <c r="Y279" s="3">
        <f t="shared" si="265"/>
        <v>1.1020901124478455E-2</v>
      </c>
      <c r="Z279" s="3">
        <f t="shared" si="265"/>
        <v>1.1020900132488904E-2</v>
      </c>
      <c r="AA279" s="3">
        <f t="shared" si="265"/>
        <v>1.1020890212598302E-2</v>
      </c>
      <c r="AB279" s="3">
        <f t="shared" si="265"/>
        <v>1.1020791014183361E-2</v>
      </c>
      <c r="AC279" s="3">
        <f t="shared" si="265"/>
        <v>1.1019799079141005E-2</v>
      </c>
      <c r="AD279" s="3">
        <f t="shared" si="265"/>
        <v>1.1009884637786323E-2</v>
      </c>
      <c r="AE279" s="3">
        <f t="shared" si="265"/>
        <v>1.0911229500158614E-2</v>
      </c>
      <c r="AF279" s="3">
        <f t="shared" si="265"/>
        <v>9.9720147402869268E-3</v>
      </c>
      <c r="AG279" s="3"/>
      <c r="AH279" s="3"/>
    </row>
    <row r="280" spans="1:34" x14ac:dyDescent="0.25">
      <c r="A280" s="80">
        <f>AVERAGE(B280:AF280)</f>
        <v>2.7742272182943362E-5</v>
      </c>
      <c r="B280" s="81">
        <f>IF($D$61&lt;=B246,IF($E$61&gt;=B246,ABS((B248-B247)/B247),0),0)</f>
        <v>5.8822277032040659E-6</v>
      </c>
      <c r="C280" s="81">
        <f t="shared" ref="C280:AF280" si="266">IF($D$61&lt;=C246,IF($E$61&gt;=C246,ABS((C248-C247)/C247),0),0)</f>
        <v>3.1292460194521538E-7</v>
      </c>
      <c r="D280" s="81">
        <f t="shared" si="266"/>
        <v>3.4718330918595536E-6</v>
      </c>
      <c r="E280" s="81">
        <f t="shared" si="266"/>
        <v>4.6156941051126942E-6</v>
      </c>
      <c r="F280" s="81">
        <f t="shared" si="266"/>
        <v>4.9605874760347964E-6</v>
      </c>
      <c r="G280" s="81">
        <f t="shared" si="266"/>
        <v>5.0715887601590192E-6</v>
      </c>
      <c r="H280" s="81">
        <f t="shared" si="266"/>
        <v>5.1016876507820525E-6</v>
      </c>
      <c r="I280" s="81">
        <f t="shared" si="266"/>
        <v>4.8480222283099282E-6</v>
      </c>
      <c r="J280" s="81">
        <f t="shared" si="266"/>
        <v>2.34483018383944E-6</v>
      </c>
      <c r="K280" s="81">
        <f t="shared" si="266"/>
        <v>1.9680776346478665E-5</v>
      </c>
      <c r="L280" s="81">
        <f t="shared" si="266"/>
        <v>5.6806612355710699E-5</v>
      </c>
      <c r="M280" s="81">
        <f t="shared" si="266"/>
        <v>9.4858274442133331E-5</v>
      </c>
      <c r="N280" s="81">
        <f t="shared" si="266"/>
        <v>1.2272090079850072E-4</v>
      </c>
      <c r="O280" s="81">
        <f t="shared" si="266"/>
        <v>1.3024009895751224E-4</v>
      </c>
      <c r="P280" s="81">
        <f t="shared" si="266"/>
        <v>1.2567510599929125E-4</v>
      </c>
      <c r="Q280" s="81">
        <f t="shared" si="266"/>
        <v>9.770510388833244E-5</v>
      </c>
      <c r="R280" s="81">
        <f t="shared" si="266"/>
        <v>7.1642547378348041E-5</v>
      </c>
      <c r="S280" s="81">
        <f t="shared" si="266"/>
        <v>3.9347417875927486E-5</v>
      </c>
      <c r="T280" s="81">
        <f t="shared" si="266"/>
        <v>2.5948959161819806E-5</v>
      </c>
      <c r="U280" s="81">
        <f t="shared" si="266"/>
        <v>6.8210889254761852E-6</v>
      </c>
      <c r="V280" s="81">
        <f t="shared" si="266"/>
        <v>7.7198591295625017E-6</v>
      </c>
      <c r="W280" s="81">
        <f t="shared" si="266"/>
        <v>3.0607061464073024E-6</v>
      </c>
      <c r="X280" s="81">
        <f t="shared" si="266"/>
        <v>9.1741707836951123E-6</v>
      </c>
      <c r="Y280" s="81">
        <f t="shared" si="266"/>
        <v>1.1999419680801575E-5</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1.2143836643044629E-3</v>
      </c>
      <c r="C281" s="21">
        <f t="shared" ref="C281:AF281" si="267">(C248-C247)^2</f>
        <v>3.4368220819685066E-6</v>
      </c>
      <c r="D281" s="21">
        <f t="shared" si="267"/>
        <v>4.2305031464227817E-4</v>
      </c>
      <c r="E281" s="21">
        <f t="shared" si="267"/>
        <v>7.4773445020164463E-4</v>
      </c>
      <c r="F281" s="21">
        <f t="shared" si="267"/>
        <v>8.6365297617184422E-4</v>
      </c>
      <c r="G281" s="21">
        <f t="shared" si="267"/>
        <v>9.0273645527554991E-4</v>
      </c>
      <c r="H281" s="21">
        <f t="shared" si="267"/>
        <v>9.1348263277310721E-4</v>
      </c>
      <c r="I281" s="21">
        <f t="shared" si="267"/>
        <v>8.2489504134733633E-4</v>
      </c>
      <c r="J281" s="21">
        <f t="shared" si="267"/>
        <v>1.9295744560605263E-4</v>
      </c>
      <c r="K281" s="21">
        <f t="shared" si="267"/>
        <v>1.3583691265207785E-2</v>
      </c>
      <c r="L281" s="21">
        <f t="shared" si="267"/>
        <v>0.1124283513376954</v>
      </c>
      <c r="M281" s="21">
        <f t="shared" si="267"/>
        <v>0.30152470138930165</v>
      </c>
      <c r="N281" s="21">
        <f t="shared" si="267"/>
        <v>0.48038317073683207</v>
      </c>
      <c r="O281" s="21">
        <f t="shared" si="267"/>
        <v>0.51182489182201718</v>
      </c>
      <c r="P281" s="21">
        <f t="shared" si="267"/>
        <v>0.44536468194853102</v>
      </c>
      <c r="Q281" s="21">
        <f t="shared" si="267"/>
        <v>0.24994904044304975</v>
      </c>
      <c r="R281" s="21">
        <f t="shared" si="267"/>
        <v>0.12268272122478625</v>
      </c>
      <c r="S281" s="21">
        <f t="shared" si="267"/>
        <v>3.2748085770558502E-2</v>
      </c>
      <c r="T281" s="21">
        <f t="shared" si="267"/>
        <v>1.2290857878466606E-2</v>
      </c>
      <c r="U281" s="21">
        <f t="shared" si="267"/>
        <v>7.2269107691612388E-4</v>
      </c>
      <c r="V281" s="21">
        <f t="shared" si="267"/>
        <v>7.7601653394832699E-4</v>
      </c>
      <c r="W281" s="21">
        <f t="shared" si="267"/>
        <v>9.9714109384246331E-5</v>
      </c>
      <c r="X281" s="21">
        <f t="shared" si="267"/>
        <v>6.794731193336881E-4</v>
      </c>
      <c r="Y281" s="21">
        <f t="shared" si="267"/>
        <v>7.9543407765875359E-4</v>
      </c>
      <c r="Z281" s="21">
        <f t="shared" si="267"/>
        <v>5.4625241551075276E-4</v>
      </c>
      <c r="AA281" s="21">
        <f t="shared" si="267"/>
        <v>1.5290390623111465E-3</v>
      </c>
      <c r="AB281" s="21">
        <f t="shared" si="267"/>
        <v>2.6587100558755461E-4</v>
      </c>
      <c r="AC281" s="21">
        <f t="shared" si="267"/>
        <v>7.392998544160633E-5</v>
      </c>
      <c r="AD281" s="21">
        <f t="shared" si="267"/>
        <v>1.3736396510273278E-4</v>
      </c>
      <c r="AE281" s="21">
        <f t="shared" si="267"/>
        <v>4.5275220040145267E-6</v>
      </c>
      <c r="AF281" s="21">
        <f t="shared" si="267"/>
        <v>3.4886613119683637E-6</v>
      </c>
      <c r="AG281" s="3"/>
      <c r="AH281" s="3"/>
    </row>
    <row r="282" spans="1:34" s="3" customFormat="1" x14ac:dyDescent="0.25">
      <c r="A282" s="72">
        <f>SUM(B282:AF282)</f>
        <v>2.2919398525360921</v>
      </c>
      <c r="B282" s="21">
        <f>IF($D$61&lt;=B246,IF($E$61&gt;=B246,ABS(B281),0),0)</f>
        <v>1.2143836643044629E-3</v>
      </c>
      <c r="C282" s="21">
        <f t="shared" ref="C282:AF282" si="268">IF($D$61&lt;=C246,IF($E$61&gt;=C246,ABS(C281),0),0)</f>
        <v>3.4368220819685066E-6</v>
      </c>
      <c r="D282" s="21">
        <f t="shared" si="268"/>
        <v>4.2305031464227817E-4</v>
      </c>
      <c r="E282" s="21">
        <f t="shared" si="268"/>
        <v>7.4773445020164463E-4</v>
      </c>
      <c r="F282" s="21">
        <f t="shared" si="268"/>
        <v>8.6365297617184422E-4</v>
      </c>
      <c r="G282" s="21">
        <f t="shared" si="268"/>
        <v>9.0273645527554991E-4</v>
      </c>
      <c r="H282" s="21">
        <f t="shared" si="268"/>
        <v>9.1348263277310721E-4</v>
      </c>
      <c r="I282" s="21">
        <f t="shared" si="268"/>
        <v>8.2489504134733633E-4</v>
      </c>
      <c r="J282" s="21">
        <f t="shared" si="268"/>
        <v>1.9295744560605263E-4</v>
      </c>
      <c r="K282" s="21">
        <f t="shared" si="268"/>
        <v>1.3583691265207785E-2</v>
      </c>
      <c r="L282" s="21">
        <f t="shared" si="268"/>
        <v>0.1124283513376954</v>
      </c>
      <c r="M282" s="21">
        <f t="shared" si="268"/>
        <v>0.30152470138930165</v>
      </c>
      <c r="N282" s="21">
        <f t="shared" si="268"/>
        <v>0.48038317073683207</v>
      </c>
      <c r="O282" s="21">
        <f t="shared" si="268"/>
        <v>0.51182489182201718</v>
      </c>
      <c r="P282" s="21">
        <f t="shared" si="268"/>
        <v>0.44536468194853102</v>
      </c>
      <c r="Q282" s="21">
        <f t="shared" si="268"/>
        <v>0.24994904044304975</v>
      </c>
      <c r="R282" s="21">
        <f t="shared" si="268"/>
        <v>0.12268272122478625</v>
      </c>
      <c r="S282" s="21">
        <f t="shared" si="268"/>
        <v>3.2748085770558502E-2</v>
      </c>
      <c r="T282" s="21">
        <f t="shared" si="268"/>
        <v>1.2290857878466606E-2</v>
      </c>
      <c r="U282" s="21">
        <f t="shared" si="268"/>
        <v>7.2269107691612388E-4</v>
      </c>
      <c r="V282" s="21">
        <f t="shared" si="268"/>
        <v>7.7601653394832699E-4</v>
      </c>
      <c r="W282" s="21">
        <f t="shared" si="268"/>
        <v>9.9714109384246331E-5</v>
      </c>
      <c r="X282" s="21">
        <f t="shared" si="268"/>
        <v>6.794731193336881E-4</v>
      </c>
      <c r="Y282" s="21">
        <f t="shared" si="268"/>
        <v>7.9543407765875359E-4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5924.3219120372878</v>
      </c>
      <c r="C287" s="27">
        <f t="shared" ref="C287:AF287" si="269">($C$17+SUM(C288:C318))*$B$51</f>
        <v>5924.3180113033295</v>
      </c>
      <c r="D287" s="27">
        <f t="shared" si="269"/>
        <v>5924.2790138412311</v>
      </c>
      <c r="E287" s="27">
        <f t="shared" si="269"/>
        <v>5923.8900221050917</v>
      </c>
      <c r="F287" s="27">
        <f t="shared" si="269"/>
        <v>5920.0937514815205</v>
      </c>
      <c r="G287" s="27">
        <f t="shared" si="269"/>
        <v>5888.4240136684721</v>
      </c>
      <c r="H287" s="27">
        <f t="shared" si="269"/>
        <v>5745.6064543986631</v>
      </c>
      <c r="I287" s="27">
        <f t="shared" si="269"/>
        <v>5612.6674331494823</v>
      </c>
      <c r="J287" s="27">
        <f t="shared" si="269"/>
        <v>5444.8232745787227</v>
      </c>
      <c r="K287" s="27">
        <f t="shared" si="269"/>
        <v>5260.8727676670615</v>
      </c>
      <c r="L287" s="27">
        <f t="shared" si="269"/>
        <v>5064.5922627667778</v>
      </c>
      <c r="M287" s="27">
        <f t="shared" si="269"/>
        <v>4820.7757672377038</v>
      </c>
      <c r="N287" s="27">
        <f t="shared" si="269"/>
        <v>4521.3522484699643</v>
      </c>
      <c r="O287" s="27">
        <f t="shared" si="269"/>
        <v>4194.8313702667847</v>
      </c>
      <c r="P287" s="27">
        <f t="shared" si="269"/>
        <v>3867.7797623780093</v>
      </c>
      <c r="Q287" s="27">
        <f t="shared" si="269"/>
        <v>3531.6730154374895</v>
      </c>
      <c r="R287" s="27">
        <f t="shared" si="269"/>
        <v>3190.991542045429</v>
      </c>
      <c r="S287" s="27">
        <f t="shared" si="269"/>
        <v>2718.3582799283918</v>
      </c>
      <c r="T287" s="27">
        <f t="shared" si="269"/>
        <v>2210.0192230987218</v>
      </c>
      <c r="U287" s="27">
        <f t="shared" si="269"/>
        <v>1639.4756551054431</v>
      </c>
      <c r="V287" s="27">
        <f t="shared" si="269"/>
        <v>1038.5622147339129</v>
      </c>
      <c r="W287" s="27">
        <f t="shared" si="269"/>
        <v>618.1441010577098</v>
      </c>
      <c r="X287" s="27">
        <f t="shared" si="269"/>
        <v>343.41327093801084</v>
      </c>
      <c r="Y287" s="27">
        <f t="shared" si="269"/>
        <v>199.57058179118752</v>
      </c>
      <c r="Z287" s="27">
        <f t="shared" si="269"/>
        <v>149.43999101422028</v>
      </c>
      <c r="AA287" s="27">
        <f t="shared" si="269"/>
        <v>133.02244443688039</v>
      </c>
      <c r="AB287" s="27">
        <f t="shared" si="269"/>
        <v>89.500358747452211</v>
      </c>
      <c r="AC287" s="27">
        <f t="shared" si="269"/>
        <v>77.972136630739968</v>
      </c>
      <c r="AD287" s="27">
        <f t="shared" si="269"/>
        <v>77.972134725678558</v>
      </c>
      <c r="AE287" s="27">
        <f t="shared" si="269"/>
        <v>77.972134725678558</v>
      </c>
      <c r="AF287" s="27">
        <f t="shared" si="269"/>
        <v>77.972134725678558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7.2760479807943475E-4</v>
      </c>
      <c r="C297" s="3">
        <f t="shared" si="279"/>
        <v>7.2747718470511343E-4</v>
      </c>
      <c r="D297" s="3">
        <f t="shared" si="279"/>
        <v>7.2620228131857467E-4</v>
      </c>
      <c r="E297" s="3">
        <f t="shared" si="279"/>
        <v>7.1357548835948852E-4</v>
      </c>
      <c r="F297" s="3">
        <f t="shared" si="279"/>
        <v>5.9877418549620146E-4</v>
      </c>
      <c r="G297" s="3">
        <f t="shared" si="279"/>
        <v>1.0363215306121989E-4</v>
      </c>
      <c r="H297" s="3">
        <f t="shared" si="279"/>
        <v>2.4992462320457376E-12</v>
      </c>
      <c r="I297" s="3">
        <f t="shared" si="279"/>
        <v>1.6632376017040799E-88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3.1445969971906192E-2</v>
      </c>
      <c r="C298" s="3">
        <f t="shared" si="280"/>
        <v>3.1445472410282567E-2</v>
      </c>
      <c r="D298" s="3">
        <f t="shared" si="280"/>
        <v>3.1440497227029317E-2</v>
      </c>
      <c r="E298" s="3">
        <f t="shared" si="280"/>
        <v>3.1390788667457363E-2</v>
      </c>
      <c r="F298" s="3">
        <f t="shared" si="280"/>
        <v>3.0898005140668029E-2</v>
      </c>
      <c r="G298" s="3">
        <f t="shared" si="280"/>
        <v>2.6376221474157746E-2</v>
      </c>
      <c r="H298" s="3">
        <f t="shared" si="280"/>
        <v>5.4204329660185535E-3</v>
      </c>
      <c r="I298" s="3">
        <f t="shared" si="280"/>
        <v>7.2819542982816444E-10</v>
      </c>
      <c r="J298" s="3">
        <f t="shared" si="280"/>
        <v>1.3944009162962727E-78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1.9599628963780716E-2</v>
      </c>
      <c r="C299" s="3">
        <f t="shared" si="281"/>
        <v>1.9599600988178267E-2</v>
      </c>
      <c r="D299" s="3">
        <f t="shared" si="281"/>
        <v>1.9599321234349994E-2</v>
      </c>
      <c r="E299" s="3">
        <f t="shared" si="281"/>
        <v>1.9596523915675648E-2</v>
      </c>
      <c r="F299" s="3">
        <f t="shared" si="281"/>
        <v>1.95685726781782E-2</v>
      </c>
      <c r="G299" s="3">
        <f t="shared" si="281"/>
        <v>1.9291243680068612E-2</v>
      </c>
      <c r="H299" s="3">
        <f t="shared" si="281"/>
        <v>1.6725187691628472E-2</v>
      </c>
      <c r="I299" s="3">
        <f t="shared" si="281"/>
        <v>4.013088456852042E-3</v>
      </c>
      <c r="J299" s="3">
        <f t="shared" si="281"/>
        <v>2.5383766081074824E-9</v>
      </c>
      <c r="K299" s="3">
        <f t="shared" si="281"/>
        <v>2.6021318625433776E-71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3.2516214099297044E-2</v>
      </c>
      <c r="C300" s="3">
        <f t="shared" si="282"/>
        <v>3.2516209912533393E-2</v>
      </c>
      <c r="D300" s="3">
        <f t="shared" si="282"/>
        <v>3.2516168044926512E-2</v>
      </c>
      <c r="E300" s="3">
        <f t="shared" si="282"/>
        <v>3.2515749371822694E-2</v>
      </c>
      <c r="F300" s="3">
        <f t="shared" si="282"/>
        <v>3.2511562937265398E-2</v>
      </c>
      <c r="G300" s="3">
        <f t="shared" si="282"/>
        <v>3.2469728225659814E-2</v>
      </c>
      <c r="H300" s="3">
        <f t="shared" si="282"/>
        <v>3.2054330436939109E-2</v>
      </c>
      <c r="I300" s="3">
        <f t="shared" si="282"/>
        <v>2.8181705361763312E-2</v>
      </c>
      <c r="J300" s="3">
        <f t="shared" si="282"/>
        <v>7.7762976341342587E-3</v>
      </c>
      <c r="K300" s="3">
        <f t="shared" si="282"/>
        <v>1.9898893173903157E-8</v>
      </c>
      <c r="L300" s="3">
        <f t="shared" si="282"/>
        <v>2.3954625157143958E-64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3.2163923021758668E-2</v>
      </c>
      <c r="C301" s="3">
        <f t="shared" si="283"/>
        <v>3.2163922648169654E-2</v>
      </c>
      <c r="D301" s="3">
        <f t="shared" si="283"/>
        <v>3.216391891227971E-2</v>
      </c>
      <c r="E301" s="3">
        <f t="shared" si="283"/>
        <v>3.2163881553404175E-2</v>
      </c>
      <c r="F301" s="3">
        <f t="shared" si="283"/>
        <v>3.216350796703539E-2</v>
      </c>
      <c r="G301" s="3">
        <f t="shared" si="283"/>
        <v>3.215977234199744E-2</v>
      </c>
      <c r="H301" s="3">
        <f t="shared" si="283"/>
        <v>3.2122439946348766E-2</v>
      </c>
      <c r="I301" s="3">
        <f t="shared" si="283"/>
        <v>3.1751491242891151E-2</v>
      </c>
      <c r="J301" s="3">
        <f t="shared" si="283"/>
        <v>2.8269631062760297E-2</v>
      </c>
      <c r="K301" s="3">
        <f t="shared" si="283"/>
        <v>8.8487163855533943E-3</v>
      </c>
      <c r="L301" s="3">
        <f t="shared" si="283"/>
        <v>7.9888013851153512E-8</v>
      </c>
      <c r="M301" s="3">
        <f t="shared" si="283"/>
        <v>2.8740552237323407E-58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3.390057260105437E-2</v>
      </c>
      <c r="C302" s="3">
        <f t="shared" si="284"/>
        <v>3.3900572565533901E-2</v>
      </c>
      <c r="D302" s="3">
        <f t="shared" si="284"/>
        <v>3.3900572210329188E-2</v>
      </c>
      <c r="E302" s="3">
        <f t="shared" si="284"/>
        <v>3.390056865828233E-2</v>
      </c>
      <c r="F302" s="3">
        <f t="shared" si="284"/>
        <v>3.3900533137834199E-2</v>
      </c>
      <c r="G302" s="3">
        <f t="shared" si="284"/>
        <v>3.3900177935399844E-2</v>
      </c>
      <c r="H302" s="3">
        <f t="shared" si="284"/>
        <v>3.3896626115745253E-2</v>
      </c>
      <c r="I302" s="3">
        <f t="shared" si="284"/>
        <v>3.3861128380160151E-2</v>
      </c>
      <c r="J302" s="3">
        <f t="shared" si="284"/>
        <v>3.3508189210271669E-2</v>
      </c>
      <c r="K302" s="3">
        <f t="shared" si="284"/>
        <v>3.0174931072696181E-2</v>
      </c>
      <c r="L302" s="3">
        <f t="shared" si="284"/>
        <v>1.0582775007364579E-2</v>
      </c>
      <c r="M302" s="3">
        <f t="shared" si="284"/>
        <v>2.9794240959520628E-7</v>
      </c>
      <c r="N302" s="3">
        <f t="shared" si="284"/>
        <v>9.3209451752555258E-53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4.6234934193269996E-2</v>
      </c>
      <c r="C303" s="3">
        <f t="shared" si="285"/>
        <v>4.6234934188899922E-2</v>
      </c>
      <c r="D303" s="3">
        <f t="shared" si="285"/>
        <v>4.6234934145199212E-2</v>
      </c>
      <c r="E303" s="3">
        <f t="shared" si="285"/>
        <v>4.6234933708192094E-2</v>
      </c>
      <c r="F303" s="3">
        <f t="shared" si="285"/>
        <v>4.6234929338121115E-2</v>
      </c>
      <c r="G303" s="3">
        <f t="shared" si="285"/>
        <v>4.6234885637434109E-2</v>
      </c>
      <c r="H303" s="3">
        <f t="shared" si="285"/>
        <v>4.623444863283583E-2</v>
      </c>
      <c r="I303" s="3">
        <f t="shared" si="285"/>
        <v>4.6230078814023821E-2</v>
      </c>
      <c r="J303" s="3">
        <f t="shared" si="285"/>
        <v>4.6186403335046027E-2</v>
      </c>
      <c r="K303" s="3">
        <f t="shared" si="285"/>
        <v>4.5751911537702673E-2</v>
      </c>
      <c r="L303" s="3">
        <f t="shared" si="285"/>
        <v>4.162557480656922E-2</v>
      </c>
      <c r="M303" s="3">
        <f t="shared" si="285"/>
        <v>1.6175966643172224E-2</v>
      </c>
      <c r="N303" s="3">
        <f t="shared" si="285"/>
        <v>1.2704870196425799E-6</v>
      </c>
      <c r="O303" s="3">
        <f t="shared" si="285"/>
        <v>1.1349327502498916E-47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5.6671396993350262E-2</v>
      </c>
      <c r="D304" s="3">
        <f t="shared" si="286"/>
        <v>5.6671396988518245E-2</v>
      </c>
      <c r="E304" s="3">
        <f t="shared" si="286"/>
        <v>5.6671396940198036E-2</v>
      </c>
      <c r="F304" s="3">
        <f t="shared" si="286"/>
        <v>5.6671396456995968E-2</v>
      </c>
      <c r="G304" s="3">
        <f t="shared" si="286"/>
        <v>5.667139162497558E-2</v>
      </c>
      <c r="H304" s="3">
        <f t="shared" si="286"/>
        <v>5.6671343304794342E-2</v>
      </c>
      <c r="I304" s="3">
        <f t="shared" si="286"/>
        <v>5.6670860105247904E-2</v>
      </c>
      <c r="J304" s="3">
        <f t="shared" si="286"/>
        <v>5.6666028336373721E-2</v>
      </c>
      <c r="K304" s="3">
        <f t="shared" si="286"/>
        <v>5.6617733299504425E-2</v>
      </c>
      <c r="L304" s="3">
        <f t="shared" si="286"/>
        <v>5.6137040988210644E-2</v>
      </c>
      <c r="M304" s="3">
        <f t="shared" si="286"/>
        <v>5.1548959544167099E-2</v>
      </c>
      <c r="N304" s="3">
        <f t="shared" si="286"/>
        <v>2.197474142983152E-2</v>
      </c>
      <c r="O304" s="3">
        <f t="shared" si="286"/>
        <v>4.3547423951890787E-6</v>
      </c>
      <c r="P304" s="3">
        <f t="shared" si="286"/>
        <v>4.0677047995725135E-43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5.8705737383048455E-2</v>
      </c>
      <c r="D305" s="3">
        <f t="shared" si="287"/>
        <v>5.870573738259692E-2</v>
      </c>
      <c r="E305" s="3">
        <f t="shared" si="287"/>
        <v>5.8705737378081567E-2</v>
      </c>
      <c r="F305" s="3">
        <f t="shared" si="287"/>
        <v>5.8705737332928006E-2</v>
      </c>
      <c r="G305" s="3">
        <f t="shared" si="287"/>
        <v>5.8705736881392405E-2</v>
      </c>
      <c r="H305" s="3">
        <f t="shared" si="287"/>
        <v>5.870573236603658E-2</v>
      </c>
      <c r="I305" s="3">
        <f t="shared" si="287"/>
        <v>5.8705687212497373E-2</v>
      </c>
      <c r="J305" s="3">
        <f t="shared" si="287"/>
        <v>5.870523567901547E-2</v>
      </c>
      <c r="K305" s="3">
        <f t="shared" si="287"/>
        <v>5.8700720535204871E-2</v>
      </c>
      <c r="L305" s="3">
        <f t="shared" si="287"/>
        <v>5.8655588192501718E-2</v>
      </c>
      <c r="M305" s="3">
        <f t="shared" si="287"/>
        <v>5.8206168882637209E-2</v>
      </c>
      <c r="N305" s="3">
        <f t="shared" si="287"/>
        <v>5.3897078339395291E-2</v>
      </c>
      <c r="O305" s="3">
        <f t="shared" si="287"/>
        <v>2.4976254336659249E-2</v>
      </c>
      <c r="P305" s="3">
        <f t="shared" si="287"/>
        <v>1.1406388386029962E-5</v>
      </c>
      <c r="Q305" s="3">
        <f t="shared" si="287"/>
        <v>4.5014934719021635E-39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5.6202356064538841E-2</v>
      </c>
      <c r="F306" s="3">
        <f t="shared" si="288"/>
        <v>5.6202356060639308E-2</v>
      </c>
      <c r="G306" s="3">
        <f t="shared" si="288"/>
        <v>5.6202356021643973E-2</v>
      </c>
      <c r="H306" s="3">
        <f t="shared" si="288"/>
        <v>5.6202355631690709E-2</v>
      </c>
      <c r="I306" s="3">
        <f t="shared" si="288"/>
        <v>5.6202351732158172E-2</v>
      </c>
      <c r="J306" s="3">
        <f t="shared" si="288"/>
        <v>5.6202312736847733E-2</v>
      </c>
      <c r="K306" s="3">
        <f t="shared" si="288"/>
        <v>5.620192278523136E-2</v>
      </c>
      <c r="L306" s="3">
        <f t="shared" si="288"/>
        <v>5.6198023417873777E-2</v>
      </c>
      <c r="M306" s="3">
        <f t="shared" si="288"/>
        <v>5.6159044621094611E-2</v>
      </c>
      <c r="N306" s="3">
        <f t="shared" si="288"/>
        <v>5.5770740520873122E-2</v>
      </c>
      <c r="O306" s="3">
        <f t="shared" si="288"/>
        <v>5.2032346558353232E-2</v>
      </c>
      <c r="P306" s="3">
        <f t="shared" si="288"/>
        <v>2.5998208554940515E-2</v>
      </c>
      <c r="Q306" s="3">
        <f t="shared" si="288"/>
        <v>2.521410368906562E-5</v>
      </c>
      <c r="R306" s="3">
        <f t="shared" si="288"/>
        <v>1.8562849610660854E-35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6.3415296183792144E-2</v>
      </c>
      <c r="G307" s="3">
        <f t="shared" si="289"/>
        <v>6.3415296179822986E-2</v>
      </c>
      <c r="H307" s="3">
        <f t="shared" si="289"/>
        <v>6.3415296140131389E-2</v>
      </c>
      <c r="I307" s="3">
        <f t="shared" si="289"/>
        <v>6.3415295743215333E-2</v>
      </c>
      <c r="J307" s="3">
        <f t="shared" si="289"/>
        <v>6.3415291774054985E-2</v>
      </c>
      <c r="K307" s="3">
        <f t="shared" si="289"/>
        <v>6.3415252082465207E-2</v>
      </c>
      <c r="L307" s="3">
        <f t="shared" si="289"/>
        <v>6.3414855167933701E-2</v>
      </c>
      <c r="M307" s="3">
        <f t="shared" si="289"/>
        <v>6.3410886159251389E-2</v>
      </c>
      <c r="N307" s="3">
        <f t="shared" si="289"/>
        <v>6.337120973253961E-2</v>
      </c>
      <c r="O307" s="3">
        <f t="shared" si="289"/>
        <v>6.2975808318401161E-2</v>
      </c>
      <c r="P307" s="3">
        <f t="shared" si="289"/>
        <v>5.9154975485499577E-2</v>
      </c>
      <c r="Q307" s="3">
        <f t="shared" si="289"/>
        <v>3.1634906886690038E-2</v>
      </c>
      <c r="R307" s="3">
        <f t="shared" si="289"/>
        <v>6.0522851083184743E-5</v>
      </c>
      <c r="S307" s="3">
        <f t="shared" si="289"/>
        <v>3.9760108158857645E-32</v>
      </c>
      <c r="T307" s="3">
        <f t="shared" si="289"/>
        <v>5.952910383558323E-304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3.5348869965577803E-2</v>
      </c>
      <c r="H308" s="3">
        <f t="shared" si="290"/>
        <v>3.5348869963581955E-2</v>
      </c>
      <c r="I308" s="3">
        <f t="shared" si="290"/>
        <v>3.5348869943623511E-2</v>
      </c>
      <c r="J308" s="3">
        <f t="shared" si="290"/>
        <v>3.5348869744039037E-2</v>
      </c>
      <c r="K308" s="3">
        <f t="shared" si="290"/>
        <v>3.5348867748194332E-2</v>
      </c>
      <c r="L308" s="3">
        <f t="shared" si="290"/>
        <v>3.5348847789753488E-2</v>
      </c>
      <c r="M308" s="3">
        <f t="shared" si="290"/>
        <v>3.5348648205964853E-2</v>
      </c>
      <c r="N308" s="3">
        <f t="shared" si="290"/>
        <v>3.5346652430055546E-2</v>
      </c>
      <c r="O308" s="3">
        <f t="shared" si="290"/>
        <v>3.5326700867368527E-2</v>
      </c>
      <c r="P308" s="3">
        <f t="shared" si="290"/>
        <v>3.5127803588588677E-2</v>
      </c>
      <c r="Q308" s="3">
        <f t="shared" si="290"/>
        <v>3.3199393114786008E-2</v>
      </c>
      <c r="R308" s="3">
        <f t="shared" si="290"/>
        <v>1.8876507084969546E-2</v>
      </c>
      <c r="S308" s="3">
        <f t="shared" si="290"/>
        <v>6.6655584447729218E-5</v>
      </c>
      <c r="T308" s="3">
        <f t="shared" si="290"/>
        <v>2.0090261707570602E-29</v>
      </c>
      <c r="U308" s="3">
        <f t="shared" si="290"/>
        <v>1.2430143097133518E-274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7.0460456799312857E-2</v>
      </c>
      <c r="I309" s="3">
        <f t="shared" si="291"/>
        <v>7.0460456788309894E-2</v>
      </c>
      <c r="J309" s="3">
        <f t="shared" si="291"/>
        <v>7.0460456678280298E-2</v>
      </c>
      <c r="K309" s="3">
        <f t="shared" si="291"/>
        <v>7.0460455577984277E-2</v>
      </c>
      <c r="L309" s="3">
        <f t="shared" si="291"/>
        <v>7.0460444575025122E-2</v>
      </c>
      <c r="M309" s="3">
        <f t="shared" si="291"/>
        <v>7.0460334545528053E-2</v>
      </c>
      <c r="N309" s="3">
        <f t="shared" si="291"/>
        <v>7.0459234260007386E-2</v>
      </c>
      <c r="O309" s="3">
        <f t="shared" si="291"/>
        <v>7.0448232349749895E-2</v>
      </c>
      <c r="P309" s="3">
        <f t="shared" si="291"/>
        <v>7.0338307687515228E-2</v>
      </c>
      <c r="Q309" s="3">
        <f t="shared" si="291"/>
        <v>6.9248450760209426E-2</v>
      </c>
      <c r="R309" s="3">
        <f t="shared" si="291"/>
        <v>5.9236791514558802E-2</v>
      </c>
      <c r="S309" s="3">
        <f t="shared" si="291"/>
        <v>1.2428141378761462E-2</v>
      </c>
      <c r="T309" s="3">
        <f t="shared" si="291"/>
        <v>2.0537745145620868E-9</v>
      </c>
      <c r="U309" s="3">
        <f t="shared" si="291"/>
        <v>3.1190225443861182E-77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8.6875447409173953E-2</v>
      </c>
      <c r="I310" s="3">
        <f t="shared" si="292"/>
        <v>8.687544740781733E-2</v>
      </c>
      <c r="J310" s="3">
        <f t="shared" si="292"/>
        <v>8.6875447394251029E-2</v>
      </c>
      <c r="K310" s="3">
        <f t="shared" si="292"/>
        <v>8.6875447258588118E-2</v>
      </c>
      <c r="L310" s="3">
        <f t="shared" si="292"/>
        <v>8.6875445901958989E-2</v>
      </c>
      <c r="M310" s="3">
        <f t="shared" si="292"/>
        <v>8.6875432335668856E-2</v>
      </c>
      <c r="N310" s="3">
        <f t="shared" si="292"/>
        <v>8.6875296672884086E-2</v>
      </c>
      <c r="O310" s="3">
        <f t="shared" si="292"/>
        <v>8.6873940056687901E-2</v>
      </c>
      <c r="P310" s="3">
        <f t="shared" si="292"/>
        <v>8.6860375059817641E-2</v>
      </c>
      <c r="Q310" s="3">
        <f t="shared" si="292"/>
        <v>8.6724841532977326E-2</v>
      </c>
      <c r="R310" s="3">
        <f t="shared" si="292"/>
        <v>8.5381083452613526E-2</v>
      </c>
      <c r="S310" s="3">
        <f t="shared" si="292"/>
        <v>7.3037033814420005E-2</v>
      </c>
      <c r="T310" s="3">
        <f t="shared" si="292"/>
        <v>1.5323493371647276E-2</v>
      </c>
      <c r="U310" s="3">
        <f t="shared" si="292"/>
        <v>2.5322370579506969E-9</v>
      </c>
      <c r="V310" s="3">
        <f t="shared" si="292"/>
        <v>3.8456531695555987E-77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9.6215979997506293E-2</v>
      </c>
      <c r="K311" s="3">
        <f t="shared" si="293"/>
        <v>9.6215979982481395E-2</v>
      </c>
      <c r="L311" s="3">
        <f t="shared" si="293"/>
        <v>9.6215979832232498E-2</v>
      </c>
      <c r="M311" s="3">
        <f t="shared" si="293"/>
        <v>9.6215978329743532E-2</v>
      </c>
      <c r="N311" s="3">
        <f t="shared" si="293"/>
        <v>9.6215963304855157E-2</v>
      </c>
      <c r="O311" s="3">
        <f t="shared" si="293"/>
        <v>9.6215813056100469E-2</v>
      </c>
      <c r="P311" s="3">
        <f t="shared" si="293"/>
        <v>9.6214310581457851E-2</v>
      </c>
      <c r="Q311" s="3">
        <f t="shared" si="293"/>
        <v>9.6199287125389665E-2</v>
      </c>
      <c r="R311" s="3">
        <f t="shared" si="293"/>
        <v>9.604918152597626E-2</v>
      </c>
      <c r="S311" s="3">
        <f t="shared" si="293"/>
        <v>9.4560947457093217E-2</v>
      </c>
      <c r="T311" s="3">
        <f t="shared" si="293"/>
        <v>8.0889710433112369E-2</v>
      </c>
      <c r="U311" s="3">
        <f t="shared" si="293"/>
        <v>1.6971019726865502E-2</v>
      </c>
      <c r="V311" s="3">
        <f t="shared" si="293"/>
        <v>2.8044939898036686E-9</v>
      </c>
      <c r="W311" s="3">
        <f t="shared" si="293"/>
        <v>4.2591238316432903E-77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0.11161416834420745</v>
      </c>
      <c r="L312" s="3">
        <f t="shared" si="294"/>
        <v>0.11161416832677801</v>
      </c>
      <c r="M312" s="3">
        <f t="shared" si="294"/>
        <v>0.11161416815248362</v>
      </c>
      <c r="N312" s="3">
        <f t="shared" si="294"/>
        <v>0.11161416640953971</v>
      </c>
      <c r="O312" s="3">
        <f t="shared" si="294"/>
        <v>0.11161414898010209</v>
      </c>
      <c r="P312" s="3">
        <f t="shared" si="294"/>
        <v>0.11161397468587571</v>
      </c>
      <c r="Q312" s="3">
        <f t="shared" si="294"/>
        <v>0.11161223175858133</v>
      </c>
      <c r="R312" s="3">
        <f t="shared" si="294"/>
        <v>0.11159480398250141</v>
      </c>
      <c r="S312" s="3">
        <f t="shared" si="294"/>
        <v>0.11142067582164111</v>
      </c>
      <c r="T312" s="3">
        <f t="shared" si="294"/>
        <v>0.10969426813027632</v>
      </c>
      <c r="U312" s="3">
        <f t="shared" si="294"/>
        <v>9.3835117179387403E-2</v>
      </c>
      <c r="V312" s="3">
        <f t="shared" si="294"/>
        <v>1.9687023432244058E-2</v>
      </c>
      <c r="W312" s="3">
        <f t="shared" si="294"/>
        <v>3.2533188801525231E-9</v>
      </c>
      <c r="X312" s="3">
        <f t="shared" si="294"/>
        <v>4.9407443997990865E-77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6.64623510212448E-2</v>
      </c>
      <c r="M313" s="3">
        <f t="shared" si="295"/>
        <v>6.6462351010866172E-2</v>
      </c>
      <c r="N313" s="3">
        <f t="shared" si="295"/>
        <v>6.6462350907079928E-2</v>
      </c>
      <c r="O313" s="3">
        <f t="shared" si="295"/>
        <v>6.6462349869217521E-2</v>
      </c>
      <c r="P313" s="3">
        <f t="shared" si="295"/>
        <v>6.6462339490594283E-2</v>
      </c>
      <c r="Q313" s="3">
        <f t="shared" si="295"/>
        <v>6.6462235704451117E-2</v>
      </c>
      <c r="R313" s="3">
        <f t="shared" si="295"/>
        <v>6.6461197851933274E-2</v>
      </c>
      <c r="S313" s="3">
        <f t="shared" si="295"/>
        <v>6.6450820218085113E-2</v>
      </c>
      <c r="T313" s="3">
        <f t="shared" si="295"/>
        <v>6.6347132961158267E-2</v>
      </c>
      <c r="U313" s="3">
        <f t="shared" si="295"/>
        <v>6.5319117291719117E-2</v>
      </c>
      <c r="V313" s="3">
        <f t="shared" si="295"/>
        <v>5.5875545090864308E-2</v>
      </c>
      <c r="W313" s="3">
        <f t="shared" si="295"/>
        <v>1.1722936983073275E-2</v>
      </c>
      <c r="X313" s="3">
        <f t="shared" si="295"/>
        <v>1.9372381177444085E-9</v>
      </c>
      <c r="Y313" s="3">
        <f t="shared" si="295"/>
        <v>2.9420412612225341E-77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4.7100906600938471E-2</v>
      </c>
      <c r="N314" s="3">
        <f t="shared" si="296"/>
        <v>4.7100906593583285E-2</v>
      </c>
      <c r="O314" s="3">
        <f t="shared" si="296"/>
        <v>4.7100906520031481E-2</v>
      </c>
      <c r="P314" s="3">
        <f t="shared" si="296"/>
        <v>4.7100905784513404E-2</v>
      </c>
      <c r="Q314" s="3">
        <f t="shared" si="296"/>
        <v>4.7100898429333272E-2</v>
      </c>
      <c r="R314" s="3">
        <f t="shared" si="296"/>
        <v>4.7100824877595177E-2</v>
      </c>
      <c r="S314" s="3">
        <f t="shared" si="296"/>
        <v>4.7100089366531282E-2</v>
      </c>
      <c r="T314" s="3">
        <f t="shared" si="296"/>
        <v>4.7092734887565213E-2</v>
      </c>
      <c r="U314" s="3">
        <f t="shared" si="296"/>
        <v>4.7019253228713614E-2</v>
      </c>
      <c r="V314" s="3">
        <f t="shared" si="296"/>
        <v>4.6290713396966214E-2</v>
      </c>
      <c r="W314" s="3">
        <f t="shared" si="296"/>
        <v>3.9598190406476448E-2</v>
      </c>
      <c r="X314" s="3">
        <f t="shared" si="296"/>
        <v>8.3078758341233322E-3</v>
      </c>
      <c r="Y314" s="3">
        <f t="shared" si="296"/>
        <v>1.3728926263606054E-9</v>
      </c>
      <c r="Z314" s="3">
        <f t="shared" si="296"/>
        <v>2.0849820767949477E-77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2.2598128773167137E-2</v>
      </c>
      <c r="O315" s="3">
        <f t="shared" si="297"/>
        <v>2.2598128769638261E-2</v>
      </c>
      <c r="P315" s="3">
        <f t="shared" si="297"/>
        <v>2.2598128734349486E-2</v>
      </c>
      <c r="Q315" s="3">
        <f t="shared" si="297"/>
        <v>2.2598128381461753E-2</v>
      </c>
      <c r="R315" s="3">
        <f t="shared" si="297"/>
        <v>2.2598124852584715E-2</v>
      </c>
      <c r="S315" s="3">
        <f t="shared" si="297"/>
        <v>2.2598089563844671E-2</v>
      </c>
      <c r="T315" s="3">
        <f t="shared" si="297"/>
        <v>2.2597736679475015E-2</v>
      </c>
      <c r="U315" s="3">
        <f t="shared" si="297"/>
        <v>2.2594208138843243E-2</v>
      </c>
      <c r="V315" s="3">
        <f t="shared" si="297"/>
        <v>2.2558953021499892E-2</v>
      </c>
      <c r="W315" s="3">
        <f t="shared" si="297"/>
        <v>2.2209413317865367E-2</v>
      </c>
      <c r="X315" s="3">
        <f t="shared" si="297"/>
        <v>1.8998466708326944E-2</v>
      </c>
      <c r="Y315" s="3">
        <f t="shared" si="297"/>
        <v>3.9859625106931952E-3</v>
      </c>
      <c r="Z315" s="3">
        <f t="shared" si="297"/>
        <v>6.5868805084975667E-10</v>
      </c>
      <c r="AA315" s="3">
        <f t="shared" si="297"/>
        <v>1.0003351710478307E-77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6.4467605951898654E-3</v>
      </c>
      <c r="O316" s="3">
        <f t="shared" si="298"/>
        <v>6.4467605950891942E-3</v>
      </c>
      <c r="P316" s="3">
        <f t="shared" si="298"/>
        <v>6.4467605940824804E-3</v>
      </c>
      <c r="Q316" s="3">
        <f t="shared" si="298"/>
        <v>6.4467605840153519E-3</v>
      </c>
      <c r="R316" s="3">
        <f t="shared" si="298"/>
        <v>6.4467604833440637E-3</v>
      </c>
      <c r="S316" s="3">
        <f t="shared" si="298"/>
        <v>6.4467594766312664E-3</v>
      </c>
      <c r="T316" s="3">
        <f t="shared" si="298"/>
        <v>6.4467494095119459E-3</v>
      </c>
      <c r="U316" s="3">
        <f t="shared" si="298"/>
        <v>6.4466487391833648E-3</v>
      </c>
      <c r="V316" s="3">
        <f t="shared" si="298"/>
        <v>6.4456421223554224E-3</v>
      </c>
      <c r="W316" s="3">
        <f t="shared" si="298"/>
        <v>6.4355845948695966E-3</v>
      </c>
      <c r="X316" s="3">
        <f t="shared" si="298"/>
        <v>6.3358684276404818E-3</v>
      </c>
      <c r="Y316" s="3">
        <f t="shared" si="298"/>
        <v>5.4198543504091479E-3</v>
      </c>
      <c r="Z316" s="3">
        <f t="shared" si="298"/>
        <v>1.1371094618219709E-3</v>
      </c>
      <c r="AA316" s="3">
        <f t="shared" si="298"/>
        <v>1.8790954832138446E-10</v>
      </c>
      <c r="AB316" s="3">
        <f t="shared" si="298"/>
        <v>2.853741310763026E-78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9.8307104636520212E-5</v>
      </c>
      <c r="P317" s="3">
        <f t="shared" si="299"/>
        <v>9.8307104634985063E-5</v>
      </c>
      <c r="Q317" s="3">
        <f t="shared" si="299"/>
        <v>9.8307104619633627E-5</v>
      </c>
      <c r="R317" s="3">
        <f t="shared" si="299"/>
        <v>9.8307104466119273E-5</v>
      </c>
      <c r="S317" s="3">
        <f t="shared" si="299"/>
        <v>9.8307102930975733E-5</v>
      </c>
      <c r="T317" s="3">
        <f t="shared" si="299"/>
        <v>9.8307087579541661E-5</v>
      </c>
      <c r="U317" s="3">
        <f t="shared" si="299"/>
        <v>9.8306934065332802E-5</v>
      </c>
      <c r="V317" s="3">
        <f t="shared" si="299"/>
        <v>9.8305398936428991E-5</v>
      </c>
      <c r="W317" s="3">
        <f t="shared" si="299"/>
        <v>9.8290048965793005E-5</v>
      </c>
      <c r="X317" s="3">
        <f t="shared" si="299"/>
        <v>9.8136681023500949E-5</v>
      </c>
      <c r="Y317" s="3">
        <f t="shared" si="299"/>
        <v>9.661610219309433E-5</v>
      </c>
      <c r="Z317" s="3">
        <f t="shared" si="299"/>
        <v>8.2647739259608644E-5</v>
      </c>
      <c r="AA317" s="3">
        <f t="shared" si="299"/>
        <v>1.7339861965700535E-5</v>
      </c>
      <c r="AB317" s="3">
        <f t="shared" si="299"/>
        <v>2.8654458865456821E-12</v>
      </c>
      <c r="AC317" s="3">
        <f t="shared" si="299"/>
        <v>4.351690147328618E-80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1.10209012346804E-2</v>
      </c>
      <c r="Q318" s="3">
        <f t="shared" si="300"/>
        <v>1.10209012345083E-2</v>
      </c>
      <c r="R318" s="3">
        <f t="shared" si="300"/>
        <v>1.1020901232787298E-2</v>
      </c>
      <c r="S318" s="3">
        <f t="shared" si="300"/>
        <v>1.1020901215577285E-2</v>
      </c>
      <c r="T318" s="3">
        <f t="shared" si="300"/>
        <v>1.1020901043477157E-2</v>
      </c>
      <c r="U318" s="3">
        <f t="shared" si="300"/>
        <v>1.1020899322476021E-2</v>
      </c>
      <c r="V318" s="3">
        <f t="shared" si="300"/>
        <v>1.1020882112479447E-2</v>
      </c>
      <c r="W318" s="3">
        <f t="shared" si="300"/>
        <v>1.1020710013991816E-2</v>
      </c>
      <c r="X318" s="3">
        <f t="shared" si="300"/>
        <v>1.1018989176917425E-2</v>
      </c>
      <c r="Y318" s="3">
        <f t="shared" si="300"/>
        <v>1.1001795577829989E-2</v>
      </c>
      <c r="Z318" s="3">
        <f t="shared" si="300"/>
        <v>1.083132825330224E-2</v>
      </c>
      <c r="AA318" s="3">
        <f t="shared" si="300"/>
        <v>9.2653788860687387E-3</v>
      </c>
      <c r="AB318" s="3">
        <f t="shared" si="300"/>
        <v>1.9439175515701685E-3</v>
      </c>
      <c r="AC318" s="3">
        <f t="shared" si="300"/>
        <v>3.212361530298754E-10</v>
      </c>
      <c r="AD318" s="3">
        <f t="shared" si="300"/>
        <v>4.8785433662160717E-78</v>
      </c>
      <c r="AE318" s="3">
        <f t="shared" si="300"/>
        <v>0</v>
      </c>
      <c r="AF318" s="3">
        <f t="shared" si="300"/>
        <v>0</v>
      </c>
      <c r="AG318" s="3"/>
      <c r="AH318" s="3"/>
    </row>
    <row r="319" spans="1:34" x14ac:dyDescent="0.25">
      <c r="A319" s="80">
        <f>AVERAGE(B319:AF319)</f>
        <v>7.2065323356517413E-2</v>
      </c>
      <c r="B319" s="81">
        <f>IF($A$64&lt;=B285,IF($B$64&gt;=B285,ABS((B287-B286)/B286),0),0)</f>
        <v>1.2896299375631136E-3</v>
      </c>
      <c r="C319" s="81">
        <f t="shared" ref="C319:AF319" si="301">IF($A$64&lt;=C285,IF($B$64&gt;=C285,ABS((C287-C286)/C286),0),0)</f>
        <v>1.2836997109912558E-3</v>
      </c>
      <c r="D319" s="81">
        <f t="shared" si="301"/>
        <v>1.2903214879266716E-3</v>
      </c>
      <c r="E319" s="81">
        <f t="shared" si="301"/>
        <v>1.3197578408010412E-3</v>
      </c>
      <c r="F319" s="81">
        <f t="shared" si="301"/>
        <v>1.6019881460110819E-3</v>
      </c>
      <c r="G319" s="81">
        <f t="shared" si="301"/>
        <v>3.9867824548463805E-3</v>
      </c>
      <c r="H319" s="81">
        <f t="shared" si="301"/>
        <v>4.0421867065117308E-3</v>
      </c>
      <c r="I319" s="81">
        <f t="shared" si="301"/>
        <v>6.4017494909765658E-3</v>
      </c>
      <c r="J319" s="81">
        <f t="shared" si="301"/>
        <v>6.3300935166526696E-3</v>
      </c>
      <c r="K319" s="81">
        <f t="shared" si="301"/>
        <v>8.5782149701802788E-3</v>
      </c>
      <c r="L319" s="81">
        <f t="shared" si="301"/>
        <v>9.1894511513349389E-3</v>
      </c>
      <c r="M319" s="81">
        <f t="shared" si="301"/>
        <v>1.0370939025604948E-2</v>
      </c>
      <c r="N319" s="81">
        <f t="shared" si="301"/>
        <v>4.2405190819985988E-3</v>
      </c>
      <c r="O319" s="81">
        <f t="shared" si="301"/>
        <v>1.0627831431542674E-2</v>
      </c>
      <c r="P319" s="81">
        <f t="shared" si="301"/>
        <v>2.2914845948474542E-2</v>
      </c>
      <c r="Q319" s="81">
        <f t="shared" si="301"/>
        <v>3.5000075128001712E-2</v>
      </c>
      <c r="R319" s="81">
        <f t="shared" si="301"/>
        <v>2.3602082556369718E-2</v>
      </c>
      <c r="S319" s="81">
        <f t="shared" si="301"/>
        <v>1.8276666045106405E-2</v>
      </c>
      <c r="T319" s="81">
        <f t="shared" si="301"/>
        <v>2.4593018933133279E-3</v>
      </c>
      <c r="U319" s="81">
        <f t="shared" si="301"/>
        <v>3.3421379063885301E-2</v>
      </c>
      <c r="V319" s="81">
        <f t="shared" si="301"/>
        <v>3.8538019201630261E-2</v>
      </c>
      <c r="W319" s="81">
        <f t="shared" si="301"/>
        <v>7.3154534178200517E-2</v>
      </c>
      <c r="X319" s="81">
        <f t="shared" si="301"/>
        <v>6.7163313351055312E-2</v>
      </c>
      <c r="Y319" s="81">
        <f t="shared" si="301"/>
        <v>6.2123189317633699E-2</v>
      </c>
      <c r="Z319" s="81">
        <f t="shared" si="301"/>
        <v>2.1291967134035101E-2</v>
      </c>
      <c r="AA319" s="81">
        <f t="shared" si="301"/>
        <v>2.6143890082201337E-3</v>
      </c>
      <c r="AB319" s="81">
        <f t="shared" si="301"/>
        <v>0.27876190626442121</v>
      </c>
      <c r="AC319" s="81">
        <f t="shared" si="301"/>
        <v>0.37105146514198029</v>
      </c>
      <c r="AD319" s="81">
        <f t="shared" si="301"/>
        <v>0.37104123719809567</v>
      </c>
      <c r="AE319" s="81">
        <f t="shared" si="301"/>
        <v>0.37103265135217472</v>
      </c>
      <c r="AF319" s="81">
        <f t="shared" si="301"/>
        <v>0.37102483631649996</v>
      </c>
    </row>
    <row r="320" spans="1:34" x14ac:dyDescent="0.25">
      <c r="B320" s="21">
        <f>(B287-B286)^2</f>
        <v>58.222127877483224</v>
      </c>
      <c r="C320" s="21">
        <f t="shared" ref="C320:AF320" si="302">(C287-C286)^2</f>
        <v>57.688509792262167</v>
      </c>
      <c r="D320" s="21">
        <f t="shared" si="302"/>
        <v>58.283662029143287</v>
      </c>
      <c r="E320" s="21">
        <f t="shared" si="302"/>
        <v>60.96167689181501</v>
      </c>
      <c r="F320" s="21">
        <f t="shared" si="302"/>
        <v>89.657249022190555</v>
      </c>
      <c r="G320" s="21">
        <f t="shared" si="302"/>
        <v>546.74804180681099</v>
      </c>
      <c r="H320" s="21">
        <f t="shared" si="302"/>
        <v>535.05763856541478</v>
      </c>
      <c r="I320" s="21">
        <f t="shared" si="302"/>
        <v>1274.6566164849582</v>
      </c>
      <c r="J320" s="21">
        <f t="shared" si="302"/>
        <v>1173.0240281128486</v>
      </c>
      <c r="K320" s="21">
        <f t="shared" si="302"/>
        <v>2002.120819262994</v>
      </c>
      <c r="L320" s="21">
        <f t="shared" si="302"/>
        <v>2126.7807307239495</v>
      </c>
      <c r="M320" s="21">
        <f t="shared" si="302"/>
        <v>2448.5463631999305</v>
      </c>
      <c r="N320" s="21">
        <f t="shared" si="302"/>
        <v>364.50144103535763</v>
      </c>
      <c r="O320" s="21">
        <f t="shared" si="302"/>
        <v>2030.4810958492676</v>
      </c>
      <c r="P320" s="21">
        <f t="shared" si="302"/>
        <v>8227.9667498762537</v>
      </c>
      <c r="Q320" s="21">
        <f t="shared" si="302"/>
        <v>16407.573868173062</v>
      </c>
      <c r="R320" s="21">
        <f t="shared" si="302"/>
        <v>5949.7438326408119</v>
      </c>
      <c r="S320" s="21">
        <f t="shared" si="302"/>
        <v>2561.1152261201287</v>
      </c>
      <c r="T320" s="21">
        <f t="shared" si="302"/>
        <v>29.395597400908194</v>
      </c>
      <c r="U320" s="21">
        <f t="shared" si="302"/>
        <v>2811.2779933638831</v>
      </c>
      <c r="V320" s="21">
        <f t="shared" si="302"/>
        <v>1485.248127254692</v>
      </c>
      <c r="W320" s="21">
        <f t="shared" si="302"/>
        <v>1775.5684809263726</v>
      </c>
      <c r="X320" s="21">
        <f t="shared" si="302"/>
        <v>467.12875353244112</v>
      </c>
      <c r="Y320" s="21">
        <f t="shared" si="302"/>
        <v>136.25446800454972</v>
      </c>
      <c r="Z320" s="21">
        <f t="shared" si="302"/>
        <v>9.7065614378151803</v>
      </c>
      <c r="AA320" s="21">
        <f t="shared" si="302"/>
        <v>0.12031572714481242</v>
      </c>
      <c r="AB320" s="21">
        <f t="shared" si="302"/>
        <v>1196.6278049933103</v>
      </c>
      <c r="AC320" s="21">
        <f t="shared" si="302"/>
        <v>2116.0062801573617</v>
      </c>
      <c r="AD320" s="21">
        <f t="shared" si="302"/>
        <v>2115.8207085726326</v>
      </c>
      <c r="AE320" s="21">
        <f t="shared" si="302"/>
        <v>2115.6650282651894</v>
      </c>
      <c r="AF320" s="21">
        <f t="shared" si="302"/>
        <v>2115.5233331203776</v>
      </c>
      <c r="AG320" s="3"/>
      <c r="AH320" s="3"/>
    </row>
    <row r="321" spans="1:34" x14ac:dyDescent="0.25">
      <c r="A321" s="72">
        <f>SUM(B321:AF321)</f>
        <v>62347.473130221355</v>
      </c>
      <c r="B321" s="60">
        <f>IF($A$64&lt;=B285,IF($B$64&gt;=B285,ABS(B320),0),0)</f>
        <v>58.222127877483224</v>
      </c>
      <c r="C321" s="60">
        <f t="shared" ref="C321" si="303">IF($A$64&lt;=C285,IF($B$64&gt;=C285,ABS(C320),0),0)</f>
        <v>57.688509792262167</v>
      </c>
      <c r="D321" s="60">
        <f t="shared" ref="D321" si="304">IF($A$64&lt;=D285,IF($B$64&gt;=D285,ABS(D320),0),0)</f>
        <v>58.283662029143287</v>
      </c>
      <c r="E321" s="60">
        <f t="shared" ref="E321" si="305">IF($A$64&lt;=E285,IF($B$64&gt;=E285,ABS(E320),0),0)</f>
        <v>60.96167689181501</v>
      </c>
      <c r="F321" s="60">
        <f t="shared" ref="F321" si="306">IF($A$64&lt;=F285,IF($B$64&gt;=F285,ABS(F320),0),0)</f>
        <v>89.657249022190555</v>
      </c>
      <c r="G321" s="60">
        <f t="shared" ref="G321" si="307">IF($A$64&lt;=G285,IF($B$64&gt;=G285,ABS(G320),0),0)</f>
        <v>546.74804180681099</v>
      </c>
      <c r="H321" s="60">
        <f t="shared" ref="H321" si="308">IF($A$64&lt;=H285,IF($B$64&gt;=H285,ABS(H320),0),0)</f>
        <v>535.05763856541478</v>
      </c>
      <c r="I321" s="60">
        <f t="shared" ref="I321" si="309">IF($A$64&lt;=I285,IF($B$64&gt;=I285,ABS(I320),0),0)</f>
        <v>1274.6566164849582</v>
      </c>
      <c r="J321" s="60">
        <f t="shared" ref="J321" si="310">IF($A$64&lt;=J285,IF($B$64&gt;=J285,ABS(J320),0),0)</f>
        <v>1173.0240281128486</v>
      </c>
      <c r="K321" s="60">
        <f t="shared" ref="K321" si="311">IF($A$64&lt;=K285,IF($B$64&gt;=K285,ABS(K320),0),0)</f>
        <v>2002.120819262994</v>
      </c>
      <c r="L321" s="60">
        <f t="shared" ref="L321" si="312">IF($A$64&lt;=L285,IF($B$64&gt;=L285,ABS(L320),0),0)</f>
        <v>2126.7807307239495</v>
      </c>
      <c r="M321" s="60">
        <f t="shared" ref="M321" si="313">IF($A$64&lt;=M285,IF($B$64&gt;=M285,ABS(M320),0),0)</f>
        <v>2448.5463631999305</v>
      </c>
      <c r="N321" s="60">
        <f t="shared" ref="N321" si="314">IF($A$64&lt;=N285,IF($B$64&gt;=N285,ABS(N320),0),0)</f>
        <v>364.50144103535763</v>
      </c>
      <c r="O321" s="60">
        <f t="shared" ref="O321" si="315">IF($A$64&lt;=O285,IF($B$64&gt;=O285,ABS(O320),0),0)</f>
        <v>2030.4810958492676</v>
      </c>
      <c r="P321" s="60">
        <f t="shared" ref="P321" si="316">IF($A$64&lt;=P285,IF($B$64&gt;=P285,ABS(P320),0),0)</f>
        <v>8227.9667498762537</v>
      </c>
      <c r="Q321" s="60">
        <f t="shared" ref="Q321" si="317">IF($A$64&lt;=Q285,IF($B$64&gt;=Q285,ABS(Q320),0),0)</f>
        <v>16407.573868173062</v>
      </c>
      <c r="R321" s="60">
        <f t="shared" ref="R321" si="318">IF($A$64&lt;=R285,IF($B$64&gt;=R285,ABS(R320),0),0)</f>
        <v>5949.7438326408119</v>
      </c>
      <c r="S321" s="60">
        <f t="shared" ref="S321" si="319">IF($A$64&lt;=S285,IF($B$64&gt;=S285,ABS(S320),0),0)</f>
        <v>2561.1152261201287</v>
      </c>
      <c r="T321" s="60">
        <f t="shared" ref="T321" si="320">IF($A$64&lt;=T285,IF($B$64&gt;=T285,ABS(T320),0),0)</f>
        <v>29.395597400908194</v>
      </c>
      <c r="U321" s="60">
        <f t="shared" ref="U321" si="321">IF($A$64&lt;=U285,IF($B$64&gt;=U285,ABS(U320),0),0)</f>
        <v>2811.2779933638831</v>
      </c>
      <c r="V321" s="60">
        <f t="shared" ref="V321" si="322">IF($A$64&lt;=V285,IF($B$64&gt;=V285,ABS(V320),0),0)</f>
        <v>1485.248127254692</v>
      </c>
      <c r="W321" s="60">
        <f t="shared" ref="W321" si="323">IF($A$64&lt;=W285,IF($B$64&gt;=W285,ABS(W320),0),0)</f>
        <v>1775.5684809263726</v>
      </c>
      <c r="X321" s="60">
        <f t="shared" ref="X321" si="324">IF($A$64&lt;=X285,IF($B$64&gt;=X285,ABS(X320),0),0)</f>
        <v>467.12875353244112</v>
      </c>
      <c r="Y321" s="60">
        <f t="shared" ref="Y321" si="325">IF($A$64&lt;=Y285,IF($B$64&gt;=Y285,ABS(Y320),0),0)</f>
        <v>136.25446800454972</v>
      </c>
      <c r="Z321" s="60">
        <f t="shared" ref="Z321" si="326">IF($A$64&lt;=Z285,IF($B$64&gt;=Z285,ABS(Z320),0),0)</f>
        <v>9.7065614378151803</v>
      </c>
      <c r="AA321" s="60">
        <f t="shared" ref="AA321" si="327">IF($A$64&lt;=AA285,IF($B$64&gt;=AA285,ABS(AA320),0),0)</f>
        <v>0.12031572714481242</v>
      </c>
      <c r="AB321" s="60">
        <f t="shared" ref="AB321" si="328">IF($A$64&lt;=AB285,IF($B$64&gt;=AB285,ABS(AB320),0),0)</f>
        <v>1196.6278049933103</v>
      </c>
      <c r="AC321" s="60">
        <f t="shared" ref="AC321" si="329">IF($A$64&lt;=AC285,IF($B$64&gt;=AC285,ABS(AC320),0),0)</f>
        <v>2116.0062801573617</v>
      </c>
      <c r="AD321" s="60">
        <f t="shared" ref="AD321" si="330">IF($A$64&lt;=AD285,IF($B$64&gt;=AD285,ABS(AD320),0),0)</f>
        <v>2115.8207085726326</v>
      </c>
      <c r="AE321" s="60">
        <f t="shared" ref="AE321" si="331">IF($A$64&lt;=AE285,IF($B$64&gt;=AE285,ABS(AE320),0),0)</f>
        <v>2115.6650282651894</v>
      </c>
      <c r="AF321" s="60">
        <f t="shared" ref="AF321" si="332">IF($A$64&lt;=AF285,IF($B$64&gt;=AF285,ABS(AF320),0),0)</f>
        <v>2115.5233331203776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5342.8254204690547</v>
      </c>
      <c r="C326" s="27">
        <f t="shared" ref="C326:AF326" si="333">($C$17+SUM(C327:C357))*$B$51</f>
        <v>5152.6715414905466</v>
      </c>
      <c r="D326" s="27">
        <f t="shared" si="333"/>
        <v>4933.6200211546548</v>
      </c>
      <c r="E326" s="27">
        <f t="shared" si="333"/>
        <v>4652.0083696234042</v>
      </c>
      <c r="F326" s="27">
        <f t="shared" si="333"/>
        <v>4326.7908075734777</v>
      </c>
      <c r="G326" s="27">
        <f t="shared" si="333"/>
        <v>3995.0080348026027</v>
      </c>
      <c r="H326" s="27">
        <f t="shared" si="333"/>
        <v>3666.0149842474384</v>
      </c>
      <c r="I326" s="27">
        <f t="shared" si="333"/>
        <v>3319.4326002842909</v>
      </c>
      <c r="J326" s="27">
        <f t="shared" si="333"/>
        <v>2940.1102577587089</v>
      </c>
      <c r="K326" s="27">
        <f t="shared" si="333"/>
        <v>2452.4341290883681</v>
      </c>
      <c r="L326" s="27">
        <f t="shared" si="333"/>
        <v>1907.0960893816591</v>
      </c>
      <c r="M326" s="27">
        <f t="shared" si="333"/>
        <v>1310.7066168018428</v>
      </c>
      <c r="N326" s="27">
        <f t="shared" si="333"/>
        <v>784.61790018279055</v>
      </c>
      <c r="O326" s="27">
        <f t="shared" si="333"/>
        <v>454.45984022135565</v>
      </c>
      <c r="P326" s="27">
        <f t="shared" si="333"/>
        <v>250.34520414225136</v>
      </c>
      <c r="Q326" s="27">
        <f t="shared" si="333"/>
        <v>163.69231098590947</v>
      </c>
      <c r="R326" s="27">
        <f t="shared" si="333"/>
        <v>139.60346878534222</v>
      </c>
      <c r="S326" s="27">
        <f t="shared" si="333"/>
        <v>112.21120952576187</v>
      </c>
      <c r="T326" s="27">
        <f t="shared" si="333"/>
        <v>78.073850904389502</v>
      </c>
      <c r="U326" s="27">
        <f t="shared" si="333"/>
        <v>77.972134725678558</v>
      </c>
      <c r="V326" s="27">
        <f t="shared" si="333"/>
        <v>77.972134725678558</v>
      </c>
      <c r="W326" s="27">
        <f t="shared" si="333"/>
        <v>77.972134725678558</v>
      </c>
      <c r="X326" s="27">
        <f t="shared" si="333"/>
        <v>77.972134725678558</v>
      </c>
      <c r="Y326" s="27">
        <f t="shared" si="333"/>
        <v>77.972134725678558</v>
      </c>
      <c r="Z326" s="27">
        <f t="shared" si="333"/>
        <v>77.972134725678558</v>
      </c>
      <c r="AA326" s="27">
        <f t="shared" si="333"/>
        <v>77.972134725678558</v>
      </c>
      <c r="AB326" s="27">
        <f t="shared" si="333"/>
        <v>77.972134725678558</v>
      </c>
      <c r="AC326" s="27">
        <f t="shared" si="333"/>
        <v>77.972134725678558</v>
      </c>
      <c r="AD326" s="27">
        <f t="shared" si="333"/>
        <v>77.972134725678558</v>
      </c>
      <c r="AE326" s="27">
        <f t="shared" si="333"/>
        <v>77.972134725678558</v>
      </c>
      <c r="AF326" s="27">
        <f t="shared" si="333"/>
        <v>77.972134725678558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9.6137867163516536E-287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4.2330913012253836E-28</v>
      </c>
      <c r="C338" s="3">
        <f t="shared" si="345"/>
        <v>4.3285764005417174E-259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1.5734401209114288E-4</v>
      </c>
      <c r="C339" s="3">
        <f t="shared" si="346"/>
        <v>2.2887711673823931E-25</v>
      </c>
      <c r="D339" s="3">
        <f t="shared" si="346"/>
        <v>9.7078691155901153E-234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1.9884479402670897E-2</v>
      </c>
      <c r="C340" s="3">
        <f t="shared" si="347"/>
        <v>2.6231378874360609E-4</v>
      </c>
      <c r="D340" s="3">
        <f t="shared" si="347"/>
        <v>4.1868757312825628E-23</v>
      </c>
      <c r="E340" s="3">
        <f t="shared" si="347"/>
        <v>4.4934465331667773E-211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3.2461351272855599E-2</v>
      </c>
      <c r="C341" s="3">
        <f t="shared" si="348"/>
        <v>2.1968613016193555E-2</v>
      </c>
      <c r="D341" s="3">
        <f t="shared" si="348"/>
        <v>4.4275460067282914E-4</v>
      </c>
      <c r="E341" s="3">
        <f t="shared" si="348"/>
        <v>4.8951671096272891E-21</v>
      </c>
      <c r="F341" s="3">
        <f t="shared" si="348"/>
        <v>1.3360167950043571E-190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4.6054352364409891E-2</v>
      </c>
      <c r="C342" s="3">
        <f t="shared" si="349"/>
        <v>4.4460526369654259E-2</v>
      </c>
      <c r="D342" s="3">
        <f t="shared" si="349"/>
        <v>3.1261787430319321E-2</v>
      </c>
      <c r="E342" s="3">
        <f t="shared" si="349"/>
        <v>9.2343400359392962E-4</v>
      </c>
      <c r="F342" s="3">
        <f t="shared" si="349"/>
        <v>4.6701026952253343E-19</v>
      </c>
      <c r="G342" s="3">
        <f t="shared" si="349"/>
        <v>5.111308724507316E-172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5.665139436102868E-2</v>
      </c>
      <c r="C343" s="3">
        <f t="shared" si="350"/>
        <v>5.6471688070632513E-2</v>
      </c>
      <c r="D343" s="3">
        <f t="shared" si="350"/>
        <v>5.4705681649934793E-2</v>
      </c>
      <c r="E343" s="3">
        <f t="shared" si="350"/>
        <v>3.9815215644183728E-2</v>
      </c>
      <c r="F343" s="3">
        <f t="shared" si="350"/>
        <v>1.6604104438584385E-3</v>
      </c>
      <c r="G343" s="3">
        <f t="shared" si="350"/>
        <v>2.6416744619622867E-17</v>
      </c>
      <c r="H343" s="3">
        <f t="shared" si="350"/>
        <v>2.7448442792856877E-155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5.8703867906110617E-2</v>
      </c>
      <c r="C344" s="3">
        <f t="shared" si="351"/>
        <v>5.8687045291987941E-2</v>
      </c>
      <c r="D344" s="3">
        <f t="shared" si="351"/>
        <v>5.8519084067639095E-2</v>
      </c>
      <c r="E344" s="3">
        <f t="shared" si="351"/>
        <v>5.686568472122755E-2</v>
      </c>
      <c r="F344" s="3">
        <f t="shared" si="351"/>
        <v>4.2695077045850557E-2</v>
      </c>
      <c r="G344" s="3">
        <f t="shared" si="351"/>
        <v>2.4302619594451041E-3</v>
      </c>
      <c r="H344" s="3">
        <f t="shared" si="351"/>
        <v>8.6777265947373651E-16</v>
      </c>
      <c r="I344" s="3">
        <f t="shared" si="351"/>
        <v>2.9237127510523642E-140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5.6202194611651907E-2</v>
      </c>
      <c r="C345" s="3">
        <f t="shared" si="352"/>
        <v>5.6200741552641265E-2</v>
      </c>
      <c r="D345" s="3">
        <f t="shared" si="352"/>
        <v>5.6186213028591558E-2</v>
      </c>
      <c r="E345" s="3">
        <f t="shared" si="352"/>
        <v>5.604113419625821E-2</v>
      </c>
      <c r="F345" s="3">
        <f t="shared" si="352"/>
        <v>5.4610790594190238E-2</v>
      </c>
      <c r="G345" s="3">
        <f t="shared" si="352"/>
        <v>4.2169061889173118E-2</v>
      </c>
      <c r="H345" s="3">
        <f t="shared" si="352"/>
        <v>3.1779619841615283E-3</v>
      </c>
      <c r="I345" s="3">
        <f t="shared" si="352"/>
        <v>1.8780029873667029E-14</v>
      </c>
      <c r="J345" s="3">
        <f t="shared" si="352"/>
        <v>9.7537605391297284E-127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6.3415279750597964E-2</v>
      </c>
      <c r="C346" s="3">
        <f t="shared" si="353"/>
        <v>6.341513184807282E-2</v>
      </c>
      <c r="D346" s="3">
        <f t="shared" si="353"/>
        <v>6.3413652841793428E-2</v>
      </c>
      <c r="E346" s="3">
        <f t="shared" si="353"/>
        <v>6.339886467605256E-2</v>
      </c>
      <c r="F346" s="3">
        <f t="shared" si="353"/>
        <v>6.3251172560329375E-2</v>
      </c>
      <c r="G346" s="3">
        <f t="shared" si="353"/>
        <v>6.1793043022700618E-2</v>
      </c>
      <c r="H346" s="3">
        <f t="shared" si="353"/>
        <v>4.8938381339240319E-2</v>
      </c>
      <c r="I346" s="3">
        <f t="shared" si="353"/>
        <v>4.7506143999551664E-3</v>
      </c>
      <c r="J346" s="3">
        <f t="shared" si="353"/>
        <v>3.5298120525982161E-13</v>
      </c>
      <c r="K346" s="3">
        <f t="shared" si="353"/>
        <v>1.8103793620338234E-114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3.5348869139453822E-2</v>
      </c>
      <c r="C347" s="3">
        <f t="shared" si="354"/>
        <v>3.5348861702343005E-2</v>
      </c>
      <c r="D347" s="3">
        <f t="shared" si="354"/>
        <v>3.5348787331320936E-2</v>
      </c>
      <c r="E347" s="3">
        <f t="shared" si="354"/>
        <v>3.5348043629706054E-2</v>
      </c>
      <c r="F347" s="3">
        <f t="shared" si="354"/>
        <v>3.5340607474071743E-2</v>
      </c>
      <c r="G347" s="3">
        <f t="shared" si="354"/>
        <v>3.5266331902232592E-2</v>
      </c>
      <c r="H347" s="3">
        <f t="shared" si="354"/>
        <v>3.4532108074656766E-2</v>
      </c>
      <c r="I347" s="3">
        <f t="shared" si="354"/>
        <v>2.7980218471806696E-2</v>
      </c>
      <c r="J347" s="3">
        <f t="shared" si="354"/>
        <v>3.412960000789294E-3</v>
      </c>
      <c r="K347" s="3">
        <f t="shared" si="354"/>
        <v>2.488468635797404E-12</v>
      </c>
      <c r="L347" s="3">
        <f t="shared" si="354"/>
        <v>1.0566761378423801E-103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7.0460456344976455E-2</v>
      </c>
      <c r="C348" s="3">
        <f t="shared" si="355"/>
        <v>7.0460452244946084E-2</v>
      </c>
      <c r="D348" s="3">
        <f t="shared" si="355"/>
        <v>7.0460411244655449E-2</v>
      </c>
      <c r="E348" s="3">
        <f t="shared" si="355"/>
        <v>7.0460001243061246E-2</v>
      </c>
      <c r="F348" s="3">
        <f t="shared" si="355"/>
        <v>7.0455901358333448E-2</v>
      </c>
      <c r="G348" s="3">
        <f t="shared" si="355"/>
        <v>7.0414915629656571E-2</v>
      </c>
      <c r="H348" s="3">
        <f t="shared" si="355"/>
        <v>7.0006367382957554E-2</v>
      </c>
      <c r="I348" s="3">
        <f t="shared" si="355"/>
        <v>6.604901389391489E-2</v>
      </c>
      <c r="J348" s="3">
        <f t="shared" si="355"/>
        <v>3.6910870736431262E-2</v>
      </c>
      <c r="K348" s="3">
        <f t="shared" si="355"/>
        <v>1.0965635721536312E-4</v>
      </c>
      <c r="L348" s="3">
        <f t="shared" si="355"/>
        <v>5.8725815379186902E-30</v>
      </c>
      <c r="M348" s="3">
        <f t="shared" si="355"/>
        <v>1.1396761629074365E-282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8.6875447353155749E-2</v>
      </c>
      <c r="C349" s="3">
        <f t="shared" si="356"/>
        <v>8.687544684763536E-2</v>
      </c>
      <c r="D349" s="3">
        <f t="shared" si="356"/>
        <v>8.6875441792431493E-2</v>
      </c>
      <c r="E349" s="3">
        <f t="shared" si="356"/>
        <v>8.687539124040905E-2</v>
      </c>
      <c r="F349" s="3">
        <f t="shared" si="356"/>
        <v>8.6874885721802561E-2</v>
      </c>
      <c r="G349" s="3">
        <f t="shared" si="356"/>
        <v>8.6869830697520467E-2</v>
      </c>
      <c r="H349" s="3">
        <f t="shared" si="356"/>
        <v>8.6819296629507242E-2</v>
      </c>
      <c r="I349" s="3">
        <f t="shared" si="356"/>
        <v>8.6315569953128363E-2</v>
      </c>
      <c r="J349" s="3">
        <f t="shared" si="356"/>
        <v>8.1436282044299174E-2</v>
      </c>
      <c r="K349" s="3">
        <f t="shared" si="356"/>
        <v>4.5509900944480534E-2</v>
      </c>
      <c r="L349" s="3">
        <f t="shared" si="356"/>
        <v>1.3520271549373499E-4</v>
      </c>
      <c r="M349" s="3">
        <f t="shared" si="356"/>
        <v>7.2407016888734791E-30</v>
      </c>
      <c r="N349" s="3">
        <f t="shared" si="356"/>
        <v>1.4051835745914951E-282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9.621597999295492E-2</v>
      </c>
      <c r="C350" s="3">
        <f t="shared" si="357"/>
        <v>9.6215979936967705E-2</v>
      </c>
      <c r="D350" s="3">
        <f t="shared" si="357"/>
        <v>9.6215979377095584E-2</v>
      </c>
      <c r="E350" s="3">
        <f t="shared" si="357"/>
        <v>9.6215973778374569E-2</v>
      </c>
      <c r="F350" s="3">
        <f t="shared" si="357"/>
        <v>9.6215917791182271E-2</v>
      </c>
      <c r="G350" s="3">
        <f t="shared" si="357"/>
        <v>9.6215357921051153E-2</v>
      </c>
      <c r="H350" s="3">
        <f t="shared" si="357"/>
        <v>9.6209759398917169E-2</v>
      </c>
      <c r="I350" s="3">
        <f t="shared" si="357"/>
        <v>9.6153792091441578E-2</v>
      </c>
      <c r="J350" s="3">
        <f t="shared" si="357"/>
        <v>9.5595906552260801E-2</v>
      </c>
      <c r="K350" s="3">
        <f t="shared" si="357"/>
        <v>9.0192015328147926E-2</v>
      </c>
      <c r="L350" s="3">
        <f t="shared" si="357"/>
        <v>5.0402960210465808E-2</v>
      </c>
      <c r="M350" s="3">
        <f t="shared" si="357"/>
        <v>1.4973922043229879E-4</v>
      </c>
      <c r="N350" s="3">
        <f t="shared" si="357"/>
        <v>8.0191956375682726E-30</v>
      </c>
      <c r="O350" s="3">
        <f t="shared" si="357"/>
        <v>1.5562638091640361E-282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0.11161416833892771</v>
      </c>
      <c r="D351" s="3">
        <f t="shared" si="358"/>
        <v>0.11161416827398041</v>
      </c>
      <c r="E351" s="3">
        <f t="shared" si="358"/>
        <v>0.11161416762450761</v>
      </c>
      <c r="F351" s="3">
        <f t="shared" si="358"/>
        <v>0.11161416112977993</v>
      </c>
      <c r="G351" s="3">
        <f t="shared" si="358"/>
        <v>0.11161409618252369</v>
      </c>
      <c r="H351" s="3">
        <f t="shared" si="358"/>
        <v>0.11161344671204003</v>
      </c>
      <c r="I351" s="3">
        <f t="shared" si="358"/>
        <v>0.11160695221505566</v>
      </c>
      <c r="J351" s="3">
        <f t="shared" si="358"/>
        <v>0.1115420280259707</v>
      </c>
      <c r="K351" s="3">
        <f t="shared" si="358"/>
        <v>0.11089485974385649</v>
      </c>
      <c r="L351" s="3">
        <f t="shared" si="358"/>
        <v>0.10462614196103547</v>
      </c>
      <c r="M351" s="3">
        <f t="shared" si="358"/>
        <v>5.8469336238357969E-2</v>
      </c>
      <c r="N351" s="3">
        <f t="shared" si="358"/>
        <v>1.7370314741370563E-4</v>
      </c>
      <c r="O351" s="3">
        <f t="shared" si="358"/>
        <v>9.3025696136949094E-30</v>
      </c>
      <c r="P351" s="3">
        <f t="shared" si="358"/>
        <v>1.8053247577848733E-282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6.6462351018100885E-2</v>
      </c>
      <c r="E352" s="3">
        <f t="shared" si="359"/>
        <v>6.6462350979427029E-2</v>
      </c>
      <c r="F352" s="3">
        <f t="shared" si="359"/>
        <v>6.6462350592688596E-2</v>
      </c>
      <c r="G352" s="3">
        <f t="shared" si="359"/>
        <v>6.6462346725304391E-2</v>
      </c>
      <c r="H352" s="3">
        <f t="shared" si="359"/>
        <v>6.6462308051474669E-2</v>
      </c>
      <c r="I352" s="3">
        <f t="shared" si="359"/>
        <v>6.6461921314415182E-2</v>
      </c>
      <c r="J352" s="3">
        <f t="shared" si="359"/>
        <v>6.6458054067589034E-2</v>
      </c>
      <c r="K352" s="3">
        <f t="shared" si="359"/>
        <v>6.641939397354589E-2</v>
      </c>
      <c r="L352" s="3">
        <f t="shared" si="359"/>
        <v>6.6034027794916628E-2</v>
      </c>
      <c r="M352" s="3">
        <f t="shared" si="359"/>
        <v>6.2301224622024531E-2</v>
      </c>
      <c r="N352" s="3">
        <f t="shared" si="359"/>
        <v>3.481645392069628E-2</v>
      </c>
      <c r="O352" s="3">
        <f t="shared" si="359"/>
        <v>1.034341762176816E-4</v>
      </c>
      <c r="P352" s="3">
        <f t="shared" si="359"/>
        <v>5.5393563042844967E-30</v>
      </c>
      <c r="Q352" s="3">
        <f t="shared" si="359"/>
        <v>1.0750080347257514E-282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4.7100906598710426E-2</v>
      </c>
      <c r="F353" s="3">
        <f t="shared" si="360"/>
        <v>4.7100906571302829E-2</v>
      </c>
      <c r="G353" s="3">
        <f t="shared" si="360"/>
        <v>4.7100906297226894E-2</v>
      </c>
      <c r="H353" s="3">
        <f t="shared" si="360"/>
        <v>4.7100903556467663E-2</v>
      </c>
      <c r="I353" s="3">
        <f t="shared" si="360"/>
        <v>4.7100876148884065E-2</v>
      </c>
      <c r="J353" s="3">
        <f t="shared" si="360"/>
        <v>4.7100602073925253E-2</v>
      </c>
      <c r="K353" s="3">
        <f t="shared" si="360"/>
        <v>4.7097861412050343E-2</v>
      </c>
      <c r="L353" s="3">
        <f t="shared" si="360"/>
        <v>4.7070463562730702E-2</v>
      </c>
      <c r="M353" s="3">
        <f t="shared" si="360"/>
        <v>4.6797360127359064E-2</v>
      </c>
      <c r="N353" s="3">
        <f t="shared" si="360"/>
        <v>4.4151976524394475E-2</v>
      </c>
      <c r="O353" s="3">
        <f t="shared" si="360"/>
        <v>2.4673917174106604E-2</v>
      </c>
      <c r="P353" s="3">
        <f t="shared" si="360"/>
        <v>7.3302304214558096E-5</v>
      </c>
      <c r="Q353" s="3">
        <f t="shared" si="360"/>
        <v>3.9256616702292683E-30</v>
      </c>
      <c r="R353" s="3">
        <f t="shared" si="360"/>
        <v>7.6184264114717889E-283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2.2598128772098165E-2</v>
      </c>
      <c r="G354" s="3">
        <f t="shared" si="361"/>
        <v>2.2598128758948517E-2</v>
      </c>
      <c r="H354" s="3">
        <f t="shared" si="361"/>
        <v>2.259812862745204E-2</v>
      </c>
      <c r="I354" s="3">
        <f t="shared" si="361"/>
        <v>2.2598127312487327E-2</v>
      </c>
      <c r="J354" s="3">
        <f t="shared" si="361"/>
        <v>2.2598114162844397E-2</v>
      </c>
      <c r="K354" s="3">
        <f t="shared" si="361"/>
        <v>2.259798266683594E-2</v>
      </c>
      <c r="L354" s="3">
        <f t="shared" si="361"/>
        <v>2.259666774883452E-2</v>
      </c>
      <c r="M354" s="3">
        <f t="shared" si="361"/>
        <v>2.2583522776227539E-2</v>
      </c>
      <c r="N354" s="3">
        <f t="shared" si="361"/>
        <v>2.2452492886437699E-2</v>
      </c>
      <c r="O354" s="3">
        <f t="shared" si="361"/>
        <v>2.1183287607212192E-2</v>
      </c>
      <c r="P354" s="3">
        <f t="shared" si="361"/>
        <v>1.1838081214933802E-2</v>
      </c>
      <c r="Q354" s="3">
        <f t="shared" si="361"/>
        <v>3.5169066363097372E-5</v>
      </c>
      <c r="R354" s="3">
        <f t="shared" si="361"/>
        <v>1.8834586071844279E-30</v>
      </c>
      <c r="S354" s="3">
        <f t="shared" si="361"/>
        <v>3.6551776498481842E-283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6.4467605947842385E-3</v>
      </c>
      <c r="H355" s="3">
        <f t="shared" si="362"/>
        <v>6.4467605910329259E-3</v>
      </c>
      <c r="I355" s="3">
        <f t="shared" si="362"/>
        <v>6.4467605535198074E-3</v>
      </c>
      <c r="J355" s="3">
        <f t="shared" si="362"/>
        <v>6.4467601783886278E-3</v>
      </c>
      <c r="K355" s="3">
        <f t="shared" si="362"/>
        <v>6.4467564270780332E-3</v>
      </c>
      <c r="L355" s="3">
        <f t="shared" si="362"/>
        <v>6.4467189140921472E-3</v>
      </c>
      <c r="M355" s="3">
        <f t="shared" si="362"/>
        <v>6.4463437962386985E-3</v>
      </c>
      <c r="N355" s="3">
        <f t="shared" si="362"/>
        <v>6.4425938179871007E-3</v>
      </c>
      <c r="O355" s="3">
        <f t="shared" si="362"/>
        <v>6.4052138057411724E-3</v>
      </c>
      <c r="P355" s="3">
        <f t="shared" si="362"/>
        <v>6.0431368097508794E-3</v>
      </c>
      <c r="Q355" s="3">
        <f t="shared" si="362"/>
        <v>3.3771502173454049E-3</v>
      </c>
      <c r="R355" s="3">
        <f t="shared" si="362"/>
        <v>1.0032978990052775E-5</v>
      </c>
      <c r="S355" s="3">
        <f t="shared" si="362"/>
        <v>5.3731027259636296E-31</v>
      </c>
      <c r="T355" s="3">
        <f t="shared" si="362"/>
        <v>1.0427436482737366E-283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9.8307104630334784E-5</v>
      </c>
      <c r="I356" s="3">
        <f t="shared" si="363"/>
        <v>9.830710457313076E-5</v>
      </c>
      <c r="J356" s="3">
        <f t="shared" si="363"/>
        <v>9.8307104001090569E-5</v>
      </c>
      <c r="K356" s="3">
        <f t="shared" si="363"/>
        <v>9.8307098280688905E-5</v>
      </c>
      <c r="L356" s="3">
        <f t="shared" si="363"/>
        <v>9.8307041076690449E-5</v>
      </c>
      <c r="M356" s="3">
        <f t="shared" si="363"/>
        <v>9.8306469038536665E-5</v>
      </c>
      <c r="N356" s="3">
        <f t="shared" si="363"/>
        <v>9.8300748840070238E-5</v>
      </c>
      <c r="O356" s="3">
        <f t="shared" si="363"/>
        <v>9.8243565158603985E-5</v>
      </c>
      <c r="P356" s="3">
        <f t="shared" si="363"/>
        <v>9.7673554729192877E-5</v>
      </c>
      <c r="Q356" s="3">
        <f t="shared" si="363"/>
        <v>9.2152217213130466E-5</v>
      </c>
      <c r="R356" s="3">
        <f t="shared" si="363"/>
        <v>5.1498400613408218E-5</v>
      </c>
      <c r="S356" s="3">
        <f t="shared" si="363"/>
        <v>1.5299360055762686E-7</v>
      </c>
      <c r="T356" s="3">
        <f t="shared" si="363"/>
        <v>8.1934820458230762E-33</v>
      </c>
      <c r="U356" s="3">
        <f t="shared" si="363"/>
        <v>1.5900871053967535E-285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1.102090123398697E-2</v>
      </c>
      <c r="J357" s="3">
        <f t="shared" si="364"/>
        <v>1.1020901227574006E-2</v>
      </c>
      <c r="K357" s="3">
        <f t="shared" si="364"/>
        <v>1.1020901163444376E-2</v>
      </c>
      <c r="L357" s="3">
        <f t="shared" si="364"/>
        <v>1.1020900522148082E-2</v>
      </c>
      <c r="M357" s="3">
        <f t="shared" si="364"/>
        <v>1.1020894109187192E-2</v>
      </c>
      <c r="N357" s="3">
        <f t="shared" si="364"/>
        <v>1.1020829979783538E-2</v>
      </c>
      <c r="O357" s="3">
        <f t="shared" si="364"/>
        <v>1.1020188706270556E-2</v>
      </c>
      <c r="P357" s="3">
        <f t="shared" si="364"/>
        <v>1.1013778023054881E-2</v>
      </c>
      <c r="Q357" s="3">
        <f t="shared" si="364"/>
        <v>1.0949875941221581E-2</v>
      </c>
      <c r="R357" s="3">
        <f t="shared" si="364"/>
        <v>1.0330896105808403E-2</v>
      </c>
      <c r="S357" s="3">
        <f t="shared" si="364"/>
        <v>5.7733242068603603E-3</v>
      </c>
      <c r="T357" s="3">
        <f t="shared" si="364"/>
        <v>1.7151632809429405E-5</v>
      </c>
      <c r="U357" s="3">
        <f t="shared" si="364"/>
        <v>9.1854557947786152E-31</v>
      </c>
      <c r="V357" s="3">
        <f t="shared" si="364"/>
        <v>1.7825967927659201E-283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0.180785338113716</v>
      </c>
      <c r="B358" s="81">
        <f>IF($A$64&lt;=B324,IF($B$64&gt;=B324,ABS((B326-B325)/B325),0),0)</f>
        <v>6.4269096674818922E-4</v>
      </c>
      <c r="C358" s="81">
        <f t="shared" ref="C358:AF358" si="365">IF($A$64&lt;=C324,IF($B$64&gt;=C324,ABS((C326-C325)/C325),0),0)</f>
        <v>1.1807050189062583E-2</v>
      </c>
      <c r="D358" s="81">
        <f t="shared" si="365"/>
        <v>1.4687283244890933E-2</v>
      </c>
      <c r="E358" s="81">
        <f t="shared" si="365"/>
        <v>1.1296324699926356E-2</v>
      </c>
      <c r="F358" s="81">
        <f t="shared" si="365"/>
        <v>2.0015938272494732E-3</v>
      </c>
      <c r="G358" s="81">
        <f t="shared" si="365"/>
        <v>1.70355325371341E-2</v>
      </c>
      <c r="H358" s="81">
        <f t="shared" si="365"/>
        <v>2.8874453206017229E-2</v>
      </c>
      <c r="I358" s="81">
        <f t="shared" si="365"/>
        <v>3.5295249570911118E-2</v>
      </c>
      <c r="J358" s="81">
        <f t="shared" si="365"/>
        <v>2.2253682907917953E-2</v>
      </c>
      <c r="K358" s="81">
        <f t="shared" si="365"/>
        <v>1.2383334934871227E-2</v>
      </c>
      <c r="L358" s="81">
        <f t="shared" si="365"/>
        <v>1.5869819841894062E-2</v>
      </c>
      <c r="M358" s="81">
        <f t="shared" si="365"/>
        <v>6.9233766163805693E-2</v>
      </c>
      <c r="N358" s="81">
        <f t="shared" si="365"/>
        <v>9.2509720722902269E-2</v>
      </c>
      <c r="O358" s="81">
        <f t="shared" si="365"/>
        <v>0.1281806602396747</v>
      </c>
      <c r="P358" s="81">
        <f t="shared" si="365"/>
        <v>0.11672639660761176</v>
      </c>
      <c r="Q358" s="81">
        <f t="shared" si="365"/>
        <v>4.0467502534921228E-2</v>
      </c>
      <c r="R358" s="81">
        <f t="shared" si="365"/>
        <v>8.1517148784574413E-3</v>
      </c>
      <c r="S358" s="81">
        <f t="shared" si="365"/>
        <v>0.11590251248824419</v>
      </c>
      <c r="T358" s="81">
        <f t="shared" si="365"/>
        <v>0.37700622238399217</v>
      </c>
      <c r="U358" s="81">
        <f t="shared" si="365"/>
        <v>0.37716840784470457</v>
      </c>
      <c r="V358" s="81">
        <f t="shared" si="365"/>
        <v>0.37650143865981156</v>
      </c>
      <c r="W358" s="81">
        <f t="shared" si="365"/>
        <v>0.37568439762109979</v>
      </c>
      <c r="X358" s="81">
        <f t="shared" si="365"/>
        <v>0.37476314125488908</v>
      </c>
      <c r="Y358" s="81">
        <f t="shared" si="365"/>
        <v>0.37379759226060327</v>
      </c>
      <c r="Z358" s="81">
        <f t="shared" si="365"/>
        <v>0.37349700299791017</v>
      </c>
      <c r="AA358" s="81">
        <f t="shared" si="365"/>
        <v>0.37303359900680849</v>
      </c>
      <c r="AB358" s="81">
        <f t="shared" si="365"/>
        <v>0.37245554033325567</v>
      </c>
      <c r="AC358" s="81">
        <f t="shared" si="365"/>
        <v>0.37182390366426993</v>
      </c>
      <c r="AD358" s="81">
        <f t="shared" si="365"/>
        <v>0.37178505571897419</v>
      </c>
      <c r="AE358" s="81">
        <f t="shared" si="365"/>
        <v>0.37176362897635162</v>
      </c>
      <c r="AF358" s="81">
        <f t="shared" si="365"/>
        <v>0.37174626124028526</v>
      </c>
    </row>
    <row r="359" spans="1:34" x14ac:dyDescent="0.25">
      <c r="B359" s="21">
        <f>(B326-B325)^2</f>
        <v>11.775742593941359</v>
      </c>
      <c r="C359" s="21">
        <f t="shared" ref="C359:AF359" si="366">(C326-C325)^2</f>
        <v>3615.3665411449069</v>
      </c>
      <c r="D359" s="21">
        <f t="shared" si="366"/>
        <v>5099.7619146780808</v>
      </c>
      <c r="E359" s="21">
        <f t="shared" si="366"/>
        <v>2700.2156583534406</v>
      </c>
      <c r="F359" s="21">
        <f t="shared" si="366"/>
        <v>75.305033724350835</v>
      </c>
      <c r="G359" s="21">
        <f t="shared" si="366"/>
        <v>4793.7027949740686</v>
      </c>
      <c r="H359" s="21">
        <f t="shared" si="366"/>
        <v>11881.335269209305</v>
      </c>
      <c r="I359" s="21">
        <f t="shared" si="366"/>
        <v>14749.29934131032</v>
      </c>
      <c r="J359" s="21">
        <f t="shared" si="366"/>
        <v>4477.9438967798123</v>
      </c>
      <c r="K359" s="21">
        <f t="shared" si="366"/>
        <v>945.56877541145775</v>
      </c>
      <c r="L359" s="21">
        <f t="shared" si="366"/>
        <v>887.59128208122763</v>
      </c>
      <c r="M359" s="21">
        <f t="shared" si="366"/>
        <v>7202.8035031480513</v>
      </c>
      <c r="N359" s="21">
        <f t="shared" si="366"/>
        <v>4414.0834941492594</v>
      </c>
      <c r="O359" s="21">
        <f t="shared" si="366"/>
        <v>2666.114090798661</v>
      </c>
      <c r="P359" s="21">
        <f t="shared" si="366"/>
        <v>684.7359756619478</v>
      </c>
      <c r="Q359" s="21">
        <f t="shared" si="366"/>
        <v>40.533333767573737</v>
      </c>
      <c r="R359" s="21">
        <f t="shared" si="366"/>
        <v>1.2742029160292734</v>
      </c>
      <c r="S359" s="21">
        <f t="shared" si="366"/>
        <v>216.40030853946001</v>
      </c>
      <c r="T359" s="21">
        <f t="shared" si="366"/>
        <v>2232.2396618748821</v>
      </c>
      <c r="U359" s="21">
        <f t="shared" si="366"/>
        <v>2229.5037094772601</v>
      </c>
      <c r="V359" s="21">
        <f t="shared" si="366"/>
        <v>2216.8750604819952</v>
      </c>
      <c r="W359" s="21">
        <f t="shared" si="366"/>
        <v>2201.4903684537467</v>
      </c>
      <c r="X359" s="21">
        <f t="shared" si="366"/>
        <v>2184.255536302529</v>
      </c>
      <c r="Y359" s="21">
        <f t="shared" si="366"/>
        <v>2166.3188666363003</v>
      </c>
      <c r="Z359" s="21">
        <f t="shared" si="366"/>
        <v>2160.7612654460331</v>
      </c>
      <c r="AA359" s="21">
        <f t="shared" si="366"/>
        <v>2152.2177770763847</v>
      </c>
      <c r="AB359" s="21">
        <f t="shared" si="366"/>
        <v>2141.6018202900518</v>
      </c>
      <c r="AC359" s="21">
        <f t="shared" si="366"/>
        <v>2130.0541709012919</v>
      </c>
      <c r="AD359" s="21">
        <f t="shared" si="366"/>
        <v>2129.3457244772071</v>
      </c>
      <c r="AE359" s="21">
        <f t="shared" si="366"/>
        <v>2128.9550658647527</v>
      </c>
      <c r="AF359" s="21">
        <f t="shared" si="366"/>
        <v>2128.6384580914096</v>
      </c>
      <c r="AG359" s="3"/>
      <c r="AH359" s="3"/>
    </row>
    <row r="360" spans="1:34" x14ac:dyDescent="0.25">
      <c r="A360" s="72">
        <f>SUM(B360:AF360)</f>
        <v>92666.068644615734</v>
      </c>
      <c r="B360" s="60">
        <f>IF($A$64&lt;=B324,IF($B$64&gt;=B324,ABS(B359),0),0)</f>
        <v>11.775742593941359</v>
      </c>
      <c r="C360" s="60">
        <f t="shared" ref="C360:AF360" si="367">IF($A$64&lt;=C324,IF($B$64&gt;=C324,ABS(C359),0),0)</f>
        <v>3615.3665411449069</v>
      </c>
      <c r="D360" s="60">
        <f t="shared" si="367"/>
        <v>5099.7619146780808</v>
      </c>
      <c r="E360" s="60">
        <f t="shared" si="367"/>
        <v>2700.2156583534406</v>
      </c>
      <c r="F360" s="60">
        <f t="shared" si="367"/>
        <v>75.305033724350835</v>
      </c>
      <c r="G360" s="60">
        <f t="shared" si="367"/>
        <v>4793.7027949740686</v>
      </c>
      <c r="H360" s="60">
        <f t="shared" si="367"/>
        <v>11881.335269209305</v>
      </c>
      <c r="I360" s="60">
        <f t="shared" si="367"/>
        <v>14749.29934131032</v>
      </c>
      <c r="J360" s="60">
        <f t="shared" si="367"/>
        <v>4477.9438967798123</v>
      </c>
      <c r="K360" s="60">
        <f t="shared" si="367"/>
        <v>945.56877541145775</v>
      </c>
      <c r="L360" s="60">
        <f t="shared" si="367"/>
        <v>887.59128208122763</v>
      </c>
      <c r="M360" s="60">
        <f t="shared" si="367"/>
        <v>7202.8035031480513</v>
      </c>
      <c r="N360" s="60">
        <f t="shared" si="367"/>
        <v>4414.0834941492594</v>
      </c>
      <c r="O360" s="60">
        <f t="shared" si="367"/>
        <v>2666.114090798661</v>
      </c>
      <c r="P360" s="60">
        <f t="shared" si="367"/>
        <v>684.7359756619478</v>
      </c>
      <c r="Q360" s="60">
        <f t="shared" si="367"/>
        <v>40.533333767573737</v>
      </c>
      <c r="R360" s="60">
        <f t="shared" si="367"/>
        <v>1.2742029160292734</v>
      </c>
      <c r="S360" s="60">
        <f t="shared" si="367"/>
        <v>216.40030853946001</v>
      </c>
      <c r="T360" s="60">
        <f t="shared" si="367"/>
        <v>2232.2396618748821</v>
      </c>
      <c r="U360" s="60">
        <f t="shared" si="367"/>
        <v>2229.5037094772601</v>
      </c>
      <c r="V360" s="60">
        <f t="shared" si="367"/>
        <v>2216.8750604819952</v>
      </c>
      <c r="W360" s="60">
        <f t="shared" si="367"/>
        <v>2201.4903684537467</v>
      </c>
      <c r="X360" s="60">
        <f t="shared" si="367"/>
        <v>2184.255536302529</v>
      </c>
      <c r="Y360" s="60">
        <f t="shared" si="367"/>
        <v>2166.3188666363003</v>
      </c>
      <c r="Z360" s="60">
        <f t="shared" si="367"/>
        <v>2160.7612654460331</v>
      </c>
      <c r="AA360" s="60">
        <f t="shared" si="367"/>
        <v>2152.2177770763847</v>
      </c>
      <c r="AB360" s="60">
        <f t="shared" si="367"/>
        <v>2141.6018202900518</v>
      </c>
      <c r="AC360" s="60">
        <f t="shared" si="367"/>
        <v>2130.0541709012919</v>
      </c>
      <c r="AD360" s="60">
        <f t="shared" si="367"/>
        <v>2129.3457244772071</v>
      </c>
      <c r="AE360" s="60">
        <f t="shared" si="367"/>
        <v>2128.9550658647527</v>
      </c>
      <c r="AF360" s="60">
        <f t="shared" si="367"/>
        <v>2128.6384580914096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4985.6725222853729</v>
      </c>
      <c r="C365" s="27">
        <f t="shared" ref="C365:AF365" si="368">($C$17+SUM(C366:C396))*$B$51</f>
        <v>4717.5450121953763</v>
      </c>
      <c r="D365" s="27">
        <f t="shared" si="368"/>
        <v>4400.8725340338369</v>
      </c>
      <c r="E365" s="27">
        <f t="shared" si="368"/>
        <v>4071.8592517879383</v>
      </c>
      <c r="F365" s="27">
        <f t="shared" si="368"/>
        <v>3746.7738329007525</v>
      </c>
      <c r="G365" s="27">
        <f t="shared" si="368"/>
        <v>3404.3272438329673</v>
      </c>
      <c r="H365" s="27">
        <f t="shared" si="368"/>
        <v>3057.1479742497795</v>
      </c>
      <c r="I365" s="27">
        <f t="shared" si="368"/>
        <v>2562.3749600760279</v>
      </c>
      <c r="J365" s="27">
        <f t="shared" si="368"/>
        <v>2029.8166678658151</v>
      </c>
      <c r="K365" s="27">
        <f t="shared" si="368"/>
        <v>1442.3004541940518</v>
      </c>
      <c r="L365" s="27">
        <f t="shared" si="368"/>
        <v>871.09438040305099</v>
      </c>
      <c r="M365" s="27">
        <f t="shared" si="368"/>
        <v>512.29308185104605</v>
      </c>
      <c r="N365" s="27">
        <f t="shared" si="368"/>
        <v>279.36774724090009</v>
      </c>
      <c r="O365" s="27">
        <f t="shared" si="368"/>
        <v>173.068056577531</v>
      </c>
      <c r="P365" s="27">
        <f t="shared" si="368"/>
        <v>142.22280764673485</v>
      </c>
      <c r="Q365" s="27">
        <f t="shared" si="368"/>
        <v>122.9001667710006</v>
      </c>
      <c r="R365" s="27">
        <f t="shared" si="368"/>
        <v>79.50722893298294</v>
      </c>
      <c r="S365" s="27">
        <f t="shared" si="368"/>
        <v>77.972134725678558</v>
      </c>
      <c r="T365" s="27">
        <f t="shared" si="368"/>
        <v>77.972134725678558</v>
      </c>
      <c r="U365" s="27">
        <f t="shared" si="368"/>
        <v>77.972134725678558</v>
      </c>
      <c r="V365" s="27">
        <f t="shared" si="368"/>
        <v>77.972134725678558</v>
      </c>
      <c r="W365" s="27">
        <f t="shared" si="368"/>
        <v>77.972134725678558</v>
      </c>
      <c r="X365" s="27">
        <f t="shared" si="368"/>
        <v>77.972134725678558</v>
      </c>
      <c r="Y365" s="27">
        <f t="shared" si="368"/>
        <v>77.972134725678558</v>
      </c>
      <c r="Z365" s="27">
        <f t="shared" si="368"/>
        <v>77.972134725678558</v>
      </c>
      <c r="AA365" s="27">
        <f t="shared" si="368"/>
        <v>77.972134725678558</v>
      </c>
      <c r="AB365" s="27">
        <f t="shared" si="368"/>
        <v>77.972134725678558</v>
      </c>
      <c r="AC365" s="27">
        <f t="shared" si="368"/>
        <v>77.972134725678558</v>
      </c>
      <c r="AD365" s="27">
        <f t="shared" si="368"/>
        <v>77.972134725678558</v>
      </c>
      <c r="AE365" s="27">
        <f t="shared" si="368"/>
        <v>77.972134725678558</v>
      </c>
      <c r="AF365" s="27">
        <f t="shared" si="368"/>
        <v>77.972134725678558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1.5134359856212028E-136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2.4518439097247503E-14</v>
      </c>
      <c r="C379" s="3">
        <f t="shared" si="382"/>
        <v>2.1311158225143934E-123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2.7357335085441575E-3</v>
      </c>
      <c r="C380" s="3">
        <f t="shared" si="383"/>
        <v>3.9707687446530657E-13</v>
      </c>
      <c r="D380" s="3">
        <f t="shared" si="383"/>
        <v>1.647717078009601E-111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3.6843470421491643E-2</v>
      </c>
      <c r="C381" s="3">
        <f t="shared" si="384"/>
        <v>4.7738978059903058E-3</v>
      </c>
      <c r="D381" s="3">
        <f t="shared" si="384"/>
        <v>6.3679403194957647E-12</v>
      </c>
      <c r="E381" s="3">
        <f t="shared" si="384"/>
        <v>1.1356843752335895E-100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5.5522434705064093E-2</v>
      </c>
      <c r="C382" s="3">
        <f t="shared" si="385"/>
        <v>4.6175303024715661E-2</v>
      </c>
      <c r="D382" s="3">
        <f t="shared" si="385"/>
        <v>7.3083994373333155E-3</v>
      </c>
      <c r="E382" s="3">
        <f t="shared" si="385"/>
        <v>7.2102029425144963E-11</v>
      </c>
      <c r="F382" s="3">
        <f t="shared" si="385"/>
        <v>6.2979559935115137E-91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5.8597367662786407E-2</v>
      </c>
      <c r="C383" s="3">
        <f t="shared" si="386"/>
        <v>5.7630998192211749E-2</v>
      </c>
      <c r="D383" s="3">
        <f t="shared" si="386"/>
        <v>4.8801873064828395E-2</v>
      </c>
      <c r="E383" s="3">
        <f t="shared" si="386"/>
        <v>9.2520928552185487E-3</v>
      </c>
      <c r="F383" s="3">
        <f t="shared" si="386"/>
        <v>5.5497689209823232E-10</v>
      </c>
      <c r="G383" s="3">
        <f t="shared" si="386"/>
        <v>3.3467562120870532E-82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5.6192989216738098E-2</v>
      </c>
      <c r="C384" s="3">
        <f t="shared" si="387"/>
        <v>5.6108757801198096E-2</v>
      </c>
      <c r="D384" s="3">
        <f t="shared" si="387"/>
        <v>5.5273356815827901E-2</v>
      </c>
      <c r="E384" s="3">
        <f t="shared" si="387"/>
        <v>4.7573785210765877E-2</v>
      </c>
      <c r="F384" s="3">
        <f t="shared" si="387"/>
        <v>1.0614178234537032E-2</v>
      </c>
      <c r="G384" s="3">
        <f t="shared" si="387"/>
        <v>3.243941862833859E-9</v>
      </c>
      <c r="H384" s="3">
        <f t="shared" si="387"/>
        <v>2.3064281200447393E-74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6.3414342702218018E-2</v>
      </c>
      <c r="C385" s="3">
        <f t="shared" si="388"/>
        <v>6.3405762009180314E-2</v>
      </c>
      <c r="D385" s="3">
        <f t="shared" si="388"/>
        <v>6.3320018911566162E-2</v>
      </c>
      <c r="E385" s="3">
        <f t="shared" si="388"/>
        <v>6.2468939366866351E-2</v>
      </c>
      <c r="F385" s="3">
        <f t="shared" si="388"/>
        <v>5.4562604951339376E-2</v>
      </c>
      <c r="G385" s="3">
        <f t="shared" si="388"/>
        <v>1.4099533297046421E-2</v>
      </c>
      <c r="H385" s="3">
        <f t="shared" si="388"/>
        <v>1.8719797573571463E-8</v>
      </c>
      <c r="I385" s="3">
        <f t="shared" si="388"/>
        <v>3.186142936439556E-67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3.534882202077156E-2</v>
      </c>
      <c r="C386" s="3">
        <f t="shared" si="389"/>
        <v>3.5348390518445835E-2</v>
      </c>
      <c r="D386" s="3">
        <f t="shared" si="389"/>
        <v>3.5344075784881718E-2</v>
      </c>
      <c r="E386" s="3">
        <f t="shared" si="389"/>
        <v>3.53009574054685E-2</v>
      </c>
      <c r="F386" s="3">
        <f t="shared" si="389"/>
        <v>3.4872656198329764E-2</v>
      </c>
      <c r="G386" s="3">
        <f t="shared" si="389"/>
        <v>3.0865297597603401E-2</v>
      </c>
      <c r="H386" s="3">
        <f t="shared" si="389"/>
        <v>9.1059418757152046E-3</v>
      </c>
      <c r="I386" s="3">
        <f t="shared" si="389"/>
        <v>4.5485076031181213E-8</v>
      </c>
      <c r="J386" s="3">
        <f t="shared" si="389"/>
        <v>4.3985490232903503E-61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7.046043036874565E-2</v>
      </c>
      <c r="C387" s="3">
        <f t="shared" si="390"/>
        <v>7.0460192483084091E-2</v>
      </c>
      <c r="D387" s="3">
        <f t="shared" si="390"/>
        <v>7.0457813670640759E-2</v>
      </c>
      <c r="E387" s="3">
        <f t="shared" si="390"/>
        <v>7.0434029962880715E-2</v>
      </c>
      <c r="F387" s="3">
        <f t="shared" si="390"/>
        <v>7.0196634001391284E-2</v>
      </c>
      <c r="G387" s="3">
        <f t="shared" si="390"/>
        <v>6.7866239904518899E-2</v>
      </c>
      <c r="H387" s="3">
        <f t="shared" si="390"/>
        <v>4.8420446523587533E-2</v>
      </c>
      <c r="I387" s="3">
        <f t="shared" si="390"/>
        <v>1.6549268846775941E-3</v>
      </c>
      <c r="J387" s="3">
        <f t="shared" si="390"/>
        <v>3.5998053873113517E-18</v>
      </c>
      <c r="K387" s="3">
        <f t="shared" si="390"/>
        <v>8.5365253816972944E-165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8.6875444150370587E-2</v>
      </c>
      <c r="C388" s="3">
        <f t="shared" si="391"/>
        <v>8.6875414819789165E-2</v>
      </c>
      <c r="D388" s="3">
        <f t="shared" si="391"/>
        <v>8.6875121514519538E-2</v>
      </c>
      <c r="E388" s="3">
        <f t="shared" si="391"/>
        <v>8.687218851628617E-2</v>
      </c>
      <c r="F388" s="3">
        <f t="shared" si="391"/>
        <v>8.6842863979566851E-2</v>
      </c>
      <c r="G388" s="3">
        <f t="shared" si="391"/>
        <v>8.6550162494165694E-2</v>
      </c>
      <c r="H388" s="3">
        <f t="shared" si="391"/>
        <v>8.3676862504372007E-2</v>
      </c>
      <c r="I388" s="3">
        <f t="shared" si="391"/>
        <v>5.9700832871466471E-2</v>
      </c>
      <c r="J388" s="3">
        <f t="shared" si="391"/>
        <v>2.0404709260271716E-3</v>
      </c>
      <c r="K388" s="3">
        <f t="shared" si="391"/>
        <v>4.4384427494485767E-18</v>
      </c>
      <c r="L388" s="3">
        <f t="shared" si="391"/>
        <v>1.0525257648490454E-164</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9.6215979638241217E-2</v>
      </c>
      <c r="C389" s="3">
        <f t="shared" si="392"/>
        <v>9.6215976389830718E-2</v>
      </c>
      <c r="D389" s="3">
        <f t="shared" si="392"/>
        <v>9.6215943905731696E-2</v>
      </c>
      <c r="E389" s="3">
        <f t="shared" si="392"/>
        <v>9.6215619065344704E-2</v>
      </c>
      <c r="F389" s="3">
        <f t="shared" si="392"/>
        <v>9.621237072179338E-2</v>
      </c>
      <c r="G389" s="3">
        <f t="shared" si="392"/>
        <v>9.6179893317387327E-2</v>
      </c>
      <c r="H389" s="3">
        <f t="shared" si="392"/>
        <v>9.5855721631313631E-2</v>
      </c>
      <c r="I389" s="3">
        <f t="shared" si="392"/>
        <v>9.267349486191287E-2</v>
      </c>
      <c r="J389" s="3">
        <f t="shared" si="392"/>
        <v>6.6119649599394231E-2</v>
      </c>
      <c r="K389" s="3">
        <f t="shared" si="392"/>
        <v>2.259854949379604E-3</v>
      </c>
      <c r="L389" s="3">
        <f t="shared" si="392"/>
        <v>4.9156479942639219E-18</v>
      </c>
      <c r="M389" s="3">
        <f t="shared" si="392"/>
        <v>1.1656895125061904E-164</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0.11161416830427429</v>
      </c>
      <c r="C390" s="3">
        <f t="shared" si="393"/>
        <v>0.11161416792744641</v>
      </c>
      <c r="D390" s="3">
        <f t="shared" si="393"/>
        <v>0.11161416415916761</v>
      </c>
      <c r="E390" s="3">
        <f t="shared" si="393"/>
        <v>0.11161412647638667</v>
      </c>
      <c r="F390" s="3">
        <f t="shared" si="393"/>
        <v>0.11161374964927709</v>
      </c>
      <c r="G390" s="3">
        <f t="shared" si="393"/>
        <v>0.11160998144815307</v>
      </c>
      <c r="H390" s="3">
        <f t="shared" si="393"/>
        <v>0.11157230643322462</v>
      </c>
      <c r="I390" s="3">
        <f t="shared" si="393"/>
        <v>0.11119625504194022</v>
      </c>
      <c r="J390" s="3">
        <f t="shared" si="393"/>
        <v>0.10750475188042229</v>
      </c>
      <c r="K390" s="3">
        <f t="shared" si="393"/>
        <v>7.6701289135526846E-2</v>
      </c>
      <c r="L390" s="3">
        <f t="shared" si="393"/>
        <v>2.6215170365679655E-3</v>
      </c>
      <c r="M390" s="3">
        <f t="shared" si="393"/>
        <v>5.7023372080902044E-18</v>
      </c>
      <c r="N390" s="3">
        <f t="shared" si="393"/>
        <v>1.3522438319426271E-164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6.6462351019904775E-2</v>
      </c>
      <c r="C391" s="3">
        <f t="shared" si="394"/>
        <v>6.6462350997465988E-2</v>
      </c>
      <c r="D391" s="3">
        <f t="shared" si="394"/>
        <v>6.6462350773078105E-2</v>
      </c>
      <c r="E391" s="3">
        <f t="shared" si="394"/>
        <v>6.6462348529199286E-2</v>
      </c>
      <c r="F391" s="3">
        <f t="shared" si="394"/>
        <v>6.6462326090415288E-2</v>
      </c>
      <c r="G391" s="3">
        <f t="shared" si="394"/>
        <v>6.6462101702992063E-2</v>
      </c>
      <c r="H391" s="3">
        <f t="shared" si="394"/>
        <v>6.6459857870425465E-2</v>
      </c>
      <c r="I391" s="3">
        <f t="shared" si="394"/>
        <v>6.6437423710819649E-2</v>
      </c>
      <c r="J391" s="3">
        <f t="shared" si="394"/>
        <v>6.6213498200820814E-2</v>
      </c>
      <c r="K391" s="3">
        <f t="shared" si="394"/>
        <v>6.4015336600402706E-2</v>
      </c>
      <c r="L391" s="3">
        <f t="shared" si="394"/>
        <v>4.5672947063372868E-2</v>
      </c>
      <c r="M391" s="3">
        <f t="shared" si="394"/>
        <v>1.5610221182246154E-3</v>
      </c>
      <c r="N391" s="3">
        <f t="shared" si="394"/>
        <v>3.3955432611102282E-18</v>
      </c>
      <c r="O391" s="3">
        <f t="shared" si="394"/>
        <v>8.052141189434242E-165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4.7100906601579021E-2</v>
      </c>
      <c r="C392" s="3">
        <f t="shared" si="395"/>
        <v>4.7100906599988814E-2</v>
      </c>
      <c r="D392" s="3">
        <f t="shared" si="395"/>
        <v>4.7100906584086777E-2</v>
      </c>
      <c r="E392" s="3">
        <f t="shared" si="395"/>
        <v>4.7100906425066327E-2</v>
      </c>
      <c r="F392" s="3">
        <f t="shared" si="395"/>
        <v>4.7100904834861873E-2</v>
      </c>
      <c r="G392" s="3">
        <f t="shared" si="395"/>
        <v>4.7100888932820301E-2</v>
      </c>
      <c r="H392" s="3">
        <f t="shared" si="395"/>
        <v>4.7100729912699854E-2</v>
      </c>
      <c r="I392" s="3">
        <f t="shared" si="395"/>
        <v>4.7099139741023359E-2</v>
      </c>
      <c r="J392" s="3">
        <f t="shared" si="395"/>
        <v>4.708324097668494E-2</v>
      </c>
      <c r="K392" s="3">
        <f t="shared" si="395"/>
        <v>4.692454820747112E-2</v>
      </c>
      <c r="L392" s="3">
        <f t="shared" si="395"/>
        <v>4.5366742883943406E-2</v>
      </c>
      <c r="M392" s="3">
        <f t="shared" si="395"/>
        <v>3.2367756794126741E-2</v>
      </c>
      <c r="N392" s="3">
        <f t="shared" si="395"/>
        <v>1.1062737905403646E-3</v>
      </c>
      <c r="O392" s="3">
        <f t="shared" si="395"/>
        <v>2.4063723829130872E-18</v>
      </c>
      <c r="P392" s="3">
        <f t="shared" si="395"/>
        <v>5.7064359637214727E-165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2.259812877355076E-2</v>
      </c>
      <c r="C393" s="3">
        <f t="shared" si="396"/>
        <v>2.2598128773474464E-2</v>
      </c>
      <c r="D393" s="3">
        <f t="shared" si="396"/>
        <v>2.2598128772711511E-2</v>
      </c>
      <c r="E393" s="3">
        <f t="shared" si="396"/>
        <v>2.259812876508201E-2</v>
      </c>
      <c r="F393" s="3">
        <f t="shared" si="396"/>
        <v>2.2598128688786991E-2</v>
      </c>
      <c r="G393" s="3">
        <f t="shared" si="396"/>
        <v>2.2598127925836816E-2</v>
      </c>
      <c r="H393" s="3">
        <f t="shared" si="396"/>
        <v>2.2598120296336469E-2</v>
      </c>
      <c r="I393" s="3">
        <f t="shared" si="396"/>
        <v>2.2598044001474679E-2</v>
      </c>
      <c r="J393" s="3">
        <f t="shared" si="396"/>
        <v>2.2597281067023731E-2</v>
      </c>
      <c r="K393" s="3">
        <f t="shared" si="396"/>
        <v>2.2589653139032918E-2</v>
      </c>
      <c r="L393" s="3">
        <f t="shared" si="396"/>
        <v>2.2513515334203638E-2</v>
      </c>
      <c r="M393" s="3">
        <f t="shared" si="396"/>
        <v>2.1766109650426347E-2</v>
      </c>
      <c r="N393" s="3">
        <f t="shared" si="396"/>
        <v>1.5529440703327305E-2</v>
      </c>
      <c r="O393" s="3">
        <f t="shared" si="396"/>
        <v>5.3076934991550201E-4</v>
      </c>
      <c r="P393" s="3">
        <f t="shared" si="396"/>
        <v>1.1545321928937034E-18</v>
      </c>
      <c r="Q393" s="3">
        <f t="shared" si="396"/>
        <v>2.73784060754025E-165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6.4467605951986327E-3</v>
      </c>
      <c r="D394" s="3">
        <f t="shared" si="397"/>
        <v>6.4467605951768672E-3</v>
      </c>
      <c r="E394" s="3">
        <f t="shared" si="397"/>
        <v>6.446760594959214E-3</v>
      </c>
      <c r="F394" s="3">
        <f t="shared" si="397"/>
        <v>6.4467605927826807E-3</v>
      </c>
      <c r="G394" s="3">
        <f t="shared" si="397"/>
        <v>6.4467605710173516E-3</v>
      </c>
      <c r="H394" s="3">
        <f t="shared" si="397"/>
        <v>6.4467603533640587E-3</v>
      </c>
      <c r="I394" s="3">
        <f t="shared" si="397"/>
        <v>6.4467581768315376E-3</v>
      </c>
      <c r="J394" s="3">
        <f t="shared" si="397"/>
        <v>6.4467364115467418E-3</v>
      </c>
      <c r="K394" s="3">
        <f t="shared" si="397"/>
        <v>6.4465187627403119E-3</v>
      </c>
      <c r="L394" s="3">
        <f t="shared" si="397"/>
        <v>6.4443426787783639E-3</v>
      </c>
      <c r="M394" s="3">
        <f t="shared" si="397"/>
        <v>6.4226221989591306E-3</v>
      </c>
      <c r="N394" s="3">
        <f t="shared" si="397"/>
        <v>6.2094034161525478E-3</v>
      </c>
      <c r="O394" s="3">
        <f t="shared" si="397"/>
        <v>4.4302157667523356E-3</v>
      </c>
      <c r="P394" s="3">
        <f t="shared" si="397"/>
        <v>1.5141709140888338E-4</v>
      </c>
      <c r="Q394" s="3">
        <f t="shared" si="397"/>
        <v>3.2936322832830308E-19</v>
      </c>
      <c r="R394" s="3">
        <f t="shared" si="397"/>
        <v>7.8104710002729396E-166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9.8307104636653907E-5</v>
      </c>
      <c r="E395" s="3">
        <f t="shared" si="398"/>
        <v>9.8307104636322006E-5</v>
      </c>
      <c r="F395" s="3">
        <f t="shared" si="398"/>
        <v>9.8307104633002992E-5</v>
      </c>
      <c r="G395" s="3">
        <f t="shared" si="398"/>
        <v>9.8307104599812894E-5</v>
      </c>
      <c r="H395" s="3">
        <f t="shared" si="398"/>
        <v>9.8307104267911856E-5</v>
      </c>
      <c r="I395" s="3">
        <f t="shared" si="398"/>
        <v>9.830710094890152E-5</v>
      </c>
      <c r="J395" s="3">
        <f t="shared" si="398"/>
        <v>9.8307067758804392E-5</v>
      </c>
      <c r="K395" s="3">
        <f t="shared" si="398"/>
        <v>9.8306735858449441E-5</v>
      </c>
      <c r="L395" s="3">
        <f t="shared" si="398"/>
        <v>9.8303416916529427E-5</v>
      </c>
      <c r="M395" s="3">
        <f t="shared" si="398"/>
        <v>9.8270233659514296E-5</v>
      </c>
      <c r="N395" s="3">
        <f t="shared" si="398"/>
        <v>9.7939016538788905E-5</v>
      </c>
      <c r="O395" s="3">
        <f t="shared" si="398"/>
        <v>9.4687628359820715E-5</v>
      </c>
      <c r="P395" s="3">
        <f t="shared" si="398"/>
        <v>6.7556671061965641E-5</v>
      </c>
      <c r="Q395" s="3">
        <f t="shared" si="398"/>
        <v>2.3089698506870411E-6</v>
      </c>
      <c r="R395" s="3">
        <f t="shared" si="398"/>
        <v>5.0224829777068827E-21</v>
      </c>
      <c r="S395" s="3">
        <f t="shared" si="398"/>
        <v>1.1910242028488497E-167</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1.1020901234695388E-2</v>
      </c>
      <c r="F396" s="3">
        <f t="shared" si="399"/>
        <v>1.1020901234658178E-2</v>
      </c>
      <c r="G396" s="3">
        <f t="shared" si="399"/>
        <v>1.1020901234286095E-2</v>
      </c>
      <c r="H396" s="3">
        <f t="shared" si="399"/>
        <v>1.1020901230565256E-2</v>
      </c>
      <c r="I396" s="3">
        <f t="shared" si="399"/>
        <v>1.1020901193356872E-2</v>
      </c>
      <c r="J396" s="3">
        <f t="shared" si="399"/>
        <v>1.1020900821273032E-2</v>
      </c>
      <c r="K396" s="3">
        <f t="shared" si="399"/>
        <v>1.1020897100435318E-2</v>
      </c>
      <c r="L396" s="3">
        <f t="shared" si="399"/>
        <v>1.1020859892127279E-2</v>
      </c>
      <c r="M396" s="3">
        <f t="shared" si="399"/>
        <v>1.1020487815955986E-2</v>
      </c>
      <c r="N396" s="3">
        <f t="shared" si="399"/>
        <v>1.1016767745066288E-2</v>
      </c>
      <c r="O396" s="3">
        <f t="shared" si="399"/>
        <v>1.0979636032274559E-2</v>
      </c>
      <c r="P396" s="3">
        <f t="shared" si="399"/>
        <v>1.0615133099058234E-2</v>
      </c>
      <c r="Q396" s="3">
        <f t="shared" si="399"/>
        <v>7.573566552189214E-3</v>
      </c>
      <c r="R396" s="3">
        <f t="shared" si="399"/>
        <v>2.5885136961732188E-4</v>
      </c>
      <c r="S396" s="3">
        <f t="shared" si="399"/>
        <v>5.6305481739931331E-19</v>
      </c>
      <c r="T396" s="3">
        <f t="shared" si="399"/>
        <v>1.3352198863188648E-165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0.19767807255941633</v>
      </c>
      <c r="B397" s="81">
        <f>IF($A$64&lt;=B363,IF($B$64&gt;=B363,ABS((B365-B364)/B364),0),0)</f>
        <v>2.5151704461327039E-3</v>
      </c>
      <c r="C397" s="81">
        <f t="shared" ref="C397:AF397" si="400">IF($A$64&lt;=C363,IF($B$64&gt;=C363,ABS((C365-C364)/C364),0),0)</f>
        <v>1.2436378677260272E-2</v>
      </c>
      <c r="D397" s="81">
        <f t="shared" si="400"/>
        <v>3.4019806487242689E-3</v>
      </c>
      <c r="E397" s="81">
        <f t="shared" si="400"/>
        <v>1.1290355656521266E-2</v>
      </c>
      <c r="F397" s="81">
        <f t="shared" si="400"/>
        <v>2.1679563339241429E-2</v>
      </c>
      <c r="G397" s="81">
        <f t="shared" si="400"/>
        <v>3.1060126967379711E-2</v>
      </c>
      <c r="H397" s="81">
        <f t="shared" si="400"/>
        <v>1.3159481923633434E-2</v>
      </c>
      <c r="I397" s="81">
        <f t="shared" si="400"/>
        <v>1.1131227762412974E-2</v>
      </c>
      <c r="J397" s="81">
        <f t="shared" si="400"/>
        <v>1.2199398602735771E-2</v>
      </c>
      <c r="K397" s="81">
        <f t="shared" si="400"/>
        <v>6.3902619648423933E-2</v>
      </c>
      <c r="L397" s="81">
        <f t="shared" si="400"/>
        <v>6.6273594174787745E-2</v>
      </c>
      <c r="M397" s="81">
        <f t="shared" si="400"/>
        <v>0.10557712384038827</v>
      </c>
      <c r="N397" s="81">
        <f t="shared" si="400"/>
        <v>8.7155389889818483E-2</v>
      </c>
      <c r="O397" s="81">
        <f t="shared" si="400"/>
        <v>3.3273538791372764E-2</v>
      </c>
      <c r="P397" s="81">
        <f t="shared" si="400"/>
        <v>2.956344799165012E-3</v>
      </c>
      <c r="Q397" s="81">
        <f t="shared" si="400"/>
        <v>4.8696441984674238E-2</v>
      </c>
      <c r="R397" s="81">
        <f t="shared" si="400"/>
        <v>0.36625316654173456</v>
      </c>
      <c r="S397" s="81">
        <f t="shared" si="400"/>
        <v>0.37810113279804586</v>
      </c>
      <c r="T397" s="81">
        <f t="shared" si="400"/>
        <v>0.37752967725041675</v>
      </c>
      <c r="U397" s="81">
        <f t="shared" si="400"/>
        <v>0.37690551253971288</v>
      </c>
      <c r="V397" s="81">
        <f t="shared" si="400"/>
        <v>0.37611606472559289</v>
      </c>
      <c r="W397" s="81">
        <f t="shared" si="400"/>
        <v>0.3751993084654433</v>
      </c>
      <c r="X397" s="81">
        <f t="shared" si="400"/>
        <v>0.37422375676016006</v>
      </c>
      <c r="Y397" s="81">
        <f t="shared" si="400"/>
        <v>0.37323077939665333</v>
      </c>
      <c r="Z397" s="81">
        <f t="shared" si="400"/>
        <v>0.37320916997645792</v>
      </c>
      <c r="AA397" s="81">
        <f t="shared" si="400"/>
        <v>0.37274275848873117</v>
      </c>
      <c r="AB397" s="81">
        <f t="shared" si="400"/>
        <v>0.37211225798513692</v>
      </c>
      <c r="AC397" s="81">
        <f t="shared" si="400"/>
        <v>0.37146259415860267</v>
      </c>
      <c r="AD397" s="81">
        <f t="shared" si="400"/>
        <v>0.37142493138975491</v>
      </c>
      <c r="AE397" s="81">
        <f t="shared" si="400"/>
        <v>0.37140667699912805</v>
      </c>
      <c r="AF397" s="81">
        <f t="shared" si="400"/>
        <v>0.3713937247136625</v>
      </c>
    </row>
    <row r="398" spans="1:34" x14ac:dyDescent="0.25">
      <c r="B398" s="21">
        <f>(B365-B364)^2</f>
        <v>156.45895821433794</v>
      </c>
      <c r="C398" s="21">
        <f t="shared" ref="C398:AF398" si="401">(C365-C364)^2</f>
        <v>3358.0294202407408</v>
      </c>
      <c r="D398" s="21">
        <f t="shared" si="401"/>
        <v>222.63392850912956</v>
      </c>
      <c r="E398" s="21">
        <f t="shared" si="401"/>
        <v>2162.0374885155939</v>
      </c>
      <c r="F398" s="21">
        <f t="shared" si="401"/>
        <v>6893.7220104437565</v>
      </c>
      <c r="G398" s="21">
        <f t="shared" si="401"/>
        <v>11909.002819223912</v>
      </c>
      <c r="H398" s="21">
        <f t="shared" si="401"/>
        <v>1661.9446623084818</v>
      </c>
      <c r="I398" s="21">
        <f t="shared" si="401"/>
        <v>831.94415898839441</v>
      </c>
      <c r="J398" s="21">
        <f t="shared" si="401"/>
        <v>598.49196231586495</v>
      </c>
      <c r="K398" s="21">
        <f t="shared" si="401"/>
        <v>7504.9023942827553</v>
      </c>
      <c r="L398" s="21">
        <f t="shared" si="401"/>
        <v>2931.3937916819441</v>
      </c>
      <c r="M398" s="21">
        <f t="shared" si="401"/>
        <v>2393.3077532714669</v>
      </c>
      <c r="N398" s="21">
        <f t="shared" si="401"/>
        <v>501.60029695383361</v>
      </c>
      <c r="O398" s="21">
        <f t="shared" si="401"/>
        <v>31.05998227508233</v>
      </c>
      <c r="P398" s="21">
        <f t="shared" si="401"/>
        <v>0.17574565822291846</v>
      </c>
      <c r="Q398" s="21">
        <f t="shared" si="401"/>
        <v>39.578667018619953</v>
      </c>
      <c r="R398" s="21">
        <f t="shared" si="401"/>
        <v>2111.2730600611703</v>
      </c>
      <c r="S398" s="21">
        <f t="shared" si="401"/>
        <v>2247.2701055687735</v>
      </c>
      <c r="T398" s="21">
        <f t="shared" si="401"/>
        <v>2236.370430989326</v>
      </c>
      <c r="U398" s="21">
        <f t="shared" si="401"/>
        <v>2224.5184378274071</v>
      </c>
      <c r="V398" s="21">
        <f t="shared" si="401"/>
        <v>2209.6068632898105</v>
      </c>
      <c r="W398" s="21">
        <f t="shared" si="401"/>
        <v>2192.4005606224218</v>
      </c>
      <c r="X398" s="21">
        <f t="shared" si="401"/>
        <v>2174.2196383507562</v>
      </c>
      <c r="Y398" s="21">
        <f t="shared" si="401"/>
        <v>2155.8494557207409</v>
      </c>
      <c r="Z398" s="21">
        <f t="shared" si="401"/>
        <v>2155.4511914047307</v>
      </c>
      <c r="AA398" s="21">
        <f t="shared" si="401"/>
        <v>2146.8708102015707</v>
      </c>
      <c r="AB398" s="21">
        <f t="shared" si="401"/>
        <v>2135.3191410820527</v>
      </c>
      <c r="AC398" s="21">
        <f t="shared" si="401"/>
        <v>2123.4731123271222</v>
      </c>
      <c r="AD398" s="21">
        <f t="shared" si="401"/>
        <v>2122.7881262562901</v>
      </c>
      <c r="AE398" s="21">
        <f t="shared" si="401"/>
        <v>2122.4561964964455</v>
      </c>
      <c r="AF398" s="21">
        <f t="shared" si="401"/>
        <v>2122.2207053017164</v>
      </c>
      <c r="AG398" s="3"/>
      <c r="AH398" s="3"/>
    </row>
    <row r="399" spans="1:34" x14ac:dyDescent="0.25">
      <c r="A399" s="72">
        <f>SUM(B399:AF399)</f>
        <v>73676.371875402459</v>
      </c>
      <c r="B399" s="60">
        <f>IF($A$64&lt;=B363,IF($B$64&gt;=B363,ABS(B398),0),0)</f>
        <v>156.45895821433794</v>
      </c>
      <c r="C399" s="60">
        <f t="shared" ref="C399" si="402">IF($A$64&lt;=C363,IF($B$64&gt;=C363,ABS(C398),0),0)</f>
        <v>3358.0294202407408</v>
      </c>
      <c r="D399" s="60">
        <f t="shared" ref="D399" si="403">IF($A$64&lt;=D363,IF($B$64&gt;=D363,ABS(D398),0),0)</f>
        <v>222.63392850912956</v>
      </c>
      <c r="E399" s="60">
        <f t="shared" ref="E399" si="404">IF($A$64&lt;=E363,IF($B$64&gt;=E363,ABS(E398),0),0)</f>
        <v>2162.0374885155939</v>
      </c>
      <c r="F399" s="60">
        <f t="shared" ref="F399" si="405">IF($A$64&lt;=F363,IF($B$64&gt;=F363,ABS(F398),0),0)</f>
        <v>6893.7220104437565</v>
      </c>
      <c r="G399" s="60">
        <f t="shared" ref="G399" si="406">IF($A$64&lt;=G363,IF($B$64&gt;=G363,ABS(G398),0),0)</f>
        <v>11909.002819223912</v>
      </c>
      <c r="H399" s="60">
        <f t="shared" ref="H399" si="407">IF($A$64&lt;=H363,IF($B$64&gt;=H363,ABS(H398),0),0)</f>
        <v>1661.9446623084818</v>
      </c>
      <c r="I399" s="60">
        <f t="shared" ref="I399" si="408">IF($A$64&lt;=I363,IF($B$64&gt;=I363,ABS(I398),0),0)</f>
        <v>831.94415898839441</v>
      </c>
      <c r="J399" s="60">
        <f t="shared" ref="J399" si="409">IF($A$64&lt;=J363,IF($B$64&gt;=J363,ABS(J398),0),0)</f>
        <v>598.49196231586495</v>
      </c>
      <c r="K399" s="60">
        <f t="shared" ref="K399" si="410">IF($A$64&lt;=K363,IF($B$64&gt;=K363,ABS(K398),0),0)</f>
        <v>7504.9023942827553</v>
      </c>
      <c r="L399" s="60">
        <f t="shared" ref="L399" si="411">IF($A$64&lt;=L363,IF($B$64&gt;=L363,ABS(L398),0),0)</f>
        <v>2931.3937916819441</v>
      </c>
      <c r="M399" s="60">
        <f t="shared" ref="M399" si="412">IF($A$64&lt;=M363,IF($B$64&gt;=M363,ABS(M398),0),0)</f>
        <v>2393.3077532714669</v>
      </c>
      <c r="N399" s="60">
        <f t="shared" ref="N399" si="413">IF($A$64&lt;=N363,IF($B$64&gt;=N363,ABS(N398),0),0)</f>
        <v>501.60029695383361</v>
      </c>
      <c r="O399" s="60">
        <f t="shared" ref="O399" si="414">IF($A$64&lt;=O363,IF($B$64&gt;=O363,ABS(O398),0),0)</f>
        <v>31.05998227508233</v>
      </c>
      <c r="P399" s="60">
        <f t="shared" ref="P399" si="415">IF($A$64&lt;=P363,IF($B$64&gt;=P363,ABS(P398),0),0)</f>
        <v>0.17574565822291846</v>
      </c>
      <c r="Q399" s="60">
        <f t="shared" ref="Q399" si="416">IF($A$64&lt;=Q363,IF($B$64&gt;=Q363,ABS(Q398),0),0)</f>
        <v>39.578667018619953</v>
      </c>
      <c r="R399" s="60">
        <f t="shared" ref="R399" si="417">IF($A$64&lt;=R363,IF($B$64&gt;=R363,ABS(R398),0),0)</f>
        <v>2111.2730600611703</v>
      </c>
      <c r="S399" s="60">
        <f t="shared" ref="S399" si="418">IF($A$64&lt;=S363,IF($B$64&gt;=S363,ABS(S398),0),0)</f>
        <v>2247.2701055687735</v>
      </c>
      <c r="T399" s="60">
        <f t="shared" ref="T399" si="419">IF($A$64&lt;=T363,IF($B$64&gt;=T363,ABS(T398),0),0)</f>
        <v>2236.370430989326</v>
      </c>
      <c r="U399" s="60">
        <f t="shared" ref="U399" si="420">IF($A$64&lt;=U363,IF($B$64&gt;=U363,ABS(U398),0),0)</f>
        <v>2224.5184378274071</v>
      </c>
      <c r="V399" s="60">
        <f t="shared" ref="V399" si="421">IF($A$64&lt;=V363,IF($B$64&gt;=V363,ABS(V398),0),0)</f>
        <v>2209.6068632898105</v>
      </c>
      <c r="W399" s="60">
        <f t="shared" ref="W399" si="422">IF($A$64&lt;=W363,IF($B$64&gt;=W363,ABS(W398),0),0)</f>
        <v>2192.4005606224218</v>
      </c>
      <c r="X399" s="60">
        <f t="shared" ref="X399" si="423">IF($A$64&lt;=X363,IF($B$64&gt;=X363,ABS(X398),0),0)</f>
        <v>2174.2196383507562</v>
      </c>
      <c r="Y399" s="60">
        <f t="shared" ref="Y399" si="424">IF($A$64&lt;=Y363,IF($B$64&gt;=Y363,ABS(Y398),0),0)</f>
        <v>2155.8494557207409</v>
      </c>
      <c r="Z399" s="60">
        <f t="shared" ref="Z399" si="425">IF($A$64&lt;=Z363,IF($B$64&gt;=Z363,ABS(Z398),0),0)</f>
        <v>2155.4511914047307</v>
      </c>
      <c r="AA399" s="60">
        <f t="shared" ref="AA399" si="426">IF($A$64&lt;=AA363,IF($B$64&gt;=AA363,ABS(AA398),0),0)</f>
        <v>2146.8708102015707</v>
      </c>
      <c r="AB399" s="60">
        <f t="shared" ref="AB399" si="427">IF($A$64&lt;=AB363,IF($B$64&gt;=AB363,ABS(AB398),0),0)</f>
        <v>2135.3191410820527</v>
      </c>
      <c r="AC399" s="60">
        <f t="shared" ref="AC399" si="428">IF($A$64&lt;=AC363,IF($B$64&gt;=AC363,ABS(AC398),0),0)</f>
        <v>2123.4731123271222</v>
      </c>
      <c r="AD399" s="60">
        <f t="shared" ref="AD399" si="429">IF($A$64&lt;=AD363,IF($B$64&gt;=AD363,ABS(AD398),0),0)</f>
        <v>2122.7881262562901</v>
      </c>
      <c r="AE399" s="60">
        <f t="shared" ref="AE399" si="430">IF($A$64&lt;=AE363,IF($B$64&gt;=AE363,ABS(AE398),0),0)</f>
        <v>2122.4561964964455</v>
      </c>
      <c r="AF399" s="60">
        <f t="shared" ref="AF399" si="431">IF($A$64&lt;=AF363,IF($B$64&gt;=AF363,ABS(AF398),0),0)</f>
        <v>2122.2207053017164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-14.406597553292471</v>
      </c>
      <c r="M1" s="54">
        <v>1</v>
      </c>
      <c r="N1" s="56">
        <f>INDEX($H$217:$P$217,1,Q1)</f>
        <v>0.32252125924501707</v>
      </c>
      <c r="O1" s="11"/>
      <c r="P1" s="55">
        <v>1</v>
      </c>
      <c r="Q1" s="11">
        <v>2</v>
      </c>
    </row>
    <row r="2" spans="1:17" x14ac:dyDescent="0.25">
      <c r="A2" s="11">
        <f>'Mastercurve bestimmen'!M119</f>
        <v>0</v>
      </c>
      <c r="B2" s="11">
        <f>'Mastercurve bestimmen'!N119</f>
        <v>-10.950533411017616</v>
      </c>
      <c r="M2" s="54">
        <v>2</v>
      </c>
      <c r="N2" s="56">
        <f t="shared" ref="N2:N9" si="0">INDEX($H$217:$P$217,1,Q2)</f>
        <v>2.6978377001792972E-3</v>
      </c>
      <c r="O2" s="11"/>
      <c r="P2" s="55">
        <v>2</v>
      </c>
      <c r="Q2" s="11">
        <f>Q1+1</f>
        <v>3</v>
      </c>
    </row>
    <row r="3" spans="1:17" x14ac:dyDescent="0.25">
      <c r="A3" s="11">
        <f>'Mastercurve bestimmen'!M120</f>
        <v>25</v>
      </c>
      <c r="B3" s="11">
        <f>'Mastercurve bestimmen'!N120</f>
        <v>-6.5769237458214267</v>
      </c>
      <c r="M3" s="54">
        <v>3</v>
      </c>
      <c r="N3" s="56">
        <f t="shared" si="0"/>
        <v>9.4367351303233709E-6</v>
      </c>
      <c r="O3" s="11"/>
      <c r="P3" s="55">
        <v>3</v>
      </c>
      <c r="Q3" s="11">
        <f t="shared" ref="Q3:Q8" si="1">Q2+1</f>
        <v>4</v>
      </c>
    </row>
    <row r="4" spans="1:17" x14ac:dyDescent="0.25">
      <c r="A4" s="11">
        <f>'Mastercurve bestimmen'!M121</f>
        <v>50</v>
      </c>
      <c r="B4" s="11">
        <f>'Mastercurve bestimmen'!N121</f>
        <v>0</v>
      </c>
      <c r="M4" s="54">
        <v>4</v>
      </c>
      <c r="N4" s="56">
        <f t="shared" si="0"/>
        <v>-2.2167967441130535E-7</v>
      </c>
      <c r="O4" s="11"/>
      <c r="P4" s="55">
        <v>4</v>
      </c>
      <c r="Q4" s="11">
        <f t="shared" si="1"/>
        <v>5</v>
      </c>
    </row>
    <row r="5" spans="1:17" x14ac:dyDescent="0.25">
      <c r="A5" s="11">
        <f>'Mastercurve bestimmen'!M122</f>
        <v>80</v>
      </c>
      <c r="B5" s="11">
        <f>'Mastercurve bestimmen'!N122</f>
        <v>12.063983763944035</v>
      </c>
      <c r="M5" s="54">
        <v>5</v>
      </c>
      <c r="N5" s="56">
        <f t="shared" si="0"/>
        <v>-3.3220195421969645E-9</v>
      </c>
      <c r="O5" s="11"/>
      <c r="P5" s="55">
        <v>5</v>
      </c>
      <c r="Q5" s="11">
        <f t="shared" si="1"/>
        <v>6</v>
      </c>
    </row>
    <row r="6" spans="1:17" x14ac:dyDescent="0.25">
      <c r="A6" s="11">
        <f>'Mastercurve bestimmen'!M123</f>
        <v>125</v>
      </c>
      <c r="B6" s="11">
        <f>'Mastercurve bestimmen'!N123</f>
        <v>31.800079672565541</v>
      </c>
      <c r="M6" s="54">
        <v>6</v>
      </c>
      <c r="N6" s="56">
        <f t="shared" si="0"/>
        <v>7.1026523371587048E-12</v>
      </c>
      <c r="O6" s="11"/>
      <c r="P6" s="55">
        <v>6</v>
      </c>
      <c r="Q6" s="11">
        <f t="shared" si="1"/>
        <v>7</v>
      </c>
    </row>
    <row r="7" spans="1:17" x14ac:dyDescent="0.25">
      <c r="A7" s="11">
        <f>'Mastercurve bestimmen'!M124</f>
        <v>160</v>
      </c>
      <c r="B7" s="11">
        <f>'Mastercurve bestimmen'!N124</f>
        <v>35.860877462388487</v>
      </c>
      <c r="M7" s="54">
        <v>7</v>
      </c>
      <c r="N7" s="56">
        <f t="shared" si="0"/>
        <v>1.7308432098132293E-13</v>
      </c>
      <c r="O7" s="11"/>
      <c r="P7" s="55">
        <v>7</v>
      </c>
      <c r="Q7" s="11">
        <f t="shared" si="1"/>
        <v>8</v>
      </c>
    </row>
    <row r="8" spans="1:17" x14ac:dyDescent="0.25">
      <c r="A8" s="11"/>
      <c r="B8" s="11"/>
      <c r="M8" s="54">
        <v>8</v>
      </c>
      <c r="N8" s="56">
        <f t="shared" si="0"/>
        <v>-2.3448240870094348E-16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-14.406597553292471</v>
      </c>
      <c r="E15" s="11">
        <f>A15-'Mastercurve bestimmen'!$B$2</f>
        <v>-90</v>
      </c>
      <c r="F15" s="11">
        <f>B15</f>
        <v>-14.406597553292471</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-14.343950995821592</v>
      </c>
      <c r="E16" s="11">
        <f>A16-'Mastercurve bestimmen'!$B$2</f>
        <v>-89</v>
      </c>
      <c r="F16" s="11">
        <f t="shared" ref="F16:F79" si="4">B16</f>
        <v>-14.343950995821592</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-14.281215301217186</v>
      </c>
      <c r="E17" s="11">
        <f>A17-'Mastercurve bestimmen'!$B$2</f>
        <v>-88</v>
      </c>
      <c r="F17" s="11">
        <f t="shared" si="4"/>
        <v>-14.281215301217186</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-14.218301332345714</v>
      </c>
      <c r="E18" s="11">
        <f>A18-'Mastercurve bestimmen'!$B$2</f>
        <v>-87</v>
      </c>
      <c r="F18" s="11">
        <f t="shared" si="4"/>
        <v>-14.218301332345714</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-14.155119952073649</v>
      </c>
      <c r="E19" s="11">
        <f>A19-'Mastercurve bestimmen'!$B$2</f>
        <v>-86</v>
      </c>
      <c r="F19" s="11">
        <f t="shared" si="4"/>
        <v>-14.155119952073649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-14.091582023267463</v>
      </c>
      <c r="E20" s="11">
        <f>A20-'Mastercurve bestimmen'!$B$2</f>
        <v>-85</v>
      </c>
      <c r="F20" s="11">
        <f t="shared" si="4"/>
        <v>-14.091582023267463</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-14.027598408793621</v>
      </c>
      <c r="E21" s="11">
        <f>A21-'Mastercurve bestimmen'!$B$2</f>
        <v>-84</v>
      </c>
      <c r="F21" s="11">
        <f t="shared" si="4"/>
        <v>-14.027598408793621</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-13.963079971518596</v>
      </c>
      <c r="E22" s="11">
        <f>A22-'Mastercurve bestimmen'!$B$2</f>
        <v>-83</v>
      </c>
      <c r="F22" s="11">
        <f t="shared" si="4"/>
        <v>-13.963079971518596</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-13.897937574308848</v>
      </c>
      <c r="E23" s="11">
        <f>A23-'Mastercurve bestimmen'!$B$2</f>
        <v>-82</v>
      </c>
      <c r="F23" s="11">
        <f t="shared" si="4"/>
        <v>-13.897937574308848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-13.832082080030858</v>
      </c>
      <c r="E24" s="11">
        <f>A24-'Mastercurve bestimmen'!$B$2</f>
        <v>-81</v>
      </c>
      <c r="F24" s="11">
        <f t="shared" si="4"/>
        <v>-13.832082080030858</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-13.76542435155109</v>
      </c>
      <c r="E25" s="11">
        <f>A25-'Mastercurve bestimmen'!$B$2</f>
        <v>-80</v>
      </c>
      <c r="F25" s="11">
        <f t="shared" si="4"/>
        <v>-13.76542435155109</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-13.697875251736008</v>
      </c>
      <c r="E26" s="11">
        <f>A26-'Mastercurve bestimmen'!$B$2</f>
        <v>-79</v>
      </c>
      <c r="F26" s="11">
        <f t="shared" si="4"/>
        <v>-13.697875251736008</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-13.629345643452091</v>
      </c>
      <c r="E27" s="11">
        <f>A27-'Mastercurve bestimmen'!$B$2</f>
        <v>-78</v>
      </c>
      <c r="F27" s="11">
        <f t="shared" si="4"/>
        <v>-13.629345643452091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-13.559746389565799</v>
      </c>
      <c r="E28" s="11">
        <f>A28-'Mastercurve bestimmen'!$B$2</f>
        <v>-77</v>
      </c>
      <c r="F28" s="11">
        <f t="shared" si="4"/>
        <v>-13.559746389565799</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-13.488988352943606</v>
      </c>
      <c r="E29" s="11">
        <f>A29-'Mastercurve bestimmen'!$B$2</f>
        <v>-76</v>
      </c>
      <c r="F29" s="11">
        <f t="shared" si="4"/>
        <v>-13.488988352943606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-13.416982396451981</v>
      </c>
      <c r="E30" s="11">
        <f>A30-'Mastercurve bestimmen'!$B$2</f>
        <v>-75</v>
      </c>
      <c r="F30" s="11">
        <f t="shared" si="4"/>
        <v>-13.416982396451981</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-13.343639382957392</v>
      </c>
      <c r="E31" s="11">
        <f>A31-'Mastercurve bestimmen'!$B$2</f>
        <v>-74</v>
      </c>
      <c r="F31" s="11">
        <f t="shared" si="4"/>
        <v>-13.343639382957392</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-13.268870175326308</v>
      </c>
      <c r="E32" s="11">
        <f>A32-'Mastercurve bestimmen'!$B$2</f>
        <v>-73</v>
      </c>
      <c r="F32" s="11">
        <f t="shared" si="4"/>
        <v>-13.268870175326308</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-13.192585636425196</v>
      </c>
      <c r="E33" s="11">
        <f>A33-'Mastercurve bestimmen'!$B$2</f>
        <v>-72</v>
      </c>
      <c r="F33" s="11">
        <f t="shared" si="4"/>
        <v>-13.192585636425196</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-13.11469662912053</v>
      </c>
      <c r="E34" s="11">
        <f>A34-'Mastercurve bestimmen'!$B$2</f>
        <v>-71</v>
      </c>
      <c r="F34" s="11">
        <f t="shared" si="4"/>
        <v>-13.11469662912053</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-13.035114016278776</v>
      </c>
      <c r="E35" s="11">
        <f>A35-'Mastercurve bestimmen'!$B$2</f>
        <v>-70</v>
      </c>
      <c r="F35" s="11">
        <f t="shared" si="4"/>
        <v>-13.035114016278776</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-12.953748660766401</v>
      </c>
      <c r="E36" s="11">
        <f>A36-'Mastercurve bestimmen'!$B$2</f>
        <v>-69</v>
      </c>
      <c r="F36" s="11">
        <f t="shared" si="4"/>
        <v>-12.953748660766401</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-12.870511425449877</v>
      </c>
      <c r="E37" s="11">
        <f>A37-'Mastercurve bestimmen'!$B$2</f>
        <v>-68</v>
      </c>
      <c r="F37" s="11">
        <f t="shared" si="4"/>
        <v>-12.870511425449877</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-12.785313173195672</v>
      </c>
      <c r="E38" s="11">
        <f>A38-'Mastercurve bestimmen'!$B$2</f>
        <v>-67</v>
      </c>
      <c r="F38" s="11">
        <f t="shared" si="4"/>
        <v>-12.785313173195672</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-12.698064766870257</v>
      </c>
      <c r="E39" s="11">
        <f>A39-'Mastercurve bestimmen'!$B$2</f>
        <v>-66</v>
      </c>
      <c r="F39" s="11">
        <f t="shared" si="4"/>
        <v>-12.698064766870257</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-12.6086770693401</v>
      </c>
      <c r="E40" s="11">
        <f>A40-'Mastercurve bestimmen'!$B$2</f>
        <v>-65</v>
      </c>
      <c r="F40" s="11">
        <f t="shared" si="4"/>
        <v>-12.6086770693401</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-12.51706094347167</v>
      </c>
      <c r="E41" s="11">
        <f>A41-'Mastercurve bestimmen'!$B$2</f>
        <v>-64</v>
      </c>
      <c r="F41" s="11">
        <f t="shared" si="4"/>
        <v>-12.51706094347167</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-12.423127252131433</v>
      </c>
      <c r="E42" s="11">
        <f>A42-'Mastercurve bestimmen'!$B$2</f>
        <v>-63</v>
      </c>
      <c r="F42" s="11">
        <f t="shared" si="4"/>
        <v>-12.423127252131433</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-12.326786858185862</v>
      </c>
      <c r="E43" s="11">
        <f>A43-'Mastercurve bestimmen'!$B$2</f>
        <v>-62</v>
      </c>
      <c r="F43" s="11">
        <f t="shared" si="4"/>
        <v>-12.326786858185862</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-12.227950624501426</v>
      </c>
      <c r="E44" s="11">
        <f>A44-'Mastercurve bestimmen'!$B$2</f>
        <v>-61</v>
      </c>
      <c r="F44" s="11">
        <f t="shared" si="4"/>
        <v>-12.227950624501426</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-12.126529413944594</v>
      </c>
      <c r="E45" s="11">
        <f>A45-'Mastercurve bestimmen'!$B$2</f>
        <v>-60</v>
      </c>
      <c r="F45" s="11">
        <f t="shared" si="4"/>
        <v>-12.126529413944594</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-12.022434089381832</v>
      </c>
      <c r="E46" s="11">
        <f>A46-'Mastercurve bestimmen'!$B$2</f>
        <v>-59</v>
      </c>
      <c r="F46" s="11">
        <f t="shared" si="4"/>
        <v>-12.022434089381832</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-11.915575513679611</v>
      </c>
      <c r="E47" s="11">
        <f>A47-'Mastercurve bestimmen'!$B$2</f>
        <v>-58</v>
      </c>
      <c r="F47" s="11">
        <f t="shared" si="4"/>
        <v>-11.915575513679611</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-11.805864549704403</v>
      </c>
      <c r="E48" s="11">
        <f>A48-'Mastercurve bestimmen'!$B$2</f>
        <v>-57</v>
      </c>
      <c r="F48" s="11">
        <f t="shared" si="4"/>
        <v>-11.805864549704403</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-11.69321206032267</v>
      </c>
      <c r="E49" s="11">
        <f>A49-'Mastercurve bestimmen'!$B$2</f>
        <v>-56</v>
      </c>
      <c r="F49" s="11">
        <f t="shared" si="4"/>
        <v>-11.69321206032267</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-11.577528908400888</v>
      </c>
      <c r="E50" s="11">
        <f>A50-'Mastercurve bestimmen'!$B$2</f>
        <v>-55</v>
      </c>
      <c r="F50" s="11">
        <f t="shared" si="4"/>
        <v>-11.577528908400888</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-11.458725956805523</v>
      </c>
      <c r="E51" s="11">
        <f>A51-'Mastercurve bestimmen'!$B$2</f>
        <v>-54</v>
      </c>
      <c r="F51" s="11">
        <f t="shared" si="4"/>
        <v>-11.458725956805523</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-11.336714068403044</v>
      </c>
      <c r="E52" s="11">
        <f>A52-'Mastercurve bestimmen'!$B$2</f>
        <v>-53</v>
      </c>
      <c r="F52" s="11">
        <f t="shared" si="4"/>
        <v>-11.336714068403044</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-11.21140410605992</v>
      </c>
      <c r="E53" s="11">
        <f>A53-'Mastercurve bestimmen'!$B$2</f>
        <v>-52</v>
      </c>
      <c r="F53" s="11">
        <f t="shared" si="4"/>
        <v>-11.21140410605992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-11.082706932642623</v>
      </c>
      <c r="E54" s="11">
        <f>A54-'Mastercurve bestimmen'!$B$2</f>
        <v>-51</v>
      </c>
      <c r="F54" s="11">
        <f t="shared" si="4"/>
        <v>-11.082706932642623</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-10.950533411017616</v>
      </c>
      <c r="E55" s="11">
        <f>A55-'Mastercurve bestimmen'!$B$2</f>
        <v>-50</v>
      </c>
      <c r="F55" s="11">
        <f t="shared" si="4"/>
        <v>-10.950533411017616</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-10.815864244231859</v>
      </c>
      <c r="E56" s="11">
        <f>A56-'Mastercurve bestimmen'!$B$2</f>
        <v>-49</v>
      </c>
      <c r="F56" s="11">
        <f t="shared" si="4"/>
        <v>-10.815864244231859</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-10.677653732530564</v>
      </c>
      <c r="E57" s="11">
        <f>A57-'Mastercurve bestimmen'!$B$2</f>
        <v>-48</v>
      </c>
      <c r="F57" s="11">
        <f t="shared" si="4"/>
        <v>-10.677653732530564</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-10.535926016339429</v>
      </c>
      <c r="E58" s="11">
        <f>A58-'Mastercurve bestimmen'!$B$2</f>
        <v>-47</v>
      </c>
      <c r="F58" s="11">
        <f t="shared" si="4"/>
        <v>-10.535926016339429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-10.390705236084157</v>
      </c>
      <c r="E59" s="11">
        <f>A59-'Mastercurve bestimmen'!$B$2</f>
        <v>-46</v>
      </c>
      <c r="F59" s="11">
        <f t="shared" si="4"/>
        <v>-10.390705236084157</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-10.242015532190445</v>
      </c>
      <c r="E60" s="11">
        <f>A60-'Mastercurve bestimmen'!$B$2</f>
        <v>-45</v>
      </c>
      <c r="F60" s="11">
        <f t="shared" si="4"/>
        <v>-10.242015532190445</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-10.089881045083995</v>
      </c>
      <c r="E61" s="11">
        <f>A61-'Mastercurve bestimmen'!$B$2</f>
        <v>-44</v>
      </c>
      <c r="F61" s="11">
        <f t="shared" si="4"/>
        <v>-10.089881045083995</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-9.9343259151905041</v>
      </c>
      <c r="E62" s="11">
        <f>A62-'Mastercurve bestimmen'!$B$2</f>
        <v>-43</v>
      </c>
      <c r="F62" s="11">
        <f t="shared" si="4"/>
        <v>-9.9343259151905041</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-9.7753742829356742</v>
      </c>
      <c r="E63" s="11">
        <f>A63-'Mastercurve bestimmen'!$B$2</f>
        <v>-42</v>
      </c>
      <c r="F63" s="11">
        <f t="shared" si="4"/>
        <v>-9.7753742829356742</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-9.6130502887452032</v>
      </c>
      <c r="E64" s="11">
        <f>A64-'Mastercurve bestimmen'!$B$2</f>
        <v>-41</v>
      </c>
      <c r="F64" s="11">
        <f t="shared" si="4"/>
        <v>-9.6130502887452032</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-9.4473780730447903</v>
      </c>
      <c r="E65" s="11">
        <f>A65-'Mastercurve bestimmen'!$B$2</f>
        <v>-40</v>
      </c>
      <c r="F65" s="11">
        <f t="shared" si="4"/>
        <v>-9.4473780730447903</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-9.2783817762601366</v>
      </c>
      <c r="E66" s="11">
        <f>A66-'Mastercurve bestimmen'!$B$2</f>
        <v>-39</v>
      </c>
      <c r="F66" s="11">
        <f t="shared" si="4"/>
        <v>-9.2783817762601366</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-9.1060855388169433</v>
      </c>
      <c r="E67" s="11">
        <f>A67-'Mastercurve bestimmen'!$B$2</f>
        <v>-38</v>
      </c>
      <c r="F67" s="11">
        <f t="shared" si="4"/>
        <v>-9.1060855388169433</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-8.930513501140906</v>
      </c>
      <c r="E68" s="11">
        <f>A68-'Mastercurve bestimmen'!$B$2</f>
        <v>-37</v>
      </c>
      <c r="F68" s="11">
        <f t="shared" si="4"/>
        <v>-8.930513501140906</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-8.751689803657726</v>
      </c>
      <c r="E69" s="11">
        <f>A69-'Mastercurve bestimmen'!$B$2</f>
        <v>-36</v>
      </c>
      <c r="F69" s="11">
        <f t="shared" si="4"/>
        <v>-8.751689803657726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-8.5696385867931024</v>
      </c>
      <c r="E70" s="11">
        <f>A70-'Mastercurve bestimmen'!$B$2</f>
        <v>-35</v>
      </c>
      <c r="F70" s="11">
        <f t="shared" si="4"/>
        <v>-8.5696385867931024</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-8.3843839909727365</v>
      </c>
      <c r="E71" s="11">
        <f>A71-'Mastercurve bestimmen'!$B$2</f>
        <v>-34</v>
      </c>
      <c r="F71" s="11">
        <f t="shared" si="4"/>
        <v>-8.3843839909727365</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-8.1959501566223274</v>
      </c>
      <c r="E72" s="11">
        <f>A72-'Mastercurve bestimmen'!$B$2</f>
        <v>-33</v>
      </c>
      <c r="F72" s="11">
        <f t="shared" si="4"/>
        <v>-8.1959501566223274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-8.0043612241675746</v>
      </c>
      <c r="E73" s="11">
        <f>A73-'Mastercurve bestimmen'!$B$2</f>
        <v>-32</v>
      </c>
      <c r="F73" s="11">
        <f t="shared" si="4"/>
        <v>-8.0043612241675746</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-7.8096413340341755</v>
      </c>
      <c r="E74" s="11">
        <f>A74-'Mastercurve bestimmen'!$B$2</f>
        <v>-31</v>
      </c>
      <c r="F74" s="11">
        <f t="shared" si="4"/>
        <v>-7.8096413340341755</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-7.6118146266478313</v>
      </c>
      <c r="E75" s="11">
        <f>A75-'Mastercurve bestimmen'!$B$2</f>
        <v>-30</v>
      </c>
      <c r="F75" s="11">
        <f t="shared" si="4"/>
        <v>-7.6118146266478313</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-7.410905242434243</v>
      </c>
      <c r="E76" s="11">
        <f>A76-'Mastercurve bestimmen'!$B$2</f>
        <v>-29</v>
      </c>
      <c r="F76" s="11">
        <f t="shared" si="4"/>
        <v>-7.410905242434243</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-7.2069373218191082</v>
      </c>
      <c r="E77" s="11">
        <f>A77-'Mastercurve bestimmen'!$B$2</f>
        <v>-28</v>
      </c>
      <c r="F77" s="11">
        <f t="shared" si="4"/>
        <v>-7.2069373218191082</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-6.9999350052281279</v>
      </c>
      <c r="E78" s="11">
        <f>A78-'Mastercurve bestimmen'!$B$2</f>
        <v>-27</v>
      </c>
      <c r="F78" s="11">
        <f t="shared" si="4"/>
        <v>-6.9999350052281279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-6.7899224330870016</v>
      </c>
      <c r="E79" s="11">
        <f>A79-'Mastercurve bestimmen'!$B$2</f>
        <v>-26</v>
      </c>
      <c r="F79" s="11">
        <f t="shared" si="4"/>
        <v>-6.7899224330870016</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-6.5769237458214267</v>
      </c>
      <c r="E80" s="11">
        <f>A80-'Mastercurve bestimmen'!$B$2</f>
        <v>-25</v>
      </c>
      <c r="F80" s="11">
        <f t="shared" ref="F80:F143" si="10">B80</f>
        <v>-6.5769237458214267</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-6.3609405507438952</v>
      </c>
      <c r="E81" s="11">
        <f>A81-'Mastercurve bestimmen'!$B$2</f>
        <v>-24</v>
      </c>
      <c r="F81" s="11">
        <f t="shared" si="10"/>
        <v>-6.3609405507438952</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-6.1418843227140556</v>
      </c>
      <c r="E82" s="11">
        <f>A82-'Mastercurve bestimmen'!$B$2</f>
        <v>-23</v>
      </c>
      <c r="F82" s="11">
        <f t="shared" si="10"/>
        <v>-6.1418843227140556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-5.9196440034783446</v>
      </c>
      <c r="E83" s="11">
        <f>A83-'Mastercurve bestimmen'!$B$2</f>
        <v>-22</v>
      </c>
      <c r="F83" s="11">
        <f t="shared" si="10"/>
        <v>-5.9196440034783446</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-5.6941085347832052</v>
      </c>
      <c r="E84" s="11">
        <f>A84-'Mastercurve bestimmen'!$B$2</f>
        <v>-21</v>
      </c>
      <c r="F84" s="11">
        <f t="shared" si="10"/>
        <v>-5.6941085347832052</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-5.4651668583750723</v>
      </c>
      <c r="E85" s="11">
        <f>A85-'Mastercurve bestimmen'!$B$2</f>
        <v>-20</v>
      </c>
      <c r="F85" s="11">
        <f t="shared" si="10"/>
        <v>-5.4651668583750723</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-5.232707916000388</v>
      </c>
      <c r="E86" s="11">
        <f>A86-'Mastercurve bestimmen'!$B$2</f>
        <v>-19</v>
      </c>
      <c r="F86" s="11">
        <f t="shared" si="10"/>
        <v>-5.232707916000388</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-4.9966206494055871</v>
      </c>
      <c r="E87" s="11">
        <f>A87-'Mastercurve bestimmen'!$B$2</f>
        <v>-18</v>
      </c>
      <c r="F87" s="11">
        <f t="shared" si="10"/>
        <v>-4.9966206494055871</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-4.7567940003371127</v>
      </c>
      <c r="E88" s="11">
        <f>A88-'Mastercurve bestimmen'!$B$2</f>
        <v>-17</v>
      </c>
      <c r="F88" s="11">
        <f t="shared" si="10"/>
        <v>-4.7567940003371127</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-4.5131169105414024</v>
      </c>
      <c r="E89" s="11">
        <f>A89-'Mastercurve bestimmen'!$B$2</f>
        <v>-16</v>
      </c>
      <c r="F89" s="11">
        <f t="shared" si="10"/>
        <v>-4.5131169105414024</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-4.2654783217648928</v>
      </c>
      <c r="E90" s="11">
        <f>A90-'Mastercurve bestimmen'!$B$2</f>
        <v>-15</v>
      </c>
      <c r="F90" s="11">
        <f t="shared" si="10"/>
        <v>-4.2654783217648928</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-4.0137671757540261</v>
      </c>
      <c r="E91" s="11">
        <f>A91-'Mastercurve bestimmen'!$B$2</f>
        <v>-14</v>
      </c>
      <c r="F91" s="11">
        <f t="shared" si="10"/>
        <v>-4.0137671757540261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-3.7578724142552398</v>
      </c>
      <c r="E92" s="11">
        <f>A92-'Mastercurve bestimmen'!$B$2</f>
        <v>-13</v>
      </c>
      <c r="F92" s="11">
        <f t="shared" si="10"/>
        <v>-3.7578724142552398</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-3.4976829790149715</v>
      </c>
      <c r="E93" s="11">
        <f>A93-'Mastercurve bestimmen'!$B$2</f>
        <v>-12</v>
      </c>
      <c r="F93" s="11">
        <f t="shared" si="10"/>
        <v>-3.4976829790149715</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-3.2330878117796615</v>
      </c>
      <c r="E94" s="11">
        <f>A94-'Mastercurve bestimmen'!$B$2</f>
        <v>-11</v>
      </c>
      <c r="F94" s="11">
        <f t="shared" si="10"/>
        <v>-3.2330878117796615</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-2.9639758542957484</v>
      </c>
      <c r="E95" s="11">
        <f>A95-'Mastercurve bestimmen'!$B$2</f>
        <v>-10</v>
      </c>
      <c r="F95" s="11">
        <f t="shared" si="10"/>
        <v>-2.9639758542957484</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-2.6902360483096714</v>
      </c>
      <c r="E96" s="11">
        <f>A96-'Mastercurve bestimmen'!$B$2</f>
        <v>-9</v>
      </c>
      <c r="F96" s="11">
        <f t="shared" si="10"/>
        <v>-2.6902360483096714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-2.4117573355678692</v>
      </c>
      <c r="E97" s="11">
        <f>A97-'Mastercurve bestimmen'!$B$2</f>
        <v>-8</v>
      </c>
      <c r="F97" s="11">
        <f t="shared" si="10"/>
        <v>-2.4117573355678692</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-2.1284286578167801</v>
      </c>
      <c r="E98" s="11">
        <f>A98-'Mastercurve bestimmen'!$B$2</f>
        <v>-7</v>
      </c>
      <c r="F98" s="11">
        <f t="shared" si="10"/>
        <v>-2.1284286578167801</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-1.8401389568028432</v>
      </c>
      <c r="E99" s="11">
        <f>A99-'Mastercurve bestimmen'!$B$2</f>
        <v>-6</v>
      </c>
      <c r="F99" s="11">
        <f t="shared" si="10"/>
        <v>-1.8401389568028432</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-1.5467771742724976</v>
      </c>
      <c r="E100" s="11">
        <f>A100-'Mastercurve bestimmen'!$B$2</f>
        <v>-5</v>
      </c>
      <c r="F100" s="11">
        <f t="shared" si="10"/>
        <v>-1.5467771742724976</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-1.2482322519721825</v>
      </c>
      <c r="E101" s="11">
        <f>A101-'Mastercurve bestimmen'!$B$2</f>
        <v>-4</v>
      </c>
      <c r="F101" s="11">
        <f t="shared" si="10"/>
        <v>-1.2482322519721825</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-0.94439313164833627</v>
      </c>
      <c r="E102" s="11">
        <f>A102-'Mastercurve bestimmen'!$B$2</f>
        <v>-3</v>
      </c>
      <c r="F102" s="11">
        <f t="shared" si="10"/>
        <v>-0.94439313164833627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-0.63514875504739765</v>
      </c>
      <c r="E103" s="11">
        <f>A103-'Mastercurve bestimmen'!$B$2</f>
        <v>-2</v>
      </c>
      <c r="F103" s="11">
        <f t="shared" si="10"/>
        <v>-0.63514875504739765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-0.32038806391580604</v>
      </c>
      <c r="E104" s="11">
        <f>A104-'Mastercurve bestimmen'!$B$2</f>
        <v>-1</v>
      </c>
      <c r="F104" s="11">
        <f t="shared" si="10"/>
        <v>-0.32038806391580604</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0.32610000475225365</v>
      </c>
      <c r="E106" s="11">
        <f>A106-'Mastercurve bestimmen'!$B$2</f>
        <v>1</v>
      </c>
      <c r="F106" s="11">
        <f t="shared" si="10"/>
        <v>0.32610000475225365</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0.65789055758787651</v>
      </c>
      <c r="E107" s="11">
        <f>A107-'Mastercurve bestimmen'!$B$2</f>
        <v>2</v>
      </c>
      <c r="F107" s="11">
        <f t="shared" si="10"/>
        <v>0.65789055758787651</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0.99532377555246254</v>
      </c>
      <c r="E108" s="11">
        <f>A108-'Mastercurve bestimmen'!$B$2</f>
        <v>3</v>
      </c>
      <c r="F108" s="11">
        <f t="shared" si="10"/>
        <v>0.99532377555246254</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1.3383517756916055</v>
      </c>
      <c r="E109" s="11">
        <f>A109-'Mastercurve bestimmen'!$B$2</f>
        <v>4</v>
      </c>
      <c r="F109" s="11">
        <f t="shared" si="10"/>
        <v>1.3383517756916055</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1.6869266750508989</v>
      </c>
      <c r="E110" s="11">
        <f>A110-'Mastercurve bestimmen'!$B$2</f>
        <v>5</v>
      </c>
      <c r="F110" s="11">
        <f t="shared" si="10"/>
        <v>1.6869266750508989</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2.041000590675937</v>
      </c>
      <c r="E111" s="11">
        <f>A111-'Mastercurve bestimmen'!$B$2</f>
        <v>6</v>
      </c>
      <c r="F111" s="11">
        <f t="shared" si="10"/>
        <v>2.041000590675937</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2.4005256396123134</v>
      </c>
      <c r="E112" s="11">
        <f>A112-'Mastercurve bestimmen'!$B$2</f>
        <v>7</v>
      </c>
      <c r="F112" s="11">
        <f t="shared" si="10"/>
        <v>2.4005256396123134</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2.7654539389056216</v>
      </c>
      <c r="E113" s="11">
        <f>A113-'Mastercurve bestimmen'!$B$2</f>
        <v>8</v>
      </c>
      <c r="F113" s="11">
        <f t="shared" si="10"/>
        <v>2.7654539389056216</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3.1357376056014554</v>
      </c>
      <c r="E114" s="11">
        <f>A114-'Mastercurve bestimmen'!$B$2</f>
        <v>9</v>
      </c>
      <c r="F114" s="11">
        <f t="shared" si="10"/>
        <v>3.1357376056014554</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3.5113287567454092</v>
      </c>
      <c r="E115" s="11">
        <f>A115-'Mastercurve bestimmen'!$B$2</f>
        <v>10</v>
      </c>
      <c r="F115" s="11">
        <f t="shared" si="10"/>
        <v>3.5113287567454092</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3.8921795093830762</v>
      </c>
      <c r="E116" s="11">
        <f>A116-'Mastercurve bestimmen'!$B$2</f>
        <v>11</v>
      </c>
      <c r="F116" s="11">
        <f t="shared" si="10"/>
        <v>3.8921795093830762</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4.2782419805600505</v>
      </c>
      <c r="E117" s="11">
        <f>A117-'Mastercurve bestimmen'!$B$2</f>
        <v>12</v>
      </c>
      <c r="F117" s="11">
        <f t="shared" si="10"/>
        <v>4.2782419805600505</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4.6694682873219255</v>
      </c>
      <c r="E118" s="11">
        <f>A118-'Mastercurve bestimmen'!$B$2</f>
        <v>13</v>
      </c>
      <c r="F118" s="11">
        <f t="shared" si="10"/>
        <v>4.6694682873219255</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5.065810546714296</v>
      </c>
      <c r="E119" s="11">
        <f>A119-'Mastercurve bestimmen'!$B$2</f>
        <v>14</v>
      </c>
      <c r="F119" s="11">
        <f t="shared" si="10"/>
        <v>5.065810546714296</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5.4672208757827541</v>
      </c>
      <c r="E120" s="11">
        <f>A120-'Mastercurve bestimmen'!$B$2</f>
        <v>15</v>
      </c>
      <c r="F120" s="11">
        <f t="shared" si="10"/>
        <v>5.4672208757827541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5.8736513915728947</v>
      </c>
      <c r="E121" s="11">
        <f>A121-'Mastercurve bestimmen'!$B$2</f>
        <v>16</v>
      </c>
      <c r="F121" s="11">
        <f t="shared" si="10"/>
        <v>5.8736513915728947</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6.285054211130312</v>
      </c>
      <c r="E122" s="11">
        <f>A122-'Mastercurve bestimmen'!$B$2</f>
        <v>17</v>
      </c>
      <c r="F122" s="11">
        <f t="shared" si="10"/>
        <v>6.285054211130312</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6.7013814515005992</v>
      </c>
      <c r="E123" s="11">
        <f>A123-'Mastercurve bestimmen'!$B$2</f>
        <v>18</v>
      </c>
      <c r="F123" s="11">
        <f t="shared" si="10"/>
        <v>6.7013814515005992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7.1225852297293502</v>
      </c>
      <c r="E124" s="11">
        <f>A124-'Mastercurve bestimmen'!$B$2</f>
        <v>19</v>
      </c>
      <c r="F124" s="11">
        <f t="shared" si="10"/>
        <v>7.1225852297293502</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7.5486176628621582</v>
      </c>
      <c r="E125" s="11">
        <f>A125-'Mastercurve bestimmen'!$B$2</f>
        <v>20</v>
      </c>
      <c r="F125" s="11">
        <f t="shared" si="10"/>
        <v>7.5486176628621582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7.9794308679446173</v>
      </c>
      <c r="E126" s="11">
        <f>A126-'Mastercurve bestimmen'!$B$2</f>
        <v>21</v>
      </c>
      <c r="F126" s="11">
        <f t="shared" si="10"/>
        <v>7.9794308679446173</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8.4149769620223225</v>
      </c>
      <c r="E127" s="11">
        <f>A127-'Mastercurve bestimmen'!$B$2</f>
        <v>22</v>
      </c>
      <c r="F127" s="11">
        <f t="shared" si="10"/>
        <v>8.4149769620223225</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8.8552080621408642</v>
      </c>
      <c r="E128" s="11">
        <f>A128-'Mastercurve bestimmen'!$B$2</f>
        <v>23</v>
      </c>
      <c r="F128" s="11">
        <f t="shared" si="10"/>
        <v>8.8552080621408642</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9.3000762853458419</v>
      </c>
      <c r="E129" s="11">
        <f>A129-'Mastercurve bestimmen'!$B$2</f>
        <v>24</v>
      </c>
      <c r="F129" s="11">
        <f t="shared" si="10"/>
        <v>9.3000762853458419</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9.7495337486828433</v>
      </c>
      <c r="E130" s="11">
        <f>A130-'Mastercurve bestimmen'!$B$2</f>
        <v>25</v>
      </c>
      <c r="F130" s="11">
        <f t="shared" si="10"/>
        <v>9.7495337486828433</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10.203532569197467</v>
      </c>
      <c r="E131" s="11">
        <f>A131-'Mastercurve bestimmen'!$B$2</f>
        <v>26</v>
      </c>
      <c r="F131" s="11">
        <f t="shared" si="10"/>
        <v>10.203532569197467</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10.662024863935303</v>
      </c>
      <c r="E132" s="11">
        <f>A132-'Mastercurve bestimmen'!$B$2</f>
        <v>27</v>
      </c>
      <c r="F132" s="11">
        <f t="shared" si="10"/>
        <v>10.662024863935303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11.124962749941947</v>
      </c>
      <c r="E133" s="11">
        <f>A133-'Mastercurve bestimmen'!$B$2</f>
        <v>28</v>
      </c>
      <c r="F133" s="11">
        <f t="shared" si="10"/>
        <v>11.124962749941947</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11.592298344262993</v>
      </c>
      <c r="E134" s="11">
        <f>A134-'Mastercurve bestimmen'!$B$2</f>
        <v>29</v>
      </c>
      <c r="F134" s="11">
        <f t="shared" si="10"/>
        <v>11.592298344262993</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12.063983763944035</v>
      </c>
      <c r="E135" s="11">
        <f>A135-'Mastercurve bestimmen'!$B$2</f>
        <v>30</v>
      </c>
      <c r="F135" s="11">
        <f t="shared" si="10"/>
        <v>12.063983763944035</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12.53991389261372</v>
      </c>
      <c r="E136" s="11">
        <f>A136-'Mastercurve bestimmen'!$B$2</f>
        <v>31</v>
      </c>
      <c r="F136" s="11">
        <f t="shared" si="10"/>
        <v>12.53991389261372</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13.019754680232936</v>
      </c>
      <c r="E137" s="11">
        <f>A137-'Mastercurve bestimmen'!$B$2</f>
        <v>32</v>
      </c>
      <c r="F137" s="11">
        <f t="shared" si="10"/>
        <v>13.019754680232936</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13.50311484334561</v>
      </c>
      <c r="E138" s="11">
        <f>A138-'Mastercurve bestimmen'!$B$2</f>
        <v>33</v>
      </c>
      <c r="F138" s="11">
        <f t="shared" si="10"/>
        <v>13.50311484334561</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13.989603098495682</v>
      </c>
      <c r="E139" s="11">
        <f>A139-'Mastercurve bestimmen'!$B$2</f>
        <v>34</v>
      </c>
      <c r="F139" s="11">
        <f t="shared" si="10"/>
        <v>13.989603098495682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14.47882816222709</v>
      </c>
      <c r="E140" s="11">
        <f>A140-'Mastercurve bestimmen'!$B$2</f>
        <v>35</v>
      </c>
      <c r="F140" s="11">
        <f t="shared" si="10"/>
        <v>14.47882816222709</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14.970398751083767</v>
      </c>
      <c r="E141" s="11">
        <f>A141-'Mastercurve bestimmen'!$B$2</f>
        <v>36</v>
      </c>
      <c r="F141" s="11">
        <f t="shared" si="10"/>
        <v>14.970398751083767</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15.463923581609652</v>
      </c>
      <c r="E142" s="11">
        <f>A142-'Mastercurve bestimmen'!$B$2</f>
        <v>37</v>
      </c>
      <c r="F142" s="11">
        <f t="shared" si="10"/>
        <v>15.463923581609652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15.959011370348678</v>
      </c>
      <c r="E143" s="11">
        <f>A143-'Mastercurve bestimmen'!$B$2</f>
        <v>38</v>
      </c>
      <c r="F143" s="11">
        <f t="shared" si="10"/>
        <v>15.959011370348678</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16.455270833844786</v>
      </c>
      <c r="E144" s="11">
        <f>A144-'Mastercurve bestimmen'!$B$2</f>
        <v>39</v>
      </c>
      <c r="F144" s="11">
        <f t="shared" ref="F144:F207" si="15">B144</f>
        <v>16.455270833844786</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16.952310688641909</v>
      </c>
      <c r="E145" s="11">
        <f>A145-'Mastercurve bestimmen'!$B$2</f>
        <v>40</v>
      </c>
      <c r="F145" s="11">
        <f t="shared" si="15"/>
        <v>16.952310688641909</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17.449739651283977</v>
      </c>
      <c r="E146" s="11">
        <f>A146-'Mastercurve bestimmen'!$B$2</f>
        <v>41</v>
      </c>
      <c r="F146" s="11">
        <f t="shared" si="15"/>
        <v>17.449739651283977</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17.947166438314937</v>
      </c>
      <c r="E147" s="11">
        <f>A147-'Mastercurve bestimmen'!$B$2</f>
        <v>42</v>
      </c>
      <c r="F147" s="11">
        <f t="shared" si="15"/>
        <v>17.947166438314937</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18.444199766278725</v>
      </c>
      <c r="E148" s="11">
        <f>A148-'Mastercurve bestimmen'!$B$2</f>
        <v>43</v>
      </c>
      <c r="F148" s="11">
        <f t="shared" si="15"/>
        <v>18.444199766278725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18.940448351719269</v>
      </c>
      <c r="E149" s="11">
        <f>A149-'Mastercurve bestimmen'!$B$2</f>
        <v>44</v>
      </c>
      <c r="F149" s="11">
        <f t="shared" si="15"/>
        <v>18.940448351719269</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19.435520911180515</v>
      </c>
      <c r="E150" s="11">
        <f>A150-'Mastercurve bestimmen'!$B$2</f>
        <v>45</v>
      </c>
      <c r="F150" s="11">
        <f t="shared" si="15"/>
        <v>19.435520911180515</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19.929026161206387</v>
      </c>
      <c r="E151" s="11">
        <f>A151-'Mastercurve bestimmen'!$B$2</f>
        <v>46</v>
      </c>
      <c r="F151" s="11">
        <f t="shared" si="15"/>
        <v>19.929026161206387</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20.420572818340833</v>
      </c>
      <c r="E152" s="11">
        <f>A152-'Mastercurve bestimmen'!$B$2</f>
        <v>47</v>
      </c>
      <c r="F152" s="11">
        <f t="shared" si="15"/>
        <v>20.420572818340833</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20.909769599127785</v>
      </c>
      <c r="E153" s="11">
        <f>A153-'Mastercurve bestimmen'!$B$2</f>
        <v>48</v>
      </c>
      <c r="F153" s="11">
        <f t="shared" si="15"/>
        <v>20.909769599127785</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21.396225220111177</v>
      </c>
      <c r="E154" s="11">
        <f>A154-'Mastercurve bestimmen'!$B$2</f>
        <v>49</v>
      </c>
      <c r="F154" s="11">
        <f t="shared" si="15"/>
        <v>21.396225220111177</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21.879548397834945</v>
      </c>
      <c r="E155" s="11">
        <f>A155-'Mastercurve bestimmen'!$B$2</f>
        <v>50</v>
      </c>
      <c r="F155" s="11">
        <f t="shared" si="15"/>
        <v>21.879548397834945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22.359347848843026</v>
      </c>
      <c r="E156" s="11">
        <f>A156-'Mastercurve bestimmen'!$B$2</f>
        <v>51</v>
      </c>
      <c r="F156" s="11">
        <f t="shared" si="15"/>
        <v>22.359347848843026</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22.835232289679361</v>
      </c>
      <c r="E157" s="11">
        <f>A157-'Mastercurve bestimmen'!$B$2</f>
        <v>52</v>
      </c>
      <c r="F157" s="11">
        <f t="shared" si="15"/>
        <v>22.835232289679361</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23.306810436887883</v>
      </c>
      <c r="E158" s="11">
        <f>A158-'Mastercurve bestimmen'!$B$2</f>
        <v>53</v>
      </c>
      <c r="F158" s="11">
        <f t="shared" si="15"/>
        <v>23.306810436887883</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23.773691007012523</v>
      </c>
      <c r="E159" s="11">
        <f>A159-'Mastercurve bestimmen'!$B$2</f>
        <v>54</v>
      </c>
      <c r="F159" s="11">
        <f t="shared" si="15"/>
        <v>23.773691007012523</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24.235482716597229</v>
      </c>
      <c r="E160" s="11">
        <f>A160-'Mastercurve bestimmen'!$B$2</f>
        <v>55</v>
      </c>
      <c r="F160" s="11">
        <f t="shared" si="15"/>
        <v>24.235482716597229</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24.691794282185928</v>
      </c>
      <c r="E161" s="11">
        <f>A161-'Mastercurve bestimmen'!$B$2</f>
        <v>56</v>
      </c>
      <c r="F161" s="11">
        <f t="shared" si="15"/>
        <v>24.691794282185928</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25.142234420322559</v>
      </c>
      <c r="E162" s="11">
        <f>A162-'Mastercurve bestimmen'!$B$2</f>
        <v>57</v>
      </c>
      <c r="F162" s="11">
        <f t="shared" si="15"/>
        <v>25.142234420322559</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25.586411847551055</v>
      </c>
      <c r="E163" s="11">
        <f>A163-'Mastercurve bestimmen'!$B$2</f>
        <v>58</v>
      </c>
      <c r="F163" s="11">
        <f t="shared" si="15"/>
        <v>25.586411847551055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26.023935280415358</v>
      </c>
      <c r="E164" s="11">
        <f>A164-'Mastercurve bestimmen'!$B$2</f>
        <v>59</v>
      </c>
      <c r="F164" s="11">
        <f t="shared" si="15"/>
        <v>26.023935280415358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26.454413435459401</v>
      </c>
      <c r="E165" s="11">
        <f>A165-'Mastercurve bestimmen'!$B$2</f>
        <v>60</v>
      </c>
      <c r="F165" s="11">
        <f t="shared" si="15"/>
        <v>26.454413435459401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26.877455029227118</v>
      </c>
      <c r="E166" s="11">
        <f>A166-'Mastercurve bestimmen'!$B$2</f>
        <v>61</v>
      </c>
      <c r="F166" s="11">
        <f t="shared" si="15"/>
        <v>26.877455029227118</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27.292668778262453</v>
      </c>
      <c r="E167" s="11">
        <f>A167-'Mastercurve bestimmen'!$B$2</f>
        <v>62</v>
      </c>
      <c r="F167" s="11">
        <f t="shared" si="15"/>
        <v>27.292668778262453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27.699663399109333</v>
      </c>
      <c r="E168" s="11">
        <f>A168-'Mastercurve bestimmen'!$B$2</f>
        <v>63</v>
      </c>
      <c r="F168" s="11">
        <f t="shared" si="15"/>
        <v>27.699663399109333</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28.098047608311699</v>
      </c>
      <c r="E169" s="11">
        <f>A169-'Mastercurve bestimmen'!$B$2</f>
        <v>64</v>
      </c>
      <c r="F169" s="11">
        <f t="shared" si="15"/>
        <v>28.098047608311699</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28.487430122413485</v>
      </c>
      <c r="E170" s="11">
        <f>A170-'Mastercurve bestimmen'!$B$2</f>
        <v>65</v>
      </c>
      <c r="F170" s="11">
        <f t="shared" si="15"/>
        <v>28.487430122413485</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28.867419657958635</v>
      </c>
      <c r="E171" s="11">
        <f>A171-'Mastercurve bestimmen'!$B$2</f>
        <v>66</v>
      </c>
      <c r="F171" s="11">
        <f t="shared" si="15"/>
        <v>28.867419657958635</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29.237624931491073</v>
      </c>
      <c r="E172" s="11">
        <f>A172-'Mastercurve bestimmen'!$B$2</f>
        <v>67</v>
      </c>
      <c r="F172" s="11">
        <f t="shared" si="15"/>
        <v>29.237624931491073</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29.597654659554745</v>
      </c>
      <c r="E173" s="11">
        <f>A173-'Mastercurve bestimmen'!$B$2</f>
        <v>68</v>
      </c>
      <c r="F173" s="11">
        <f t="shared" si="15"/>
        <v>29.597654659554745</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29.947117558693584</v>
      </c>
      <c r="E174" s="11">
        <f>A174-'Mastercurve bestimmen'!$B$2</f>
        <v>69</v>
      </c>
      <c r="F174" s="11">
        <f t="shared" si="15"/>
        <v>29.947117558693584</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30.285622345451525</v>
      </c>
      <c r="E175" s="11">
        <f>A175-'Mastercurve bestimmen'!$B$2</f>
        <v>70</v>
      </c>
      <c r="F175" s="11">
        <f t="shared" si="15"/>
        <v>30.285622345451525</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30.6127777363725</v>
      </c>
      <c r="E176" s="11">
        <f>A176-'Mastercurve bestimmen'!$B$2</f>
        <v>71</v>
      </c>
      <c r="F176" s="11">
        <f t="shared" si="15"/>
        <v>30.6127777363725</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30.928192448000456</v>
      </c>
      <c r="E177" s="11">
        <f>A177-'Mastercurve bestimmen'!$B$2</f>
        <v>72</v>
      </c>
      <c r="F177" s="11">
        <f t="shared" si="15"/>
        <v>30.928192448000456</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31.231475196879327</v>
      </c>
      <c r="E178" s="11">
        <f>A178-'Mastercurve bestimmen'!$B$2</f>
        <v>73</v>
      </c>
      <c r="F178" s="11">
        <f t="shared" si="15"/>
        <v>31.231475196879327</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31.522234699553039</v>
      </c>
      <c r="E179" s="11">
        <f>A179-'Mastercurve bestimmen'!$B$2</f>
        <v>74</v>
      </c>
      <c r="F179" s="11">
        <f t="shared" si="15"/>
        <v>31.522234699553039</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31.800079672565534</v>
      </c>
      <c r="E180" s="11">
        <f>A180-'Mastercurve bestimmen'!$B$2</f>
        <v>75</v>
      </c>
      <c r="F180" s="11">
        <f t="shared" si="15"/>
        <v>31.800079672565534</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32.064747407384942</v>
      </c>
      <c r="E181" s="11">
        <f>A181-'Mastercurve bestimmen'!$B$2</f>
        <v>76</v>
      </c>
      <c r="F181" s="11">
        <f t="shared" si="15"/>
        <v>32.064747407384942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32.316489495176143</v>
      </c>
      <c r="E182" s="11">
        <f>A182-'Mastercurve bestimmen'!$B$2</f>
        <v>77</v>
      </c>
      <c r="F182" s="11">
        <f t="shared" si="15"/>
        <v>32.316489495176143</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32.555686102028183</v>
      </c>
      <c r="E183" s="11">
        <f>A183-'Mastercurve bestimmen'!$B$2</f>
        <v>78</v>
      </c>
      <c r="F183" s="11">
        <f t="shared" si="15"/>
        <v>32.555686102028183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32.782717394030144</v>
      </c>
      <c r="E184" s="11">
        <f>A184-'Mastercurve bestimmen'!$B$2</f>
        <v>79</v>
      </c>
      <c r="F184" s="11">
        <f t="shared" si="15"/>
        <v>32.782717394030144</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32.997963537271083</v>
      </c>
      <c r="E185" s="11">
        <f>A185-'Mastercurve bestimmen'!$B$2</f>
        <v>80</v>
      </c>
      <c r="F185" s="11">
        <f t="shared" si="15"/>
        <v>32.997963537271083</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33.201804697840075</v>
      </c>
      <c r="E186" s="11">
        <f>A186-'Mastercurve bestimmen'!$B$2</f>
        <v>81</v>
      </c>
      <c r="F186" s="11">
        <f t="shared" si="15"/>
        <v>33.201804697840075</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33.39462104182617</v>
      </c>
      <c r="E187" s="11">
        <f>A187-'Mastercurve bestimmen'!$B$2</f>
        <v>82</v>
      </c>
      <c r="F187" s="11">
        <f t="shared" si="15"/>
        <v>33.39462104182617</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33.576792735318442</v>
      </c>
      <c r="E188" s="11">
        <f>A188-'Mastercurve bestimmen'!$B$2</f>
        <v>83</v>
      </c>
      <c r="F188" s="11">
        <f t="shared" si="15"/>
        <v>33.576792735318442</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33.748699944405956</v>
      </c>
      <c r="E189" s="11">
        <f>A189-'Mastercurve bestimmen'!$B$2</f>
        <v>84</v>
      </c>
      <c r="F189" s="11">
        <f t="shared" si="15"/>
        <v>33.748699944405956</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33.910722835177779</v>
      </c>
      <c r="E190" s="11">
        <f>A190-'Mastercurve bestimmen'!$B$2</f>
        <v>85</v>
      </c>
      <c r="F190" s="11">
        <f t="shared" si="15"/>
        <v>33.910722835177779</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34.063241573722969</v>
      </c>
      <c r="E191" s="11">
        <f>A191-'Mastercurve bestimmen'!$B$2</f>
        <v>86</v>
      </c>
      <c r="F191" s="11">
        <f t="shared" si="15"/>
        <v>34.063241573722969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34.206636326130607</v>
      </c>
      <c r="E192" s="11">
        <f>A192-'Mastercurve bestimmen'!$B$2</f>
        <v>87</v>
      </c>
      <c r="F192" s="11">
        <f t="shared" si="15"/>
        <v>34.206636326130607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34.341287258489736</v>
      </c>
      <c r="E193" s="11">
        <f>A193-'Mastercurve bestimmen'!$B$2</f>
        <v>88</v>
      </c>
      <c r="F193" s="11">
        <f t="shared" si="15"/>
        <v>34.341287258489736</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34.467574536889437</v>
      </c>
      <c r="E194" s="11">
        <f>A194-'Mastercurve bestimmen'!$B$2</f>
        <v>89</v>
      </c>
      <c r="F194" s="11">
        <f t="shared" si="15"/>
        <v>34.467574536889437</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34.585878327418769</v>
      </c>
      <c r="E195" s="11">
        <f>A195-'Mastercurve bestimmen'!$B$2</f>
        <v>90</v>
      </c>
      <c r="F195" s="11">
        <f t="shared" si="15"/>
        <v>34.585878327418769</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34.696578796166804</v>
      </c>
      <c r="E196" s="11">
        <f>A196-'Mastercurve bestimmen'!$B$2</f>
        <v>91</v>
      </c>
      <c r="F196" s="11">
        <f t="shared" si="15"/>
        <v>34.696578796166804</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34.800056109222588</v>
      </c>
      <c r="E197" s="11">
        <f>A197-'Mastercurve bestimmen'!$B$2</f>
        <v>92</v>
      </c>
      <c r="F197" s="11">
        <f t="shared" si="15"/>
        <v>34.800056109222588</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34.896690432675214</v>
      </c>
      <c r="E198" s="11">
        <f>A198-'Mastercurve bestimmen'!$B$2</f>
        <v>93</v>
      </c>
      <c r="F198" s="11">
        <f t="shared" si="15"/>
        <v>34.896690432675214</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34.986861932613721</v>
      </c>
      <c r="E199" s="11">
        <f>A199-'Mastercurve bestimmen'!$B$2</f>
        <v>94</v>
      </c>
      <c r="F199" s="11">
        <f t="shared" si="15"/>
        <v>34.986861932613721</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35.070950775127194</v>
      </c>
      <c r="E200" s="11">
        <f>A200-'Mastercurve bestimmen'!$B$2</f>
        <v>95</v>
      </c>
      <c r="F200" s="11">
        <f t="shared" si="15"/>
        <v>35.070950775127194</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35.149337126304687</v>
      </c>
      <c r="E201" s="11">
        <f>A201-'Mastercurve bestimmen'!$B$2</f>
        <v>96</v>
      </c>
      <c r="F201" s="11">
        <f t="shared" si="15"/>
        <v>35.149337126304687</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35.222401152235264</v>
      </c>
      <c r="E202" s="11">
        <f>A202-'Mastercurve bestimmen'!$B$2</f>
        <v>97</v>
      </c>
      <c r="F202" s="11">
        <f t="shared" si="15"/>
        <v>35.222401152235264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35.290523019008006</v>
      </c>
      <c r="E203" s="11">
        <f>A203-'Mastercurve bestimmen'!$B$2</f>
        <v>98</v>
      </c>
      <c r="F203" s="11">
        <f t="shared" si="15"/>
        <v>35.290523019008006</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35.354082892711958</v>
      </c>
      <c r="E204" s="11">
        <f>A204-'Mastercurve bestimmen'!$B$2</f>
        <v>99</v>
      </c>
      <c r="F204" s="11">
        <f t="shared" si="15"/>
        <v>35.354082892711958</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35.413460939436192</v>
      </c>
      <c r="E205" s="11">
        <f>A205-'Mastercurve bestimmen'!$B$2</f>
        <v>100</v>
      </c>
      <c r="F205" s="11">
        <f t="shared" si="15"/>
        <v>35.413460939436192</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35.469037325269781</v>
      </c>
      <c r="E206" s="11">
        <f>A206-'Mastercurve bestimmen'!$B$2</f>
        <v>101</v>
      </c>
      <c r="F206" s="11">
        <f t="shared" si="15"/>
        <v>35.469037325269781</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35.521192216301777</v>
      </c>
      <c r="E207" s="11">
        <f>A207-'Mastercurve bestimmen'!$B$2</f>
        <v>102</v>
      </c>
      <c r="F207" s="11">
        <f t="shared" si="15"/>
        <v>35.521192216301777</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35.570305778621254</v>
      </c>
      <c r="E208" s="11">
        <f>A208-'Mastercurve bestimmen'!$B$2</f>
        <v>103</v>
      </c>
      <c r="F208" s="11">
        <f t="shared" ref="F208:F215" si="21">B208</f>
        <v>35.570305778621254</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35.616758178317276</v>
      </c>
      <c r="E209" s="11">
        <f>A209-'Mastercurve bestimmen'!$B$2</f>
        <v>104</v>
      </c>
      <c r="F209" s="11">
        <f t="shared" si="21"/>
        <v>35.616758178317276</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35.660929581478911</v>
      </c>
      <c r="E210" s="11">
        <f>A210-'Mastercurve bestimmen'!$B$2</f>
        <v>105</v>
      </c>
      <c r="F210" s="11">
        <f t="shared" si="21"/>
        <v>35.660929581478911</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35.703200154195216</v>
      </c>
      <c r="E211" s="11">
        <f>A211-'Mastercurve bestimmen'!$B$2</f>
        <v>106</v>
      </c>
      <c r="F211" s="11">
        <f t="shared" si="21"/>
        <v>35.703200154195216</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35.743950062555264</v>
      </c>
      <c r="E212" s="11">
        <f>A212-'Mastercurve bestimmen'!$B$2</f>
        <v>107</v>
      </c>
      <c r="F212" s="11">
        <f t="shared" si="21"/>
        <v>35.743950062555264</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35.783559472648108</v>
      </c>
      <c r="E213" s="11">
        <f>A213-'Mastercurve bestimmen'!$B$2</f>
        <v>108</v>
      </c>
      <c r="F213" s="11">
        <f t="shared" si="21"/>
        <v>35.783559472648108</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35.822408550562827</v>
      </c>
      <c r="E214" s="11">
        <f>A214-'Mastercurve bestimmen'!$B$2</f>
        <v>109</v>
      </c>
      <c r="F214" s="11">
        <f t="shared" si="21"/>
        <v>35.822408550562827</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35.860877462388487</v>
      </c>
      <c r="E215" s="11">
        <f>A215-'Mastercurve bestimmen'!$B$2</f>
        <v>110</v>
      </c>
      <c r="F215" s="11">
        <f t="shared" si="21"/>
        <v>35.860877462388487</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0.32252125924501707</v>
      </c>
      <c r="J217" s="99">
        <v>2.6978377001792972E-3</v>
      </c>
      <c r="K217" s="99">
        <v>9.4367351303233709E-6</v>
      </c>
      <c r="L217" s="99">
        <v>-2.2167967441130535E-7</v>
      </c>
      <c r="M217" s="99">
        <v>-3.3220195421969645E-9</v>
      </c>
      <c r="N217" s="99">
        <v>7.1026523371587048E-12</v>
      </c>
      <c r="O217" s="99">
        <v>1.7308432098132293E-13</v>
      </c>
      <c r="P217" s="99">
        <v>-2.3448240870094348E-16</v>
      </c>
    </row>
    <row r="218" spans="1:16" x14ac:dyDescent="0.25">
      <c r="G218" s="11"/>
      <c r="H218" s="11">
        <v>0</v>
      </c>
      <c r="I218" s="11">
        <v>2.9769802761274601E-4</v>
      </c>
      <c r="J218" s="11">
        <v>6.6863227762298359E-6</v>
      </c>
      <c r="K218" s="3">
        <v>2.5005022033626112E-7</v>
      </c>
      <c r="L218" s="3">
        <v>3.7539328297124469E-9</v>
      </c>
      <c r="M218" s="3">
        <v>6.1052099622138166E-11</v>
      </c>
      <c r="N218" s="3">
        <v>7.0586199047679161E-13</v>
      </c>
      <c r="O218" s="11">
        <v>4.4212851542701433E-15</v>
      </c>
      <c r="P218" s="11">
        <v>4.462723232110127E-17</v>
      </c>
    </row>
    <row r="219" spans="1:16" x14ac:dyDescent="0.25">
      <c r="G219" s="11"/>
      <c r="H219" s="11">
        <v>0.99999724852416005</v>
      </c>
      <c r="I219" s="11">
        <v>3.3362944014916809E-2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-14.495316752372815</v>
      </c>
      <c r="G222">
        <f>F15</f>
        <v>-14.406597553292471</v>
      </c>
    </row>
    <row r="223" spans="1:16" x14ac:dyDescent="0.25">
      <c r="E223" s="11">
        <f t="shared" ref="E223:E286" si="25">E16</f>
        <v>-89</v>
      </c>
      <c r="F223" s="11">
        <f t="shared" ref="F223:F286" si="26">$H$217*0+E223*$I$217+E223^2*$J$217+E223^3*$K$217+E223^4*$L$217+E223^5*$M$217+E223^6*$N$217+E223^7*$O$217+E223^8*$P$217</f>
        <v>-14.394676384071309</v>
      </c>
      <c r="G223" s="11">
        <f t="shared" ref="G223:G286" si="27">F16</f>
        <v>-14.343950995821592</v>
      </c>
    </row>
    <row r="224" spans="1:16" x14ac:dyDescent="0.25">
      <c r="E224" s="11">
        <f t="shared" si="25"/>
        <v>-88</v>
      </c>
      <c r="F224" s="11">
        <f t="shared" si="26"/>
        <v>-14.30166896850943</v>
      </c>
      <c r="G224" s="11">
        <f t="shared" si="27"/>
        <v>-14.281215301217186</v>
      </c>
    </row>
    <row r="225" spans="5:7" x14ac:dyDescent="0.25">
      <c r="E225" s="11">
        <f t="shared" si="25"/>
        <v>-87</v>
      </c>
      <c r="F225" s="11">
        <f t="shared" si="26"/>
        <v>-14.215261056573425</v>
      </c>
      <c r="G225" s="11">
        <f t="shared" si="27"/>
        <v>-14.218301332345714</v>
      </c>
    </row>
    <row r="226" spans="5:7" x14ac:dyDescent="0.25">
      <c r="E226" s="11">
        <f t="shared" si="25"/>
        <v>-86</v>
      </c>
      <c r="F226" s="11">
        <f t="shared" si="26"/>
        <v>-14.134492359526025</v>
      </c>
      <c r="G226" s="11">
        <f t="shared" si="27"/>
        <v>-14.155119952073649</v>
      </c>
    </row>
    <row r="227" spans="5:7" x14ac:dyDescent="0.25">
      <c r="E227" s="11">
        <f t="shared" si="25"/>
        <v>-85</v>
      </c>
      <c r="F227" s="11">
        <f t="shared" si="26"/>
        <v>-14.058472199705642</v>
      </c>
      <c r="G227" s="11">
        <f t="shared" si="27"/>
        <v>-14.091582023267463</v>
      </c>
    </row>
    <row r="228" spans="5:7" x14ac:dyDescent="0.25">
      <c r="E228" s="11">
        <f t="shared" si="25"/>
        <v>-84</v>
      </c>
      <c r="F228" s="11">
        <f t="shared" si="26"/>
        <v>-13.986376067788056</v>
      </c>
      <c r="G228" s="11">
        <f t="shared" si="27"/>
        <v>-14.027598408793621</v>
      </c>
    </row>
    <row r="229" spans="5:7" x14ac:dyDescent="0.25">
      <c r="E229" s="11">
        <f t="shared" si="25"/>
        <v>-83</v>
      </c>
      <c r="F229" s="11">
        <f t="shared" si="26"/>
        <v>-13.917442284920231</v>
      </c>
      <c r="G229" s="11">
        <f t="shared" si="27"/>
        <v>-13.963079971518596</v>
      </c>
    </row>
    <row r="230" spans="5:7" x14ac:dyDescent="0.25">
      <c r="E230" s="11">
        <f t="shared" si="25"/>
        <v>-82</v>
      </c>
      <c r="F230" s="11">
        <f t="shared" si="26"/>
        <v>-13.850968768045757</v>
      </c>
      <c r="G230" s="11">
        <f t="shared" si="27"/>
        <v>-13.897937574308848</v>
      </c>
    </row>
    <row r="231" spans="5:7" x14ac:dyDescent="0.25">
      <c r="E231" s="11">
        <f t="shared" si="25"/>
        <v>-81</v>
      </c>
      <c r="F231" s="11">
        <f t="shared" si="26"/>
        <v>-13.78630989675057</v>
      </c>
      <c r="G231" s="11">
        <f t="shared" si="27"/>
        <v>-13.832082080030858</v>
      </c>
    </row>
    <row r="232" spans="5:7" x14ac:dyDescent="0.25">
      <c r="E232" s="11">
        <f t="shared" si="25"/>
        <v>-80</v>
      </c>
      <c r="F232" s="11">
        <f t="shared" si="26"/>
        <v>-13.722873479967188</v>
      </c>
      <c r="G232" s="11">
        <f t="shared" si="27"/>
        <v>-13.76542435155109</v>
      </c>
    </row>
    <row r="233" spans="5:7" x14ac:dyDescent="0.25">
      <c r="E233" s="11">
        <f t="shared" si="25"/>
        <v>-79</v>
      </c>
      <c r="F233" s="11">
        <f t="shared" si="26"/>
        <v>-13.660117820885183</v>
      </c>
      <c r="G233" s="11">
        <f t="shared" si="27"/>
        <v>-13.697875251736008</v>
      </c>
    </row>
    <row r="234" spans="5:7" x14ac:dyDescent="0.25">
      <c r="E234" s="11">
        <f t="shared" si="25"/>
        <v>-78</v>
      </c>
      <c r="F234" s="11">
        <f t="shared" si="26"/>
        <v>-13.597548878424972</v>
      </c>
      <c r="G234" s="11">
        <f t="shared" si="27"/>
        <v>-13.629345643452091</v>
      </c>
    </row>
    <row r="235" spans="5:7" x14ac:dyDescent="0.25">
      <c r="E235" s="11">
        <f t="shared" si="25"/>
        <v>-77</v>
      </c>
      <c r="F235" s="11">
        <f t="shared" si="26"/>
        <v>-13.534717523641483</v>
      </c>
      <c r="G235" s="11">
        <f t="shared" si="27"/>
        <v>-13.559746389565799</v>
      </c>
    </row>
    <row r="236" spans="5:7" x14ac:dyDescent="0.25">
      <c r="E236" s="11">
        <f t="shared" si="25"/>
        <v>-76</v>
      </c>
      <c r="F236" s="11">
        <f t="shared" si="26"/>
        <v>-13.471216889433821</v>
      </c>
      <c r="G236" s="11">
        <f t="shared" si="27"/>
        <v>-13.488988352943606</v>
      </c>
    </row>
    <row r="237" spans="5:7" x14ac:dyDescent="0.25">
      <c r="E237" s="11">
        <f t="shared" si="25"/>
        <v>-75</v>
      </c>
      <c r="F237" s="11">
        <f t="shared" si="26"/>
        <v>-13.406679811946324</v>
      </c>
      <c r="G237" s="11">
        <f t="shared" si="27"/>
        <v>-13.416982396451981</v>
      </c>
    </row>
    <row r="238" spans="5:7" x14ac:dyDescent="0.25">
      <c r="E238" s="11">
        <f t="shared" si="25"/>
        <v>-74</v>
      </c>
      <c r="F238" s="11">
        <f t="shared" si="26"/>
        <v>-13.340776362056051</v>
      </c>
      <c r="G238" s="11">
        <f t="shared" si="27"/>
        <v>-13.343639382957392</v>
      </c>
    </row>
    <row r="239" spans="5:7" x14ac:dyDescent="0.25">
      <c r="E239" s="11">
        <f t="shared" si="25"/>
        <v>-73</v>
      </c>
      <c r="F239" s="11">
        <f t="shared" si="26"/>
        <v>-13.273211465350983</v>
      </c>
      <c r="G239" s="11">
        <f t="shared" si="27"/>
        <v>-13.268870175326308</v>
      </c>
    </row>
    <row r="240" spans="5:7" x14ac:dyDescent="0.25">
      <c r="E240" s="11">
        <f t="shared" si="25"/>
        <v>-72</v>
      </c>
      <c r="F240" s="11">
        <f t="shared" si="26"/>
        <v>-13.203722609012916</v>
      </c>
      <c r="G240" s="11">
        <f t="shared" si="27"/>
        <v>-13.192585636425196</v>
      </c>
    </row>
    <row r="241" spans="5:7" x14ac:dyDescent="0.25">
      <c r="E241" s="11">
        <f t="shared" si="25"/>
        <v>-71</v>
      </c>
      <c r="F241" s="11">
        <f t="shared" si="26"/>
        <v>-13.132077634028262</v>
      </c>
      <c r="G241" s="11">
        <f t="shared" si="27"/>
        <v>-13.11469662912053</v>
      </c>
    </row>
    <row r="242" spans="5:7" x14ac:dyDescent="0.25">
      <c r="E242" s="11">
        <f t="shared" si="25"/>
        <v>-70</v>
      </c>
      <c r="F242" s="11">
        <f t="shared" si="26"/>
        <v>-13.058072611159552</v>
      </c>
      <c r="G242" s="11">
        <f t="shared" si="27"/>
        <v>-13.035114016278776</v>
      </c>
    </row>
    <row r="243" spans="5:7" x14ac:dyDescent="0.25">
      <c r="E243" s="11">
        <f t="shared" si="25"/>
        <v>-69</v>
      </c>
      <c r="F243" s="11">
        <f t="shared" si="26"/>
        <v>-12.981529799119876</v>
      </c>
      <c r="G243" s="11">
        <f t="shared" si="27"/>
        <v>-12.953748660766401</v>
      </c>
    </row>
    <row r="244" spans="5:7" x14ac:dyDescent="0.25">
      <c r="E244" s="11">
        <f t="shared" si="25"/>
        <v>-68</v>
      </c>
      <c r="F244" s="11">
        <f t="shared" si="26"/>
        <v>-12.902295683401894</v>
      </c>
      <c r="G244" s="11">
        <f t="shared" si="27"/>
        <v>-12.870511425449877</v>
      </c>
    </row>
    <row r="245" spans="5:7" x14ac:dyDescent="0.25">
      <c r="E245" s="11">
        <f t="shared" si="25"/>
        <v>-67</v>
      </c>
      <c r="F245" s="11">
        <f t="shared" si="26"/>
        <v>-12.820239094222567</v>
      </c>
      <c r="G245" s="11">
        <f t="shared" si="27"/>
        <v>-12.785313173195672</v>
      </c>
    </row>
    <row r="246" spans="5:7" x14ac:dyDescent="0.25">
      <c r="E246" s="11">
        <f t="shared" si="25"/>
        <v>-66</v>
      </c>
      <c r="F246" s="11">
        <f t="shared" si="26"/>
        <v>-12.735249402054166</v>
      </c>
      <c r="G246" s="11">
        <f t="shared" si="27"/>
        <v>-12.698064766870257</v>
      </c>
    </row>
    <row r="247" spans="5:7" x14ac:dyDescent="0.25">
      <c r="E247" s="11">
        <f t="shared" si="25"/>
        <v>-65</v>
      </c>
      <c r="F247" s="11">
        <f t="shared" si="26"/>
        <v>-12.647234789221628</v>
      </c>
      <c r="G247" s="11">
        <f t="shared" si="27"/>
        <v>-12.6086770693401</v>
      </c>
    </row>
    <row r="248" spans="5:7" x14ac:dyDescent="0.25">
      <c r="E248" s="11">
        <f t="shared" si="25"/>
        <v>-64</v>
      </c>
      <c r="F248" s="11">
        <f t="shared" si="26"/>
        <v>-12.556120596055706</v>
      </c>
      <c r="G248" s="11">
        <f t="shared" si="27"/>
        <v>-12.51706094347167</v>
      </c>
    </row>
    <row r="249" spans="5:7" x14ac:dyDescent="0.25">
      <c r="E249" s="11">
        <f t="shared" si="25"/>
        <v>-63</v>
      </c>
      <c r="F249" s="11">
        <f t="shared" si="26"/>
        <v>-12.46184774010089</v>
      </c>
      <c r="G249" s="11">
        <f t="shared" si="27"/>
        <v>-12.423127252131433</v>
      </c>
    </row>
    <row r="250" spans="5:7" x14ac:dyDescent="0.25">
      <c r="E250" s="11">
        <f t="shared" si="25"/>
        <v>-62</v>
      </c>
      <c r="F250" s="11">
        <f t="shared" si="26"/>
        <v>-12.364371206886473</v>
      </c>
      <c r="G250" s="11">
        <f t="shared" si="27"/>
        <v>-12.326786858185862</v>
      </c>
    </row>
    <row r="251" spans="5:7" x14ac:dyDescent="0.25">
      <c r="E251" s="11">
        <f t="shared" si="25"/>
        <v>-61</v>
      </c>
      <c r="F251" s="11">
        <f t="shared" si="26"/>
        <v>-12.263658610778592</v>
      </c>
      <c r="G251" s="11">
        <f t="shared" si="27"/>
        <v>-12.227950624501426</v>
      </c>
    </row>
    <row r="252" spans="5:7" x14ac:dyDescent="0.25">
      <c r="E252" s="11">
        <f t="shared" si="25"/>
        <v>-60</v>
      </c>
      <c r="F252" s="11">
        <f t="shared" si="26"/>
        <v>-12.159688824440625</v>
      </c>
      <c r="G252" s="11">
        <f t="shared" si="27"/>
        <v>-12.126529413944594</v>
      </c>
    </row>
    <row r="253" spans="5:7" x14ac:dyDescent="0.25">
      <c r="E253" s="11">
        <f t="shared" si="25"/>
        <v>-59</v>
      </c>
      <c r="F253" s="11">
        <f t="shared" si="26"/>
        <v>-12.052450675438624</v>
      </c>
      <c r="G253" s="11">
        <f t="shared" si="27"/>
        <v>-12.022434089381832</v>
      </c>
    </row>
    <row r="254" spans="5:7" x14ac:dyDescent="0.25">
      <c r="E254" s="11">
        <f t="shared" si="25"/>
        <v>-58</v>
      </c>
      <c r="F254" s="11">
        <f t="shared" si="26"/>
        <v>-11.941941708538026</v>
      </c>
      <c r="G254" s="11">
        <f t="shared" si="27"/>
        <v>-11.915575513679611</v>
      </c>
    </row>
    <row r="255" spans="5:7" x14ac:dyDescent="0.25">
      <c r="E255" s="11">
        <f t="shared" si="25"/>
        <v>-57</v>
      </c>
      <c r="F255" s="11">
        <f t="shared" si="26"/>
        <v>-11.828167012247325</v>
      </c>
      <c r="G255" s="11">
        <f t="shared" si="27"/>
        <v>-11.805864549704403</v>
      </c>
    </row>
    <row r="256" spans="5:7" x14ac:dyDescent="0.25">
      <c r="E256" s="11">
        <f t="shared" si="25"/>
        <v>-56</v>
      </c>
      <c r="F256" s="11">
        <f t="shared" si="26"/>
        <v>-11.711138108173802</v>
      </c>
      <c r="G256" s="11">
        <f t="shared" si="27"/>
        <v>-11.69321206032267</v>
      </c>
    </row>
    <row r="257" spans="5:7" x14ac:dyDescent="0.25">
      <c r="E257" s="11">
        <f t="shared" si="25"/>
        <v>-55</v>
      </c>
      <c r="F257" s="11">
        <f t="shared" si="26"/>
        <v>-11.590871901765919</v>
      </c>
      <c r="G257" s="11">
        <f t="shared" si="27"/>
        <v>-11.577528908400888</v>
      </c>
    </row>
    <row r="258" spans="5:7" x14ac:dyDescent="0.25">
      <c r="E258" s="11">
        <f t="shared" si="25"/>
        <v>-54</v>
      </c>
      <c r="F258" s="11">
        <f t="shared" si="26"/>
        <v>-11.467389693026373</v>
      </c>
      <c r="G258" s="11">
        <f t="shared" si="27"/>
        <v>-11.458725956805523</v>
      </c>
    </row>
    <row r="259" spans="5:7" x14ac:dyDescent="0.25">
      <c r="E259" s="11">
        <f t="shared" si="25"/>
        <v>-53</v>
      </c>
      <c r="F259" s="11">
        <f t="shared" si="26"/>
        <v>-11.3407162457893</v>
      </c>
      <c r="G259" s="11">
        <f t="shared" si="27"/>
        <v>-11.336714068403044</v>
      </c>
    </row>
    <row r="260" spans="5:7" x14ac:dyDescent="0.25">
      <c r="E260" s="11">
        <f t="shared" si="25"/>
        <v>-52</v>
      </c>
      <c r="F260" s="11">
        <f t="shared" si="26"/>
        <v>-11.210878914164647</v>
      </c>
      <c r="G260" s="11">
        <f t="shared" si="27"/>
        <v>-11.21140410605992</v>
      </c>
    </row>
    <row r="261" spans="5:7" x14ac:dyDescent="0.25">
      <c r="E261" s="11">
        <f t="shared" si="25"/>
        <v>-51</v>
      </c>
      <c r="F261" s="11">
        <f t="shared" si="26"/>
        <v>-11.077906824761968</v>
      </c>
      <c r="G261" s="11">
        <f t="shared" si="27"/>
        <v>-11.082706932642623</v>
      </c>
    </row>
    <row r="262" spans="5:7" x14ac:dyDescent="0.25">
      <c r="E262" s="11">
        <f t="shared" si="25"/>
        <v>-50</v>
      </c>
      <c r="F262" s="11">
        <f t="shared" si="26"/>
        <v>-10.941830113315572</v>
      </c>
      <c r="G262" s="11">
        <f t="shared" si="27"/>
        <v>-10.950533411017616</v>
      </c>
    </row>
    <row r="263" spans="5:7" x14ac:dyDescent="0.25">
      <c r="E263" s="11">
        <f t="shared" si="25"/>
        <v>-49</v>
      </c>
      <c r="F263" s="11">
        <f t="shared" si="26"/>
        <v>-10.802679214342392</v>
      </c>
      <c r="G263" s="11">
        <f t="shared" si="27"/>
        <v>-10.815864244231859</v>
      </c>
    </row>
    <row r="264" spans="5:7" x14ac:dyDescent="0.25">
      <c r="E264" s="11">
        <f t="shared" si="25"/>
        <v>-48</v>
      </c>
      <c r="F264" s="11">
        <f t="shared" si="26"/>
        <v>-10.660484202473159</v>
      </c>
      <c r="G264" s="11">
        <f t="shared" si="27"/>
        <v>-10.677653732530564</v>
      </c>
    </row>
    <row r="265" spans="5:7" x14ac:dyDescent="0.25">
      <c r="E265" s="11">
        <f t="shared" si="25"/>
        <v>-47</v>
      </c>
      <c r="F265" s="11">
        <f t="shared" si="26"/>
        <v>-10.51527418410727</v>
      </c>
      <c r="G265" s="11">
        <f t="shared" si="27"/>
        <v>-10.535926016339429</v>
      </c>
    </row>
    <row r="266" spans="5:7" x14ac:dyDescent="0.25">
      <c r="E266" s="11">
        <f t="shared" si="25"/>
        <v>-46</v>
      </c>
      <c r="F266" s="11">
        <f t="shared" si="26"/>
        <v>-10.367076738050889</v>
      </c>
      <c r="G266" s="11">
        <f t="shared" si="27"/>
        <v>-10.390705236084157</v>
      </c>
    </row>
    <row r="267" spans="5:7" x14ac:dyDescent="0.25">
      <c r="E267" s="11">
        <f t="shared" si="25"/>
        <v>-45</v>
      </c>
      <c r="F267" s="11">
        <f t="shared" si="26"/>
        <v>-10.215917403807486</v>
      </c>
      <c r="G267" s="11">
        <f t="shared" si="27"/>
        <v>-10.242015532190445</v>
      </c>
    </row>
    <row r="268" spans="5:7" x14ac:dyDescent="0.25">
      <c r="E268" s="11">
        <f t="shared" si="25"/>
        <v>-44</v>
      </c>
      <c r="F268" s="11">
        <f t="shared" si="26"/>
        <v>-10.061819216199314</v>
      </c>
      <c r="G268" s="11">
        <f t="shared" si="27"/>
        <v>-10.089881045083995</v>
      </c>
    </row>
    <row r="269" spans="5:7" x14ac:dyDescent="0.25">
      <c r="E269" s="11">
        <f t="shared" si="25"/>
        <v>-43</v>
      </c>
      <c r="F269" s="11">
        <f t="shared" si="26"/>
        <v>-9.9048022850079338</v>
      </c>
      <c r="G269" s="11">
        <f t="shared" si="27"/>
        <v>-9.9343259151905041</v>
      </c>
    </row>
    <row r="270" spans="5:7" x14ac:dyDescent="0.25">
      <c r="E270" s="11">
        <f t="shared" si="25"/>
        <v>-42</v>
      </c>
      <c r="F270" s="11">
        <f t="shared" si="26"/>
        <v>-9.7448834183311881</v>
      </c>
      <c r="G270" s="11">
        <f t="shared" si="27"/>
        <v>-9.7753742829356742</v>
      </c>
    </row>
    <row r="271" spans="5:7" x14ac:dyDescent="0.25">
      <c r="E271" s="11">
        <f t="shared" si="25"/>
        <v>-41</v>
      </c>
      <c r="F271" s="11">
        <f t="shared" si="26"/>
        <v>-9.5820757883636212</v>
      </c>
      <c r="G271" s="11">
        <f t="shared" si="27"/>
        <v>-9.6130502887452032</v>
      </c>
    </row>
    <row r="272" spans="5:7" x14ac:dyDescent="0.25">
      <c r="E272" s="11">
        <f t="shared" si="25"/>
        <v>-40</v>
      </c>
      <c r="F272" s="11">
        <f t="shared" si="26"/>
        <v>-9.4163886383167146</v>
      </c>
      <c r="G272" s="11">
        <f t="shared" si="27"/>
        <v>-9.4473780730447903</v>
      </c>
    </row>
    <row r="273" spans="5:7" x14ac:dyDescent="0.25">
      <c r="E273" s="11">
        <f t="shared" si="25"/>
        <v>-39</v>
      </c>
      <c r="F273" s="11">
        <f t="shared" si="26"/>
        <v>-9.2478270292047799</v>
      </c>
      <c r="G273" s="11">
        <f t="shared" si="27"/>
        <v>-9.2783817762601366</v>
      </c>
    </row>
    <row r="274" spans="5:7" x14ac:dyDescent="0.25">
      <c r="E274" s="11">
        <f t="shared" si="25"/>
        <v>-38</v>
      </c>
      <c r="F274" s="11">
        <f t="shared" si="26"/>
        <v>-9.0763916252318104</v>
      </c>
      <c r="G274" s="11">
        <f t="shared" si="27"/>
        <v>-9.1060855388169433</v>
      </c>
    </row>
    <row r="275" spans="5:7" x14ac:dyDescent="0.25">
      <c r="E275" s="11">
        <f t="shared" si="25"/>
        <v>-37</v>
      </c>
      <c r="F275" s="11">
        <f t="shared" si="26"/>
        <v>-8.9020785165240657</v>
      </c>
      <c r="G275" s="11">
        <f t="shared" si="27"/>
        <v>-8.930513501140906</v>
      </c>
    </row>
    <row r="276" spans="5:7" x14ac:dyDescent="0.25">
      <c r="E276" s="11">
        <f t="shared" si="25"/>
        <v>-36</v>
      </c>
      <c r="F276" s="11">
        <f t="shared" si="26"/>
        <v>-8.7248790779625711</v>
      </c>
      <c r="G276" s="11">
        <f t="shared" si="27"/>
        <v>-8.751689803657726</v>
      </c>
    </row>
    <row r="277" spans="5:7" x14ac:dyDescent="0.25">
      <c r="E277" s="11">
        <f t="shared" si="25"/>
        <v>-35</v>
      </c>
      <c r="F277" s="11">
        <f t="shared" si="26"/>
        <v>-8.5447798628791993</v>
      </c>
      <c r="G277" s="11">
        <f t="shared" si="27"/>
        <v>-8.5696385867931024</v>
      </c>
    </row>
    <row r="278" spans="5:7" x14ac:dyDescent="0.25">
      <c r="E278" s="11">
        <f t="shared" si="25"/>
        <v>-34</v>
      </c>
      <c r="F278" s="11">
        <f t="shared" si="26"/>
        <v>-8.3617625303894894</v>
      </c>
      <c r="G278" s="11">
        <f t="shared" si="27"/>
        <v>-8.3843839909727365</v>
      </c>
    </row>
    <row r="279" spans="5:7" x14ac:dyDescent="0.25">
      <c r="E279" s="11">
        <f t="shared" si="25"/>
        <v>-33</v>
      </c>
      <c r="F279" s="11">
        <f t="shared" si="26"/>
        <v>-8.1758038051447066</v>
      </c>
      <c r="G279" s="11">
        <f t="shared" si="27"/>
        <v>-8.1959501566223274</v>
      </c>
    </row>
    <row r="280" spans="5:7" x14ac:dyDescent="0.25">
      <c r="E280" s="11">
        <f t="shared" si="25"/>
        <v>-32</v>
      </c>
      <c r="F280" s="11">
        <f t="shared" si="26"/>
        <v>-7.9868754682952314</v>
      </c>
      <c r="G280" s="11">
        <f t="shared" si="27"/>
        <v>-8.0043612241675746</v>
      </c>
    </row>
    <row r="281" spans="5:7" x14ac:dyDescent="0.25">
      <c r="E281" s="11">
        <f t="shared" si="25"/>
        <v>-31</v>
      </c>
      <c r="F281" s="11">
        <f t="shared" si="26"/>
        <v>-7.7949443784667354</v>
      </c>
      <c r="G281" s="11">
        <f t="shared" si="27"/>
        <v>-7.8096413340341755</v>
      </c>
    </row>
    <row r="282" spans="5:7" x14ac:dyDescent="0.25">
      <c r="E282" s="11">
        <f t="shared" si="25"/>
        <v>-30</v>
      </c>
      <c r="F282" s="11">
        <f t="shared" si="26"/>
        <v>-7.5999725215600691</v>
      </c>
      <c r="G282" s="11">
        <f t="shared" si="27"/>
        <v>-7.6118146266478313</v>
      </c>
    </row>
    <row r="283" spans="5:7" x14ac:dyDescent="0.25">
      <c r="E283" s="11">
        <f t="shared" si="25"/>
        <v>-29</v>
      </c>
      <c r="F283" s="11">
        <f t="shared" si="26"/>
        <v>-7.4019170881952627</v>
      </c>
      <c r="G283" s="11">
        <f t="shared" si="27"/>
        <v>-7.410905242434243</v>
      </c>
    </row>
    <row r="284" spans="5:7" x14ac:dyDescent="0.25">
      <c r="E284" s="11">
        <f t="shared" si="25"/>
        <v>-28</v>
      </c>
      <c r="F284" s="11">
        <f t="shared" si="26"/>
        <v>-7.2007305776294919</v>
      </c>
      <c r="G284" s="11">
        <f t="shared" si="27"/>
        <v>-7.2069373218191082</v>
      </c>
    </row>
    <row r="285" spans="5:7" x14ac:dyDescent="0.25">
      <c r="E285" s="11">
        <f t="shared" si="25"/>
        <v>-27</v>
      </c>
      <c r="F285" s="11">
        <f t="shared" si="26"/>
        <v>-6.9963609269882694</v>
      </c>
      <c r="G285" s="11">
        <f t="shared" si="27"/>
        <v>-6.9999350052281279</v>
      </c>
    </row>
    <row r="286" spans="5:7" x14ac:dyDescent="0.25">
      <c r="E286" s="11">
        <f t="shared" si="25"/>
        <v>-26</v>
      </c>
      <c r="F286" s="11">
        <f t="shared" si="26"/>
        <v>-6.7887516646586672</v>
      </c>
      <c r="G286" s="11">
        <f t="shared" si="27"/>
        <v>-6.7899224330870016</v>
      </c>
    </row>
    <row r="287" spans="5:7" x14ac:dyDescent="0.25">
      <c r="E287" s="11">
        <f t="shared" ref="E287:E350" si="28">E80</f>
        <v>-25</v>
      </c>
      <c r="F287" s="11">
        <f t="shared" ref="F287:F350" si="29">$H$217*0+E287*$I$217+E287^2*$J$217+E287^3*$K$217+E287^4*$L$217+E287^5*$M$217+E287^6*$N$217+E287^7*$O$217+E287^8*$P$217</f>
        <v>-6.5778420867027485</v>
      </c>
      <c r="G287" s="11">
        <f t="shared" ref="G287:G350" si="30">F80</f>
        <v>-6.5769237458214267</v>
      </c>
    </row>
    <row r="288" spans="5:7" x14ac:dyDescent="0.25">
      <c r="E288" s="11">
        <f t="shared" si="28"/>
        <v>-24</v>
      </c>
      <c r="F288" s="11">
        <f t="shared" si="29"/>
        <v>-6.363567455158849</v>
      </c>
      <c r="G288" s="11">
        <f t="shared" si="30"/>
        <v>-6.3609405507438952</v>
      </c>
    </row>
    <row r="289" spans="5:7" x14ac:dyDescent="0.25">
      <c r="E289" s="11">
        <f t="shared" si="28"/>
        <v>-23</v>
      </c>
      <c r="F289" s="11">
        <f t="shared" si="29"/>
        <v>-6.1458592171078621</v>
      </c>
      <c r="G289" s="11">
        <f t="shared" si="30"/>
        <v>-6.1418843227140556</v>
      </c>
    </row>
    <row r="290" spans="5:7" x14ac:dyDescent="0.25">
      <c r="E290" s="11">
        <f t="shared" si="28"/>
        <v>-22</v>
      </c>
      <c r="F290" s="11">
        <f t="shared" si="29"/>
        <v>-5.9246452433910841</v>
      </c>
      <c r="G290" s="11">
        <f t="shared" si="30"/>
        <v>-5.9196440034783446</v>
      </c>
    </row>
    <row r="291" spans="5:7" x14ac:dyDescent="0.25">
      <c r="E291" s="11">
        <f t="shared" si="28"/>
        <v>-21</v>
      </c>
      <c r="F291" s="11">
        <f t="shared" si="29"/>
        <v>-5.6998500858756351</v>
      </c>
      <c r="G291" s="11">
        <f t="shared" si="30"/>
        <v>-5.6941085347832052</v>
      </c>
    </row>
    <row r="292" spans="5:7" x14ac:dyDescent="0.25">
      <c r="E292" s="11">
        <f t="shared" si="28"/>
        <v>-20</v>
      </c>
      <c r="F292" s="11">
        <f t="shared" si="29"/>
        <v>-5.4713952521729281</v>
      </c>
      <c r="G292" s="11">
        <f t="shared" si="30"/>
        <v>-5.4651668583750723</v>
      </c>
    </row>
    <row r="293" spans="5:7" x14ac:dyDescent="0.25">
      <c r="E293" s="11">
        <f t="shared" si="28"/>
        <v>-19</v>
      </c>
      <c r="F293" s="11">
        <f t="shared" si="29"/>
        <v>-5.2391994967251492</v>
      </c>
      <c r="G293" s="11">
        <f t="shared" si="30"/>
        <v>-5.232707916000388</v>
      </c>
    </row>
    <row r="294" spans="5:7" x14ac:dyDescent="0.25">
      <c r="E294" s="11">
        <f t="shared" si="28"/>
        <v>-18</v>
      </c>
      <c r="F294" s="11">
        <f t="shared" si="29"/>
        <v>-5.0031791271840964</v>
      </c>
      <c r="G294" s="11">
        <f t="shared" si="30"/>
        <v>-4.9966206494055871</v>
      </c>
    </row>
    <row r="295" spans="5:7" x14ac:dyDescent="0.25">
      <c r="E295" s="11">
        <f t="shared" si="28"/>
        <v>-17</v>
      </c>
      <c r="F295" s="11">
        <f t="shared" si="29"/>
        <v>-4.7632483250162574</v>
      </c>
      <c r="G295" s="11">
        <f t="shared" si="30"/>
        <v>-4.7567940003371127</v>
      </c>
    </row>
    <row r="296" spans="5:7" x14ac:dyDescent="0.25">
      <c r="E296" s="11">
        <f t="shared" si="28"/>
        <v>-16</v>
      </c>
      <c r="F296" s="11">
        <f t="shared" si="29"/>
        <v>-4.5193194792773896</v>
      </c>
      <c r="G296" s="11">
        <f t="shared" si="30"/>
        <v>-4.5131169105414024</v>
      </c>
    </row>
    <row r="297" spans="5:7" x14ac:dyDescent="0.25">
      <c r="E297" s="11">
        <f t="shared" si="28"/>
        <v>-15</v>
      </c>
      <c r="F297" s="11">
        <f t="shared" si="29"/>
        <v>-4.271303532509366</v>
      </c>
      <c r="G297" s="11">
        <f t="shared" si="30"/>
        <v>-4.2654783217648928</v>
      </c>
    </row>
    <row r="298" spans="5:7" x14ac:dyDescent="0.25">
      <c r="E298" s="11">
        <f t="shared" si="28"/>
        <v>-14</v>
      </c>
      <c r="F298" s="11">
        <f t="shared" si="29"/>
        <v>-4.019110337721493</v>
      </c>
      <c r="G298" s="11">
        <f t="shared" si="30"/>
        <v>-4.0137671757540261</v>
      </c>
    </row>
    <row r="299" spans="5:7" x14ac:dyDescent="0.25">
      <c r="E299" s="11">
        <f t="shared" si="28"/>
        <v>-13</v>
      </c>
      <c r="F299" s="11">
        <f t="shared" si="29"/>
        <v>-3.7626490254279576</v>
      </c>
      <c r="G299" s="11">
        <f t="shared" si="30"/>
        <v>-3.7578724142552398</v>
      </c>
    </row>
    <row r="300" spans="5:7" x14ac:dyDescent="0.25">
      <c r="E300" s="11">
        <f t="shared" si="28"/>
        <v>-12</v>
      </c>
      <c r="F300" s="11">
        <f t="shared" si="29"/>
        <v>-3.501828379722518</v>
      </c>
      <c r="G300" s="11">
        <f t="shared" si="30"/>
        <v>-3.4976829790149715</v>
      </c>
    </row>
    <row r="301" spans="5:7" x14ac:dyDescent="0.25">
      <c r="E301" s="11">
        <f t="shared" si="28"/>
        <v>-11</v>
      </c>
      <c r="F301" s="11">
        <f t="shared" si="29"/>
        <v>-3.2365572223809891</v>
      </c>
      <c r="G301" s="11">
        <f t="shared" si="30"/>
        <v>-3.2330878117796615</v>
      </c>
    </row>
    <row r="302" spans="5:7" x14ac:dyDescent="0.25">
      <c r="E302" s="11">
        <f t="shared" si="28"/>
        <v>-10</v>
      </c>
      <c r="F302" s="11">
        <f t="shared" si="29"/>
        <v>-2.9667448039915709</v>
      </c>
      <c r="G302" s="11">
        <f t="shared" si="30"/>
        <v>-2.9639758542957484</v>
      </c>
    </row>
    <row r="303" spans="5:7" x14ac:dyDescent="0.25">
      <c r="E303" s="11">
        <f t="shared" si="28"/>
        <v>-9</v>
      </c>
      <c r="F303" s="11">
        <f t="shared" si="29"/>
        <v>-2.6923012011224809</v>
      </c>
      <c r="G303" s="11">
        <f t="shared" si="30"/>
        <v>-2.6902360483096714</v>
      </c>
    </row>
    <row r="304" spans="5:7" x14ac:dyDescent="0.25">
      <c r="E304" s="11">
        <f t="shared" si="28"/>
        <v>-8</v>
      </c>
      <c r="F304" s="11">
        <f t="shared" si="29"/>
        <v>-2.4131377185458147</v>
      </c>
      <c r="G304" s="11">
        <f t="shared" si="30"/>
        <v>-2.4117573355678692</v>
      </c>
    </row>
    <row r="305" spans="5:7" x14ac:dyDescent="0.25">
      <c r="E305" s="11">
        <f t="shared" si="28"/>
        <v>-7</v>
      </c>
      <c r="F305" s="11">
        <f t="shared" si="29"/>
        <v>-2.1291672955460315</v>
      </c>
      <c r="G305" s="11">
        <f t="shared" si="30"/>
        <v>-2.1284286578167801</v>
      </c>
    </row>
    <row r="306" spans="5:7" x14ac:dyDescent="0.25">
      <c r="E306" s="11">
        <f t="shared" si="28"/>
        <v>-6</v>
      </c>
      <c r="F306" s="11">
        <f t="shared" si="29"/>
        <v>-1.8403049153508999</v>
      </c>
      <c r="G306" s="11">
        <f t="shared" si="30"/>
        <v>-1.8401389568028432</v>
      </c>
    </row>
    <row r="307" spans="5:7" x14ac:dyDescent="0.25">
      <c r="E307" s="11">
        <f t="shared" si="28"/>
        <v>-5</v>
      </c>
      <c r="F307" s="11">
        <f t="shared" si="29"/>
        <v>-1.5464680167321956</v>
      </c>
      <c r="G307" s="11">
        <f t="shared" si="30"/>
        <v>-1.5467771742724976</v>
      </c>
    </row>
    <row r="308" spans="5:7" x14ac:dyDescent="0.25">
      <c r="E308" s="11">
        <f t="shared" si="28"/>
        <v>-4</v>
      </c>
      <c r="F308" s="11">
        <f t="shared" si="29"/>
        <v>-1.2475769068328948</v>
      </c>
      <c r="G308" s="11">
        <f t="shared" si="30"/>
        <v>-1.2482322519721825</v>
      </c>
    </row>
    <row r="309" spans="5:7" x14ac:dyDescent="0.25">
      <c r="E309" s="11">
        <f t="shared" si="28"/>
        <v>-3</v>
      </c>
      <c r="F309" s="11">
        <f t="shared" si="29"/>
        <v>-0.94355517428707503</v>
      </c>
      <c r="G309" s="11">
        <f t="shared" si="30"/>
        <v>-0.94439313164833627</v>
      </c>
    </row>
    <row r="310" spans="5:7" x14ac:dyDescent="0.25">
      <c r="E310" s="11">
        <f t="shared" si="28"/>
        <v>-2</v>
      </c>
      <c r="F310" s="11">
        <f t="shared" si="29"/>
        <v>-0.63433010170816995</v>
      </c>
      <c r="G310" s="11">
        <f t="shared" si="30"/>
        <v>-0.63514875504739765</v>
      </c>
    </row>
    <row r="311" spans="5:7" x14ac:dyDescent="0.25">
      <c r="E311" s="11">
        <f t="shared" si="28"/>
        <v>-1</v>
      </c>
      <c r="F311" s="11">
        <f t="shared" si="29"/>
        <v>-0.3198330766306936</v>
      </c>
      <c r="G311" s="11">
        <f t="shared" si="30"/>
        <v>-0.32038806391580604</v>
      </c>
    </row>
    <row r="312" spans="5:7" x14ac:dyDescent="0.25">
      <c r="E312" s="11">
        <f t="shared" si="28"/>
        <v>0</v>
      </c>
      <c r="F312" s="11">
        <f t="shared" si="29"/>
        <v>0</v>
      </c>
      <c r="G312" s="11">
        <f t="shared" si="30"/>
        <v>0</v>
      </c>
    </row>
    <row r="313" spans="5:7" x14ac:dyDescent="0.25">
      <c r="E313" s="11">
        <f t="shared" si="28"/>
        <v>1</v>
      </c>
      <c r="F313" s="11">
        <f t="shared" si="29"/>
        <v>0.32522830868590824</v>
      </c>
      <c r="G313" s="11">
        <f t="shared" si="30"/>
        <v>0.32610000475225365</v>
      </c>
    </row>
    <row r="314" spans="5:7" x14ac:dyDescent="0.25">
      <c r="E314" s="11">
        <f t="shared" si="28"/>
        <v>2</v>
      </c>
      <c r="F314" s="11">
        <f t="shared" si="29"/>
        <v>0.65590571046904245</v>
      </c>
      <c r="G314" s="11">
        <f t="shared" si="30"/>
        <v>0.65789055758787651</v>
      </c>
    </row>
    <row r="315" spans="5:7" x14ac:dyDescent="0.25">
      <c r="E315" s="11">
        <f t="shared" si="28"/>
        <v>3</v>
      </c>
      <c r="F315" s="11">
        <f t="shared" si="29"/>
        <v>0.99208035113563808</v>
      </c>
      <c r="G315" s="11">
        <f t="shared" si="30"/>
        <v>0.99532377555246254</v>
      </c>
    </row>
    <row r="316" spans="5:7" x14ac:dyDescent="0.25">
      <c r="E316" s="11">
        <f t="shared" si="28"/>
        <v>4</v>
      </c>
      <c r="F316" s="11">
        <f t="shared" si="29"/>
        <v>1.3337942713995277</v>
      </c>
      <c r="G316" s="11">
        <f t="shared" si="30"/>
        <v>1.3383517756916055</v>
      </c>
    </row>
    <row r="317" spans="5:7" x14ac:dyDescent="0.25">
      <c r="E317" s="11">
        <f t="shared" si="28"/>
        <v>5</v>
      </c>
      <c r="F317" s="11">
        <f t="shared" si="29"/>
        <v>1.6810830239228425</v>
      </c>
      <c r="G317" s="11">
        <f t="shared" si="30"/>
        <v>1.6869266750508989</v>
      </c>
    </row>
    <row r="318" spans="5:7" x14ac:dyDescent="0.25">
      <c r="E318" s="11">
        <f t="shared" si="28"/>
        <v>6</v>
      </c>
      <c r="F318" s="11">
        <f t="shared" si="29"/>
        <v>2.033975298022749</v>
      </c>
      <c r="G318" s="11">
        <f t="shared" si="30"/>
        <v>2.041000590675937</v>
      </c>
    </row>
    <row r="319" spans="5:7" x14ac:dyDescent="0.25">
      <c r="E319" s="11">
        <f t="shared" si="28"/>
        <v>7</v>
      </c>
      <c r="F319" s="11">
        <f t="shared" si="29"/>
        <v>2.3924925529034797</v>
      </c>
      <c r="G319" s="11">
        <f t="shared" si="30"/>
        <v>2.4005256396123134</v>
      </c>
    </row>
    <row r="320" spans="5:7" x14ac:dyDescent="0.25">
      <c r="E320" s="11">
        <f t="shared" si="28"/>
        <v>8</v>
      </c>
      <c r="F320" s="11">
        <f t="shared" si="29"/>
        <v>2.7566486602434521</v>
      </c>
      <c r="G320" s="11">
        <f t="shared" si="30"/>
        <v>2.7654539389056216</v>
      </c>
    </row>
    <row r="321" spans="5:7" x14ac:dyDescent="0.25">
      <c r="E321" s="11">
        <f t="shared" si="28"/>
        <v>9</v>
      </c>
      <c r="F321" s="11">
        <f t="shared" si="29"/>
        <v>3.1264495569578266</v>
      </c>
      <c r="G321" s="11">
        <f t="shared" si="30"/>
        <v>3.1357376056014554</v>
      </c>
    </row>
    <row r="322" spans="5:7" x14ac:dyDescent="0.25">
      <c r="E322" s="11">
        <f t="shared" si="28"/>
        <v>10</v>
      </c>
      <c r="F322" s="11">
        <f t="shared" si="29"/>
        <v>3.5018929089473967</v>
      </c>
      <c r="G322" s="11">
        <f t="shared" si="30"/>
        <v>3.5113287567454092</v>
      </c>
    </row>
    <row r="323" spans="5:7" x14ac:dyDescent="0.25">
      <c r="E323" s="11">
        <f t="shared" si="28"/>
        <v>11</v>
      </c>
      <c r="F323" s="11">
        <f t="shared" si="29"/>
        <v>3.882967786635247</v>
      </c>
      <c r="G323" s="11">
        <f t="shared" si="30"/>
        <v>3.8921795093830762</v>
      </c>
    </row>
    <row r="324" spans="5:7" x14ac:dyDescent="0.25">
      <c r="E324" s="11">
        <f t="shared" si="28"/>
        <v>12</v>
      </c>
      <c r="F324" s="11">
        <f t="shared" si="29"/>
        <v>4.2696543530831557</v>
      </c>
      <c r="G324" s="11">
        <f t="shared" si="30"/>
        <v>4.2782419805600505</v>
      </c>
    </row>
    <row r="325" spans="5:7" x14ac:dyDescent="0.25">
      <c r="E325" s="11">
        <f t="shared" si="28"/>
        <v>13</v>
      </c>
      <c r="F325" s="11">
        <f t="shared" si="29"/>
        <v>4.6619235654702793</v>
      </c>
      <c r="G325" s="11">
        <f t="shared" si="30"/>
        <v>4.6694682873219255</v>
      </c>
    </row>
    <row r="326" spans="5:7" x14ac:dyDescent="0.25">
      <c r="E326" s="11">
        <f t="shared" si="28"/>
        <v>14</v>
      </c>
      <c r="F326" s="11">
        <f t="shared" si="29"/>
        <v>5.0597368907071987</v>
      </c>
      <c r="G326" s="11">
        <f t="shared" si="30"/>
        <v>5.065810546714296</v>
      </c>
    </row>
    <row r="327" spans="5:7" x14ac:dyDescent="0.25">
      <c r="E327" s="11">
        <f t="shared" si="28"/>
        <v>15</v>
      </c>
      <c r="F327" s="11">
        <f t="shared" si="29"/>
        <v>5.4630460359489277</v>
      </c>
      <c r="G327" s="11">
        <f t="shared" si="30"/>
        <v>5.4672208757827541</v>
      </c>
    </row>
    <row r="328" spans="5:7" x14ac:dyDescent="0.25">
      <c r="E328" s="11">
        <f t="shared" si="28"/>
        <v>16</v>
      </c>
      <c r="F328" s="11">
        <f t="shared" si="29"/>
        <v>5.8717926947610666</v>
      </c>
      <c r="G328" s="11">
        <f t="shared" si="30"/>
        <v>5.8736513915728947</v>
      </c>
    </row>
    <row r="329" spans="5:7" x14ac:dyDescent="0.25">
      <c r="E329" s="11">
        <f t="shared" si="28"/>
        <v>17</v>
      </c>
      <c r="F329" s="11">
        <f t="shared" si="29"/>
        <v>6.2859083096838058</v>
      </c>
      <c r="G329" s="11">
        <f t="shared" si="30"/>
        <v>6.285054211130312</v>
      </c>
    </row>
    <row r="330" spans="5:7" x14ac:dyDescent="0.25">
      <c r="E330" s="11">
        <f t="shared" si="28"/>
        <v>18</v>
      </c>
      <c r="F330" s="11">
        <f t="shared" si="29"/>
        <v>6.7053138519290494</v>
      </c>
      <c r="G330" s="11">
        <f t="shared" si="30"/>
        <v>6.7013814515005992</v>
      </c>
    </row>
    <row r="331" spans="5:7" x14ac:dyDescent="0.25">
      <c r="E331" s="11">
        <f t="shared" si="28"/>
        <v>19</v>
      </c>
      <c r="F331" s="11">
        <f t="shared" si="29"/>
        <v>7.1299196189364267</v>
      </c>
      <c r="G331" s="11">
        <f t="shared" si="30"/>
        <v>7.1225852297293502</v>
      </c>
    </row>
    <row r="332" spans="5:7" x14ac:dyDescent="0.25">
      <c r="E332" s="11">
        <f t="shared" si="28"/>
        <v>20</v>
      </c>
      <c r="F332" s="11">
        <f t="shared" si="29"/>
        <v>7.5596250505045797</v>
      </c>
      <c r="G332" s="11">
        <f t="shared" si="30"/>
        <v>7.5486176628621582</v>
      </c>
    </row>
    <row r="333" spans="5:7" x14ac:dyDescent="0.25">
      <c r="E333" s="11">
        <f t="shared" si="28"/>
        <v>21</v>
      </c>
      <c r="F333" s="11">
        <f t="shared" si="29"/>
        <v>7.9943185642046108</v>
      </c>
      <c r="G333" s="11">
        <f t="shared" si="30"/>
        <v>7.9794308679446173</v>
      </c>
    </row>
    <row r="334" spans="5:7" x14ac:dyDescent="0.25">
      <c r="E334" s="11">
        <f t="shared" si="28"/>
        <v>22</v>
      </c>
      <c r="F334" s="11">
        <f t="shared" si="29"/>
        <v>8.4338774107731069</v>
      </c>
      <c r="G334" s="11">
        <f t="shared" si="30"/>
        <v>8.4149769620223225</v>
      </c>
    </row>
    <row r="335" spans="5:7" x14ac:dyDescent="0.25">
      <c r="E335" s="11">
        <f t="shared" si="28"/>
        <v>23</v>
      </c>
      <c r="F335" s="11">
        <f t="shared" si="29"/>
        <v>8.8781675501727548</v>
      </c>
      <c r="G335" s="11">
        <f t="shared" si="30"/>
        <v>8.8552080621408642</v>
      </c>
    </row>
    <row r="336" spans="5:7" x14ac:dyDescent="0.25">
      <c r="E336" s="11">
        <f t="shared" si="28"/>
        <v>24</v>
      </c>
      <c r="F336" s="11">
        <f t="shared" si="29"/>
        <v>9.3270435489990628</v>
      </c>
      <c r="G336" s="11">
        <f t="shared" si="30"/>
        <v>9.3000762853458419</v>
      </c>
    </row>
    <row r="337" spans="5:7" x14ac:dyDescent="0.25">
      <c r="E337" s="11">
        <f t="shared" si="28"/>
        <v>25</v>
      </c>
      <c r="F337" s="11">
        <f t="shared" si="29"/>
        <v>9.7803484999022796</v>
      </c>
      <c r="G337" s="11">
        <f t="shared" si="30"/>
        <v>9.7495337486828433</v>
      </c>
    </row>
    <row r="338" spans="5:7" x14ac:dyDescent="0.25">
      <c r="E338" s="11">
        <f t="shared" si="28"/>
        <v>26</v>
      </c>
      <c r="F338" s="11">
        <f t="shared" si="29"/>
        <v>10.237913963684091</v>
      </c>
      <c r="G338" s="11">
        <f t="shared" si="30"/>
        <v>10.203532569197467</v>
      </c>
    </row>
    <row r="339" spans="5:7" x14ac:dyDescent="0.25">
      <c r="E339" s="11">
        <f t="shared" si="28"/>
        <v>27</v>
      </c>
      <c r="F339" s="11">
        <f t="shared" si="29"/>
        <v>10.69955993471936</v>
      </c>
      <c r="G339" s="11">
        <f t="shared" si="30"/>
        <v>10.662024863935303</v>
      </c>
    </row>
    <row r="340" spans="5:7" x14ac:dyDescent="0.25">
      <c r="E340" s="11">
        <f t="shared" si="28"/>
        <v>28</v>
      </c>
      <c r="F340" s="11">
        <f t="shared" si="29"/>
        <v>11.165094830343476</v>
      </c>
      <c r="G340" s="11">
        <f t="shared" si="30"/>
        <v>11.124962749941947</v>
      </c>
    </row>
    <row r="341" spans="5:7" x14ac:dyDescent="0.25">
      <c r="E341" s="11">
        <f t="shared" si="28"/>
        <v>29</v>
      </c>
      <c r="F341" s="11">
        <f t="shared" si="29"/>
        <v>11.634315504836719</v>
      </c>
      <c r="G341" s="11">
        <f t="shared" si="30"/>
        <v>11.592298344262993</v>
      </c>
    </row>
    <row r="342" spans="5:7" x14ac:dyDescent="0.25">
      <c r="E342" s="11">
        <f t="shared" si="28"/>
        <v>30</v>
      </c>
      <c r="F342" s="11">
        <f t="shared" si="29"/>
        <v>12.107007288627369</v>
      </c>
      <c r="G342" s="11">
        <f t="shared" si="30"/>
        <v>12.063983763944035</v>
      </c>
    </row>
    <row r="343" spans="5:7" x14ac:dyDescent="0.25">
      <c r="E343" s="11">
        <f t="shared" si="28"/>
        <v>31</v>
      </c>
      <c r="F343" s="11">
        <f t="shared" si="29"/>
        <v>12.582944053325884</v>
      </c>
      <c r="G343" s="11">
        <f t="shared" si="30"/>
        <v>12.53991389261372</v>
      </c>
    </row>
    <row r="344" spans="5:7" x14ac:dyDescent="0.25">
      <c r="E344" s="11">
        <f t="shared" si="28"/>
        <v>32</v>
      </c>
      <c r="F344" s="11">
        <f t="shared" si="29"/>
        <v>13.06188830319314</v>
      </c>
      <c r="G344" s="11">
        <f t="shared" si="30"/>
        <v>13.019754680232936</v>
      </c>
    </row>
    <row r="345" spans="5:7" x14ac:dyDescent="0.25">
      <c r="E345" s="11">
        <f t="shared" si="28"/>
        <v>33</v>
      </c>
      <c r="F345" s="11">
        <f t="shared" si="29"/>
        <v>13.543591293636077</v>
      </c>
      <c r="G345" s="11">
        <f t="shared" si="30"/>
        <v>13.50311484334561</v>
      </c>
    </row>
    <row r="346" spans="5:7" x14ac:dyDescent="0.25">
      <c r="E346" s="11">
        <f t="shared" si="28"/>
        <v>34</v>
      </c>
      <c r="F346" s="11">
        <f t="shared" si="29"/>
        <v>14.027793177314793</v>
      </c>
      <c r="G346" s="11">
        <f t="shared" si="30"/>
        <v>13.989603098495682</v>
      </c>
    </row>
    <row r="347" spans="5:7" x14ac:dyDescent="0.25">
      <c r="E347" s="11">
        <f t="shared" si="28"/>
        <v>35</v>
      </c>
      <c r="F347" s="11">
        <f t="shared" si="29"/>
        <v>14.514223178435625</v>
      </c>
      <c r="G347" s="11">
        <f t="shared" si="30"/>
        <v>14.47882816222709</v>
      </c>
    </row>
    <row r="348" spans="5:7" x14ac:dyDescent="0.25">
      <c r="E348" s="11">
        <f t="shared" si="28"/>
        <v>36</v>
      </c>
      <c r="F348" s="11">
        <f t="shared" si="29"/>
        <v>15.0025997957952</v>
      </c>
      <c r="G348" s="11">
        <f t="shared" si="30"/>
        <v>14.970398751083767</v>
      </c>
    </row>
    <row r="349" spans="5:7" x14ac:dyDescent="0.25">
      <c r="E349" s="11">
        <f t="shared" si="28"/>
        <v>37</v>
      </c>
      <c r="F349" s="11">
        <f t="shared" si="29"/>
        <v>15.492631035131302</v>
      </c>
      <c r="G349" s="11">
        <f t="shared" si="30"/>
        <v>15.463923581609652</v>
      </c>
    </row>
    <row r="350" spans="5:7" x14ac:dyDescent="0.25">
      <c r="E350" s="11">
        <f t="shared" si="28"/>
        <v>38</v>
      </c>
      <c r="F350" s="11">
        <f t="shared" si="29"/>
        <v>15.984014671326417</v>
      </c>
      <c r="G350" s="11">
        <f t="shared" si="30"/>
        <v>15.959011370348678</v>
      </c>
    </row>
    <row r="351" spans="5:7" x14ac:dyDescent="0.25">
      <c r="E351" s="11">
        <f t="shared" ref="E351:E414" si="31">E144</f>
        <v>39</v>
      </c>
      <c r="F351" s="11">
        <f t="shared" ref="F351:F414" si="32">$H$217*0+E351*$I$217+E351^2*$J$217+E351^3*$K$217+E351^4*$L$217+E351^5*$M$217+E351^6*$N$217+E351^7*$O$217+E351^8*$P$217</f>
        <v>16.47643854100096</v>
      </c>
      <c r="G351" s="11">
        <f t="shared" ref="G351:G414" si="33">F144</f>
        <v>16.455270833844786</v>
      </c>
    </row>
    <row r="352" spans="5:7" x14ac:dyDescent="0.25">
      <c r="E352" s="11">
        <f t="shared" si="31"/>
        <v>40</v>
      </c>
      <c r="F352" s="11">
        <f t="shared" si="32"/>
        <v>16.969580866023264</v>
      </c>
      <c r="G352" s="11">
        <f t="shared" si="33"/>
        <v>16.952310688641909</v>
      </c>
    </row>
    <row r="353" spans="5:7" x14ac:dyDescent="0.25">
      <c r="E353" s="11">
        <f t="shared" si="31"/>
        <v>41</v>
      </c>
      <c r="F353" s="11">
        <f t="shared" si="32"/>
        <v>17.463110608454219</v>
      </c>
      <c r="G353" s="11">
        <f t="shared" si="33"/>
        <v>17.449739651283977</v>
      </c>
    </row>
    <row r="354" spans="5:7" x14ac:dyDescent="0.25">
      <c r="E354" s="11">
        <f t="shared" si="31"/>
        <v>42</v>
      </c>
      <c r="F354" s="11">
        <f t="shared" si="32"/>
        <v>17.956687857434879</v>
      </c>
      <c r="G354" s="11">
        <f t="shared" si="33"/>
        <v>17.947166438314937</v>
      </c>
    </row>
    <row r="355" spans="5:7" x14ac:dyDescent="0.25">
      <c r="E355" s="11">
        <f t="shared" si="31"/>
        <v>43</v>
      </c>
      <c r="F355" s="11">
        <f t="shared" si="32"/>
        <v>18.449964248515958</v>
      </c>
      <c r="G355" s="11">
        <f t="shared" si="33"/>
        <v>18.444199766278725</v>
      </c>
    </row>
    <row r="356" spans="5:7" x14ac:dyDescent="0.25">
      <c r="E356" s="11">
        <f t="shared" si="31"/>
        <v>44</v>
      </c>
      <c r="F356" s="11">
        <f t="shared" si="32"/>
        <v>18.942583415918651</v>
      </c>
      <c r="G356" s="11">
        <f t="shared" si="33"/>
        <v>18.940448351719269</v>
      </c>
    </row>
    <row r="357" spans="5:7" x14ac:dyDescent="0.25">
      <c r="E357" s="11">
        <f t="shared" si="31"/>
        <v>45</v>
      </c>
      <c r="F357" s="11">
        <f t="shared" si="32"/>
        <v>19.43418147820676</v>
      </c>
      <c r="G357" s="11">
        <f t="shared" si="33"/>
        <v>19.435520911180515</v>
      </c>
    </row>
    <row r="358" spans="5:7" x14ac:dyDescent="0.25">
      <c r="E358" s="11">
        <f t="shared" si="31"/>
        <v>46</v>
      </c>
      <c r="F358" s="11">
        <f t="shared" si="32"/>
        <v>19.924387557840713</v>
      </c>
      <c r="G358" s="11">
        <f t="shared" si="33"/>
        <v>19.929026161206387</v>
      </c>
    </row>
    <row r="359" spans="5:7" x14ac:dyDescent="0.25">
      <c r="E359" s="11">
        <f t="shared" si="31"/>
        <v>47</v>
      </c>
      <c r="F359" s="11">
        <f t="shared" si="32"/>
        <v>20.412824335074422</v>
      </c>
      <c r="G359" s="11">
        <f t="shared" si="33"/>
        <v>20.420572818340833</v>
      </c>
    </row>
    <row r="360" spans="5:7" x14ac:dyDescent="0.25">
      <c r="E360" s="11">
        <f t="shared" si="31"/>
        <v>48</v>
      </c>
      <c r="F360" s="11">
        <f t="shared" si="32"/>
        <v>20.899108636646822</v>
      </c>
      <c r="G360" s="11">
        <f t="shared" si="33"/>
        <v>20.909769599127785</v>
      </c>
    </row>
    <row r="361" spans="5:7" x14ac:dyDescent="0.25">
      <c r="E361" s="11">
        <f t="shared" si="31"/>
        <v>49</v>
      </c>
      <c r="F361" s="11">
        <f t="shared" si="32"/>
        <v>21.382852059710078</v>
      </c>
      <c r="G361" s="11">
        <f t="shared" si="33"/>
        <v>21.396225220111177</v>
      </c>
    </row>
    <row r="362" spans="5:7" x14ac:dyDescent="0.25">
      <c r="E362" s="11">
        <f t="shared" si="31"/>
        <v>50</v>
      </c>
      <c r="F362" s="11">
        <f t="shared" si="32"/>
        <v>21.863661631427192</v>
      </c>
      <c r="G362" s="11">
        <f t="shared" si="33"/>
        <v>21.879548397834945</v>
      </c>
    </row>
    <row r="363" spans="5:7" x14ac:dyDescent="0.25">
      <c r="E363" s="11">
        <f t="shared" si="31"/>
        <v>51</v>
      </c>
      <c r="F363" s="11">
        <f t="shared" si="32"/>
        <v>22.341140504662455</v>
      </c>
      <c r="G363" s="11">
        <f t="shared" si="33"/>
        <v>22.359347848843026</v>
      </c>
    </row>
    <row r="364" spans="5:7" x14ac:dyDescent="0.25">
      <c r="E364" s="11">
        <f t="shared" si="31"/>
        <v>52</v>
      </c>
      <c r="F364" s="11">
        <f t="shared" si="32"/>
        <v>22.814888690178325</v>
      </c>
      <c r="G364" s="11">
        <f t="shared" si="33"/>
        <v>22.835232289679361</v>
      </c>
    </row>
    <row r="365" spans="5:7" x14ac:dyDescent="0.25">
      <c r="E365" s="11">
        <f t="shared" si="31"/>
        <v>53</v>
      </c>
      <c r="F365" s="11">
        <f t="shared" si="32"/>
        <v>23.284503825743194</v>
      </c>
      <c r="G365" s="11">
        <f t="shared" si="33"/>
        <v>23.306810436887883</v>
      </c>
    </row>
    <row r="366" spans="5:7" x14ac:dyDescent="0.25">
      <c r="E366" s="11">
        <f t="shared" si="31"/>
        <v>54</v>
      </c>
      <c r="F366" s="11">
        <f t="shared" si="32"/>
        <v>23.749581982544985</v>
      </c>
      <c r="G366" s="11">
        <f t="shared" si="33"/>
        <v>23.773691007012523</v>
      </c>
    </row>
    <row r="367" spans="5:7" x14ac:dyDescent="0.25">
      <c r="E367" s="11">
        <f t="shared" si="31"/>
        <v>55</v>
      </c>
      <c r="F367" s="11">
        <f t="shared" si="32"/>
        <v>24.209718509295968</v>
      </c>
      <c r="G367" s="11">
        <f t="shared" si="33"/>
        <v>24.235482716597229</v>
      </c>
    </row>
    <row r="368" spans="5:7" x14ac:dyDescent="0.25">
      <c r="E368" s="11">
        <f t="shared" si="31"/>
        <v>56</v>
      </c>
      <c r="F368" s="11">
        <f t="shared" si="32"/>
        <v>24.664508914404717</v>
      </c>
      <c r="G368" s="11">
        <f t="shared" si="33"/>
        <v>24.691794282185928</v>
      </c>
    </row>
    <row r="369" spans="5:7" x14ac:dyDescent="0.25">
      <c r="E369" s="11">
        <f t="shared" si="31"/>
        <v>57</v>
      </c>
      <c r="F369" s="11">
        <f t="shared" si="32"/>
        <v>25.113549786581999</v>
      </c>
      <c r="G369" s="11">
        <f t="shared" si="33"/>
        <v>25.142234420322559</v>
      </c>
    </row>
    <row r="370" spans="5:7" x14ac:dyDescent="0.25">
      <c r="E370" s="11">
        <f t="shared" si="31"/>
        <v>58</v>
      </c>
      <c r="F370" s="11">
        <f t="shared" si="32"/>
        <v>25.556439754237282</v>
      </c>
      <c r="G370" s="11">
        <f t="shared" si="33"/>
        <v>25.586411847551055</v>
      </c>
    </row>
    <row r="371" spans="5:7" x14ac:dyDescent="0.25">
      <c r="E371" s="11">
        <f t="shared" si="31"/>
        <v>59</v>
      </c>
      <c r="F371" s="11">
        <f t="shared" si="32"/>
        <v>25.992780484013942</v>
      </c>
      <c r="G371" s="11">
        <f t="shared" si="33"/>
        <v>26.023935280415358</v>
      </c>
    </row>
    <row r="372" spans="5:7" x14ac:dyDescent="0.25">
      <c r="E372" s="11">
        <f t="shared" si="31"/>
        <v>60</v>
      </c>
      <c r="F372" s="11">
        <f t="shared" si="32"/>
        <v>26.422177718800949</v>
      </c>
      <c r="G372" s="11">
        <f t="shared" si="33"/>
        <v>26.454413435459401</v>
      </c>
    </row>
    <row r="373" spans="5:7" x14ac:dyDescent="0.25">
      <c r="E373" s="11">
        <f t="shared" si="31"/>
        <v>61</v>
      </c>
      <c r="F373" s="11">
        <f t="shared" si="32"/>
        <v>26.844242355550037</v>
      </c>
      <c r="G373" s="11">
        <f t="shared" si="33"/>
        <v>26.877455029227118</v>
      </c>
    </row>
    <row r="374" spans="5:7" x14ac:dyDescent="0.25">
      <c r="E374" s="11">
        <f t="shared" si="31"/>
        <v>62</v>
      </c>
      <c r="F374" s="11">
        <f t="shared" si="32"/>
        <v>27.258591563217411</v>
      </c>
      <c r="G374" s="11">
        <f t="shared" si="33"/>
        <v>27.292668778262453</v>
      </c>
    </row>
    <row r="375" spans="5:7" x14ac:dyDescent="0.25">
      <c r="E375" s="11">
        <f t="shared" si="31"/>
        <v>63</v>
      </c>
      <c r="F375" s="11">
        <f t="shared" si="32"/>
        <v>27.664849941139984</v>
      </c>
      <c r="G375" s="11">
        <f t="shared" si="33"/>
        <v>27.699663399109333</v>
      </c>
    </row>
    <row r="376" spans="5:7" x14ac:dyDescent="0.25">
      <c r="E376" s="11">
        <f t="shared" si="31"/>
        <v>64</v>
      </c>
      <c r="F376" s="11">
        <f t="shared" si="32"/>
        <v>28.062650718146458</v>
      </c>
      <c r="G376" s="11">
        <f t="shared" si="33"/>
        <v>28.098047608311699</v>
      </c>
    </row>
    <row r="377" spans="5:7" x14ac:dyDescent="0.25">
      <c r="E377" s="11">
        <f t="shared" si="31"/>
        <v>65</v>
      </c>
      <c r="F377" s="11">
        <f t="shared" si="32"/>
        <v>28.451636992693906</v>
      </c>
      <c r="G377" s="11">
        <f t="shared" si="33"/>
        <v>28.487430122413485</v>
      </c>
    </row>
    <row r="378" spans="5:7" x14ac:dyDescent="0.25">
      <c r="E378" s="11">
        <f t="shared" si="31"/>
        <v>66</v>
      </c>
      <c r="F378" s="11">
        <f t="shared" si="32"/>
        <v>28.831463014311801</v>
      </c>
      <c r="G378" s="11">
        <f t="shared" si="33"/>
        <v>28.867419657958635</v>
      </c>
    </row>
    <row r="379" spans="5:7" x14ac:dyDescent="0.25">
      <c r="E379" s="11">
        <f t="shared" si="31"/>
        <v>67</v>
      </c>
      <c r="F379" s="11">
        <f t="shared" si="32"/>
        <v>29.20179550662499</v>
      </c>
      <c r="G379" s="11">
        <f t="shared" si="33"/>
        <v>29.237624931491073</v>
      </c>
    </row>
    <row r="380" spans="5:7" x14ac:dyDescent="0.25">
      <c r="E380" s="11">
        <f t="shared" si="31"/>
        <v>68</v>
      </c>
      <c r="F380" s="11">
        <f t="shared" si="32"/>
        <v>29.562315032218443</v>
      </c>
      <c r="G380" s="11">
        <f t="shared" si="33"/>
        <v>29.597654659554745</v>
      </c>
    </row>
    <row r="381" spans="5:7" x14ac:dyDescent="0.25">
      <c r="E381" s="11">
        <f t="shared" si="31"/>
        <v>69</v>
      </c>
      <c r="F381" s="11">
        <f t="shared" si="32"/>
        <v>29.912717399596779</v>
      </c>
      <c r="G381" s="11">
        <f t="shared" si="33"/>
        <v>29.947117558693584</v>
      </c>
    </row>
    <row r="382" spans="5:7" x14ac:dyDescent="0.25">
      <c r="E382" s="11">
        <f t="shared" si="31"/>
        <v>70</v>
      </c>
      <c r="F382" s="11">
        <f t="shared" si="32"/>
        <v>30.252715112482235</v>
      </c>
      <c r="G382" s="11">
        <f t="shared" si="33"/>
        <v>30.285622345451525</v>
      </c>
    </row>
    <row r="383" spans="5:7" x14ac:dyDescent="0.25">
      <c r="E383" s="11">
        <f t="shared" si="31"/>
        <v>71</v>
      </c>
      <c r="F383" s="11">
        <f t="shared" si="32"/>
        <v>30.582038861685103</v>
      </c>
      <c r="G383" s="11">
        <f t="shared" si="33"/>
        <v>30.6127777363725</v>
      </c>
    </row>
    <row r="384" spans="5:7" x14ac:dyDescent="0.25">
      <c r="E384" s="11">
        <f t="shared" si="31"/>
        <v>72</v>
      </c>
      <c r="F384" s="11">
        <f t="shared" si="32"/>
        <v>30.90043905977171</v>
      </c>
      <c r="G384" s="11">
        <f t="shared" si="33"/>
        <v>30.928192448000456</v>
      </c>
    </row>
    <row r="385" spans="5:7" x14ac:dyDescent="0.25">
      <c r="E385" s="11">
        <f t="shared" si="31"/>
        <v>73</v>
      </c>
      <c r="F385" s="11">
        <f t="shared" si="32"/>
        <v>31.207687418744698</v>
      </c>
      <c r="G385" s="11">
        <f t="shared" si="33"/>
        <v>31.231475196879327</v>
      </c>
    </row>
    <row r="386" spans="5:7" x14ac:dyDescent="0.25">
      <c r="E386" s="11">
        <f t="shared" si="31"/>
        <v>74</v>
      </c>
      <c r="F386" s="11">
        <f t="shared" si="32"/>
        <v>31.503578570941979</v>
      </c>
      <c r="G386" s="11">
        <f t="shared" si="33"/>
        <v>31.522234699553039</v>
      </c>
    </row>
    <row r="387" spans="5:7" x14ac:dyDescent="0.25">
      <c r="E387" s="11">
        <f t="shared" si="31"/>
        <v>75</v>
      </c>
      <c r="F387" s="11">
        <f t="shared" si="32"/>
        <v>31.787931733350241</v>
      </c>
      <c r="G387" s="11">
        <f t="shared" si="33"/>
        <v>31.800079672565534</v>
      </c>
    </row>
    <row r="388" spans="5:7" x14ac:dyDescent="0.25">
      <c r="E388" s="11">
        <f t="shared" si="31"/>
        <v>76</v>
      </c>
      <c r="F388" s="11">
        <f t="shared" si="32"/>
        <v>32.06059241552024</v>
      </c>
      <c r="G388" s="11">
        <f t="shared" si="33"/>
        <v>32.064747407384942</v>
      </c>
    </row>
    <row r="389" spans="5:7" x14ac:dyDescent="0.25">
      <c r="E389" s="11">
        <f t="shared" si="31"/>
        <v>77</v>
      </c>
      <c r="F389" s="11">
        <f t="shared" si="32"/>
        <v>32.321434171261139</v>
      </c>
      <c r="G389" s="11">
        <f t="shared" si="33"/>
        <v>32.316489495176143</v>
      </c>
    </row>
    <row r="390" spans="5:7" x14ac:dyDescent="0.25">
      <c r="E390" s="11">
        <f t="shared" si="31"/>
        <v>78</v>
      </c>
      <c r="F390" s="11">
        <f t="shared" si="32"/>
        <v>32.570360394282027</v>
      </c>
      <c r="G390" s="11">
        <f t="shared" si="33"/>
        <v>32.555686102028183</v>
      </c>
    </row>
    <row r="391" spans="5:7" x14ac:dyDescent="0.25">
      <c r="E391" s="11">
        <f t="shared" si="31"/>
        <v>79</v>
      </c>
      <c r="F391" s="11">
        <f t="shared" si="32"/>
        <v>32.807306157938989</v>
      </c>
      <c r="G391" s="11">
        <f t="shared" si="33"/>
        <v>32.782717394030144</v>
      </c>
    </row>
    <row r="392" spans="5:7" x14ac:dyDescent="0.25">
      <c r="E392" s="11">
        <f t="shared" si="31"/>
        <v>80</v>
      </c>
      <c r="F392" s="11">
        <f t="shared" si="32"/>
        <v>33.032240099237114</v>
      </c>
      <c r="G392" s="11">
        <f t="shared" si="33"/>
        <v>32.997963537271083</v>
      </c>
    </row>
    <row r="393" spans="5:7" x14ac:dyDescent="0.25">
      <c r="E393" s="11">
        <f t="shared" si="31"/>
        <v>81</v>
      </c>
      <c r="F393" s="11">
        <f t="shared" si="32"/>
        <v>33.245166347226643</v>
      </c>
      <c r="G393" s="11">
        <f t="shared" si="33"/>
        <v>33.201804697840075</v>
      </c>
    </row>
    <row r="394" spans="5:7" x14ac:dyDescent="0.25">
      <c r="E394" s="11">
        <f t="shared" si="31"/>
        <v>82</v>
      </c>
      <c r="F394" s="11">
        <f t="shared" si="32"/>
        <v>33.446126495923828</v>
      </c>
      <c r="G394" s="11">
        <f t="shared" si="33"/>
        <v>33.39462104182617</v>
      </c>
    </row>
    <row r="395" spans="5:7" x14ac:dyDescent="0.25">
      <c r="E395" s="11">
        <f t="shared" si="31"/>
        <v>83</v>
      </c>
      <c r="F395" s="11">
        <f t="shared" si="32"/>
        <v>33.635201621877115</v>
      </c>
      <c r="G395" s="11">
        <f t="shared" si="33"/>
        <v>33.576792735318442</v>
      </c>
    </row>
    <row r="396" spans="5:7" x14ac:dyDescent="0.25">
      <c r="E396" s="11">
        <f t="shared" si="31"/>
        <v>84</v>
      </c>
      <c r="F396" s="11">
        <f t="shared" si="32"/>
        <v>33.812514346489706</v>
      </c>
      <c r="G396" s="11">
        <f t="shared" si="33"/>
        <v>33.748699944405956</v>
      </c>
    </row>
    <row r="397" spans="5:7" x14ac:dyDescent="0.25">
      <c r="E397" s="11">
        <f t="shared" si="31"/>
        <v>85</v>
      </c>
      <c r="F397" s="11">
        <f t="shared" si="32"/>
        <v>33.978230943200671</v>
      </c>
      <c r="G397" s="11">
        <f t="shared" si="33"/>
        <v>33.910722835177779</v>
      </c>
    </row>
    <row r="398" spans="5:7" x14ac:dyDescent="0.25">
      <c r="E398" s="11">
        <f t="shared" si="31"/>
        <v>86</v>
      </c>
      <c r="F398" s="11">
        <f t="shared" si="32"/>
        <v>34.132563489616722</v>
      </c>
      <c r="G398" s="11">
        <f t="shared" si="33"/>
        <v>34.063241573722969</v>
      </c>
    </row>
    <row r="399" spans="5:7" x14ac:dyDescent="0.25">
      <c r="E399" s="11">
        <f t="shared" si="31"/>
        <v>87</v>
      </c>
      <c r="F399" s="11">
        <f t="shared" si="32"/>
        <v>34.275772064677625</v>
      </c>
      <c r="G399" s="11">
        <f t="shared" si="33"/>
        <v>34.206636326130607</v>
      </c>
    </row>
    <row r="400" spans="5:7" x14ac:dyDescent="0.25">
      <c r="E400" s="11">
        <f t="shared" si="31"/>
        <v>88</v>
      </c>
      <c r="F400" s="11">
        <f t="shared" si="32"/>
        <v>34.408166990928741</v>
      </c>
      <c r="G400" s="11">
        <f t="shared" si="33"/>
        <v>34.341287258489736</v>
      </c>
    </row>
    <row r="401" spans="5:7" x14ac:dyDescent="0.25">
      <c r="E401" s="11">
        <f t="shared" si="31"/>
        <v>89</v>
      </c>
      <c r="F401" s="11">
        <f t="shared" si="32"/>
        <v>34.530111121964637</v>
      </c>
      <c r="G401" s="11">
        <f t="shared" si="33"/>
        <v>34.467574536889437</v>
      </c>
    </row>
    <row r="402" spans="5:7" x14ac:dyDescent="0.25">
      <c r="E402" s="11">
        <f t="shared" si="31"/>
        <v>90</v>
      </c>
      <c r="F402" s="11">
        <f t="shared" si="32"/>
        <v>34.642022175098361</v>
      </c>
      <c r="G402" s="11">
        <f t="shared" si="33"/>
        <v>34.585878327418769</v>
      </c>
    </row>
    <row r="403" spans="5:7" x14ac:dyDescent="0.25">
      <c r="E403" s="11">
        <f t="shared" si="31"/>
        <v>91</v>
      </c>
      <c r="F403" s="11">
        <f t="shared" si="32"/>
        <v>34.744375109301465</v>
      </c>
      <c r="G403" s="11">
        <f t="shared" si="33"/>
        <v>34.696578796166804</v>
      </c>
    </row>
    <row r="404" spans="5:7" x14ac:dyDescent="0.25">
      <c r="E404" s="11">
        <f t="shared" si="31"/>
        <v>92</v>
      </c>
      <c r="F404" s="11">
        <f t="shared" si="32"/>
        <v>34.837704548450368</v>
      </c>
      <c r="G404" s="11">
        <f t="shared" si="33"/>
        <v>34.800056109222588</v>
      </c>
    </row>
    <row r="405" spans="5:7" x14ac:dyDescent="0.25">
      <c r="E405" s="11">
        <f t="shared" si="31"/>
        <v>93</v>
      </c>
      <c r="F405" s="11">
        <f t="shared" si="32"/>
        <v>34.922607249905283</v>
      </c>
      <c r="G405" s="11">
        <f t="shared" si="33"/>
        <v>34.896690432675214</v>
      </c>
    </row>
    <row r="406" spans="5:7" x14ac:dyDescent="0.25">
      <c r="E406" s="11">
        <f t="shared" si="31"/>
        <v>94</v>
      </c>
      <c r="F406" s="11">
        <f t="shared" si="32"/>
        <v>34.999744618438434</v>
      </c>
      <c r="G406" s="11">
        <f t="shared" si="33"/>
        <v>34.986861932613721</v>
      </c>
    </row>
    <row r="407" spans="5:7" x14ac:dyDescent="0.25">
      <c r="E407" s="11">
        <f t="shared" si="31"/>
        <v>95</v>
      </c>
      <c r="F407" s="11">
        <f t="shared" si="32"/>
        <v>35.069845265518843</v>
      </c>
      <c r="G407" s="11">
        <f t="shared" si="33"/>
        <v>35.070950775127194</v>
      </c>
    </row>
    <row r="408" spans="5:7" x14ac:dyDescent="0.25">
      <c r="E408" s="11">
        <f t="shared" si="31"/>
        <v>96</v>
      </c>
      <c r="F408" s="11">
        <f t="shared" si="32"/>
        <v>35.133707613951465</v>
      </c>
      <c r="G408" s="11">
        <f t="shared" si="33"/>
        <v>35.149337126304687</v>
      </c>
    </row>
    <row r="409" spans="5:7" x14ac:dyDescent="0.25">
      <c r="E409" s="11">
        <f t="shared" si="31"/>
        <v>97</v>
      </c>
      <c r="F409" s="11">
        <f t="shared" si="32"/>
        <v>35.192202547859111</v>
      </c>
      <c r="G409" s="11">
        <f t="shared" si="33"/>
        <v>35.222401152235264</v>
      </c>
    </row>
    <row r="410" spans="5:7" x14ac:dyDescent="0.25">
      <c r="E410" s="11">
        <f t="shared" si="31"/>
        <v>98</v>
      </c>
      <c r="F410" s="11">
        <f t="shared" si="32"/>
        <v>35.246276107985899</v>
      </c>
      <c r="G410" s="11">
        <f t="shared" si="33"/>
        <v>35.290523019008006</v>
      </c>
    </row>
    <row r="411" spans="5:7" x14ac:dyDescent="0.25">
      <c r="E411" s="11">
        <f t="shared" si="31"/>
        <v>99</v>
      </c>
      <c r="F411" s="11">
        <f t="shared" si="32"/>
        <v>35.296952232292035</v>
      </c>
      <c r="G411" s="11">
        <f t="shared" si="33"/>
        <v>35.354082892711958</v>
      </c>
    </row>
    <row r="412" spans="5:7" x14ac:dyDescent="0.25">
      <c r="E412" s="11">
        <f t="shared" si="31"/>
        <v>100</v>
      </c>
      <c r="F412" s="11">
        <f t="shared" si="32"/>
        <v>35.345335541799436</v>
      </c>
      <c r="G412" s="11">
        <f t="shared" si="33"/>
        <v>35.413460939436192</v>
      </c>
    </row>
    <row r="413" spans="5:7" x14ac:dyDescent="0.25">
      <c r="E413" s="11">
        <f t="shared" si="31"/>
        <v>101</v>
      </c>
      <c r="F413" s="11">
        <f t="shared" si="32"/>
        <v>35.392614171639252</v>
      </c>
      <c r="G413" s="11">
        <f t="shared" si="33"/>
        <v>35.469037325269781</v>
      </c>
    </row>
    <row r="414" spans="5:7" x14ac:dyDescent="0.25">
      <c r="E414" s="11">
        <f t="shared" si="31"/>
        <v>102</v>
      </c>
      <c r="F414" s="11">
        <f t="shared" si="32"/>
        <v>35.440062647241938</v>
      </c>
      <c r="G414" s="11">
        <f t="shared" si="33"/>
        <v>35.521192216301777</v>
      </c>
    </row>
    <row r="415" spans="5:7" x14ac:dyDescent="0.25">
      <c r="E415" s="11">
        <f t="shared" ref="E415:E422" si="34">E208</f>
        <v>103</v>
      </c>
      <c r="F415" s="11">
        <f t="shared" ref="F415:F422" si="35">$H$217*0+E415*$I$217+E415^2*$J$217+E415^3*$K$217+E415^4*$L$217+E415^5*$M$217+E415^6*$N$217+E415^7*$O$217+E415^8*$P$217</f>
        <v>35.489044805601942</v>
      </c>
      <c r="G415" s="11">
        <f t="shared" ref="G415:G422" si="36">F208</f>
        <v>35.570305778621254</v>
      </c>
    </row>
    <row r="416" spans="5:7" x14ac:dyDescent="0.25">
      <c r="E416" s="11">
        <f t="shared" si="34"/>
        <v>104</v>
      </c>
      <c r="F416" s="11">
        <f t="shared" si="35"/>
        <v>35.541016761538714</v>
      </c>
      <c r="G416" s="11">
        <f t="shared" si="36"/>
        <v>35.616758178317276</v>
      </c>
    </row>
    <row r="417" spans="5:7" x14ac:dyDescent="0.25">
      <c r="E417" s="11">
        <f t="shared" si="34"/>
        <v>105</v>
      </c>
      <c r="F417" s="11">
        <f t="shared" si="35"/>
        <v>35.597529918867188</v>
      </c>
      <c r="G417" s="11">
        <f t="shared" si="36"/>
        <v>35.660929581478911</v>
      </c>
    </row>
    <row r="418" spans="5:7" x14ac:dyDescent="0.25">
      <c r="E418" s="11">
        <f t="shared" si="34"/>
        <v>106</v>
      </c>
      <c r="F418" s="11">
        <f t="shared" si="35"/>
        <v>35.66023402638082</v>
      </c>
      <c r="G418" s="11">
        <f t="shared" si="36"/>
        <v>35.703200154195216</v>
      </c>
    </row>
    <row r="419" spans="5:7" x14ac:dyDescent="0.25">
      <c r="E419" s="11">
        <f t="shared" si="34"/>
        <v>107</v>
      </c>
      <c r="F419" s="11">
        <f t="shared" si="35"/>
        <v>35.730880278541008</v>
      </c>
      <c r="G419" s="11">
        <f t="shared" si="36"/>
        <v>35.743950062555264</v>
      </c>
    </row>
    <row r="420" spans="5:7" x14ac:dyDescent="0.25">
      <c r="E420" s="11">
        <f t="shared" si="34"/>
        <v>108</v>
      </c>
      <c r="F420" s="11">
        <f t="shared" si="35"/>
        <v>35.811324460757213</v>
      </c>
      <c r="G420" s="11">
        <f t="shared" si="36"/>
        <v>35.783559472648108</v>
      </c>
    </row>
    <row r="421" spans="5:7" x14ac:dyDescent="0.25">
      <c r="E421" s="11">
        <f t="shared" si="34"/>
        <v>109</v>
      </c>
      <c r="F421" s="11">
        <f t="shared" si="35"/>
        <v>35.90353013913299</v>
      </c>
      <c r="G421" s="11">
        <f t="shared" si="36"/>
        <v>35.822408550562827</v>
      </c>
    </row>
    <row r="422" spans="5:7" x14ac:dyDescent="0.25">
      <c r="E422" s="11">
        <f t="shared" si="34"/>
        <v>110</v>
      </c>
      <c r="F422" s="11">
        <f t="shared" si="35"/>
        <v>36.009571894542837</v>
      </c>
      <c r="G422" s="11">
        <f t="shared" si="36"/>
        <v>35.860877462388487</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2022-01-04T18:11:40Z</dcterms:modified>
</cp:coreProperties>
</file>