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E403" i="43"/>
  <c r="H403" i="43"/>
  <c r="C403" i="43"/>
  <c r="B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23" i="43"/>
  <c r="C428" i="43"/>
  <c r="C404" i="43"/>
  <c r="C434" i="43"/>
  <c r="C430" i="43"/>
  <c r="C409" i="43"/>
  <c r="C421" i="43"/>
  <c r="C417" i="43"/>
  <c r="C407" i="43"/>
  <c r="C414" i="43"/>
  <c r="C418" i="43"/>
  <c r="C425" i="43"/>
  <c r="C427" i="43"/>
  <c r="C429" i="43"/>
  <c r="C432" i="43"/>
  <c r="C410" i="43"/>
  <c r="C420" i="43"/>
  <c r="C422" i="43"/>
  <c r="C431" i="43"/>
  <c r="C419" i="43"/>
  <c r="C426" i="43"/>
  <c r="C412" i="43"/>
  <c r="C405" i="43"/>
  <c r="C408" i="43"/>
  <c r="C415" i="43"/>
  <c r="C424" i="43"/>
  <c r="C433" i="43"/>
  <c r="C413" i="43"/>
  <c r="C411" i="43"/>
  <c r="C416" i="43"/>
  <c r="B405" i="43"/>
  <c r="B424" i="43"/>
  <c r="B425" i="43"/>
  <c r="B413" i="43"/>
  <c r="B414" i="43"/>
  <c r="B408" i="43"/>
  <c r="B407" i="43"/>
  <c r="B431" i="43"/>
  <c r="B415" i="43"/>
  <c r="B417" i="43"/>
  <c r="B409" i="43"/>
  <c r="B406" i="43"/>
  <c r="B429" i="43"/>
  <c r="B420" i="43"/>
  <c r="B412" i="43"/>
  <c r="B411" i="43"/>
  <c r="B416" i="43"/>
  <c r="B432" i="43"/>
  <c r="B404" i="43"/>
  <c r="B428" i="43"/>
  <c r="B410" i="43"/>
  <c r="B427" i="43"/>
  <c r="B434" i="43"/>
  <c r="B430" i="43"/>
  <c r="B423" i="43"/>
  <c r="B418" i="43"/>
  <c r="B419" i="43"/>
  <c r="B433" i="43"/>
  <c r="B426" i="43"/>
  <c r="B421" i="43"/>
  <c r="B422" i="43"/>
  <c r="H434" i="43"/>
  <c r="H418" i="43"/>
  <c r="H415" i="43"/>
  <c r="H410" i="43"/>
  <c r="H424" i="43"/>
  <c r="H405" i="43"/>
  <c r="H421" i="43"/>
  <c r="H433" i="43"/>
  <c r="H426" i="43"/>
  <c r="H420" i="43"/>
  <c r="H419" i="43"/>
  <c r="H429" i="43"/>
  <c r="H417" i="43"/>
  <c r="H414" i="43"/>
  <c r="H430" i="43"/>
  <c r="H423" i="43"/>
  <c r="H408" i="43"/>
  <c r="H416" i="43"/>
  <c r="H404" i="43"/>
  <c r="H413" i="43"/>
  <c r="H427" i="43"/>
  <c r="H409" i="43"/>
  <c r="H422" i="43"/>
  <c r="H428" i="43"/>
  <c r="H431" i="43"/>
  <c r="H432" i="43"/>
  <c r="H412" i="43"/>
  <c r="H425" i="43"/>
  <c r="H407" i="43"/>
  <c r="H411" i="43"/>
  <c r="H406" i="43"/>
  <c r="E405" i="43"/>
  <c r="E408" i="43"/>
  <c r="E413" i="43"/>
  <c r="E415" i="43"/>
  <c r="E424" i="43"/>
  <c r="E433" i="43"/>
  <c r="E426" i="43"/>
  <c r="E430" i="43"/>
  <c r="E434" i="43"/>
  <c r="E410" i="43"/>
  <c r="E420" i="43"/>
  <c r="E406" i="43"/>
  <c r="E417" i="43"/>
  <c r="E419" i="43"/>
  <c r="E411" i="43"/>
  <c r="E416" i="43"/>
  <c r="E423" i="43"/>
  <c r="E404" i="43"/>
  <c r="E431" i="43"/>
  <c r="E418" i="43"/>
  <c r="E425" i="43"/>
  <c r="E427" i="43"/>
  <c r="E429" i="43"/>
  <c r="E422" i="43"/>
  <c r="E421" i="43"/>
  <c r="E409" i="43"/>
  <c r="E432" i="43"/>
  <c r="E412" i="43"/>
  <c r="E407" i="43"/>
  <c r="E428" i="43"/>
  <c r="E414" i="43"/>
  <c r="G410" i="43"/>
  <c r="G413" i="43"/>
  <c r="G431" i="43"/>
  <c r="G416" i="43"/>
  <c r="G434" i="43"/>
  <c r="G428" i="43"/>
  <c r="G429" i="43"/>
  <c r="G411" i="43"/>
  <c r="G427" i="43"/>
  <c r="G409" i="43"/>
  <c r="G405" i="43"/>
  <c r="G421" i="43"/>
  <c r="G407" i="43"/>
  <c r="G418" i="43"/>
  <c r="G412" i="43"/>
  <c r="G422" i="43"/>
  <c r="G426" i="43"/>
  <c r="G408" i="43"/>
  <c r="G424" i="43"/>
  <c r="G404" i="43"/>
  <c r="G430" i="43"/>
  <c r="G406" i="43"/>
  <c r="G419" i="43"/>
  <c r="G423" i="43"/>
  <c r="G420" i="43"/>
  <c r="G432" i="43"/>
  <c r="G417" i="43"/>
  <c r="G433" i="43"/>
  <c r="G415" i="43"/>
  <c r="G425" i="43"/>
  <c r="G414" i="43"/>
  <c r="D406" i="43"/>
  <c r="D417" i="43"/>
  <c r="D419" i="43"/>
  <c r="D426" i="43"/>
  <c r="D430" i="43"/>
  <c r="D429" i="43"/>
  <c r="D432" i="43"/>
  <c r="D411" i="43"/>
  <c r="D416" i="43"/>
  <c r="D423" i="43"/>
  <c r="D428" i="43"/>
  <c r="D404" i="43"/>
  <c r="D424" i="43"/>
  <c r="D433" i="43"/>
  <c r="D409" i="43"/>
  <c r="D421" i="43"/>
  <c r="D434" i="43"/>
  <c r="D414" i="43"/>
  <c r="D425" i="43"/>
  <c r="D427" i="43"/>
  <c r="D413" i="43"/>
  <c r="D407" i="43"/>
  <c r="D418" i="43"/>
  <c r="D410" i="43"/>
  <c r="D412" i="43"/>
  <c r="D420" i="43"/>
  <c r="D422" i="43"/>
  <c r="D431" i="43"/>
  <c r="D405" i="43"/>
  <c r="D408" i="43"/>
  <c r="D415" i="43"/>
  <c r="F415" i="43"/>
  <c r="F410" i="43"/>
  <c r="F420" i="43"/>
  <c r="F431" i="43"/>
  <c r="F423" i="43"/>
  <c r="F404" i="43"/>
  <c r="F424" i="43"/>
  <c r="F419" i="43"/>
  <c r="F430" i="43"/>
  <c r="F416" i="43"/>
  <c r="F434" i="43"/>
  <c r="F427" i="43"/>
  <c r="F421" i="43"/>
  <c r="F425" i="43"/>
  <c r="F426" i="43"/>
  <c r="F412" i="43"/>
  <c r="F432" i="43"/>
  <c r="F417" i="43"/>
  <c r="F414" i="43"/>
  <c r="F422" i="43"/>
  <c r="F411" i="43"/>
  <c r="F405" i="43"/>
  <c r="F418" i="43"/>
  <c r="F413" i="43"/>
  <c r="F409"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<sst xmlns="http://schemas.openxmlformats.org/spreadsheetml/2006/main" count="311" uniqueCount="164">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</sst>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4397416"/>
        <c:axId val="5443942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3974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4280"/>
        <c:crossesAt val="-8.0000000000000019E-3"/>
        <c:crossBetween val="midCat"/>
      </c:valAx>
      <c:valAx>
        <c:axId val="544394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74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52048936"/>
        <c:axId val="6520508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520489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896"/>
        <c:crosses val="autoZero"/>
        <c:crossBetween val="midCat"/>
      </c:valAx>
      <c:valAx>
        <c:axId val="6520508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93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52048152"/>
        <c:axId val="6520501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520481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112"/>
        <c:crosses val="autoZero"/>
        <c:crossBetween val="midCat"/>
        <c:majorUnit val="10000"/>
      </c:valAx>
      <c:valAx>
        <c:axId val="65205011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15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8166192"/>
        <c:axId val="448166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166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8166584"/>
        <c:crosses val="autoZero"/>
        <c:crossBetween val="midCat"/>
        <c:majorUnit val="10000"/>
      </c:valAx>
      <c:valAx>
        <c:axId val="4481665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816619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8167760"/>
        <c:axId val="4481681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1677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168152"/>
        <c:crosses val="autoZero"/>
        <c:crossBetween val="midCat"/>
        <c:majorUnit val="10000"/>
      </c:valAx>
      <c:valAx>
        <c:axId val="44816815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16776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5.1071185815089741E-5</c:v>
                </c:pt>
                <c:pt idx="1">
                  <c:v>4.271965328854723E-5</c:v>
                </c:pt>
                <c:pt idx="2">
                  <c:v>4.5009645939557256E-5</c:v>
                </c:pt>
                <c:pt idx="3">
                  <c:v>1.9659871138950763E-5</c:v>
                </c:pt>
                <c:pt idx="4">
                  <c:v>1.9997033951016209E-4</c:v>
                </c:pt>
                <c:pt idx="5">
                  <c:v>4.6191729350419021E-5</c:v>
                </c:pt>
                <c:pt idx="6">
                  <c:v>1.5185597926961573E-6</c:v>
                </c:pt>
                <c:pt idx="7">
                  <c:v>1.3027037083057906E-5</c:v>
                </c:pt>
                <c:pt idx="8">
                  <c:v>3.3091248699457132E-5</c:v>
                </c:pt>
                <c:pt idx="9">
                  <c:v>7.0432119141573742E-5</c:v>
                </c:pt>
                <c:pt idx="10">
                  <c:v>1.2485777564179233E-4</c:v>
                </c:pt>
                <c:pt idx="11">
                  <c:v>1.8649296410464593E-4</c:v>
                </c:pt>
                <c:pt idx="12">
                  <c:v>2.4035646000521486E-4</c:v>
                </c:pt>
                <c:pt idx="13">
                  <c:v>2.6811375409916202E-4</c:v>
                </c:pt>
                <c:pt idx="14">
                  <c:v>2.5792286588584903E-4</c:v>
                </c:pt>
                <c:pt idx="15">
                  <c:v>2.1426753734506558E-4</c:v>
                </c:pt>
                <c:pt idx="16">
                  <c:v>1.6124689419937319E-4</c:v>
                </c:pt>
                <c:pt idx="17">
                  <c:v>1.1345313194418424E-4</c:v>
                </c:pt>
                <c:pt idx="18">
                  <c:v>7.143845060372335E-5</c:v>
                </c:pt>
                <c:pt idx="19">
                  <c:v>4.129944565274901E-5</c:v>
                </c:pt>
                <c:pt idx="20">
                  <c:v>2.80678747365865E-5</c:v>
                </c:pt>
                <c:pt idx="21">
                  <c:v>2.3642835185875416E-5</c:v>
                </c:pt>
                <c:pt idx="22">
                  <c:v>3.7536223519535076E-5</c:v>
                </c:pt>
                <c:pt idx="23">
                  <c:v>1.3491473496031239E-4</c:v>
                </c:pt>
                <c:pt idx="24">
                  <c:v>2.7495815111294942E-4</c:v>
                </c:pt>
                <c:pt idx="25">
                  <c:v>4.18943053522159E-4</c:v>
                </c:pt>
                <c:pt idx="26">
                  <c:v>6.9466892130081305E-4</c:v>
                </c:pt>
                <c:pt idx="27">
                  <c:v>1.112892946818384E-3</c:v>
                </c:pt>
                <c:pt idx="28">
                  <c:v>1.5325723952043496E-3</c:v>
                </c:pt>
                <c:pt idx="29">
                  <c:v>9.8014026996013433E-4</c:v>
                </c:pt>
                <c:pt idx="30">
                  <c:v>1.3788821514698507E-4</c:v>
                </c:pt>
              </c:numCache>
            </c:numRef>
          </c:yVal>
          <c:smooth val="1"/>
        </c:ser>
        <c:dLbls>
          <c:showLegendKey val="0"/>
          <c:showVal val="0"/>
          <c:showCatName val="0"/>
          <c:showSerName val="0"/>
          <c:showPercent val="0"/>
          <c:showBubbleSize val="0"/>
        </c:dLbls>
        <c:axId val="546085664"/>
        <c:axId val="546086056"/>
      </c:scatterChart>
      <c:valAx>
        <c:axId val="546085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6056"/>
        <c:crossesAt val="-1.5000000000000005E-3"/>
        <c:crossBetween val="midCat"/>
      </c:valAx>
      <c:valAx>
        <c:axId val="54608605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566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6479.4168420395154</c:v>
                </c:pt>
                <c:pt idx="1">
                  <c:v>6479.4092702911275</c:v>
                </c:pt>
                <c:pt idx="2">
                  <c:v>6479.3335975834452</c:v>
                </c:pt>
                <c:pt idx="3">
                  <c:v>6478.5813215521612</c:v>
                </c:pt>
                <c:pt idx="4">
                  <c:v>6471.4782910098047</c:v>
                </c:pt>
                <c:pt idx="5">
                  <c:v>6425.6191994212886</c:v>
                </c:pt>
                <c:pt idx="6">
                  <c:v>6280.1277204805019</c:v>
                </c:pt>
                <c:pt idx="7">
                  <c:v>6130.6652527408769</c:v>
                </c:pt>
                <c:pt idx="8">
                  <c:v>5959.6571048184533</c:v>
                </c:pt>
                <c:pt idx="9">
                  <c:v>5758.2264585789098</c:v>
                </c:pt>
                <c:pt idx="10">
                  <c:v>5554.4041954881977</c:v>
                </c:pt>
                <c:pt idx="11">
                  <c:v>5295.2283399928001</c:v>
                </c:pt>
                <c:pt idx="12">
                  <c:v>5015.5557295917479</c:v>
                </c:pt>
                <c:pt idx="13">
                  <c:v>4736.438170049908</c:v>
                </c:pt>
                <c:pt idx="14">
                  <c:v>4439.7710881614403</c:v>
                </c:pt>
                <c:pt idx="15">
                  <c:v>4114.4811952595483</c:v>
                </c:pt>
                <c:pt idx="16">
                  <c:v>3663.179188997502</c:v>
                </c:pt>
                <c:pt idx="17">
                  <c:v>3039.426771013686</c:v>
                </c:pt>
                <c:pt idx="18">
                  <c:v>2356.6862334252378</c:v>
                </c:pt>
                <c:pt idx="19">
                  <c:v>1664.5405255786975</c:v>
                </c:pt>
                <c:pt idx="20">
                  <c:v>1039.9506440089701</c:v>
                </c:pt>
                <c:pt idx="21">
                  <c:v>595.88113308162872</c:v>
                </c:pt>
                <c:pt idx="22">
                  <c:v>331.72946358291387</c:v>
                </c:pt>
                <c:pt idx="23">
                  <c:v>192.70104558319764</c:v>
                </c:pt>
                <c:pt idx="24">
                  <c:v>148.93393818982372</c:v>
                </c:pt>
                <c:pt idx="25">
                  <c:v>134.06511112856666</c:v>
                </c:pt>
                <c:pt idx="26">
                  <c:v>124.98882630534726</c:v>
                </c:pt>
                <c:pt idx="27">
                  <c:v>124.50135958051906</c:v>
                </c:pt>
                <c:pt idx="28">
                  <c:v>124.08488504926439</c:v>
                </c:pt>
                <c:pt idx="29">
                  <c:v>123.76177886987016</c:v>
                </c:pt>
                <c:pt idx="30">
                  <c:v>123.49174863064643</c:v>
                </c:pt>
              </c:numCache>
            </c:numRef>
          </c:yVal>
          <c:smooth val="1"/>
        </c:ser>
        <c:dLbls>
          <c:showLegendKey val="0"/>
          <c:showVal val="0"/>
          <c:showCatName val="0"/>
          <c:showSerName val="0"/>
          <c:showPercent val="0"/>
          <c:showBubbleSize val="0"/>
        </c:dLbls>
        <c:axId val="551026736"/>
        <c:axId val="551023992"/>
      </c:scatterChart>
      <c:valAx>
        <c:axId val="5510267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3992"/>
        <c:crosses val="autoZero"/>
        <c:crossBetween val="midCat"/>
      </c:valAx>
      <c:valAx>
        <c:axId val="5510239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673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7.6131759769316604E-3</c:v>
                </c:pt>
                <c:pt idx="1">
                  <c:v>7.6217572470041938E-3</c:v>
                </c:pt>
                <c:pt idx="2">
                  <c:v>7.617813237036716E-3</c:v>
                </c:pt>
                <c:pt idx="3">
                  <c:v>7.628480991629479E-3</c:v>
                </c:pt>
                <c:pt idx="4">
                  <c:v>7.7489842857651238E-3</c:v>
                </c:pt>
                <c:pt idx="5">
                  <c:v>8.8460933616544158E-3</c:v>
                </c:pt>
                <c:pt idx="6">
                  <c:v>1.3490064403921212E-2</c:v>
                </c:pt>
                <c:pt idx="7">
                  <c:v>1.440970034782907E-2</c:v>
                </c:pt>
                <c:pt idx="8">
                  <c:v>1.4409700592199244E-2</c:v>
                </c:pt>
                <c:pt idx="9">
                  <c:v>1.440970289587601E-2</c:v>
                </c:pt>
                <c:pt idx="10">
                  <c:v>1.4409722230092323E-2</c:v>
                </c:pt>
                <c:pt idx="11">
                  <c:v>1.4409911867016531E-2</c:v>
                </c:pt>
                <c:pt idx="12">
                  <c:v>1.4412137488530295E-2</c:v>
                </c:pt>
                <c:pt idx="13">
                  <c:v>1.4434051790649815E-2</c:v>
                </c:pt>
                <c:pt idx="14">
                  <c:v>1.4650495993561495E-2</c:v>
                </c:pt>
                <c:pt idx="15">
                  <c:v>1.6576038039839994E-2</c:v>
                </c:pt>
                <c:pt idx="16">
                  <c:v>2.5980594163333117E-2</c:v>
                </c:pt>
                <c:pt idx="17">
                  <c:v>4.2508581772033774E-2</c:v>
                </c:pt>
                <c:pt idx="18">
                  <c:v>4.3440587628928308E-2</c:v>
                </c:pt>
                <c:pt idx="19">
                  <c:v>4.8224016037320308E-2</c:v>
                </c:pt>
                <c:pt idx="20">
                  <c:v>4.6056436828073553E-2</c:v>
                </c:pt>
                <c:pt idx="21">
                  <c:v>1.459616929583653E-2</c:v>
                </c:pt>
                <c:pt idx="22">
                  <c:v>2.5280996360798481E-2</c:v>
                </c:pt>
                <c:pt idx="23">
                  <c:v>7.4646030596080284E-2</c:v>
                </c:pt>
                <c:pt idx="24">
                  <c:v>0.11328979108913374</c:v>
                </c:pt>
                <c:pt idx="25">
                  <c:v>0.13467042820091371</c:v>
                </c:pt>
                <c:pt idx="26">
                  <c:v>0.13707224353084457</c:v>
                </c:pt>
                <c:pt idx="27">
                  <c:v>7.9839972299606765E-2</c:v>
                </c:pt>
                <c:pt idx="28">
                  <c:v>1.3617917397931056E-2</c:v>
                </c:pt>
                <c:pt idx="29">
                  <c:v>0.12669813682898259</c:v>
                </c:pt>
                <c:pt idx="30">
                  <c:v>0.25690731455812355</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2.9780656103425432E-3</c:v>
                </c:pt>
                <c:pt idx="1">
                  <c:v>3.7802304617088897E-3</c:v>
                </c:pt>
                <c:pt idx="2">
                  <c:v>3.7751767700491554E-3</c:v>
                </c:pt>
                <c:pt idx="3">
                  <c:v>3.7736760572237688E-3</c:v>
                </c:pt>
                <c:pt idx="4">
                  <c:v>3.7732272548498817E-3</c:v>
                </c:pt>
                <c:pt idx="5">
                  <c:v>3.7733081430389396E-3</c:v>
                </c:pt>
                <c:pt idx="6">
                  <c:v>3.775412588883149E-3</c:v>
                </c:pt>
                <c:pt idx="7">
                  <c:v>3.7971285936170152E-3</c:v>
                </c:pt>
                <c:pt idx="8">
                  <c:v>4.0112396475554318E-3</c:v>
                </c:pt>
                <c:pt idx="9">
                  <c:v>5.8764188711536549E-3</c:v>
                </c:pt>
                <c:pt idx="10">
                  <c:v>1.3817236752852987E-2</c:v>
                </c:pt>
                <c:pt idx="11">
                  <c:v>2.1458480581395198E-2</c:v>
                </c:pt>
                <c:pt idx="12">
                  <c:v>2.2803739193540066E-2</c:v>
                </c:pt>
                <c:pt idx="13">
                  <c:v>2.752231682657541E-2</c:v>
                </c:pt>
                <c:pt idx="14">
                  <c:v>3.1803031487688919E-2</c:v>
                </c:pt>
                <c:pt idx="15">
                  <c:v>3.4446716651016202E-2</c:v>
                </c:pt>
                <c:pt idx="16">
                  <c:v>4.3622483387642408E-2</c:v>
                </c:pt>
                <c:pt idx="17">
                  <c:v>2.9479615783960095E-2</c:v>
                </c:pt>
                <c:pt idx="18">
                  <c:v>1.0278654593908927E-2</c:v>
                </c:pt>
                <c:pt idx="19">
                  <c:v>5.9031218238584489E-2</c:v>
                </c:pt>
                <c:pt idx="20">
                  <c:v>9.2094065768767441E-2</c:v>
                </c:pt>
                <c:pt idx="21">
                  <c:v>6.7450197658219566E-2</c:v>
                </c:pt>
                <c:pt idx="22">
                  <c:v>7.3279446586467295E-3</c:v>
                </c:pt>
                <c:pt idx="23">
                  <c:v>7.5620407374888995E-2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5.1071190989833987E-5</c:v>
                </c:pt>
                <c:pt idx="1">
                  <c:v>4.2719705030424154E-5</c:v>
                </c:pt>
                <c:pt idx="2">
                  <c:v>4.5010162809669817E-5</c:v>
                </c:pt>
                <c:pt idx="3">
                  <c:v>1.9664985176614668E-5</c:v>
                </c:pt>
                <c:pt idx="4">
                  <c:v>1.9992421113350966E-4</c:v>
                </c:pt>
                <c:pt idx="5">
                  <c:v>4.6417015984965108E-5</c:v>
                </c:pt>
                <c:pt idx="6">
                  <c:v>1.02070608755905E-6</c:v>
                </c:pt>
                <c:pt idx="7">
                  <c:v>1.2554609712992336E-5</c:v>
                </c:pt>
                <c:pt idx="8">
                  <c:v>3.3700877937510484E-5</c:v>
                </c:pt>
                <c:pt idx="9">
                  <c:v>6.9717361979350679E-5</c:v>
                </c:pt>
                <c:pt idx="10">
                  <c:v>1.2559057284072952E-4</c:v>
                </c:pt>
                <c:pt idx="11">
                  <c:v>1.8541528392303832E-4</c:v>
                </c:pt>
                <c:pt idx="12">
                  <c:v>2.413563588270372E-4</c:v>
                </c:pt>
                <c:pt idx="13">
                  <c:v>2.6697980966966349E-4</c:v>
                </c:pt>
                <c:pt idx="14">
                  <c:v>2.5913082153669403E-4</c:v>
                </c:pt>
                <c:pt idx="15">
                  <c:v>2.1275260933353385E-4</c:v>
                </c:pt>
                <c:pt idx="16">
                  <c:v>1.6391022838961223E-4</c:v>
                </c:pt>
                <c:pt idx="17">
                  <c:v>1.099528967711234E-4</c:v>
                </c:pt>
                <c:pt idx="18">
                  <c:v>7.6006267797448554E-5</c:v>
                </c:pt>
                <c:pt idx="19">
                  <c:v>3.5273074196558808E-5</c:v>
                </c:pt>
                <c:pt idx="20">
                  <c:v>3.5587136661408383E-5</c:v>
                </c:pt>
                <c:pt idx="21">
                  <c:v>1.6252575751111778E-5</c:v>
                </c:pt>
                <c:pt idx="22">
                  <c:v>5.0252856239655708E-5</c:v>
                </c:pt>
                <c:pt idx="23">
                  <c:v>1.2681422957469231E-4</c:v>
                </c:pt>
                <c:pt idx="24">
                  <c:v>2.7617918938355575E-4</c:v>
                </c:pt>
                <c:pt idx="25">
                  <c:v>4.1639865775659876E-4</c:v>
                </c:pt>
                <c:pt idx="26">
                  <c:v>6.9480889910878666E-4</c:v>
                </c:pt>
                <c:pt idx="27">
                  <c:v>1.1128704228812491E-3</c:v>
                </c:pt>
                <c:pt idx="28">
                  <c:v>1.5326647394006817E-3</c:v>
                </c:pt>
                <c:pt idx="29">
                  <c:v>9.8012617607727581E-4</c:v>
                </c:pt>
                <c:pt idx="30">
                  <c:v>1.3795263751017139E-4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4.9259200012427987E-3</c:v>
                </c:pt>
                <c:pt idx="1">
                  <c:v>1.3766301156869562E-2</c:v>
                </c:pt>
                <c:pt idx="2">
                  <c:v>1.7163245850760137E-2</c:v>
                </c:pt>
                <c:pt idx="3">
                  <c:v>1.7114828178240955E-2</c:v>
                </c:pt>
                <c:pt idx="4">
                  <c:v>1.9768030695959414E-2</c:v>
                </c:pt>
                <c:pt idx="5">
                  <c:v>2.0213050380046681E-2</c:v>
                </c:pt>
                <c:pt idx="6">
                  <c:v>5.9537338029411425E-3</c:v>
                </c:pt>
                <c:pt idx="7">
                  <c:v>2.1839509584092531E-2</c:v>
                </c:pt>
                <c:pt idx="8">
                  <c:v>4.2997621448863065E-2</c:v>
                </c:pt>
                <c:pt idx="9">
                  <c:v>2.746348872947459E-2</c:v>
                </c:pt>
                <c:pt idx="10">
                  <c:v>1.1684710880283368E-2</c:v>
                </c:pt>
                <c:pt idx="11">
                  <c:v>1.3320296174877256E-2</c:v>
                </c:pt>
                <c:pt idx="12">
                  <c:v>5.1489113429495637E-2</c:v>
                </c:pt>
                <c:pt idx="13">
                  <c:v>0.103495620334427</c:v>
                </c:pt>
                <c:pt idx="14">
                  <c:v>9.935908101360251E-2</c:v>
                </c:pt>
                <c:pt idx="15">
                  <c:v>0.12057086612309853</c:v>
                </c:pt>
                <c:pt idx="16">
                  <c:v>0.12180790134949487</c:v>
                </c:pt>
                <c:pt idx="17">
                  <c:v>0.11258773476693348</c:v>
                </c:pt>
                <c:pt idx="18">
                  <c:v>9.6247792261503595E-2</c:v>
                </c:pt>
                <c:pt idx="19">
                  <c:v>7.381479315770062E-2</c:v>
                </c:pt>
                <c:pt idx="20">
                  <c:v>5.5334456510322434E-2</c:v>
                </c:pt>
                <c:pt idx="21">
                  <c:v>4.2224125549238198E-2</c:v>
                </c:pt>
                <c:pt idx="22">
                  <c:v>3.155139083734311E-2</c:v>
                </c:pt>
                <c:pt idx="23">
                  <c:v>2.3497822643045098E-2</c:v>
                </c:pt>
                <c:pt idx="24">
                  <c:v>1.7504438951175646E-2</c:v>
                </c:pt>
                <c:pt idx="25">
                  <c:v>1.639453227028418E-2</c:v>
                </c:pt>
                <c:pt idx="26">
                  <c:v>1.482758411920169E-2</c:v>
                </c:pt>
                <c:pt idx="27">
                  <c:v>8.1905999504363301E-3</c:v>
                </c:pt>
                <c:pt idx="28">
                  <c:v>8.0842486733084685E-3</c:v>
                </c:pt>
                <c:pt idx="29">
                  <c:v>4.5274759238669903E-3</c:v>
                </c:pt>
                <c:pt idx="30">
                  <c:v>4.4352921737165927E-3</c:v>
                </c:pt>
              </c:numCache>
            </c:numRef>
          </c:yVal>
          <c:smooth val="1"/>
        </c:ser>
        <c:dLbls>
          <c:showLegendKey val="0"/>
          <c:showVal val="0"/>
          <c:showCatName val="0"/>
          <c:showSerName val="0"/>
          <c:showPercent val="0"/>
          <c:showBubbleSize val="0"/>
        </c:dLbls>
        <c:axId val="551025168"/>
        <c:axId val="544054072"/>
      </c:scatterChart>
      <c:valAx>
        <c:axId val="551025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4072"/>
        <c:crossesAt val="1.0000000000000005E-9"/>
        <c:crossBetween val="midCat"/>
      </c:valAx>
      <c:valAx>
        <c:axId val="544054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51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-24.635274013105377</c:v>
                </c:pt>
                <c:pt idx="1">
                  <c:v>-21.515325644798491</c:v>
                </c:pt>
                <c:pt idx="2">
                  <c:v>-17.307978877914891</c:v>
                </c:pt>
                <c:pt idx="3">
                  <c:v>-10.743893827874675</c:v>
                </c:pt>
                <c:pt idx="4">
                  <c:v>0</c:v>
                </c:pt>
                <c:pt idx="5">
                  <c:v>19.380397857459062</c:v>
                </c:pt>
                <c:pt idx="6">
                  <c:v>23.582586792413974</c:v>
                </c:pt>
              </c:numCache>
            </c:numRef>
          </c:yVal>
          <c:smooth val="0"/>
        </c:ser>
        <c:dLbls>
          <c:showLegendKey val="0"/>
          <c:showVal val="0"/>
          <c:showCatName val="0"/>
          <c:showSerName val="0"/>
          <c:showPercent val="0"/>
          <c:showBubbleSize val="0"/>
        </c:dLbls>
        <c:axId val="544053680"/>
        <c:axId val="448168936"/>
      </c:scatterChart>
      <c:valAx>
        <c:axId val="544053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168936"/>
        <c:crossesAt val="-100"/>
        <c:crossBetween val="midCat"/>
      </c:valAx>
      <c:valAx>
        <c:axId val="448168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36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663525856"/>
        <c:axId val="663524680"/>
      </c:scatterChart>
      <c:valAx>
        <c:axId val="6635258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4680"/>
        <c:crosses val="autoZero"/>
        <c:crossBetween val="midCat"/>
      </c:valAx>
      <c:valAx>
        <c:axId val="6635246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58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2.0000296587582687E-26</c:v>
                </c:pt>
                <c:pt idx="1">
                  <c:v>2.0000296587582685E-25</c:v>
                </c:pt>
                <c:pt idx="2">
                  <c:v>2.0000296587582686E-24</c:v>
                </c:pt>
                <c:pt idx="3">
                  <c:v>2.0000296587582683E-23</c:v>
                </c:pt>
                <c:pt idx="4">
                  <c:v>2.0000296587582683E-22</c:v>
                </c:pt>
                <c:pt idx="5">
                  <c:v>2.0000296587582685E-21</c:v>
                </c:pt>
                <c:pt idx="6">
                  <c:v>2.0000296587582685E-20</c:v>
                </c:pt>
                <c:pt idx="7">
                  <c:v>2.0000296587582686E-19</c:v>
                </c:pt>
                <c:pt idx="8">
                  <c:v>2.0000296587582683E-18</c:v>
                </c:pt>
                <c:pt idx="9">
                  <c:v>2.0000296587582683E-17</c:v>
                </c:pt>
                <c:pt idx="10">
                  <c:v>2.0000296587582686E-16</c:v>
                </c:pt>
                <c:pt idx="11">
                  <c:v>2.0000296587582686E-15</c:v>
                </c:pt>
                <c:pt idx="12">
                  <c:v>2.0000296587582686E-14</c:v>
                </c:pt>
                <c:pt idx="13">
                  <c:v>2.0000296587582685E-13</c:v>
                </c:pt>
                <c:pt idx="14">
                  <c:v>2.0000296587582684E-12</c:v>
                </c:pt>
                <c:pt idx="15">
                  <c:v>2.0000296587582683E-11</c:v>
                </c:pt>
                <c:pt idx="16">
                  <c:v>2.0000296587582685E-10</c:v>
                </c:pt>
                <c:pt idx="17">
                  <c:v>2.0000296587582686E-9</c:v>
                </c:pt>
                <c:pt idx="18">
                  <c:v>2.0000296587582685E-8</c:v>
                </c:pt>
                <c:pt idx="19">
                  <c:v>2.0000296587582685E-7</c:v>
                </c:pt>
                <c:pt idx="20">
                  <c:v>2.0000296587582683E-6</c:v>
                </c:pt>
                <c:pt idx="21">
                  <c:v>2.0000296587582684E-5</c:v>
                </c:pt>
                <c:pt idx="22">
                  <c:v>2.0000296587582684E-4</c:v>
                </c:pt>
                <c:pt idx="23">
                  <c:v>2.0000296587582684E-3</c:v>
                </c:pt>
                <c:pt idx="24">
                  <c:v>2.0000296587582685E-2</c:v>
                </c:pt>
                <c:pt idx="25">
                  <c:v>0.20000296587582683</c:v>
                </c:pt>
                <c:pt idx="26">
                  <c:v>2.0000296587582684</c:v>
                </c:pt>
                <c:pt idx="27">
                  <c:v>20.000296587582685</c:v>
                </c:pt>
                <c:pt idx="28">
                  <c:v>200.00296587582685</c:v>
                </c:pt>
                <c:pt idx="29">
                  <c:v>2000.0296587582684</c:v>
                </c:pt>
                <c:pt idx="30">
                  <c:v>20000.296587582685</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4.5291092433694712E-25</c:v>
                </c:pt>
                <c:pt idx="1">
                  <c:v>4.5291092433694708E-24</c:v>
                </c:pt>
                <c:pt idx="2">
                  <c:v>4.5291092433694713E-23</c:v>
                </c:pt>
                <c:pt idx="3">
                  <c:v>4.529109243369471E-22</c:v>
                </c:pt>
                <c:pt idx="4">
                  <c:v>4.5291092433694705E-21</c:v>
                </c:pt>
                <c:pt idx="5">
                  <c:v>4.5291092433694714E-20</c:v>
                </c:pt>
                <c:pt idx="6">
                  <c:v>4.5291092433694711E-19</c:v>
                </c:pt>
                <c:pt idx="7">
                  <c:v>4.5291092433694713E-18</c:v>
                </c:pt>
                <c:pt idx="8">
                  <c:v>4.5291092433694712E-17</c:v>
                </c:pt>
                <c:pt idx="9">
                  <c:v>4.5291092433694705E-16</c:v>
                </c:pt>
                <c:pt idx="10">
                  <c:v>4.5291092433694711E-15</c:v>
                </c:pt>
                <c:pt idx="11">
                  <c:v>4.5291092433694711E-14</c:v>
                </c:pt>
                <c:pt idx="12">
                  <c:v>4.529109243369471E-13</c:v>
                </c:pt>
                <c:pt idx="13">
                  <c:v>4.5291092433694711E-12</c:v>
                </c:pt>
                <c:pt idx="14">
                  <c:v>4.5291092433694714E-11</c:v>
                </c:pt>
                <c:pt idx="15">
                  <c:v>4.5291092433694709E-10</c:v>
                </c:pt>
                <c:pt idx="16">
                  <c:v>4.5291092433694712E-9</c:v>
                </c:pt>
                <c:pt idx="17">
                  <c:v>4.5291092433694714E-8</c:v>
                </c:pt>
                <c:pt idx="18">
                  <c:v>4.5291092433694713E-7</c:v>
                </c:pt>
                <c:pt idx="19">
                  <c:v>4.5291092433694708E-6</c:v>
                </c:pt>
                <c:pt idx="20">
                  <c:v>4.5291092433694708E-5</c:v>
                </c:pt>
                <c:pt idx="21">
                  <c:v>4.529109243369471E-4</c:v>
                </c:pt>
                <c:pt idx="22">
                  <c:v>4.5291092433694712E-3</c:v>
                </c:pt>
                <c:pt idx="23">
                  <c:v>4.529109243369471E-2</c:v>
                </c:pt>
                <c:pt idx="24">
                  <c:v>0.45291092433694713</c:v>
                </c:pt>
                <c:pt idx="25">
                  <c:v>4.5291092433694713</c:v>
                </c:pt>
                <c:pt idx="26">
                  <c:v>45.291092433694708</c:v>
                </c:pt>
                <c:pt idx="27">
                  <c:v>452.91092433694712</c:v>
                </c:pt>
                <c:pt idx="28">
                  <c:v>4529.1092433694712</c:v>
                </c:pt>
                <c:pt idx="29">
                  <c:v>45291.092433694714</c:v>
                </c:pt>
                <c:pt idx="30">
                  <c:v>452910.92433694709</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3.0425679098383752E-23</c:v>
                </c:pt>
                <c:pt idx="1">
                  <c:v>3.0425679098383754E-22</c:v>
                </c:pt>
                <c:pt idx="2">
                  <c:v>3.0425679098383751E-21</c:v>
                </c:pt>
                <c:pt idx="3">
                  <c:v>3.0425679098383751E-20</c:v>
                </c:pt>
                <c:pt idx="4">
                  <c:v>3.0425679098383748E-19</c:v>
                </c:pt>
                <c:pt idx="5">
                  <c:v>3.0425679098383752E-18</c:v>
                </c:pt>
                <c:pt idx="6">
                  <c:v>3.0425679098383752E-17</c:v>
                </c:pt>
                <c:pt idx="7">
                  <c:v>3.0425679098383752E-16</c:v>
                </c:pt>
                <c:pt idx="8">
                  <c:v>3.0425679098383751E-15</c:v>
                </c:pt>
                <c:pt idx="9">
                  <c:v>3.0425679098383751E-14</c:v>
                </c:pt>
                <c:pt idx="10">
                  <c:v>3.0425679098383753E-13</c:v>
                </c:pt>
                <c:pt idx="11">
                  <c:v>3.0425679098383752E-12</c:v>
                </c:pt>
                <c:pt idx="12">
                  <c:v>3.0425679098383756E-11</c:v>
                </c:pt>
                <c:pt idx="13">
                  <c:v>3.0425679098383752E-10</c:v>
                </c:pt>
                <c:pt idx="14">
                  <c:v>3.0425679098383753E-9</c:v>
                </c:pt>
                <c:pt idx="15">
                  <c:v>3.0425679098383754E-8</c:v>
                </c:pt>
                <c:pt idx="16">
                  <c:v>3.0425679098383751E-7</c:v>
                </c:pt>
                <c:pt idx="17">
                  <c:v>3.0425679098383753E-6</c:v>
                </c:pt>
                <c:pt idx="18">
                  <c:v>3.0425679098383753E-5</c:v>
                </c:pt>
                <c:pt idx="19">
                  <c:v>3.0425679098383749E-4</c:v>
                </c:pt>
                <c:pt idx="20">
                  <c:v>3.0425679098383751E-3</c:v>
                </c:pt>
                <c:pt idx="21">
                  <c:v>3.0425679098383753E-2</c:v>
                </c:pt>
                <c:pt idx="22">
                  <c:v>0.30425679098383751</c:v>
                </c:pt>
                <c:pt idx="23">
                  <c:v>3.0425679098383753</c:v>
                </c:pt>
                <c:pt idx="24">
                  <c:v>30.425679098383753</c:v>
                </c:pt>
                <c:pt idx="25">
                  <c:v>304.2567909838375</c:v>
                </c:pt>
                <c:pt idx="26">
                  <c:v>3042.5679098383753</c:v>
                </c:pt>
                <c:pt idx="27">
                  <c:v>30425.679098383753</c:v>
                </c:pt>
                <c:pt idx="28">
                  <c:v>304256.79098383751</c:v>
                </c:pt>
                <c:pt idx="29">
                  <c:v>3042567.9098383752</c:v>
                </c:pt>
                <c:pt idx="30">
                  <c:v>30425679.098383751</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2.1576758285709431E-20</c:v>
                </c:pt>
                <c:pt idx="1">
                  <c:v>2.157675828570943E-19</c:v>
                </c:pt>
                <c:pt idx="2">
                  <c:v>2.1576758285709429E-18</c:v>
                </c:pt>
                <c:pt idx="3">
                  <c:v>2.157675828570943E-17</c:v>
                </c:pt>
                <c:pt idx="4">
                  <c:v>2.1576758285709428E-16</c:v>
                </c:pt>
                <c:pt idx="5">
                  <c:v>2.1576758285709429E-15</c:v>
                </c:pt>
                <c:pt idx="6">
                  <c:v>2.1576758285709432E-14</c:v>
                </c:pt>
                <c:pt idx="7">
                  <c:v>2.1576758285709431E-13</c:v>
                </c:pt>
                <c:pt idx="8">
                  <c:v>2.1576758285709429E-12</c:v>
                </c:pt>
                <c:pt idx="9">
                  <c:v>2.1576758285709428E-11</c:v>
                </c:pt>
                <c:pt idx="10">
                  <c:v>2.1576758285709432E-10</c:v>
                </c:pt>
                <c:pt idx="11">
                  <c:v>2.1576758285709431E-9</c:v>
                </c:pt>
                <c:pt idx="12">
                  <c:v>2.1576758285709429E-8</c:v>
                </c:pt>
                <c:pt idx="13">
                  <c:v>2.1576758285709429E-7</c:v>
                </c:pt>
                <c:pt idx="14">
                  <c:v>2.1576758285709431E-6</c:v>
                </c:pt>
                <c:pt idx="15">
                  <c:v>2.1576758285709429E-5</c:v>
                </c:pt>
                <c:pt idx="16">
                  <c:v>2.157675828570943E-4</c:v>
                </c:pt>
                <c:pt idx="17">
                  <c:v>2.1576758285709432E-3</c:v>
                </c:pt>
                <c:pt idx="18">
                  <c:v>2.157675828570943E-2</c:v>
                </c:pt>
                <c:pt idx="19">
                  <c:v>0.2157675828570943</c:v>
                </c:pt>
                <c:pt idx="20">
                  <c:v>2.1576758285709428</c:v>
                </c:pt>
                <c:pt idx="21">
                  <c:v>21.576758285709431</c:v>
                </c:pt>
                <c:pt idx="22">
                  <c:v>215.76758285709428</c:v>
                </c:pt>
                <c:pt idx="23">
                  <c:v>2157.6758285709429</c:v>
                </c:pt>
                <c:pt idx="24">
                  <c:v>21576.758285709431</c:v>
                </c:pt>
                <c:pt idx="25">
                  <c:v>215767.5828570943</c:v>
                </c:pt>
                <c:pt idx="26">
                  <c:v>2157675.8285709429</c:v>
                </c:pt>
                <c:pt idx="27">
                  <c:v>21576758.28570943</c:v>
                </c:pt>
                <c:pt idx="28">
                  <c:v>215767582.85709429</c:v>
                </c:pt>
                <c:pt idx="29">
                  <c:v>2157675828.5709429</c:v>
                </c:pt>
                <c:pt idx="30">
                  <c:v>21576758285.709431</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2.6109577642565286E-7</c:v>
                </c:pt>
                <c:pt idx="1">
                  <c:v>2.6109577642565279E-6</c:v>
                </c:pt>
                <c:pt idx="2">
                  <c:v>2.6109577642565281E-5</c:v>
                </c:pt>
                <c:pt idx="3">
                  <c:v>2.6109577642565281E-4</c:v>
                </c:pt>
                <c:pt idx="4">
                  <c:v>2.610957764256528E-3</c:v>
                </c:pt>
                <c:pt idx="5">
                  <c:v>2.6109577642565281E-2</c:v>
                </c:pt>
                <c:pt idx="6">
                  <c:v>0.26109577642565285</c:v>
                </c:pt>
                <c:pt idx="7">
                  <c:v>2.6109577642565283</c:v>
                </c:pt>
                <c:pt idx="8">
                  <c:v>26.109577642565281</c:v>
                </c:pt>
                <c:pt idx="9">
                  <c:v>261.09577642565279</c:v>
                </c:pt>
                <c:pt idx="10">
                  <c:v>2610.9577642565282</c:v>
                </c:pt>
                <c:pt idx="11">
                  <c:v>26109.577642565284</c:v>
                </c:pt>
                <c:pt idx="12">
                  <c:v>261095.77642565282</c:v>
                </c:pt>
                <c:pt idx="13">
                  <c:v>2610957.7642565281</c:v>
                </c:pt>
                <c:pt idx="14">
                  <c:v>26109577.642565284</c:v>
                </c:pt>
                <c:pt idx="15">
                  <c:v>261095776.4256528</c:v>
                </c:pt>
                <c:pt idx="16">
                  <c:v>2610957764.2565279</c:v>
                </c:pt>
                <c:pt idx="17">
                  <c:v>26109577642.565281</c:v>
                </c:pt>
                <c:pt idx="18">
                  <c:v>261095776425.6528</c:v>
                </c:pt>
                <c:pt idx="19">
                  <c:v>2610957764256.5283</c:v>
                </c:pt>
                <c:pt idx="20">
                  <c:v>26109577642565.281</c:v>
                </c:pt>
                <c:pt idx="21">
                  <c:v>261095776425652.81</c:v>
                </c:pt>
                <c:pt idx="22">
                  <c:v>2610957764256528</c:v>
                </c:pt>
                <c:pt idx="23">
                  <c:v>2.610957764256528E+16</c:v>
                </c:pt>
                <c:pt idx="24">
                  <c:v>2.610957764256528E+17</c:v>
                </c:pt>
                <c:pt idx="25">
                  <c:v>2.6109577642565279E+18</c:v>
                </c:pt>
                <c:pt idx="26">
                  <c:v>2.610957764256528E+19</c:v>
                </c:pt>
                <c:pt idx="27">
                  <c:v>2.6109577642565281E+20</c:v>
                </c:pt>
                <c:pt idx="28">
                  <c:v>2.6109577642565283E+21</c:v>
                </c:pt>
                <c:pt idx="29">
                  <c:v>2.610957764256528E+22</c:v>
                </c:pt>
                <c:pt idx="30">
                  <c:v>2.6109577642565282E+23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1.7449673807042556E-5</c:v>
                </c:pt>
                <c:pt idx="1">
                  <c:v>1.7449673807042555E-4</c:v>
                </c:pt>
                <c:pt idx="2">
                  <c:v>1.7449673807042555E-3</c:v>
                </c:pt>
                <c:pt idx="3">
                  <c:v>1.7449673807042553E-2</c:v>
                </c:pt>
                <c:pt idx="4">
                  <c:v>0.17449673807042554</c:v>
                </c:pt>
                <c:pt idx="5">
                  <c:v>1.7449673807042554</c:v>
                </c:pt>
                <c:pt idx="6">
                  <c:v>17.449673807042554</c:v>
                </c:pt>
                <c:pt idx="7">
                  <c:v>174.49673807042555</c:v>
                </c:pt>
                <c:pt idx="8">
                  <c:v>1744.9673807042554</c:v>
                </c:pt>
                <c:pt idx="9">
                  <c:v>17449.673807042553</c:v>
                </c:pt>
                <c:pt idx="10">
                  <c:v>174496.73807042555</c:v>
                </c:pt>
                <c:pt idx="11">
                  <c:v>1744967.3807042555</c:v>
                </c:pt>
                <c:pt idx="12">
                  <c:v>17449673.807042554</c:v>
                </c:pt>
                <c:pt idx="13">
                  <c:v>174496738.07042554</c:v>
                </c:pt>
                <c:pt idx="14">
                  <c:v>1744967380.7042556</c:v>
                </c:pt>
                <c:pt idx="15">
                  <c:v>17449673807.042553</c:v>
                </c:pt>
                <c:pt idx="16">
                  <c:v>174496738070.42554</c:v>
                </c:pt>
                <c:pt idx="17">
                  <c:v>1744967380704.2554</c:v>
                </c:pt>
                <c:pt idx="18">
                  <c:v>17449673807042.555</c:v>
                </c:pt>
                <c:pt idx="19">
                  <c:v>174496738070425.53</c:v>
                </c:pt>
                <c:pt idx="20">
                  <c:v>1744967380704255.5</c:v>
                </c:pt>
                <c:pt idx="21">
                  <c:v>1.7449673807042554E+16</c:v>
                </c:pt>
                <c:pt idx="22">
                  <c:v>1.7449673807042554E+17</c:v>
                </c:pt>
                <c:pt idx="23">
                  <c:v>1.7449673807042555E+18</c:v>
                </c:pt>
                <c:pt idx="24">
                  <c:v>1.7449673807042554E+19</c:v>
                </c:pt>
                <c:pt idx="25">
                  <c:v>1.7449673807042553E+20</c:v>
                </c:pt>
                <c:pt idx="26">
                  <c:v>1.7449673807042555E+21</c:v>
                </c:pt>
                <c:pt idx="27">
                  <c:v>1.7449673807042554E+22</c:v>
                </c:pt>
                <c:pt idx="28">
                  <c:v>1.7449673807042554E+23</c:v>
                </c:pt>
                <c:pt idx="29">
                  <c:v>1.7449673807042554E+24</c:v>
                </c:pt>
                <c:pt idx="30">
                  <c:v>1.7449673807042554E+25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663523896"/>
        <c:axId val="663526248"/>
      </c:scatterChart>
      <c:valAx>
        <c:axId val="6635238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6248"/>
        <c:crosses val="autoZero"/>
        <c:crossBetween val="midCat"/>
      </c:valAx>
      <c:valAx>
        <c:axId val="663526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38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2.0000296587582687E-26</c:v>
                </c:pt>
                <c:pt idx="1">
                  <c:v>2.0000296587582685E-25</c:v>
                </c:pt>
                <c:pt idx="2">
                  <c:v>2.0000296587582686E-24</c:v>
                </c:pt>
                <c:pt idx="3">
                  <c:v>2.0000296587582683E-23</c:v>
                </c:pt>
                <c:pt idx="4">
                  <c:v>2.0000296587582683E-22</c:v>
                </c:pt>
                <c:pt idx="5">
                  <c:v>2.0000296587582685E-21</c:v>
                </c:pt>
                <c:pt idx="6">
                  <c:v>2.0000296587582685E-20</c:v>
                </c:pt>
                <c:pt idx="7">
                  <c:v>2.0000296587582686E-19</c:v>
                </c:pt>
                <c:pt idx="8">
                  <c:v>2.0000296587582683E-18</c:v>
                </c:pt>
                <c:pt idx="9">
                  <c:v>2.0000296587582683E-17</c:v>
                </c:pt>
                <c:pt idx="10">
                  <c:v>2.0000296587582686E-16</c:v>
                </c:pt>
                <c:pt idx="11">
                  <c:v>2.0000296587582686E-15</c:v>
                </c:pt>
                <c:pt idx="12">
                  <c:v>2.0000296587582686E-14</c:v>
                </c:pt>
                <c:pt idx="13">
                  <c:v>2.0000296587582685E-13</c:v>
                </c:pt>
                <c:pt idx="14">
                  <c:v>2.0000296587582684E-12</c:v>
                </c:pt>
                <c:pt idx="15">
                  <c:v>2.0000296587582683E-11</c:v>
                </c:pt>
                <c:pt idx="16">
                  <c:v>2.0000296587582685E-10</c:v>
                </c:pt>
                <c:pt idx="17">
                  <c:v>2.0000296587582686E-9</c:v>
                </c:pt>
                <c:pt idx="18">
                  <c:v>2.0000296587582685E-8</c:v>
                </c:pt>
                <c:pt idx="19">
                  <c:v>2.0000296587582685E-7</c:v>
                </c:pt>
                <c:pt idx="20">
                  <c:v>2.0000296587582683E-6</c:v>
                </c:pt>
                <c:pt idx="21">
                  <c:v>2.0000296587582684E-5</c:v>
                </c:pt>
                <c:pt idx="22">
                  <c:v>2.0000296587582684E-4</c:v>
                </c:pt>
                <c:pt idx="23">
                  <c:v>2.0000296587582684E-3</c:v>
                </c:pt>
                <c:pt idx="24">
                  <c:v>2.0000296587582685E-2</c:v>
                </c:pt>
                <c:pt idx="25">
                  <c:v>0.20000296587582683</c:v>
                </c:pt>
                <c:pt idx="26">
                  <c:v>2.0000296587582684</c:v>
                </c:pt>
                <c:pt idx="27">
                  <c:v>20.000296587582685</c:v>
                </c:pt>
                <c:pt idx="28">
                  <c:v>200.00296587582685</c:v>
                </c:pt>
                <c:pt idx="29">
                  <c:v>2000.0296587582684</c:v>
                </c:pt>
                <c:pt idx="30">
                  <c:v>20000.296587582685</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4.5291092433694712E-25</c:v>
                </c:pt>
                <c:pt idx="1">
                  <c:v>4.5291092433694708E-24</c:v>
                </c:pt>
                <c:pt idx="2">
                  <c:v>4.5291092433694713E-23</c:v>
                </c:pt>
                <c:pt idx="3">
                  <c:v>4.529109243369471E-22</c:v>
                </c:pt>
                <c:pt idx="4">
                  <c:v>4.5291092433694705E-21</c:v>
                </c:pt>
                <c:pt idx="5">
                  <c:v>4.5291092433694714E-20</c:v>
                </c:pt>
                <c:pt idx="6">
                  <c:v>4.5291092433694711E-19</c:v>
                </c:pt>
                <c:pt idx="7">
                  <c:v>4.5291092433694713E-18</c:v>
                </c:pt>
                <c:pt idx="8">
                  <c:v>4.5291092433694712E-17</c:v>
                </c:pt>
                <c:pt idx="9">
                  <c:v>4.5291092433694705E-16</c:v>
                </c:pt>
                <c:pt idx="10">
                  <c:v>4.5291092433694711E-15</c:v>
                </c:pt>
                <c:pt idx="11">
                  <c:v>4.5291092433694711E-14</c:v>
                </c:pt>
                <c:pt idx="12">
                  <c:v>4.529109243369471E-13</c:v>
                </c:pt>
                <c:pt idx="13">
                  <c:v>4.5291092433694711E-12</c:v>
                </c:pt>
                <c:pt idx="14">
                  <c:v>4.5291092433694714E-11</c:v>
                </c:pt>
                <c:pt idx="15">
                  <c:v>4.5291092433694709E-10</c:v>
                </c:pt>
                <c:pt idx="16">
                  <c:v>4.5291092433694712E-9</c:v>
                </c:pt>
                <c:pt idx="17">
                  <c:v>4.5291092433694714E-8</c:v>
                </c:pt>
                <c:pt idx="18">
                  <c:v>4.5291092433694713E-7</c:v>
                </c:pt>
                <c:pt idx="19">
                  <c:v>4.5291092433694708E-6</c:v>
                </c:pt>
                <c:pt idx="20">
                  <c:v>4.5291092433694708E-5</c:v>
                </c:pt>
                <c:pt idx="21">
                  <c:v>4.529109243369471E-4</c:v>
                </c:pt>
                <c:pt idx="22">
                  <c:v>4.5291092433694712E-3</c:v>
                </c:pt>
                <c:pt idx="23">
                  <c:v>4.529109243369471E-2</c:v>
                </c:pt>
                <c:pt idx="24">
                  <c:v>0.45291092433694713</c:v>
                </c:pt>
                <c:pt idx="25">
                  <c:v>4.5291092433694713</c:v>
                </c:pt>
                <c:pt idx="26">
                  <c:v>45.291092433694708</c:v>
                </c:pt>
                <c:pt idx="27">
                  <c:v>452.91092433694712</c:v>
                </c:pt>
                <c:pt idx="28">
                  <c:v>4529.1092433694712</c:v>
                </c:pt>
                <c:pt idx="29">
                  <c:v>45291.092433694714</c:v>
                </c:pt>
                <c:pt idx="30">
                  <c:v>452910.92433694709</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3.0425679098383752E-23</c:v>
                </c:pt>
                <c:pt idx="1">
                  <c:v>3.0425679098383754E-22</c:v>
                </c:pt>
                <c:pt idx="2">
                  <c:v>3.0425679098383751E-21</c:v>
                </c:pt>
                <c:pt idx="3">
                  <c:v>3.0425679098383751E-20</c:v>
                </c:pt>
                <c:pt idx="4">
                  <c:v>3.0425679098383748E-19</c:v>
                </c:pt>
                <c:pt idx="5">
                  <c:v>3.0425679098383752E-18</c:v>
                </c:pt>
                <c:pt idx="6">
                  <c:v>3.0425679098383752E-17</c:v>
                </c:pt>
                <c:pt idx="7">
                  <c:v>3.0425679098383752E-16</c:v>
                </c:pt>
                <c:pt idx="8">
                  <c:v>3.0425679098383751E-15</c:v>
                </c:pt>
                <c:pt idx="9">
                  <c:v>3.0425679098383751E-14</c:v>
                </c:pt>
                <c:pt idx="10">
                  <c:v>3.0425679098383753E-13</c:v>
                </c:pt>
                <c:pt idx="11">
                  <c:v>3.0425679098383752E-12</c:v>
                </c:pt>
                <c:pt idx="12">
                  <c:v>3.0425679098383756E-11</c:v>
                </c:pt>
                <c:pt idx="13">
                  <c:v>3.0425679098383752E-10</c:v>
                </c:pt>
                <c:pt idx="14">
                  <c:v>3.0425679098383753E-9</c:v>
                </c:pt>
                <c:pt idx="15">
                  <c:v>3.0425679098383754E-8</c:v>
                </c:pt>
                <c:pt idx="16">
                  <c:v>3.0425679098383751E-7</c:v>
                </c:pt>
                <c:pt idx="17">
                  <c:v>3.0425679098383753E-6</c:v>
                </c:pt>
                <c:pt idx="18">
                  <c:v>3.0425679098383753E-5</c:v>
                </c:pt>
                <c:pt idx="19">
                  <c:v>3.0425679098383749E-4</c:v>
                </c:pt>
                <c:pt idx="20">
                  <c:v>3.0425679098383751E-3</c:v>
                </c:pt>
                <c:pt idx="21">
                  <c:v>3.0425679098383753E-2</c:v>
                </c:pt>
                <c:pt idx="22">
                  <c:v>0.30425679098383751</c:v>
                </c:pt>
                <c:pt idx="23">
                  <c:v>3.0425679098383753</c:v>
                </c:pt>
                <c:pt idx="24">
                  <c:v>30.425679098383753</c:v>
                </c:pt>
                <c:pt idx="25">
                  <c:v>304.2567909838375</c:v>
                </c:pt>
                <c:pt idx="26">
                  <c:v>3042.5679098383753</c:v>
                </c:pt>
                <c:pt idx="27">
                  <c:v>30425.679098383753</c:v>
                </c:pt>
                <c:pt idx="28">
                  <c:v>304256.79098383751</c:v>
                </c:pt>
                <c:pt idx="29">
                  <c:v>3042567.9098383752</c:v>
                </c:pt>
                <c:pt idx="30">
                  <c:v>30425679.098383751</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2.1576758285709431E-20</c:v>
                </c:pt>
                <c:pt idx="1">
                  <c:v>2.157675828570943E-19</c:v>
                </c:pt>
                <c:pt idx="2">
                  <c:v>2.1576758285709429E-18</c:v>
                </c:pt>
                <c:pt idx="3">
                  <c:v>2.157675828570943E-17</c:v>
                </c:pt>
                <c:pt idx="4">
                  <c:v>2.1576758285709428E-16</c:v>
                </c:pt>
                <c:pt idx="5">
                  <c:v>2.1576758285709429E-15</c:v>
                </c:pt>
                <c:pt idx="6">
                  <c:v>2.1576758285709432E-14</c:v>
                </c:pt>
                <c:pt idx="7">
                  <c:v>2.1576758285709431E-13</c:v>
                </c:pt>
                <c:pt idx="8">
                  <c:v>2.1576758285709429E-12</c:v>
                </c:pt>
                <c:pt idx="9">
                  <c:v>2.1576758285709428E-11</c:v>
                </c:pt>
                <c:pt idx="10">
                  <c:v>2.1576758285709432E-10</c:v>
                </c:pt>
                <c:pt idx="11">
                  <c:v>2.1576758285709431E-9</c:v>
                </c:pt>
                <c:pt idx="12">
                  <c:v>2.1576758285709429E-8</c:v>
                </c:pt>
                <c:pt idx="13">
                  <c:v>2.1576758285709429E-7</c:v>
                </c:pt>
                <c:pt idx="14">
                  <c:v>2.1576758285709431E-6</c:v>
                </c:pt>
                <c:pt idx="15">
                  <c:v>2.1576758285709429E-5</c:v>
                </c:pt>
                <c:pt idx="16">
                  <c:v>2.157675828570943E-4</c:v>
                </c:pt>
                <c:pt idx="17">
                  <c:v>2.1576758285709432E-3</c:v>
                </c:pt>
                <c:pt idx="18">
                  <c:v>2.157675828570943E-2</c:v>
                </c:pt>
                <c:pt idx="19">
                  <c:v>0.2157675828570943</c:v>
                </c:pt>
                <c:pt idx="20">
                  <c:v>2.1576758285709428</c:v>
                </c:pt>
                <c:pt idx="21">
                  <c:v>21.576758285709431</c:v>
                </c:pt>
                <c:pt idx="22">
                  <c:v>215.76758285709428</c:v>
                </c:pt>
                <c:pt idx="23">
                  <c:v>2157.6758285709429</c:v>
                </c:pt>
                <c:pt idx="24">
                  <c:v>21576.758285709431</c:v>
                </c:pt>
                <c:pt idx="25">
                  <c:v>215767.5828570943</c:v>
                </c:pt>
                <c:pt idx="26">
                  <c:v>2157675.8285709429</c:v>
                </c:pt>
                <c:pt idx="27">
                  <c:v>21576758.28570943</c:v>
                </c:pt>
                <c:pt idx="28">
                  <c:v>215767582.85709429</c:v>
                </c:pt>
                <c:pt idx="29">
                  <c:v>2157675828.5709429</c:v>
                </c:pt>
                <c:pt idx="30">
                  <c:v>21576758285.709431</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2.6109577642565286E-7</c:v>
                </c:pt>
                <c:pt idx="1">
                  <c:v>2.6109577642565279E-6</c:v>
                </c:pt>
                <c:pt idx="2">
                  <c:v>2.6109577642565281E-5</c:v>
                </c:pt>
                <c:pt idx="3">
                  <c:v>2.6109577642565281E-4</c:v>
                </c:pt>
                <c:pt idx="4">
                  <c:v>2.610957764256528E-3</c:v>
                </c:pt>
                <c:pt idx="5">
                  <c:v>2.6109577642565281E-2</c:v>
                </c:pt>
                <c:pt idx="6">
                  <c:v>0.26109577642565285</c:v>
                </c:pt>
                <c:pt idx="7">
                  <c:v>2.6109577642565283</c:v>
                </c:pt>
                <c:pt idx="8">
                  <c:v>26.109577642565281</c:v>
                </c:pt>
                <c:pt idx="9">
                  <c:v>261.09577642565279</c:v>
                </c:pt>
                <c:pt idx="10">
                  <c:v>2610.9577642565282</c:v>
                </c:pt>
                <c:pt idx="11">
                  <c:v>26109.577642565284</c:v>
                </c:pt>
                <c:pt idx="12">
                  <c:v>261095.77642565282</c:v>
                </c:pt>
                <c:pt idx="13">
                  <c:v>2610957.7642565281</c:v>
                </c:pt>
                <c:pt idx="14">
                  <c:v>26109577.642565284</c:v>
                </c:pt>
                <c:pt idx="15">
                  <c:v>261095776.4256528</c:v>
                </c:pt>
                <c:pt idx="16">
                  <c:v>2610957764.2565279</c:v>
                </c:pt>
                <c:pt idx="17">
                  <c:v>26109577642.565281</c:v>
                </c:pt>
                <c:pt idx="18">
                  <c:v>261095776425.6528</c:v>
                </c:pt>
                <c:pt idx="19">
                  <c:v>2610957764256.5283</c:v>
                </c:pt>
                <c:pt idx="20">
                  <c:v>26109577642565.281</c:v>
                </c:pt>
                <c:pt idx="21">
                  <c:v>261095776425652.81</c:v>
                </c:pt>
                <c:pt idx="22">
                  <c:v>2610957764256528</c:v>
                </c:pt>
                <c:pt idx="23">
                  <c:v>2.610957764256528E+16</c:v>
                </c:pt>
                <c:pt idx="24">
                  <c:v>2.610957764256528E+17</c:v>
                </c:pt>
                <c:pt idx="25">
                  <c:v>2.6109577642565279E+18</c:v>
                </c:pt>
                <c:pt idx="26">
                  <c:v>2.610957764256528E+19</c:v>
                </c:pt>
                <c:pt idx="27">
                  <c:v>2.6109577642565281E+20</c:v>
                </c:pt>
                <c:pt idx="28">
                  <c:v>2.6109577642565283E+21</c:v>
                </c:pt>
                <c:pt idx="29">
                  <c:v>2.610957764256528E+22</c:v>
                </c:pt>
                <c:pt idx="30">
                  <c:v>2.6109577642565282E+23</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1.7449673807042556E-5</c:v>
                </c:pt>
                <c:pt idx="1">
                  <c:v>1.7449673807042555E-4</c:v>
                </c:pt>
                <c:pt idx="2">
                  <c:v>1.7449673807042555E-3</c:v>
                </c:pt>
                <c:pt idx="3">
                  <c:v>1.7449673807042553E-2</c:v>
                </c:pt>
                <c:pt idx="4">
                  <c:v>0.17449673807042554</c:v>
                </c:pt>
                <c:pt idx="5">
                  <c:v>1.7449673807042554</c:v>
                </c:pt>
                <c:pt idx="6">
                  <c:v>17.449673807042554</c:v>
                </c:pt>
                <c:pt idx="7">
                  <c:v>174.49673807042555</c:v>
                </c:pt>
                <c:pt idx="8">
                  <c:v>1744.9673807042554</c:v>
                </c:pt>
                <c:pt idx="9">
                  <c:v>17449.673807042553</c:v>
                </c:pt>
                <c:pt idx="10">
                  <c:v>174496.73807042555</c:v>
                </c:pt>
                <c:pt idx="11">
                  <c:v>1744967.3807042555</c:v>
                </c:pt>
                <c:pt idx="12">
                  <c:v>17449673.807042554</c:v>
                </c:pt>
                <c:pt idx="13">
                  <c:v>174496738.07042554</c:v>
                </c:pt>
                <c:pt idx="14">
                  <c:v>1744967380.7042556</c:v>
                </c:pt>
                <c:pt idx="15">
                  <c:v>17449673807.042553</c:v>
                </c:pt>
                <c:pt idx="16">
                  <c:v>174496738070.42554</c:v>
                </c:pt>
                <c:pt idx="17">
                  <c:v>1744967380704.2554</c:v>
                </c:pt>
                <c:pt idx="18">
                  <c:v>17449673807042.555</c:v>
                </c:pt>
                <c:pt idx="19">
                  <c:v>174496738070425.53</c:v>
                </c:pt>
                <c:pt idx="20">
                  <c:v>1744967380704255.5</c:v>
                </c:pt>
                <c:pt idx="21">
                  <c:v>1.7449673807042554E+16</c:v>
                </c:pt>
                <c:pt idx="22">
                  <c:v>1.7449673807042554E+17</c:v>
                </c:pt>
                <c:pt idx="23">
                  <c:v>1.7449673807042555E+18</c:v>
                </c:pt>
                <c:pt idx="24">
                  <c:v>1.7449673807042554E+19</c:v>
                </c:pt>
                <c:pt idx="25">
                  <c:v>1.7449673807042553E+20</c:v>
                </c:pt>
                <c:pt idx="26">
                  <c:v>1.7449673807042555E+21</c:v>
                </c:pt>
                <c:pt idx="27">
                  <c:v>1.7449673807042554E+22</c:v>
                </c:pt>
                <c:pt idx="28">
                  <c:v>1.7449673807042554E+23</c:v>
                </c:pt>
                <c:pt idx="29">
                  <c:v>1.7449673807042554E+24</c:v>
                </c:pt>
                <c:pt idx="30">
                  <c:v>1.7449673807042554E+25</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663524288"/>
        <c:axId val="663527032"/>
      </c:scatterChart>
      <c:valAx>
        <c:axId val="6635242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7032"/>
        <c:crosses val="autoZero"/>
        <c:crossBetween val="midCat"/>
      </c:valAx>
      <c:valAx>
        <c:axId val="663527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352428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-24.635274013105377</c:v>
                </c:pt>
                <c:pt idx="1">
                  <c:v>-24.575047308083978</c:v>
                </c:pt>
                <c:pt idx="2">
                  <c:v>-24.514753916367695</c:v>
                </c:pt>
                <c:pt idx="3">
                  <c:v>-24.454327151261648</c:v>
                </c:pt>
                <c:pt idx="4">
                  <c:v>-24.393700326070952</c:v>
                </c:pt>
                <c:pt idx="5">
                  <c:v>-24.33280675410073</c:v>
                </c:pt>
                <c:pt idx="6">
                  <c:v>-24.271579748656084</c:v>
                </c:pt>
                <c:pt idx="7">
                  <c:v>-24.209952623042149</c:v>
                </c:pt>
                <c:pt idx="8">
                  <c:v>-24.147858690564028</c:v>
                </c:pt>
                <c:pt idx="9">
                  <c:v>-24.085231264526847</c:v>
                </c:pt>
                <c:pt idx="10">
                  <c:v>-24.022003658235725</c:v>
                </c:pt>
                <c:pt idx="11">
                  <c:v>-23.95810918499577</c:v>
                </c:pt>
                <c:pt idx="12">
                  <c:v>-23.893481158112102</c:v>
                </c:pt>
                <c:pt idx="13">
                  <c:v>-23.828052890889843</c:v>
                </c:pt>
                <c:pt idx="14">
                  <c:v>-23.761757696634106</c:v>
                </c:pt>
                <c:pt idx="15">
                  <c:v>-23.694528888650012</c:v>
                </c:pt>
                <c:pt idx="16">
                  <c:v>-23.626299780242675</c:v>
                </c:pt>
                <c:pt idx="17">
                  <c:v>-23.557003684717209</c:v>
                </c:pt>
                <c:pt idx="18">
                  <c:v>-23.486573915378742</c:v>
                </c:pt>
                <c:pt idx="19">
                  <c:v>-23.414943785532376</c:v>
                </c:pt>
                <c:pt idx="20">
                  <c:v>-23.342046608483244</c:v>
                </c:pt>
                <c:pt idx="21">
                  <c:v>-23.267815697536449</c:v>
                </c:pt>
                <c:pt idx="22">
                  <c:v>-23.192184365997115</c:v>
                </c:pt>
                <c:pt idx="23">
                  <c:v>-23.115085927170362</c:v>
                </c:pt>
                <c:pt idx="24">
                  <c:v>-23.036453694361306</c:v>
                </c:pt>
                <c:pt idx="25">
                  <c:v>-22.956220980875059</c:v>
                </c:pt>
                <c:pt idx="26">
                  <c:v>-22.874321100016743</c:v>
                </c:pt>
                <c:pt idx="27">
                  <c:v>-22.790687365091468</c:v>
                </c:pt>
                <c:pt idx="28">
                  <c:v>-22.705253089404362</c:v>
                </c:pt>
                <c:pt idx="29">
                  <c:v>-22.617951586260535</c:v>
                </c:pt>
                <c:pt idx="30">
                  <c:v>-22.528716168965108</c:v>
                </c:pt>
                <c:pt idx="31">
                  <c:v>-22.437480150823191</c:v>
                </c:pt>
                <c:pt idx="32">
                  <c:v>-22.344176845139913</c:v>
                </c:pt>
                <c:pt idx="33">
                  <c:v>-22.248739565220383</c:v>
                </c:pt>
                <c:pt idx="34">
                  <c:v>-22.151101624369716</c:v>
                </c:pt>
                <c:pt idx="35">
                  <c:v>-22.051196335893035</c:v>
                </c:pt>
                <c:pt idx="36">
                  <c:v>-21.948957013095459</c:v>
                </c:pt>
                <c:pt idx="37">
                  <c:v>-21.844316969282094</c:v>
                </c:pt>
                <c:pt idx="38">
                  <c:v>-21.737209517758068</c:v>
                </c:pt>
                <c:pt idx="39">
                  <c:v>-21.627567971828498</c:v>
                </c:pt>
                <c:pt idx="40">
                  <c:v>-21.515325644798494</c:v>
                </c:pt>
                <c:pt idx="41">
                  <c:v>-21.386141918543483</c:v>
                </c:pt>
                <c:pt idx="42">
                  <c:v>-21.254222450157805</c:v>
                </c:pt>
                <c:pt idx="43">
                  <c:v>-21.119498965306111</c:v>
                </c:pt>
                <c:pt idx="44">
                  <c:v>-20.98190318965305</c:v>
                </c:pt>
                <c:pt idx="45">
                  <c:v>-20.84136684886327</c:v>
                </c:pt>
                <c:pt idx="46">
                  <c:v>-20.697821668601414</c:v>
                </c:pt>
                <c:pt idx="47">
                  <c:v>-20.551199374532139</c:v>
                </c:pt>
                <c:pt idx="48">
                  <c:v>-20.401431692320092</c:v>
                </c:pt>
                <c:pt idx="49">
                  <c:v>-20.248450347629912</c:v>
                </c:pt>
                <c:pt idx="50">
                  <c:v>-20.092187066126257</c:v>
                </c:pt>
                <c:pt idx="51">
                  <c:v>-19.932573573473775</c:v>
                </c:pt>
                <c:pt idx="52">
                  <c:v>-19.769541595337106</c:v>
                </c:pt>
                <c:pt idx="53">
                  <c:v>-19.603022857380907</c:v>
                </c:pt>
                <c:pt idx="54">
                  <c:v>-19.432949085269819</c:v>
                </c:pt>
                <c:pt idx="55">
                  <c:v>-19.2592520046685</c:v>
                </c:pt>
                <c:pt idx="56">
                  <c:v>-19.08186334124159</c:v>
                </c:pt>
                <c:pt idx="57">
                  <c:v>-18.900714820653739</c:v>
                </c:pt>
                <c:pt idx="58">
                  <c:v>-18.715738168569597</c:v>
                </c:pt>
                <c:pt idx="59">
                  <c:v>-18.526865110653812</c:v>
                </c:pt>
                <c:pt idx="60">
                  <c:v>-18.334027372571033</c:v>
                </c:pt>
                <c:pt idx="61">
                  <c:v>-18.137156679985907</c:v>
                </c:pt>
                <c:pt idx="62">
                  <c:v>-17.93618475856308</c:v>
                </c:pt>
                <c:pt idx="63">
                  <c:v>-17.7310433339672</c:v>
                </c:pt>
                <c:pt idx="64">
                  <c:v>-17.521664131862924</c:v>
                </c:pt>
                <c:pt idx="65">
                  <c:v>-17.307978877914895</c:v>
                </c:pt>
                <c:pt idx="66">
                  <c:v>-17.089943439584797</c:v>
                </c:pt>
                <c:pt idx="67">
                  <c:v>-16.8676102515225</c:v>
                </c:pt>
                <c:pt idx="68">
                  <c:v>-16.641055890174897</c:v>
                </c:pt>
                <c:pt idx="69">
                  <c:v>-16.410356931988897</c:v>
                </c:pt>
                <c:pt idx="70">
                  <c:v>-16.175589953411396</c:v>
                </c:pt>
                <c:pt idx="71">
                  <c:v>-15.936831530889295</c:v>
                </c:pt>
                <c:pt idx="72">
                  <c:v>-15.6941582408695</c:v>
                </c:pt>
                <c:pt idx="73">
                  <c:v>-15.447646659798909</c:v>
                </c:pt>
                <c:pt idx="74">
                  <c:v>-15.197373364124424</c:v>
                </c:pt>
                <c:pt idx="75">
                  <c:v>-14.943414930292946</c:v>
                </c:pt>
                <c:pt idx="76">
                  <c:v>-14.685847934751378</c:v>
                </c:pt>
                <c:pt idx="77">
                  <c:v>-14.42474895394662</c:v>
                </c:pt>
                <c:pt idx="78">
                  <c:v>-14.160194564325575</c:v>
                </c:pt>
                <c:pt idx="79">
                  <c:v>-13.892261342335141</c:v>
                </c:pt>
                <c:pt idx="80">
                  <c:v>-13.621025864422224</c:v>
                </c:pt>
                <c:pt idx="81">
                  <c:v>-13.346564707033721</c:v>
                </c:pt>
                <c:pt idx="82">
                  <c:v>-13.068954446616537</c:v>
                </c:pt>
                <c:pt idx="83">
                  <c:v>-12.788271659617575</c:v>
                </c:pt>
                <c:pt idx="84">
                  <c:v>-12.504592922483731</c:v>
                </c:pt>
                <c:pt idx="85">
                  <c:v>-12.217994811661908</c:v>
                </c:pt>
                <c:pt idx="86">
                  <c:v>-11.928553903599008</c:v>
                </c:pt>
                <c:pt idx="87">
                  <c:v>-11.636346774741934</c:v>
                </c:pt>
                <c:pt idx="88">
                  <c:v>-11.341450001537586</c:v>
                </c:pt>
                <c:pt idx="89">
                  <c:v>-11.043940160432866</c:v>
                </c:pt>
                <c:pt idx="90">
                  <c:v>-10.743893827874675</c:v>
                </c:pt>
                <c:pt idx="91">
                  <c:v>-10.441352659772807</c:v>
                </c:pt>
                <c:pt idx="92">
                  <c:v>-10.13621862988863</c:v>
                </c:pt>
                <c:pt idx="93">
                  <c:v>-9.8283587914463961</c:v>
                </c:pt>
                <c:pt idx="94">
                  <c:v>-9.5176401976703673</c:v>
                </c:pt>
                <c:pt idx="95">
                  <c:v>-9.2039299017848002</c:v>
                </c:pt>
                <c:pt idx="96">
                  <c:v>-8.8870949570139519</c:v>
                </c:pt>
                <c:pt idx="97">
                  <c:v>-8.5670024165820848</c:v>
                </c:pt>
                <c:pt idx="98">
                  <c:v>-8.2435193337134507</c:v>
                </c:pt>
                <c:pt idx="99">
                  <c:v>-7.9165127616323101</c:v>
                </c:pt>
                <c:pt idx="100">
                  <c:v>-7.585849753562921</c:v>
                </c:pt>
                <c:pt idx="101">
                  <c:v>-7.2513973627295423</c:v>
                </c:pt>
                <c:pt idx="102">
                  <c:v>-6.9130226423564274</c:v>
                </c:pt>
                <c:pt idx="103">
                  <c:v>-6.5705926456678396</c:v>
                </c:pt>
                <c:pt idx="104">
                  <c:v>-6.2239744258880343</c:v>
                </c:pt>
                <c:pt idx="105">
                  <c:v>-5.8730350362412702</c:v>
                </c:pt>
                <c:pt idx="106">
                  <c:v>-5.5176415299518036</c:v>
                </c:pt>
                <c:pt idx="107">
                  <c:v>-5.1576609602438923</c:v>
                </c:pt>
                <c:pt idx="108">
                  <c:v>-4.7929603803417962</c:v>
                </c:pt>
                <c:pt idx="109">
                  <c:v>-4.4234068434697722</c:v>
                </c:pt>
                <c:pt idx="110">
                  <c:v>-4.0488674028520775</c:v>
                </c:pt>
                <c:pt idx="111">
                  <c:v>-3.6692091117129704</c:v>
                </c:pt>
                <c:pt idx="112">
                  <c:v>-3.2842990232767098</c:v>
                </c:pt>
                <c:pt idx="113">
                  <c:v>-2.8940041907675518</c:v>
                </c:pt>
                <c:pt idx="114">
                  <c:v>-2.4981916674097548</c:v>
                </c:pt>
                <c:pt idx="115">
                  <c:v>-2.0967285064275769</c:v>
                </c:pt>
                <c:pt idx="116">
                  <c:v>-1.6894817610452764</c:v>
                </c:pt>
                <c:pt idx="117">
                  <c:v>-1.2763184844871103</c:v>
                </c:pt>
                <c:pt idx="118">
                  <c:v>-0.85710572997733725</c:v>
                </c:pt>
                <c:pt idx="119">
                  <c:v>-0.43171055074021447</c:v>
                </c:pt>
                <c:pt idx="120">
                  <c:v>1.1102230246251565E-16</c:v>
                </c:pt>
                <c:pt idx="121">
                  <c:v>0.43806297087473844</c:v>
                </c:pt>
                <c:pt idx="122">
                  <c:v>0.88213181793819606</c:v>
                </c:pt>
                <c:pt idx="123">
                  <c:v>1.3317640991002566</c:v>
                </c:pt>
                <c:pt idx="124">
                  <c:v>1.786517372270805</c:v>
                </c:pt>
                <c:pt idx="125">
                  <c:v>2.2459491953597261</c:v>
                </c:pt>
                <c:pt idx="126">
                  <c:v>2.7096171262769051</c:v>
                </c:pt>
                <c:pt idx="127">
                  <c:v>3.1770787229322259</c:v>
                </c:pt>
                <c:pt idx="128">
                  <c:v>3.6478915432355734</c:v>
                </c:pt>
                <c:pt idx="129">
                  <c:v>4.1216131450968332</c:v>
                </c:pt>
                <c:pt idx="130">
                  <c:v>4.5978010864258891</c:v>
                </c:pt>
                <c:pt idx="131">
                  <c:v>5.0760129251326269</c:v>
                </c:pt>
                <c:pt idx="132">
                  <c:v>5.5558062191269304</c:v>
                </c:pt>
                <c:pt idx="133">
                  <c:v>6.0367385263186844</c:v>
                </c:pt>
                <c:pt idx="134">
                  <c:v>6.5183674046177735</c:v>
                </c:pt>
                <c:pt idx="135">
                  <c:v>7.0002504119340827</c:v>
                </c:pt>
                <c:pt idx="136">
                  <c:v>7.4819451061774975</c:v>
                </c:pt>
                <c:pt idx="137">
                  <c:v>7.9630090452579028</c:v>
                </c:pt>
                <c:pt idx="138">
                  <c:v>8.4429997870851796</c:v>
                </c:pt>
                <c:pt idx="139">
                  <c:v>8.9214748895692182</c:v>
                </c:pt>
                <c:pt idx="140">
                  <c:v>9.3979919106198988</c:v>
                </c:pt>
                <c:pt idx="141">
                  <c:v>9.8721084081471098</c:v>
                </c:pt>
                <c:pt idx="142">
                  <c:v>10.343381940060732</c:v>
                </c:pt>
                <c:pt idx="143">
                  <c:v>10.811370064270655</c:v>
                </c:pt>
                <c:pt idx="144">
                  <c:v>11.27563033868676</c:v>
                </c:pt>
                <c:pt idx="145">
                  <c:v>11.735720321218931</c:v>
                </c:pt>
                <c:pt idx="146">
                  <c:v>12.191197569777056</c:v>
                </c:pt>
                <c:pt idx="147">
                  <c:v>12.641619642271017</c:v>
                </c:pt>
                <c:pt idx="148">
                  <c:v>13.0865440966107</c:v>
                </c:pt>
                <c:pt idx="149">
                  <c:v>13.525528490705989</c:v>
                </c:pt>
                <c:pt idx="150">
                  <c:v>13.95813038246677</c:v>
                </c:pt>
                <c:pt idx="151">
                  <c:v>14.383907329802927</c:v>
                </c:pt>
                <c:pt idx="152">
                  <c:v>14.802416890624345</c:v>
                </c:pt>
                <c:pt idx="153">
                  <c:v>15.213216622840909</c:v>
                </c:pt>
                <c:pt idx="154">
                  <c:v>15.615864084362503</c:v>
                </c:pt>
                <c:pt idx="155">
                  <c:v>16.009916833099009</c:v>
                </c:pt>
                <c:pt idx="156">
                  <c:v>16.394932426960317</c:v>
                </c:pt>
                <c:pt idx="157">
                  <c:v>16.770468423856311</c:v>
                </c:pt>
                <c:pt idx="158">
                  <c:v>17.136082381696873</c:v>
                </c:pt>
                <c:pt idx="159">
                  <c:v>17.491331858391888</c:v>
                </c:pt>
                <c:pt idx="160">
                  <c:v>17.835774411851244</c:v>
                </c:pt>
                <c:pt idx="161">
                  <c:v>18.168967599984821</c:v>
                </c:pt>
                <c:pt idx="162">
                  <c:v>18.490468980702509</c:v>
                </c:pt>
                <c:pt idx="163">
                  <c:v>18.799836111914189</c:v>
                </c:pt>
                <c:pt idx="164">
                  <c:v>19.096626551529742</c:v>
                </c:pt>
                <c:pt idx="165">
                  <c:v>19.380397857459062</c:v>
                </c:pt>
                <c:pt idx="166">
                  <c:v>19.650845430702169</c:v>
                </c:pt>
                <c:pt idx="167">
                  <c:v>19.908216044619685</c:v>
                </c:pt>
                <c:pt idx="168">
                  <c:v>20.152894315662351</c:v>
                </c:pt>
                <c:pt idx="169">
                  <c:v>20.385264860280916</c:v>
                </c:pt>
                <c:pt idx="170">
                  <c:v>20.60571229492615</c:v>
                </c:pt>
                <c:pt idx="171">
                  <c:v>20.814621236048787</c:v>
                </c:pt>
                <c:pt idx="172">
                  <c:v>21.012376300099596</c:v>
                </c:pt>
                <c:pt idx="173">
                  <c:v>21.199362103529317</c:v>
                </c:pt>
                <c:pt idx="174">
                  <c:v>21.375963262788712</c:v>
                </c:pt>
                <c:pt idx="175">
                  <c:v>21.542564394328529</c:v>
                </c:pt>
                <c:pt idx="176">
                  <c:v>21.699550114599521</c:v>
                </c:pt>
                <c:pt idx="177">
                  <c:v>21.847305040052447</c:v>
                </c:pt>
                <c:pt idx="178">
                  <c:v>21.986213787138052</c:v>
                </c:pt>
                <c:pt idx="179">
                  <c:v>22.116660972307095</c:v>
                </c:pt>
                <c:pt idx="180">
                  <c:v>22.239031212010321</c:v>
                </c:pt>
                <c:pt idx="181">
                  <c:v>22.35370912269849</c:v>
                </c:pt>
                <c:pt idx="182">
                  <c:v>22.461079320822357</c:v>
                </c:pt>
                <c:pt idx="183">
                  <c:v>22.561526422832671</c:v>
                </c:pt>
                <c:pt idx="184">
                  <c:v>22.65543504518018</c:v>
                </c:pt>
                <c:pt idx="185">
                  <c:v>22.743189804315648</c:v>
                </c:pt>
                <c:pt idx="186">
                  <c:v>22.825175316689815</c:v>
                </c:pt>
                <c:pt idx="187">
                  <c:v>22.901776198753446</c:v>
                </c:pt>
                <c:pt idx="188">
                  <c:v>22.973377066957287</c:v>
                </c:pt>
                <c:pt idx="189">
                  <c:v>23.040362537752095</c:v>
                </c:pt>
                <c:pt idx="190">
                  <c:v>23.103117227588616</c:v>
                </c:pt>
                <c:pt idx="191">
                  <c:v>23.162025752917614</c:v>
                </c:pt>
                <c:pt idx="192">
                  <c:v>23.217472730189833</c:v>
                </c:pt>
                <c:pt idx="193">
                  <c:v>23.269842775856027</c:v>
                </c:pt>
                <c:pt idx="194">
                  <c:v>23.319520506366949</c:v>
                </c:pt>
                <c:pt idx="195">
                  <c:v>23.366890538173354</c:v>
                </c:pt>
                <c:pt idx="196">
                  <c:v>23.412337487725999</c:v>
                </c:pt>
                <c:pt idx="197">
                  <c:v>23.456245971475628</c:v>
                </c:pt>
                <c:pt idx="198">
                  <c:v>23.499000605872997</c:v>
                </c:pt>
                <c:pt idx="199">
                  <c:v>23.540986007368865</c:v>
                </c:pt>
                <c:pt idx="200">
                  <c:v>23.582586792413977</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-24.635274013105377</c:v>
                </c:pt>
                <c:pt idx="1">
                  <c:v>-21.515325644798491</c:v>
                </c:pt>
                <c:pt idx="2">
                  <c:v>-17.307978877914891</c:v>
                </c:pt>
                <c:pt idx="3">
                  <c:v>-10.743893827874675</c:v>
                </c:pt>
                <c:pt idx="4">
                  <c:v>0</c:v>
                </c:pt>
                <c:pt idx="5">
                  <c:v>19.380397857459062</c:v>
                </c:pt>
                <c:pt idx="6">
                  <c:v>23.582586792413974</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-24.781086713294563</c:v>
                </c:pt>
                <c:pt idx="1">
                  <c:v>-24.669316559498171</c:v>
                </c:pt>
                <c:pt idx="2">
                  <c:v>-24.565579804952108</c:v>
                </c:pt>
                <c:pt idx="3">
                  <c:v>-24.469128550291316</c:v>
                </c:pt>
                <c:pt idx="4">
                  <c:v>-24.379242176314399</c:v>
                </c:pt>
                <c:pt idx="5">
                  <c:v>-24.295227380325358</c:v>
                </c:pt>
                <c:pt idx="6">
                  <c:v>-24.216418155846718</c:v>
                </c:pt>
                <c:pt idx="7">
                  <c:v>-24.142175718225264</c:v>
                </c:pt>
                <c:pt idx="8">
                  <c:v>-24.071888378611622</c:v>
                </c:pt>
                <c:pt idx="9">
                  <c:v>-24.004971368755928</c:v>
                </c:pt>
                <c:pt idx="10">
                  <c:v>-23.94086661902297</c:v>
                </c:pt>
                <c:pt idx="11">
                  <c:v>-23.879042491991427</c:v>
                </c:pt>
                <c:pt idx="12">
                  <c:v>-23.818993473962159</c:v>
                </c:pt>
                <c:pt idx="13">
                  <c:v>-23.760239826662009</c:v>
                </c:pt>
                <c:pt idx="14">
                  <c:v>-23.702327201390354</c:v>
                </c:pt>
                <c:pt idx="15">
                  <c:v>-23.644826217816586</c:v>
                </c:pt>
                <c:pt idx="16">
                  <c:v>-23.587332009597645</c:v>
                </c:pt>
                <c:pt idx="17">
                  <c:v>-23.52946373894596</c:v>
                </c:pt>
                <c:pt idx="18">
                  <c:v>-23.470864082238656</c:v>
                </c:pt>
                <c:pt idx="19">
                  <c:v>-23.411198688720347</c:v>
                </c:pt>
                <c:pt idx="20">
                  <c:v>-23.35015561431242</c:v>
                </c:pt>
                <c:pt idx="21">
                  <c:v>-23.28744473250309</c:v>
                </c:pt>
                <c:pt idx="22">
                  <c:v>-23.222797124252647</c:v>
                </c:pt>
                <c:pt idx="23">
                  <c:v>-23.155964448810835</c:v>
                </c:pt>
                <c:pt idx="24">
                  <c:v>-23.086718297302209</c:v>
                </c:pt>
                <c:pt idx="25">
                  <c:v>-23.014849530898328</c:v>
                </c:pt>
                <c:pt idx="26">
                  <c:v>-22.940167605354929</c:v>
                </c:pt>
                <c:pt idx="27">
                  <c:v>-22.862499883654564</c:v>
                </c:pt>
                <c:pt idx="28">
                  <c:v>-22.781690938454943</c:v>
                </c:pt>
                <c:pt idx="29">
                  <c:v>-22.697601846005238</c:v>
                </c:pt>
                <c:pt idx="30">
                  <c:v>-22.610109473152825</c:v>
                </c:pt>
                <c:pt idx="31">
                  <c:v>-22.519105759024313</c:v>
                </c:pt>
                <c:pt idx="32">
                  <c:v>-22.424496992925569</c:v>
                </c:pt>
                <c:pt idx="33">
                  <c:v>-22.326203089966313</c:v>
                </c:pt>
                <c:pt idx="34">
                  <c:v>-22.224156865876058</c:v>
                </c:pt>
                <c:pt idx="35">
                  <c:v>-22.118303312438844</c:v>
                </c:pt>
                <c:pt idx="36">
                  <c:v>-22.008598874935537</c:v>
                </c:pt>
                <c:pt idx="37">
                  <c:v>-21.89501073294306</c:v>
                </c:pt>
                <c:pt idx="38">
                  <c:v>-21.777516085801182</c:v>
                </c:pt>
                <c:pt idx="39">
                  <c:v>-21.656101444018326</c:v>
                </c:pt>
                <c:pt idx="40">
                  <c:v>-21.530761927848857</c:v>
                </c:pt>
                <c:pt idx="41">
                  <c:v>-21.401500574235246</c:v>
                </c:pt>
                <c:pt idx="42">
                  <c:v>-21.268327653269559</c:v>
                </c:pt>
                <c:pt idx="43">
                  <c:v>-21.131259995289625</c:v>
                </c:pt>
                <c:pt idx="44">
                  <c:v>-20.990320329686146</c:v>
                </c:pt>
                <c:pt idx="45">
                  <c:v>-20.845536636458228</c:v>
                </c:pt>
                <c:pt idx="46">
                  <c:v>-20.696941511515373</c:v>
                </c:pt>
                <c:pt idx="47">
                  <c:v>-20.544571546685383</c:v>
                </c:pt>
                <c:pt idx="48">
                  <c:v>-20.388466725348312</c:v>
                </c:pt>
                <c:pt idx="49">
                  <c:v>-20.22866983457758</c:v>
                </c:pt>
                <c:pt idx="50">
                  <c:v>-20.065225894630586</c:v>
                </c:pt>
                <c:pt idx="51">
                  <c:v>-19.898181606591713</c:v>
                </c:pt>
                <c:pt idx="52">
                  <c:v>-19.727584818932044</c:v>
                </c:pt>
                <c:pt idx="53">
                  <c:v>-19.553484013710701</c:v>
                </c:pt>
                <c:pt idx="54">
                  <c:v>-19.375927813103846</c:v>
                </c:pt>
                <c:pt idx="55">
                  <c:v>-19.194964506908491</c:v>
                </c:pt>
                <c:pt idx="56">
                  <c:v>-19.010641601628912</c:v>
                </c:pt>
                <c:pt idx="57">
                  <c:v>-18.823005391714684</c:v>
                </c:pt>
                <c:pt idx="58">
                  <c:v>-18.632100553480328</c:v>
                </c:pt>
                <c:pt idx="59">
                  <c:v>-18.437969762197287</c:v>
                </c:pt>
                <c:pt idx="60">
                  <c:v>-18.240653332810201</c:v>
                </c:pt>
                <c:pt idx="61">
                  <c:v>-18.04018888469033</c:v>
                </c:pt>
                <c:pt idx="62">
                  <c:v>-17.836611030799777</c:v>
                </c:pt>
                <c:pt idx="63">
                  <c:v>-17.629951091601395</c:v>
                </c:pt>
                <c:pt idx="64">
                  <c:v>-17.420236834010073</c:v>
                </c:pt>
                <c:pt idx="65">
                  <c:v>-17.207492235642086</c:v>
                </c:pt>
                <c:pt idx="66">
                  <c:v>-16.991737274580206</c:v>
                </c:pt>
                <c:pt idx="67">
                  <c:v>-16.772987744833177</c:v>
                </c:pt>
                <c:pt idx="68">
                  <c:v>-16.551255097629177</c:v>
                </c:pt>
                <c:pt idx="69">
                  <c:v>-16.326546308643906</c:v>
                </c:pt>
                <c:pt idx="70">
                  <c:v>-16.098863771224714</c:v>
                </c:pt>
                <c:pt idx="71">
                  <c:v>-15.868205215633489</c:v>
                </c:pt>
                <c:pt idx="72">
                  <c:v>-15.634563654291536</c:v>
                </c:pt>
                <c:pt idx="73">
                  <c:v>-15.397927352971125</c:v>
                </c:pt>
                <c:pt idx="74">
                  <c:v>-15.15827982783906</c:v>
                </c:pt>
                <c:pt idx="75">
                  <c:v>-14.91559986821863</c:v>
                </c:pt>
                <c:pt idx="76">
                  <c:v>-14.669861584897337</c:v>
                </c:pt>
                <c:pt idx="77">
                  <c:v>-14.421034483768773</c:v>
                </c:pt>
                <c:pt idx="78">
                  <c:v>-14.169083564557884</c:v>
                </c:pt>
                <c:pt idx="79">
                  <c:v>-13.913969444339948</c:v>
                </c:pt>
                <c:pt idx="80">
                  <c:v>-13.655648505524518</c:v>
                </c:pt>
                <c:pt idx="81">
                  <c:v>-13.394073067936466</c:v>
                </c:pt>
                <c:pt idx="82">
                  <c:v>-13.129191584587456</c:v>
                </c:pt>
                <c:pt idx="83">
                  <c:v>-12.860948860691838</c:v>
                </c:pt>
                <c:pt idx="84">
                  <c:v>-12.58928629544222</c:v>
                </c:pt>
                <c:pt idx="85">
                  <c:v>-12.314142146020732</c:v>
                </c:pt>
                <c:pt idx="86">
                  <c:v>-12.035451813283091</c:v>
                </c:pt>
                <c:pt idx="87">
                  <c:v>-11.753148148513473</c:v>
                </c:pt>
                <c:pt idx="88">
                  <c:v>-11.467161780609199</c:v>
                </c:pt>
                <c:pt idx="89">
                  <c:v>-11.177421463015234</c:v>
                </c:pt>
                <c:pt idx="90">
                  <c:v>-10.883854439689404</c:v>
                </c:pt>
                <c:pt idx="91">
                  <c:v>-10.586386829340277</c:v>
                </c:pt>
                <c:pt idx="92">
                  <c:v>-10.284944027140556</c:v>
                </c:pt>
                <c:pt idx="93">
                  <c:v>-9.9794511230798904</c:v>
                </c:pt>
                <c:pt idx="94">
                  <c:v>-9.6698333360818456</c:v>
                </c:pt>
                <c:pt idx="95">
                  <c:v>-9.3560164629708975</c:v>
                </c:pt>
                <c:pt idx="96">
                  <c:v>-9.0379273413361947</c:v>
                </c:pt>
                <c:pt idx="97">
                  <c:v>-8.7154943252997779</c:v>
                </c:pt>
                <c:pt idx="98">
                  <c:v>-8.388647773158004</c:v>
                </c:pt>
                <c:pt idx="99">
                  <c:v>-8.057320545825835</c:v>
                </c:pt>
                <c:pt idx="100">
                  <c:v>-7.7214485149746164</c:v>
                </c:pt>
                <c:pt idx="101">
                  <c:v>-7.3809710797149597</c:v>
                </c:pt>
                <c:pt idx="102">
                  <c:v>-7.0358316906373233</c:v>
                </c:pt>
                <c:pt idx="103">
                  <c:v>-6.6859783799838173</c:v>
                </c:pt>
                <c:pt idx="104">
                  <c:v>-6.3313642966857753</c:v>
                </c:pt>
                <c:pt idx="105">
                  <c:v>-5.9719482449625581</c:v>
                </c:pt>
                <c:pt idx="106">
                  <c:v>-5.6076952251380625</c:v>
                </c:pt>
                <c:pt idx="107">
                  <c:v>-5.2385769752923661</c:v>
                </c:pt>
                <c:pt idx="108">
                  <c:v>-4.864572512326875</c:v>
                </c:pt>
                <c:pt idx="109">
                  <c:v>-4.4856686709823972</c:v>
                </c:pt>
                <c:pt idx="110">
                  <c:v>-4.1018606393104253</c:v>
                </c:pt>
                <c:pt idx="111">
                  <c:v>-3.713152489058948</c:v>
                </c:pt>
                <c:pt idx="112">
                  <c:v>-3.319557699395097</c:v>
                </c:pt>
                <c:pt idx="113">
                  <c:v>-2.9210996723478382</c:v>
                </c:pt>
                <c:pt idx="114">
                  <c:v>-2.5178122383149368</c:v>
                </c:pt>
                <c:pt idx="115">
                  <c:v>-2.1097401499393857</c:v>
                </c:pt>
                <c:pt idx="116">
                  <c:v>-1.696939562621449</c:v>
                </c:pt>
                <c:pt idx="117">
                  <c:v>-1.2794784998934359</c:v>
                </c:pt>
                <c:pt idx="118">
                  <c:v>-0.85743730184532208</c:v>
                </c:pt>
                <c:pt idx="119">
                  <c:v>-0.43090905475025559</c:v>
                </c:pt>
                <c:pt idx="120">
                  <c:v>0</c:v>
                </c:pt>
                <c:pt idx="121">
                  <c:v>0.43517007957868731</c:v>
                </c:pt>
                <c:pt idx="122">
                  <c:v>0.87446749799477197</c:v>
                </c:pt>
                <c:pt idx="123">
                  <c:v>1.3177443309578061</c:v>
                </c:pt>
                <c:pt idx="124">
                  <c:v>1.7648381093830303</c:v>
                </c:pt>
                <c:pt idx="125">
                  <c:v>2.2155715436218291</c:v>
                </c:pt>
                <c:pt idx="126">
                  <c:v>2.6697522805416884</c:v>
                </c:pt>
                <c:pt idx="127">
                  <c:v>3.1271726956188366</c:v>
                </c:pt>
                <c:pt idx="128">
                  <c:v>3.5876097222457677</c:v>
                </c:pt>
                <c:pt idx="129">
                  <c:v>4.0508247204949068</c:v>
                </c:pt>
                <c:pt idx="130">
                  <c:v>4.5165633876186551</c:v>
                </c:pt>
                <c:pt idx="131">
                  <c:v>4.9845557126051467</c:v>
                </c:pt>
                <c:pt idx="132">
                  <c:v>5.4545159771480272</c:v>
                </c:pt>
                <c:pt idx="133">
                  <c:v>5.9261428054276184</c:v>
                </c:pt>
                <c:pt idx="134">
                  <c:v>6.3991192651398592</c:v>
                </c:pt>
                <c:pt idx="135">
                  <c:v>6.873113022248452</c:v>
                </c:pt>
                <c:pt idx="136">
                  <c:v>7.3477765519746487</c:v>
                </c:pt>
                <c:pt idx="137">
                  <c:v>7.8227474085781736</c:v>
                </c:pt>
                <c:pt idx="138">
                  <c:v>8.2976485565217928</c:v>
                </c:pt>
                <c:pt idx="139">
                  <c:v>8.7720887656510538</c:v>
                </c:pt>
                <c:pt idx="140">
                  <c:v>9.2456630730598022</c:v>
                </c:pt>
                <c:pt idx="141">
                  <c:v>9.7179533143510284</c:v>
                </c:pt>
                <c:pt idx="142">
                  <c:v>10.18852872704174</c:v>
                </c:pt>
                <c:pt idx="143">
                  <c:v>10.656946628899474</c:v>
                </c:pt>
                <c:pt idx="144">
                  <c:v>11.122753174037134</c:v>
                </c:pt>
                <c:pt idx="145">
                  <c:v>11.585484189631957</c:v>
                </c:pt>
                <c:pt idx="146">
                  <c:v>12.044666096173247</c:v>
                </c:pt>
                <c:pt idx="147">
                  <c:v>12.499816914182752</c:v>
                </c:pt>
                <c:pt idx="148">
                  <c:v>12.950447360390454</c:v>
                </c:pt>
                <c:pt idx="149">
                  <c:v>13.396062036387651</c:v>
                </c:pt>
                <c:pt idx="150">
                  <c:v>13.83616071281816</c:v>
                </c:pt>
                <c:pt idx="151">
                  <c:v>14.270239712207564</c:v>
                </c:pt>
                <c:pt idx="152">
                  <c:v>14.697793393569492</c:v>
                </c:pt>
                <c:pt idx="153">
                  <c:v>15.118315741966805</c:v>
                </c:pt>
                <c:pt idx="154">
                  <c:v>15.531302066244743</c:v>
                </c:pt>
                <c:pt idx="155">
                  <c:v>15.936250808192082</c:v>
                </c:pt>
                <c:pt idx="156">
                  <c:v>16.332665466425251</c:v>
                </c:pt>
                <c:pt idx="157">
                  <c:v>16.720056638329687</c:v>
                </c:pt>
                <c:pt idx="158">
                  <c:v>17.097944183431277</c:v>
                </c:pt>
                <c:pt idx="159">
                  <c:v>17.465859511610351</c:v>
                </c:pt>
                <c:pt idx="160">
                  <c:v>17.823347999609091</c:v>
                </c:pt>
                <c:pt idx="161">
                  <c:v>18.16997153932282</c:v>
                </c:pt>
                <c:pt idx="162">
                  <c:v>18.505311221404245</c:v>
                </c:pt>
                <c:pt idx="163">
                  <c:v>18.828970157749009</c:v>
                </c:pt>
                <c:pt idx="164">
                  <c:v>19.140576446469833</c:v>
                </c:pt>
                <c:pt idx="165">
                  <c:v>19.439786283005503</c:v>
                </c:pt>
                <c:pt idx="166">
                  <c:v>19.72628722105026</c:v>
                </c:pt>
                <c:pt idx="167">
                  <c:v>19.999801587027662</c:v>
                </c:pt>
                <c:pt idx="168">
                  <c:v>20.260090051872748</c:v>
                </c:pt>
                <c:pt idx="169">
                  <c:v>20.506955363924543</c:v>
                </c:pt>
                <c:pt idx="170">
                  <c:v>20.740246246770681</c:v>
                </c:pt>
                <c:pt idx="171">
                  <c:v>20.959861465924547</c:v>
                </c:pt>
                <c:pt idx="172">
                  <c:v>21.165754068254461</c:v>
                </c:pt>
                <c:pt idx="173">
                  <c:v>21.357935798123499</c:v>
                </c:pt>
                <c:pt idx="174">
                  <c:v>21.536481694237605</c:v>
                </c:pt>
                <c:pt idx="175">
                  <c:v>21.701534871238497</c:v>
                </c:pt>
                <c:pt idx="176">
                  <c:v>21.853311490117203</c:v>
                </c:pt>
                <c:pt idx="177">
                  <c:v>21.992105921562775</c:v>
                </c:pt>
                <c:pt idx="178">
                  <c:v>22.118296106399939</c:v>
                </c:pt>
                <c:pt idx="179">
                  <c:v>22.232349117308544</c:v>
                </c:pt>
                <c:pt idx="180">
                  <c:v>22.334826926056369</c:v>
                </c:pt>
                <c:pt idx="181">
                  <c:v>22.426392380516408</c:v>
                </c:pt>
                <c:pt idx="182">
                  <c:v>22.507815395778131</c:v>
                </c:pt>
                <c:pt idx="183">
                  <c:v>22.579979363701934</c:v>
                </c:pt>
                <c:pt idx="184">
                  <c:v>22.6438877853044</c:v>
                </c:pt>
                <c:pt idx="185">
                  <c:v>22.700671130401517</c:v>
                </c:pt>
                <c:pt idx="186">
                  <c:v>22.751593928975669</c:v>
                </c:pt>
                <c:pt idx="187">
                  <c:v>22.798062098771496</c:v>
                </c:pt>
                <c:pt idx="188">
                  <c:v>22.84163051366464</c:v>
                </c:pt>
                <c:pt idx="189">
                  <c:v>22.884010817386301</c:v>
                </c:pt>
                <c:pt idx="190">
                  <c:v>22.927079487225946</c:v>
                </c:pt>
                <c:pt idx="191">
                  <c:v>22.972886152373029</c:v>
                </c:pt>
                <c:pt idx="192">
                  <c:v>23.02366217159803</c:v>
                </c:pt>
                <c:pt idx="193">
                  <c:v>23.08182947501188</c:v>
                </c:pt>
                <c:pt idx="194">
                  <c:v>23.150009674682178</c:v>
                </c:pt>
                <c:pt idx="195">
                  <c:v>23.231033448923153</c:v>
                </c:pt>
                <c:pt idx="196">
                  <c:v>23.327950205115858</c:v>
                </c:pt>
                <c:pt idx="197">
                  <c:v>23.444038025953848</c:v>
                </c:pt>
                <c:pt idx="198">
                  <c:v>23.582813904048621</c:v>
                </c:pt>
                <c:pt idx="199">
                  <c:v>23.748044269868206</c:v>
                </c:pt>
                <c:pt idx="200">
                  <c:v>23.943755818021316</c:v>
                </c:pt>
              </c:numCache>
            </c:numRef>
          </c:yVal>
          <c:smooth val="1"/>
        </c:ser>
        <c:dLbls>
          <c:showLegendKey val="0"/>
          <c:showVal val="0"/>
          <c:showCatName val="0"/>
          <c:showSerName val="0"/>
          <c:showPercent val="0"/>
          <c:showBubbleSize val="0"/>
        </c:dLbls>
        <c:axId val="665881072"/>
        <c:axId val="665879896"/>
      </c:scatterChart>
      <c:valAx>
        <c:axId val="6658810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79896"/>
        <c:crossesAt val="-1000"/>
        <c:crossBetween val="midCat"/>
      </c:valAx>
      <c:valAx>
        <c:axId val="665879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10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0.43306067793707154</v>
      </c>
      <c r="D59" s="55">
        <v>1</v>
      </c>
    </row>
    <row r="60" spans="1:4" s="11" customFormat="1" x14ac:dyDescent="0.25">
      <c r="A60" s="54">
        <v>2</v>
      </c>
      <c r="B60" s="56">
        <f>'Shiftfunktion bestimmen'!N2</f>
        <v>2.1310918604379061E-3</v>
      </c>
      <c r="D60" s="55">
        <v>2</v>
      </c>
    </row>
    <row r="61" spans="1:4" s="11" customFormat="1" x14ac:dyDescent="0.25">
      <c r="A61" s="54">
        <v>3</v>
      </c>
      <c r="B61" s="56">
        <f>'Shiftfunktion bestimmen'!N3</f>
        <v>-2.1107863771088323E-5</v>
      </c>
      <c r="D61" s="55">
        <v>3</v>
      </c>
    </row>
    <row r="62" spans="1:4" s="11" customFormat="1" x14ac:dyDescent="0.25">
      <c r="A62" s="54">
        <v>4</v>
      </c>
      <c r="B62" s="56">
        <f>'Shiftfunktion bestimmen'!N4</f>
        <v>-5.794831457264906E-7</v>
      </c>
      <c r="D62" s="55">
        <v>4</v>
      </c>
    </row>
    <row r="63" spans="1:4" s="11" customFormat="1" x14ac:dyDescent="0.25">
      <c r="A63" s="54">
        <v>5</v>
      </c>
      <c r="B63" s="56">
        <f>'Shiftfunktion bestimmen'!N5</f>
        <v>-2.9092311182928795E-9</v>
      </c>
      <c r="D63" s="55">
        <v>5</v>
      </c>
    </row>
    <row r="64" spans="1:4" s="11" customFormat="1" x14ac:dyDescent="0.25">
      <c r="A64" s="54">
        <v>6</v>
      </c>
      <c r="B64" s="56">
        <f>'Shiftfunktion bestimmen'!N6</f>
        <v>3.6922766244928238E-11</v>
      </c>
      <c r="D64" s="55">
        <v>6</v>
      </c>
    </row>
    <row r="65" spans="1:5" s="11" customFormat="1" x14ac:dyDescent="0.25">
      <c r="A65" s="54">
        <v>7</v>
      </c>
      <c r="B65" s="56">
        <f>'Shiftfunktion bestimmen'!N7</f>
        <v>4.0209767423575872E-13</v>
      </c>
      <c r="D65" s="55">
        <v>7</v>
      </c>
    </row>
    <row r="66" spans="1:5" x14ac:dyDescent="0.25">
      <c r="A66" s="54">
        <v>8</v>
      </c>
      <c r="B66" s="56">
        <f>'Shiftfunktion bestimmen'!N8</f>
        <v>9.6801343722952336E-16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6.8476371195460078E-3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4.1306699022082196E-3</v>
      </c>
      <c r="D78" s="51">
        <v>5</v>
      </c>
      <c r="E78" s="56">
        <f>'Mastercurve bestimmen'!A22</f>
        <v>5.31812225239524E-11</v>
      </c>
    </row>
    <row r="79" spans="1:5" x14ac:dyDescent="0.25">
      <c r="A79" s="50">
        <f t="shared" si="0"/>
        <v>6</v>
      </c>
      <c r="B79" s="56">
        <f>'Mastercurve bestimmen'!C23</f>
        <v>2.7997525232425744E-2</v>
      </c>
      <c r="D79" s="51">
        <v>6</v>
      </c>
      <c r="E79" s="56">
        <f>'Mastercurve bestimmen'!A23</f>
        <v>5.8953789402578301E-10</v>
      </c>
    </row>
    <row r="80" spans="1:5" x14ac:dyDescent="0.25">
      <c r="A80" s="50">
        <f t="shared" si="0"/>
        <v>7</v>
      </c>
      <c r="B80" s="56">
        <f>'Mastercurve bestimmen'!C24</f>
        <v>2.197959763100649E-2</v>
      </c>
      <c r="D80" s="51">
        <v>7</v>
      </c>
      <c r="E80" s="56">
        <f>'Mastercurve bestimmen'!A24</f>
        <v>6.5352940755699598E-9</v>
      </c>
    </row>
    <row r="81" spans="1:5" x14ac:dyDescent="0.25">
      <c r="A81" s="50">
        <f t="shared" si="0"/>
        <v>8</v>
      </c>
      <c r="B81" s="56">
        <f>'Mastercurve bestimmen'!C25</f>
        <v>2.8250918359936459E-2</v>
      </c>
      <c r="D81" s="51">
        <v>8</v>
      </c>
      <c r="E81" s="56">
        <f>'Mastercurve bestimmen'!A25</f>
        <v>7.2446689325643296E-8</v>
      </c>
    </row>
    <row r="82" spans="1:5" x14ac:dyDescent="0.25">
      <c r="A82" s="50">
        <f t="shared" si="0"/>
        <v>9</v>
      </c>
      <c r="B82" s="56">
        <f>'Mastercurve bestimmen'!C26</f>
        <v>3.4437903010475883E-2</v>
      </c>
      <c r="D82" s="51">
        <f>A82</f>
        <v>9</v>
      </c>
      <c r="E82" s="56">
        <f>'Mastercurve bestimmen'!A26</f>
        <v>8.03104303120212E-7</v>
      </c>
    </row>
    <row r="83" spans="1:5" x14ac:dyDescent="0.25">
      <c r="A83" s="50">
        <f t="shared" si="0"/>
        <v>10</v>
      </c>
      <c r="B83" s="56">
        <f>'Mastercurve bestimmen'!C27</f>
        <v>2.9401070007452231E-2</v>
      </c>
      <c r="C83" s="11"/>
      <c r="D83" s="51">
        <f t="shared" ref="D83:D104" si="1">A83</f>
        <v>10</v>
      </c>
      <c r="E83" s="56">
        <f>'Mastercurve bestimmen'!A27</f>
        <v>8.9027742702096099E-6</v>
      </c>
    </row>
    <row r="84" spans="1:5" x14ac:dyDescent="0.25">
      <c r="A84" s="50">
        <f t="shared" si="0"/>
        <v>11</v>
      </c>
      <c r="B84" s="56">
        <f>'Mastercurve bestimmen'!C28</f>
        <v>4.9041908611543852E-2</v>
      </c>
      <c r="C84" s="11"/>
      <c r="D84" s="51">
        <f t="shared" si="1"/>
        <v>11</v>
      </c>
      <c r="E84" s="56">
        <f>'Mastercurve bestimmen'!A28</f>
        <v>9.86912775817142E-5</v>
      </c>
    </row>
    <row r="85" spans="1:5" x14ac:dyDescent="0.25">
      <c r="A85" s="50">
        <f t="shared" si="0"/>
        <v>12</v>
      </c>
      <c r="B85" s="56">
        <f>'Mastercurve bestimmen'!C29</f>
        <v>4.178985908034704E-2</v>
      </c>
      <c r="C85" s="11"/>
      <c r="D85" s="51">
        <f t="shared" si="1"/>
        <v>12</v>
      </c>
      <c r="E85" s="56">
        <f>'Mastercurve bestimmen'!A29</f>
        <v>1.0940374286813801E-3</v>
      </c>
    </row>
    <row r="86" spans="1:5" x14ac:dyDescent="0.25">
      <c r="A86" s="50">
        <f t="shared" si="0"/>
        <v>13</v>
      </c>
      <c r="B86" s="56">
        <f>'Mastercurve bestimmen'!C30</f>
        <v>4.6925793493946939E-2</v>
      </c>
      <c r="C86" s="11"/>
      <c r="D86" s="51">
        <f t="shared" si="1"/>
        <v>13</v>
      </c>
      <c r="E86" s="56">
        <f>'Mastercurve bestimmen'!A30</f>
        <v>1.2127899493091E-2</v>
      </c>
    </row>
    <row r="87" spans="1:5" x14ac:dyDescent="0.25">
      <c r="A87" s="50">
        <f t="shared" si="0"/>
        <v>14</v>
      </c>
      <c r="B87" s="56">
        <f>'Mastercurve bestimmen'!C31</f>
        <v>4.7062467056075051E-2</v>
      </c>
      <c r="C87" s="11"/>
      <c r="D87" s="51">
        <f t="shared" si="1"/>
        <v>14</v>
      </c>
      <c r="E87" s="56">
        <f>'Mastercurve bestimmen'!A31</f>
        <v>0.13444324870292301</v>
      </c>
    </row>
    <row r="88" spans="1:5" x14ac:dyDescent="0.25">
      <c r="A88" s="50">
        <f t="shared" si="0"/>
        <v>15</v>
      </c>
      <c r="B88" s="56">
        <f>'Mastercurve bestimmen'!C32</f>
        <v>5.1874996245126884E-2</v>
      </c>
      <c r="C88" s="11"/>
      <c r="D88" s="51">
        <f t="shared" si="1"/>
        <v>15</v>
      </c>
      <c r="E88" s="56">
        <f>'Mastercurve bestimmen'!A32</f>
        <v>1.49036419143257</v>
      </c>
    </row>
    <row r="89" spans="1:5" x14ac:dyDescent="0.25">
      <c r="A89" s="50">
        <f t="shared" si="0"/>
        <v>16</v>
      </c>
      <c r="B89" s="56">
        <f>'Mastercurve bestimmen'!C33</f>
        <v>9.3719085133360594E-2</v>
      </c>
      <c r="C89" s="11"/>
      <c r="D89" s="51">
        <f t="shared" si="1"/>
        <v>16</v>
      </c>
      <c r="E89" s="56">
        <f>'Mastercurve bestimmen'!A33</f>
        <v>16.521360830937301</v>
      </c>
    </row>
    <row r="90" spans="1:5" x14ac:dyDescent="0.25">
      <c r="A90" s="50">
        <f t="shared" si="0"/>
        <v>17</v>
      </c>
      <c r="B90" s="56">
        <f>'Mastercurve bestimmen'!C34</f>
        <v>0.10682658591512105</v>
      </c>
      <c r="C90" s="11"/>
      <c r="D90" s="51">
        <f t="shared" si="1"/>
        <v>17</v>
      </c>
      <c r="E90" s="56">
        <f>'Mastercurve bestimmen'!A34</f>
        <v>183.146753843879</v>
      </c>
    </row>
    <row r="91" spans="1:5" x14ac:dyDescent="0.25">
      <c r="A91" s="50">
        <f t="shared" si="0"/>
        <v>18</v>
      </c>
      <c r="B91" s="56">
        <f>'Mastercurve bestimmen'!C35</f>
        <v>0.11271230139024535</v>
      </c>
      <c r="C91" s="11"/>
      <c r="D91" s="51">
        <f t="shared" si="1"/>
        <v>18</v>
      </c>
      <c r="E91" s="56">
        <f>'Mastercurve bestimmen'!A35</f>
        <v>2030.26456396616</v>
      </c>
    </row>
    <row r="92" spans="1:5" x14ac:dyDescent="0.25">
      <c r="A92" s="50">
        <f t="shared" si="0"/>
        <v>19</v>
      </c>
      <c r="B92" s="56">
        <f>'Mastercurve bestimmen'!C36</f>
        <v>0.10920571405178373</v>
      </c>
      <c r="C92" s="11"/>
      <c r="D92" s="51">
        <f t="shared" si="1"/>
        <v>19</v>
      </c>
      <c r="E92" s="56">
        <f>'Mastercurve bestimmen'!A36</f>
        <v>22506.400540467101</v>
      </c>
    </row>
    <row r="93" spans="1:5" x14ac:dyDescent="0.25">
      <c r="A93" s="50">
        <f t="shared" si="0"/>
        <v>20</v>
      </c>
      <c r="B93" s="56">
        <f>'Mastercurve bestimmen'!C37</f>
        <v>8.5595472993728092E-2</v>
      </c>
      <c r="C93" s="11"/>
      <c r="D93" s="51">
        <f t="shared" si="1"/>
        <v>20</v>
      </c>
      <c r="E93" s="56">
        <f>'Mastercurve bestimmen'!A37</f>
        <v>249493.62476110301</v>
      </c>
    </row>
    <row r="94" spans="1:5" x14ac:dyDescent="0.25">
      <c r="A94" s="50">
        <f t="shared" si="0"/>
        <v>21</v>
      </c>
      <c r="B94" s="56">
        <f>'Mastercurve bestimmen'!C38</f>
        <v>3.0330599560697977E-2</v>
      </c>
      <c r="C94" s="11"/>
      <c r="D94" s="51">
        <f t="shared" si="1"/>
        <v>21</v>
      </c>
      <c r="E94" s="56">
        <f>'Mastercurve bestimmen'!A38</f>
        <v>2765749.6224023802</v>
      </c>
    </row>
    <row r="95" spans="1:5" x14ac:dyDescent="0.25">
      <c r="A95" s="50">
        <f t="shared" si="0"/>
        <v>22</v>
      </c>
      <c r="B95" s="56">
        <f>'Mastercurve bestimmen'!C39</f>
        <v>3.2127590787364095E-2</v>
      </c>
      <c r="C95" s="11"/>
      <c r="D95" s="51">
        <f t="shared" si="1"/>
        <v>22</v>
      </c>
      <c r="E95" s="56">
        <f>'Mastercurve bestimmen'!A39</f>
        <v>10000000</v>
      </c>
    </row>
    <row r="96" spans="1:5" x14ac:dyDescent="0.25">
      <c r="A96" s="50">
        <f t="shared" si="0"/>
        <v>23</v>
      </c>
      <c r="B96" s="56">
        <f>'Mastercurve bestimmen'!C40</f>
        <v>1.5939358035986794E-2</v>
      </c>
      <c r="C96" s="11"/>
      <c r="D96" s="51">
        <f t="shared" si="1"/>
        <v>23</v>
      </c>
      <c r="E96" s="56">
        <f>'Mastercurve bestimmen'!A40</f>
        <v>100000000</v>
      </c>
    </row>
    <row r="97" spans="1:5" x14ac:dyDescent="0.25">
      <c r="A97" s="50">
        <f t="shared" si="0"/>
        <v>24</v>
      </c>
      <c r="B97" s="56">
        <f>'Mastercurve bestimmen'!C41</f>
        <v>1.0098226932664881E-3</v>
      </c>
      <c r="C97" s="11"/>
      <c r="D97" s="51">
        <f t="shared" si="1"/>
        <v>24</v>
      </c>
      <c r="E97" s="56">
        <f>'Mastercurve bestimmen'!A41</f>
        <v>1000000000</v>
      </c>
    </row>
    <row r="98" spans="1:5" x14ac:dyDescent="0.25">
      <c r="A98" s="50">
        <f t="shared" si="0"/>
        <v>25</v>
      </c>
      <c r="B98" s="56">
        <f>'Mastercurve bestimmen'!C42</f>
        <v>3.5232790951536608E-3</v>
      </c>
      <c r="C98" s="11"/>
      <c r="D98" s="51">
        <f t="shared" si="1"/>
        <v>25</v>
      </c>
      <c r="E98" s="56">
        <f>'Mastercurve bestimmen'!A42</f>
        <v>10000000000</v>
      </c>
    </row>
    <row r="99" spans="1:5" x14ac:dyDescent="0.25">
      <c r="A99" s="50">
        <f t="shared" si="0"/>
        <v>26</v>
      </c>
      <c r="B99" s="56">
        <f>'Mastercurve bestimmen'!C43</f>
        <v>1.7526056431954549E-4</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1.1765348907566872E-4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6.5987032321069097E-5</v>
      </c>
      <c r="C103" s="11"/>
      <c r="D103" s="51">
        <f t="shared" si="1"/>
        <v>30</v>
      </c>
      <c r="E103" s="56">
        <f>'Mastercurve bestimmen'!A47</f>
        <v>1000000000000000</v>
      </c>
    </row>
    <row r="104" spans="1:5" x14ac:dyDescent="0.25">
      <c r="A104" s="50">
        <f t="shared" si="0"/>
        <v>31</v>
      </c>
      <c r="B104" s="56">
        <f>'Mastercurve bestimmen'!C48</f>
        <v>6.9850122094838041E-5</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E4" sqref="E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6479.0859474371819</v>
      </c>
      <c r="G16" s="26">
        <f>INDEX(Comparison!$AM$3:$AS$33,G14,$B$3)</f>
        <v>6479.1324839978006</v>
      </c>
      <c r="H16" s="26">
        <f>INDEX(Comparison!$AM$3:$AS$33,H14,$B$3)</f>
        <v>6479.041978197979</v>
      </c>
      <c r="I16" s="26">
        <f>INDEX(Comparison!$AM$3:$AS$33,I14,$B$3)</f>
        <v>6478.4539559822069</v>
      </c>
      <c r="J16" s="26">
        <f>INDEX(Comparison!$AM$3:$AS$33,J14,$B$3)</f>
        <v>6472.7726535549082</v>
      </c>
      <c r="K16" s="26">
        <f>INDEX(Comparison!$AM$3:$AS$33,K14,$B$3)</f>
        <v>6425.3224026678754</v>
      </c>
      <c r="L16" s="26">
        <f>INDEX(Comparison!$AM$3:$AS$33,L14,$B$3)</f>
        <v>6280.1372572444334</v>
      </c>
      <c r="M16" s="26">
        <f>INDEX(Comparison!$AM$3:$AS$33,M14,$B$3)</f>
        <v>6130.7451181848783</v>
      </c>
      <c r="N16" s="26">
        <f>INDEX(Comparison!$AM$3:$AS$33,N14,$B$3)</f>
        <v>5959.459898848826</v>
      </c>
      <c r="O16" s="26">
        <f>INDEX(Comparison!$AM$3:$AS$33,O14,$B$3)</f>
        <v>5758.6320512376351</v>
      </c>
      <c r="P16" s="26">
        <f>INDEX(Comparison!$AM$3:$AS$33,P14,$B$3)</f>
        <v>5553.7107715147085</v>
      </c>
      <c r="Q16" s="26">
        <f>INDEX(Comparison!$AM$3:$AS$33,Q14,$B$3)</f>
        <v>5296.2160470219478</v>
      </c>
      <c r="R16" s="26">
        <f>INDEX(Comparison!$AM$3:$AS$33,R14,$B$3)</f>
        <v>5014.3504980568096</v>
      </c>
      <c r="S16" s="26">
        <f>INDEX(Comparison!$AM$3:$AS$33,S14,$B$3)</f>
        <v>4737.7084148388376</v>
      </c>
      <c r="T16" s="26">
        <f>INDEX(Comparison!$AM$3:$AS$33,T14,$B$3)</f>
        <v>4438.626264954587</v>
      </c>
      <c r="U16" s="26">
        <f>INDEX(Comparison!$AM$3:$AS$33,U14,$B$3)</f>
        <v>4115.3629839514006</v>
      </c>
      <c r="V16" s="26">
        <f>INDEX(Comparison!$AM$3:$AS$33,V14,$B$3)</f>
        <v>3662.5886079597385</v>
      </c>
      <c r="W16" s="26">
        <f>INDEX(Comparison!$AM$3:$AS$33,W14,$B$3)</f>
        <v>3039.7716426269371</v>
      </c>
      <c r="X16" s="26">
        <f>INDEX(Comparison!$AM$3:$AS$33,X14,$B$3)</f>
        <v>2356.5178874385392</v>
      </c>
      <c r="Y16" s="26">
        <f>INDEX(Comparison!$AM$3:$AS$33,Y14,$B$3)</f>
        <v>1664.6092730189016</v>
      </c>
      <c r="Z16" s="26">
        <f>INDEX(Comparison!$AM$3:$AS$33,Z14,$B$3)</f>
        <v>1039.9214556238178</v>
      </c>
      <c r="AA16" s="26">
        <f>INDEX(Comparison!$AM$3:$AS$33,AA14,$B$3)</f>
        <v>595.89522173414423</v>
      </c>
      <c r="AB16" s="26">
        <f>INDEX(Comparison!$AM$3:$AS$33,AB14,$B$3)</f>
        <v>331.71701217899948</v>
      </c>
      <c r="AC16" s="26">
        <f>INDEX(Comparison!$AM$3:$AS$33,AC14,$B$3)</f>
        <v>192.72704730170403</v>
      </c>
      <c r="AD16" s="26">
        <f>INDEX(Comparison!$AM$3:$AS$33,AD14,$B$3)</f>
        <v>148.89299884614732</v>
      </c>
      <c r="AE16" s="26">
        <f>INDEX(Comparison!$AM$3:$AS$33,AE14,$B$3)</f>
        <v>134.12130031566326</v>
      </c>
      <c r="AF16" s="26">
        <f>INDEX(Comparison!$AM$3:$AS$33,AF14,$B$3)</f>
        <v>124.90206072555479</v>
      </c>
      <c r="AG16" s="26">
        <f>INDEX(Comparison!$AM$3:$AS$33,AG14,$B$3)</f>
        <v>124.64007063602084</v>
      </c>
      <c r="AH16" s="26">
        <f>INDEX(Comparison!$AM$3:$AS$33,AH14,$B$3)</f>
        <v>123.89500698166064</v>
      </c>
      <c r="AI16" s="26">
        <f>INDEX(Comparison!$AM$3:$AS$33,AI14,$B$3)</f>
        <v>123.88320178471095</v>
      </c>
      <c r="AJ16" s="26">
        <f>INDEX(Comparison!$AM$3:$AS$33,AJ14,$B$3)</f>
        <v>123.47472292148701</v>
      </c>
    </row>
    <row r="17" spans="1:36" x14ac:dyDescent="0.25">
      <c r="A17" s="14" t="s">
        <v>20</v>
      </c>
      <c r="B17" s="105">
        <v>1.8914027922541488E-2</v>
      </c>
      <c r="C17" s="18">
        <f t="shared" ref="C17:C48" si="3">ABS(B17/$B$49)</f>
        <v>1.8841093385390424E-2</v>
      </c>
      <c r="D17" s="66"/>
      <c r="E17" s="65" t="s">
        <v>22</v>
      </c>
      <c r="F17" s="27">
        <f>($C$17+SUM(F18:F48))*$B$51</f>
        <v>6479.4168420395154</v>
      </c>
      <c r="G17" s="27">
        <f t="shared" ref="G17:M17" si="4">($C$17+SUM(G18:G48))*$B$51</f>
        <v>6479.4092702911275</v>
      </c>
      <c r="H17" s="27">
        <f t="shared" si="4"/>
        <v>6479.3335975834452</v>
      </c>
      <c r="I17" s="27">
        <f t="shared" si="4"/>
        <v>6478.5813215521612</v>
      </c>
      <c r="J17" s="27">
        <f t="shared" si="4"/>
        <v>6471.4782910098047</v>
      </c>
      <c r="K17" s="27">
        <f t="shared" si="4"/>
        <v>6425.6191994212886</v>
      </c>
      <c r="L17" s="27">
        <f t="shared" si="4"/>
        <v>6280.1277204805019</v>
      </c>
      <c r="M17" s="27">
        <f t="shared" si="4"/>
        <v>6130.6652527408769</v>
      </c>
      <c r="N17" s="27">
        <f t="shared" ref="N17" si="5">($C$17+SUM(N18:N48))*$B$51</f>
        <v>5959.6571048184533</v>
      </c>
      <c r="O17" s="27">
        <f t="shared" ref="O17" si="6">($C$17+SUM(O18:O48))*$B$51</f>
        <v>5758.2264585789098</v>
      </c>
      <c r="P17" s="27">
        <f t="shared" ref="P17" si="7">($C$17+SUM(P18:P48))*$B$51</f>
        <v>5554.4041954881977</v>
      </c>
      <c r="Q17" s="27">
        <f t="shared" ref="Q17" si="8">($C$17+SUM(Q18:Q48))*$B$51</f>
        <v>5295.2283399928001</v>
      </c>
      <c r="R17" s="27">
        <f t="shared" ref="R17" si="9">($C$17+SUM(R18:R48))*$B$51</f>
        <v>5015.5557295917479</v>
      </c>
      <c r="S17" s="27">
        <f t="shared" ref="S17:T17" si="10">($C$17+SUM(S18:S48))*$B$51</f>
        <v>4736.438170049908</v>
      </c>
      <c r="T17" s="27">
        <f t="shared" si="10"/>
        <v>4439.7710881614403</v>
      </c>
      <c r="U17" s="27">
        <f t="shared" ref="U17" si="11">($C$17+SUM(U18:U48))*$B$51</f>
        <v>4114.4811952595483</v>
      </c>
      <c r="V17" s="27">
        <f t="shared" ref="V17" si="12">($C$17+SUM(V18:V48))*$B$51</f>
        <v>3663.179188997502</v>
      </c>
      <c r="W17" s="27">
        <f t="shared" ref="W17" si="13">($C$17+SUM(W18:W48))*$B$51</f>
        <v>3039.426771013686</v>
      </c>
      <c r="X17" s="27">
        <f t="shared" ref="X17" si="14">($C$17+SUM(X18:X48))*$B$51</f>
        <v>2356.6862334252378</v>
      </c>
      <c r="Y17" s="27">
        <f t="shared" ref="Y17" si="15">($C$17+SUM(Y18:Y48))*$B$51</f>
        <v>1664.5405255786975</v>
      </c>
      <c r="Z17" s="27">
        <f t="shared" ref="Z17:AA17" si="16">($C$17+SUM(Z18:Z48))*$B$51</f>
        <v>1039.9506440089701</v>
      </c>
      <c r="AA17" s="27">
        <f t="shared" si="16"/>
        <v>595.88113308162872</v>
      </c>
      <c r="AB17" s="27">
        <f t="shared" ref="AB17" si="17">($C$17+SUM(AB18:AB48))*$B$51</f>
        <v>331.72946358291387</v>
      </c>
      <c r="AC17" s="27">
        <f t="shared" ref="AC17" si="18">($C$17+SUM(AC18:AC48))*$B$51</f>
        <v>192.70104558319764</v>
      </c>
      <c r="AD17" s="27">
        <f t="shared" ref="AD17" si="19">($C$17+SUM(AD18:AD48))*$B$51</f>
        <v>148.93393818982372</v>
      </c>
      <c r="AE17" s="27">
        <f t="shared" ref="AE17" si="20">($C$17+SUM(AE18:AE48))*$B$51</f>
        <v>134.06511112856666</v>
      </c>
      <c r="AF17" s="27">
        <f t="shared" ref="AF17" si="21">($C$17+SUM(AF18:AF48))*$B$51</f>
        <v>124.98882630534726</v>
      </c>
      <c r="AG17" s="27">
        <f t="shared" ref="AG17:AH17" si="22">($C$17+SUM(AG18:AG48))*$B$51</f>
        <v>124.50135958051906</v>
      </c>
      <c r="AH17" s="27">
        <f t="shared" si="22"/>
        <v>124.08488504926439</v>
      </c>
      <c r="AI17" s="27">
        <f t="shared" ref="AI17" si="23">($C$17+SUM(AI18:AI48))*$B$51</f>
        <v>123.76177886987016</v>
      </c>
      <c r="AJ17" s="27">
        <f t="shared" ref="AJ17" si="24">($C$17+SUM(AJ18:AJ48))*$B$51</f>
        <v>123.49174863064643</v>
      </c>
    </row>
    <row r="18" spans="1:36" x14ac:dyDescent="0.25">
      <c r="A18" s="3">
        <f>0.000000000000001/10^5</f>
        <v>1.0000000000000001E-20</v>
      </c>
      <c r="B18" s="106">
        <v>6.8741445643994894E-3</v>
      </c>
      <c r="C18" s="18">
        <f t="shared" si="3"/>
        <v>6.8476371195460078E-3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4.1466598711170826E-3</v>
      </c>
      <c r="C22" s="18">
        <f t="shared" si="3"/>
        <v>4.1306699022082196E-3</v>
      </c>
      <c r="D22" s="17"/>
      <c r="F22" s="3">
        <f t="shared" si="25"/>
        <v>4.1305922313524058E-3</v>
      </c>
      <c r="G22" s="3">
        <f t="shared" si="25"/>
        <v>4.1298932593683982E-3</v>
      </c>
      <c r="H22" s="3">
        <f t="shared" si="25"/>
        <v>4.1229100415655232E-3</v>
      </c>
      <c r="I22" s="3">
        <f t="shared" si="25"/>
        <v>4.05372401430029E-3</v>
      </c>
      <c r="J22" s="3">
        <f t="shared" si="25"/>
        <v>3.4226096088462552E-3</v>
      </c>
      <c r="K22" s="3">
        <f t="shared" si="25"/>
        <v>6.3007063714888589E-4</v>
      </c>
      <c r="L22" s="3">
        <f t="shared" si="25"/>
        <v>2.8164885950929358E-11</v>
      </c>
      <c r="M22" s="3">
        <f t="shared" si="25"/>
        <v>8.9721300042328299E-85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2.8105904640267625E-2</v>
      </c>
      <c r="C23" s="18">
        <f t="shared" si="3"/>
        <v>2.7997525232425744E-2</v>
      </c>
      <c r="D23" s="17"/>
      <c r="F23" s="3">
        <f t="shared" si="25"/>
        <v>2.7997477741837317E-2</v>
      </c>
      <c r="G23" s="3">
        <f t="shared" si="25"/>
        <v>2.7997050330166459E-2</v>
      </c>
      <c r="H23" s="3">
        <f t="shared" si="25"/>
        <v>2.7992776572310942E-2</v>
      </c>
      <c r="I23" s="3">
        <f t="shared" si="25"/>
        <v>2.795007485879954E-2</v>
      </c>
      <c r="J23" s="3">
        <f t="shared" si="25"/>
        <v>2.7526624052182456E-2</v>
      </c>
      <c r="K23" s="3">
        <f t="shared" si="25"/>
        <v>2.3629400989644205E-2</v>
      </c>
      <c r="L23" s="3">
        <f t="shared" si="25"/>
        <v>5.133934465953411E-3</v>
      </c>
      <c r="M23" s="3">
        <f t="shared" si="25"/>
        <v>1.2034454355494637E-9</v>
      </c>
      <c r="N23" s="3">
        <f t="shared" si="25"/>
        <v>6.0281942462827448E-76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2.2064681428809175E-2</v>
      </c>
      <c r="C24" s="18">
        <f t="shared" si="3"/>
        <v>2.197959763100649E-2</v>
      </c>
      <c r="D24" s="17"/>
      <c r="F24" s="3">
        <f t="shared" si="25"/>
        <v>2.1979594267791967E-2</v>
      </c>
      <c r="G24" s="3">
        <f t="shared" si="25"/>
        <v>2.1979563998884417E-2</v>
      </c>
      <c r="H24" s="3">
        <f t="shared" si="25"/>
        <v>2.1979261312101525E-2</v>
      </c>
      <c r="I24" s="3">
        <f t="shared" si="25"/>
        <v>2.1976234673524355E-2</v>
      </c>
      <c r="J24" s="3">
        <f t="shared" si="25"/>
        <v>2.194599120124692E-2</v>
      </c>
      <c r="K24" s="3">
        <f t="shared" si="25"/>
        <v>2.1645836195419075E-2</v>
      </c>
      <c r="L24" s="3">
        <f t="shared" si="25"/>
        <v>1.8861057376793937E-2</v>
      </c>
      <c r="M24" s="3">
        <f t="shared" si="25"/>
        <v>4.758638593248308E-3</v>
      </c>
      <c r="N24" s="3">
        <f t="shared" si="25"/>
        <v>4.9733564245226216E-9</v>
      </c>
      <c r="O24" s="3">
        <f t="shared" si="25"/>
        <v>7.7324693744376964E-69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2.8360278661513871E-2</v>
      </c>
      <c r="C25" s="18">
        <f t="shared" si="3"/>
        <v>2.8250918359936459E-2</v>
      </c>
      <c r="D25" s="17"/>
      <c r="F25" s="3">
        <f t="shared" si="25"/>
        <v>2.825091796998188E-2</v>
      </c>
      <c r="G25" s="3">
        <f t="shared" si="25"/>
        <v>2.8250914460390922E-2</v>
      </c>
      <c r="H25" s="3">
        <f t="shared" si="25"/>
        <v>2.8250879364505301E-2</v>
      </c>
      <c r="I25" s="3">
        <f t="shared" si="25"/>
        <v>2.8250528408047055E-2</v>
      </c>
      <c r="J25" s="3">
        <f t="shared" si="25"/>
        <v>2.8247019083249052E-2</v>
      </c>
      <c r="K25" s="3">
        <f t="shared" si="25"/>
        <v>2.8211949802695729E-2</v>
      </c>
      <c r="L25" s="3">
        <f t="shared" si="25"/>
        <v>2.7863642759760759E-2</v>
      </c>
      <c r="M25" s="3">
        <f t="shared" si="25"/>
        <v>2.4608537433303931E-2</v>
      </c>
      <c r="N25" s="3">
        <f t="shared" si="25"/>
        <v>7.1050133479904415E-3</v>
      </c>
      <c r="O25" s="3">
        <f t="shared" si="25"/>
        <v>2.8599329450667244E-8</v>
      </c>
      <c r="P25" s="3">
        <f t="shared" si="25"/>
        <v>3.1934886383892606E-62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3.4571213347893447E-2</v>
      </c>
      <c r="C26" s="18">
        <f t="shared" si="3"/>
        <v>3.4437903010475883E-2</v>
      </c>
      <c r="D26" s="17"/>
      <c r="F26" s="3">
        <f t="shared" si="25"/>
        <v>3.4437902967594899E-2</v>
      </c>
      <c r="G26" s="3">
        <f t="shared" si="25"/>
        <v>3.4437902581666041E-2</v>
      </c>
      <c r="H26" s="3">
        <f t="shared" si="25"/>
        <v>3.4437898722377722E-2</v>
      </c>
      <c r="I26" s="3">
        <f t="shared" si="25"/>
        <v>3.4437860129518286E-2</v>
      </c>
      <c r="J26" s="3">
        <f t="shared" si="25"/>
        <v>3.4437474203302607E-2</v>
      </c>
      <c r="K26" s="3">
        <f t="shared" si="25"/>
        <v>3.4433615179005367E-2</v>
      </c>
      <c r="L26" s="3">
        <f t="shared" si="25"/>
        <v>3.4395048712122789E-2</v>
      </c>
      <c r="M26" s="3">
        <f t="shared" si="25"/>
        <v>3.4011751823221532E-2</v>
      </c>
      <c r="N26" s="3">
        <f t="shared" si="25"/>
        <v>3.0406030546486024E-2</v>
      </c>
      <c r="O26" s="3">
        <f t="shared" si="25"/>
        <v>9.9144125758535012E-3</v>
      </c>
      <c r="P26" s="3">
        <f t="shared" si="25"/>
        <v>1.3469131362304966E-7</v>
      </c>
      <c r="Q26" s="3">
        <f t="shared" si="25"/>
        <v>2.8844671565549191E-56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2.951488258663101E-2</v>
      </c>
      <c r="C27" s="18">
        <f t="shared" si="3"/>
        <v>2.9401070007452231E-2</v>
      </c>
      <c r="D27" s="17"/>
      <c r="F27" s="3">
        <f t="shared" si="25"/>
        <v>2.9401070004149772E-2</v>
      </c>
      <c r="G27" s="3">
        <f t="shared" si="25"/>
        <v>2.9401069974427613E-2</v>
      </c>
      <c r="H27" s="3">
        <f t="shared" si="25"/>
        <v>2.9401069677206074E-2</v>
      </c>
      <c r="I27" s="3">
        <f t="shared" si="25"/>
        <v>2.9401066704990833E-2</v>
      </c>
      <c r="J27" s="3">
        <f t="shared" si="25"/>
        <v>2.9401036982854949E-2</v>
      </c>
      <c r="K27" s="3">
        <f t="shared" si="25"/>
        <v>2.9400739763148685E-2</v>
      </c>
      <c r="L27" s="3">
        <f t="shared" si="25"/>
        <v>2.939776773133625E-2</v>
      </c>
      <c r="M27" s="3">
        <f t="shared" si="25"/>
        <v>2.9368063932055499E-2</v>
      </c>
      <c r="N27" s="3">
        <f t="shared" si="25"/>
        <v>2.9072671661560041E-2</v>
      </c>
      <c r="O27" s="3">
        <f t="shared" si="25"/>
        <v>2.6277328449065197E-2</v>
      </c>
      <c r="P27" s="3">
        <f t="shared" si="25"/>
        <v>9.5618927718533423E-3</v>
      </c>
      <c r="Q27" s="3">
        <f t="shared" si="25"/>
        <v>3.8919787993479721E-7</v>
      </c>
      <c r="R27" s="3">
        <f t="shared" si="25"/>
        <v>4.8577642354881967E-51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4.9231751569827856E-2</v>
      </c>
      <c r="C28" s="18">
        <f t="shared" si="3"/>
        <v>4.9041908611543852E-2</v>
      </c>
      <c r="D28" s="17"/>
      <c r="F28" s="3">
        <f t="shared" si="25"/>
        <v>4.904190861104693E-2</v>
      </c>
      <c r="G28" s="3">
        <f t="shared" si="25"/>
        <v>4.9041908606574626E-2</v>
      </c>
      <c r="H28" s="3">
        <f t="shared" si="25"/>
        <v>4.9041908561851609E-2</v>
      </c>
      <c r="I28" s="3">
        <f t="shared" si="25"/>
        <v>4.9041908114621433E-2</v>
      </c>
      <c r="J28" s="3">
        <f t="shared" si="25"/>
        <v>4.904190364231989E-2</v>
      </c>
      <c r="K28" s="3">
        <f t="shared" si="25"/>
        <v>4.9041858919326907E-2</v>
      </c>
      <c r="L28" s="3">
        <f t="shared" si="25"/>
        <v>4.9041411691640162E-2</v>
      </c>
      <c r="M28" s="3">
        <f t="shared" si="25"/>
        <v>4.9036939639078909E-2</v>
      </c>
      <c r="N28" s="3">
        <f t="shared" si="25"/>
        <v>4.8992241536518266E-2</v>
      </c>
      <c r="O28" s="3">
        <f t="shared" si="25"/>
        <v>4.8547495268625132E-2</v>
      </c>
      <c r="P28" s="3">
        <f t="shared" si="25"/>
        <v>4.4316148352967447E-2</v>
      </c>
      <c r="Q28" s="3">
        <f t="shared" si="25"/>
        <v>1.7803844898245363E-2</v>
      </c>
      <c r="R28" s="3">
        <f t="shared" si="25"/>
        <v>1.9499871458805731E-6</v>
      </c>
      <c r="S28" s="3">
        <f t="shared" si="25"/>
        <v>4.8440789433570623E-46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4.1951629099065628E-2</v>
      </c>
      <c r="C29" s="18">
        <f t="shared" si="3"/>
        <v>4.178985908034704E-2</v>
      </c>
      <c r="D29" s="17"/>
      <c r="F29" s="3">
        <f t="shared" si="25"/>
        <v>4.1789859080308842E-2</v>
      </c>
      <c r="G29" s="3">
        <f t="shared" si="25"/>
        <v>4.1789859079965061E-2</v>
      </c>
      <c r="H29" s="3">
        <f t="shared" si="25"/>
        <v>4.1789859076527255E-2</v>
      </c>
      <c r="I29" s="3">
        <f t="shared" si="25"/>
        <v>4.1789859042149206E-2</v>
      </c>
      <c r="J29" s="3">
        <f t="shared" si="25"/>
        <v>4.1789858698368709E-2</v>
      </c>
      <c r="K29" s="3">
        <f t="shared" si="25"/>
        <v>4.1789855260563911E-2</v>
      </c>
      <c r="L29" s="3">
        <f t="shared" si="25"/>
        <v>4.1789820882531421E-2</v>
      </c>
      <c r="M29" s="3">
        <f t="shared" si="25"/>
        <v>4.1789477103761997E-2</v>
      </c>
      <c r="N29" s="3">
        <f t="shared" si="25"/>
        <v>4.1786039471606848E-2</v>
      </c>
      <c r="O29" s="3">
        <f t="shared" si="25"/>
        <v>4.1751678699231638E-2</v>
      </c>
      <c r="P29" s="3">
        <f t="shared" si="25"/>
        <v>4.140962117068888E-2</v>
      </c>
      <c r="Q29" s="3">
        <f t="shared" si="25"/>
        <v>3.8139449000818094E-2</v>
      </c>
      <c r="R29" s="3">
        <f t="shared" si="25"/>
        <v>1.6753516790395179E-2</v>
      </c>
      <c r="S29" s="3">
        <f t="shared" si="25"/>
        <v>4.4814823724042213E-6</v>
      </c>
      <c r="T29" s="3">
        <f t="shared" si="25"/>
        <v>8.4057944339695315E-42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4.7107444895960651E-2</v>
      </c>
      <c r="C30" s="18">
        <f t="shared" si="3"/>
        <v>4.6925793493946939E-2</v>
      </c>
      <c r="D30" s="17"/>
      <c r="F30" s="3">
        <f t="shared" si="25"/>
        <v>4.6925793493943067E-2</v>
      </c>
      <c r="G30" s="3">
        <f t="shared" si="25"/>
        <v>4.6925793493908248E-2</v>
      </c>
      <c r="H30" s="3">
        <f t="shared" si="25"/>
        <v>4.692579349356002E-2</v>
      </c>
      <c r="I30" s="3">
        <f t="shared" si="25"/>
        <v>4.6925793490077694E-2</v>
      </c>
      <c r="J30" s="3">
        <f t="shared" si="25"/>
        <v>4.6925793455254508E-2</v>
      </c>
      <c r="K30" s="3">
        <f t="shared" si="25"/>
        <v>4.6925793107022613E-2</v>
      </c>
      <c r="L30" s="3">
        <f t="shared" si="25"/>
        <v>4.6925789624703826E-2</v>
      </c>
      <c r="M30" s="3">
        <f t="shared" si="25"/>
        <v>4.692575480153019E-2</v>
      </c>
      <c r="N30" s="3">
        <f t="shared" si="25"/>
        <v>4.6925406571215106E-2</v>
      </c>
      <c r="O30" s="3">
        <f t="shared" si="25"/>
        <v>4.6921924410190739E-2</v>
      </c>
      <c r="P30" s="3">
        <f t="shared" si="25"/>
        <v>4.6887117008690367E-2</v>
      </c>
      <c r="Q30" s="3">
        <f t="shared" si="25"/>
        <v>4.6540459974400719E-2</v>
      </c>
      <c r="R30" s="3">
        <f t="shared" si="25"/>
        <v>4.3211773074323355E-2</v>
      </c>
      <c r="S30" s="3">
        <f t="shared" si="25"/>
        <v>2.0573881858801497E-2</v>
      </c>
      <c r="T30" s="3">
        <f t="shared" si="25"/>
        <v>1.2315662839361913E-5</v>
      </c>
      <c r="U30" s="3">
        <f t="shared" si="25"/>
        <v>7.2756748682045489E-38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4.7244647526269182E-2</v>
      </c>
      <c r="C31" s="18">
        <f t="shared" si="3"/>
        <v>4.7062467056075051E-2</v>
      </c>
      <c r="D31" s="17"/>
      <c r="F31" s="3">
        <f t="shared" si="25"/>
        <v>4.7062467056074704E-2</v>
      </c>
      <c r="G31" s="3">
        <f t="shared" si="25"/>
        <v>4.7062467056071547E-2</v>
      </c>
      <c r="H31" s="3">
        <f t="shared" si="25"/>
        <v>4.7062467056040044E-2</v>
      </c>
      <c r="I31" s="3">
        <f t="shared" si="25"/>
        <v>4.7062467055724998E-2</v>
      </c>
      <c r="J31" s="3">
        <f t="shared" si="25"/>
        <v>4.7062467052574504E-2</v>
      </c>
      <c r="K31" s="3">
        <f t="shared" si="25"/>
        <v>4.7062467021069601E-2</v>
      </c>
      <c r="L31" s="3">
        <f t="shared" si="25"/>
        <v>4.7062466706020531E-2</v>
      </c>
      <c r="M31" s="3">
        <f t="shared" si="25"/>
        <v>4.7062463555529968E-2</v>
      </c>
      <c r="N31" s="3">
        <f t="shared" si="25"/>
        <v>4.7062432050635948E-2</v>
      </c>
      <c r="O31" s="3">
        <f t="shared" si="25"/>
        <v>4.7062117002855695E-2</v>
      </c>
      <c r="P31" s="3">
        <f t="shared" si="25"/>
        <v>4.7058966641046342E-2</v>
      </c>
      <c r="Q31" s="3">
        <f t="shared" si="25"/>
        <v>4.702747461939813E-2</v>
      </c>
      <c r="R31" s="3">
        <f t="shared" si="25"/>
        <v>4.6713711180284917E-2</v>
      </c>
      <c r="S31" s="3">
        <f t="shared" si="25"/>
        <v>4.3688939908414465E-2</v>
      </c>
      <c r="T31" s="3">
        <f t="shared" si="25"/>
        <v>2.2368809092531243E-2</v>
      </c>
      <c r="U31" s="3">
        <f t="shared" si="25"/>
        <v>2.7692133999062936E-5</v>
      </c>
      <c r="V31" s="3">
        <f t="shared" si="26"/>
        <v>2.3414885512078237E-34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5.2075806185583162E-2</v>
      </c>
      <c r="C32" s="18">
        <f t="shared" si="3"/>
        <v>5.1874996245126884E-2</v>
      </c>
      <c r="D32" s="17"/>
      <c r="F32" s="3">
        <f t="shared" si="25"/>
        <v>5.1874996245126849E-2</v>
      </c>
      <c r="G32" s="3">
        <f t="shared" si="25"/>
        <v>5.1874996245126537E-2</v>
      </c>
      <c r="H32" s="3">
        <f t="shared" si="25"/>
        <v>5.1874996245123407E-2</v>
      </c>
      <c r="I32" s="3">
        <f t="shared" si="25"/>
        <v>5.1874996245092071E-2</v>
      </c>
      <c r="J32" s="3">
        <f t="shared" si="25"/>
        <v>5.1874996244778815E-2</v>
      </c>
      <c r="K32" s="3">
        <f t="shared" si="25"/>
        <v>5.1874996241646196E-2</v>
      </c>
      <c r="L32" s="3">
        <f t="shared" si="25"/>
        <v>5.1874996210319956E-2</v>
      </c>
      <c r="M32" s="3">
        <f t="shared" si="25"/>
        <v>5.187499589705763E-2</v>
      </c>
      <c r="N32" s="3">
        <f t="shared" si="25"/>
        <v>5.1874992764434393E-2</v>
      </c>
      <c r="O32" s="3">
        <f t="shared" si="25"/>
        <v>5.1874961438212484E-2</v>
      </c>
      <c r="P32" s="3">
        <f t="shared" si="25"/>
        <v>5.18746481770338E-2</v>
      </c>
      <c r="Q32" s="3">
        <f t="shared" si="25"/>
        <v>5.1871515669289381E-2</v>
      </c>
      <c r="R32" s="3">
        <f t="shared" si="25"/>
        <v>5.1840200993756795E-2</v>
      </c>
      <c r="S32" s="3">
        <f t="shared" si="25"/>
        <v>5.1528092109185165E-2</v>
      </c>
      <c r="T32" s="3">
        <f t="shared" si="25"/>
        <v>4.8508508351244206E-2</v>
      </c>
      <c r="U32" s="3">
        <f t="shared" si="25"/>
        <v>2.6518960541713071E-2</v>
      </c>
      <c r="V32" s="3">
        <f t="shared" si="26"/>
        <v>6.3232778659137596E-5</v>
      </c>
      <c r="W32" s="3">
        <f t="shared" si="26"/>
        <v>3.7566433108778045E-31</v>
      </c>
      <c r="X32" s="3">
        <f t="shared" si="26"/>
        <v>2.0576756005667362E-293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9.4081875018034861E-2</v>
      </c>
      <c r="C33" s="18">
        <f t="shared" si="3"/>
        <v>9.3719085133360594E-2</v>
      </c>
      <c r="D33" s="17"/>
      <c r="F33" s="3">
        <f t="shared" si="25"/>
        <v>9.371908513336058E-2</v>
      </c>
      <c r="G33" s="3">
        <f t="shared" si="25"/>
        <v>9.3719085133360538E-2</v>
      </c>
      <c r="H33" s="3">
        <f t="shared" si="25"/>
        <v>9.3719085133360025E-2</v>
      </c>
      <c r="I33" s="3">
        <f t="shared" si="25"/>
        <v>9.3719085133354918E-2</v>
      </c>
      <c r="J33" s="3">
        <f t="shared" si="25"/>
        <v>9.3719085133303862E-2</v>
      </c>
      <c r="K33" s="3">
        <f t="shared" si="25"/>
        <v>9.3719085132793326E-2</v>
      </c>
      <c r="L33" s="3">
        <f t="shared" si="25"/>
        <v>9.3719085127687993E-2</v>
      </c>
      <c r="M33" s="3">
        <f t="shared" si="25"/>
        <v>9.3719085076634581E-2</v>
      </c>
      <c r="N33" s="3">
        <f t="shared" si="25"/>
        <v>9.3719084566100508E-2</v>
      </c>
      <c r="O33" s="3">
        <f t="shared" si="25"/>
        <v>9.3719079460759941E-2</v>
      </c>
      <c r="P33" s="3">
        <f t="shared" si="25"/>
        <v>9.3719028407369481E-2</v>
      </c>
      <c r="Q33" s="3">
        <f t="shared" si="25"/>
        <v>9.3718517874994509E-2</v>
      </c>
      <c r="R33" s="3">
        <f t="shared" si="25"/>
        <v>9.3713412704203622E-2</v>
      </c>
      <c r="S33" s="3">
        <f t="shared" si="25"/>
        <v>9.366237628908948E-2</v>
      </c>
      <c r="T33" s="3">
        <f t="shared" si="25"/>
        <v>9.3153538339531966E-2</v>
      </c>
      <c r="U33" s="3">
        <f t="shared" ref="P33:AE48" si="27">$C33*EXP(-U$15/$A33)</f>
        <v>8.8214747142112498E-2</v>
      </c>
      <c r="V33" s="3">
        <f t="shared" si="27"/>
        <v>5.1163420580480699E-2</v>
      </c>
      <c r="W33" s="3">
        <f t="shared" si="27"/>
        <v>2.2036537433508735E-4</v>
      </c>
      <c r="X33" s="3">
        <f t="shared" si="27"/>
        <v>4.8415139913869232E-28</v>
      </c>
      <c r="Y33" s="3">
        <f t="shared" si="27"/>
        <v>1.2687017777979735E-264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0.10724011539771409</v>
      </c>
      <c r="C34" s="18">
        <f t="shared" si="3"/>
        <v>0.10682658591512105</v>
      </c>
      <c r="D34" s="17"/>
      <c r="F34" s="3">
        <f t="shared" ref="F34:O48" si="28">$C34*EXP(-F$15/$A34)</f>
        <v>0.10682658591512105</v>
      </c>
      <c r="G34" s="3">
        <f t="shared" si="28"/>
        <v>0.10682658591512105</v>
      </c>
      <c r="H34" s="3">
        <f t="shared" si="28"/>
        <v>0.10682658591512099</v>
      </c>
      <c r="I34" s="3">
        <f t="shared" si="28"/>
        <v>0.10682658591512047</v>
      </c>
      <c r="J34" s="3">
        <f t="shared" si="28"/>
        <v>0.10682658591511522</v>
      </c>
      <c r="K34" s="3">
        <f t="shared" si="28"/>
        <v>0.10682658591506272</v>
      </c>
      <c r="L34" s="3">
        <f t="shared" si="28"/>
        <v>0.10682658591453777</v>
      </c>
      <c r="M34" s="3">
        <f t="shared" si="28"/>
        <v>0.10682658590928822</v>
      </c>
      <c r="N34" s="3">
        <f t="shared" si="28"/>
        <v>0.10682658585679264</v>
      </c>
      <c r="O34" s="3">
        <f t="shared" si="28"/>
        <v>0.10682658533183696</v>
      </c>
      <c r="P34" s="3">
        <f t="shared" si="27"/>
        <v>0.10682658008228041</v>
      </c>
      <c r="Q34" s="3">
        <f t="shared" si="27"/>
        <v>0.10682652758672892</v>
      </c>
      <c r="R34" s="3">
        <f t="shared" si="27"/>
        <v>0.10682600263263292</v>
      </c>
      <c r="S34" s="3">
        <f t="shared" si="27"/>
        <v>0.10682075323355253</v>
      </c>
      <c r="T34" s="3">
        <f t="shared" si="27"/>
        <v>0.1067682734281253</v>
      </c>
      <c r="U34" s="3">
        <f t="shared" si="27"/>
        <v>0.10624489133569996</v>
      </c>
      <c r="V34" s="3">
        <f t="shared" si="27"/>
        <v>0.10115012556498371</v>
      </c>
      <c r="W34" s="3">
        <f t="shared" si="27"/>
        <v>6.1879973894700332E-2</v>
      </c>
      <c r="X34" s="3">
        <f t="shared" si="27"/>
        <v>4.5434638573098351E-4</v>
      </c>
      <c r="Y34" s="3">
        <f t="shared" si="27"/>
        <v>2.0689816360971718E-25</v>
      </c>
      <c r="Z34" s="3">
        <f t="shared" si="27"/>
        <v>7.9332697060020008E-239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0.11314861468507266</v>
      </c>
      <c r="C35" s="18">
        <f t="shared" si="3"/>
        <v>0.11271230139024535</v>
      </c>
      <c r="D35" s="17"/>
      <c r="F35" s="3">
        <f t="shared" si="28"/>
        <v>0.11271230139024535</v>
      </c>
      <c r="G35" s="3">
        <f t="shared" si="28"/>
        <v>0.11271230139024535</v>
      </c>
      <c r="H35" s="3">
        <f t="shared" si="28"/>
        <v>0.11271230139024535</v>
      </c>
      <c r="I35" s="3">
        <f t="shared" si="28"/>
        <v>0.1127123013902453</v>
      </c>
      <c r="J35" s="3">
        <f t="shared" si="28"/>
        <v>0.1127123013902448</v>
      </c>
      <c r="K35" s="3">
        <f t="shared" si="28"/>
        <v>0.1127123013902398</v>
      </c>
      <c r="L35" s="3">
        <f t="shared" si="28"/>
        <v>0.11271230139018984</v>
      </c>
      <c r="M35" s="3">
        <f t="shared" si="28"/>
        <v>0.11271230138969018</v>
      </c>
      <c r="N35" s="3">
        <f t="shared" si="28"/>
        <v>0.11271230138469374</v>
      </c>
      <c r="O35" s="3">
        <f t="shared" si="28"/>
        <v>0.11271230133472929</v>
      </c>
      <c r="P35" s="3">
        <f t="shared" si="27"/>
        <v>0.11271230083508468</v>
      </c>
      <c r="Q35" s="3">
        <f t="shared" si="27"/>
        <v>0.11271229583863888</v>
      </c>
      <c r="R35" s="3">
        <f t="shared" si="27"/>
        <v>0.11271224587419308</v>
      </c>
      <c r="S35" s="3">
        <f t="shared" si="27"/>
        <v>0.11271174623095326</v>
      </c>
      <c r="T35" s="3">
        <f t="shared" si="27"/>
        <v>0.11270674992037129</v>
      </c>
      <c r="U35" s="3">
        <f t="shared" si="27"/>
        <v>0.11265679899419606</v>
      </c>
      <c r="V35" s="3">
        <f t="shared" si="27"/>
        <v>0.11215850570157977</v>
      </c>
      <c r="W35" s="3">
        <f t="shared" si="27"/>
        <v>0.1072951987080541</v>
      </c>
      <c r="X35" s="3">
        <f t="shared" si="27"/>
        <v>6.8874907293338006E-2</v>
      </c>
      <c r="Y35" s="3">
        <f t="shared" si="27"/>
        <v>8.1821684485011475E-4</v>
      </c>
      <c r="Z35" s="3">
        <f t="shared" si="27"/>
        <v>4.5808102786968597E-23</v>
      </c>
      <c r="AA35" s="3">
        <f t="shared" si="27"/>
        <v>1.3857382187603094E-215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0.10962845322332215</v>
      </c>
      <c r="C36" s="18">
        <f t="shared" si="3"/>
        <v>0.10920571405178373</v>
      </c>
      <c r="D36" s="17"/>
      <c r="F36" s="3">
        <f t="shared" si="28"/>
        <v>0.10920571405178373</v>
      </c>
      <c r="G36" s="3">
        <f t="shared" si="28"/>
        <v>0.10920571405178373</v>
      </c>
      <c r="H36" s="3">
        <f t="shared" si="28"/>
        <v>0.10920571405178373</v>
      </c>
      <c r="I36" s="3">
        <f t="shared" si="28"/>
        <v>0.10920571405178373</v>
      </c>
      <c r="J36" s="3">
        <f t="shared" si="28"/>
        <v>0.10920571405178368</v>
      </c>
      <c r="K36" s="3">
        <f t="shared" si="28"/>
        <v>0.10920571405178324</v>
      </c>
      <c r="L36" s="3">
        <f t="shared" si="28"/>
        <v>0.10920571405177888</v>
      </c>
      <c r="M36" s="3">
        <f t="shared" si="28"/>
        <v>0.10920571405173521</v>
      </c>
      <c r="N36" s="3">
        <f t="shared" si="28"/>
        <v>0.1092057140512985</v>
      </c>
      <c r="O36" s="3">
        <f t="shared" si="28"/>
        <v>0.10920571404693152</v>
      </c>
      <c r="P36" s="3">
        <f t="shared" si="27"/>
        <v>0.10920571400326166</v>
      </c>
      <c r="Q36" s="3">
        <f t="shared" si="27"/>
        <v>0.10920571356656303</v>
      </c>
      <c r="R36" s="3">
        <f t="shared" si="27"/>
        <v>0.10920570919957684</v>
      </c>
      <c r="S36" s="3">
        <f t="shared" si="27"/>
        <v>0.10920566552972459</v>
      </c>
      <c r="T36" s="3">
        <f t="shared" si="27"/>
        <v>0.10920522883216256</v>
      </c>
      <c r="U36" s="3">
        <f t="shared" si="27"/>
        <v>0.10920086195258696</v>
      </c>
      <c r="V36" s="3">
        <f t="shared" si="27"/>
        <v>0.10915720275988997</v>
      </c>
      <c r="W36" s="3">
        <f t="shared" si="27"/>
        <v>0.10872156971947236</v>
      </c>
      <c r="X36" s="3">
        <f t="shared" si="27"/>
        <v>0.10445972426964226</v>
      </c>
      <c r="Y36" s="3">
        <f t="shared" si="27"/>
        <v>7.0029412925930096E-2</v>
      </c>
      <c r="Z36" s="3">
        <f t="shared" si="27"/>
        <v>1.2840933289395957E-3</v>
      </c>
      <c r="AA36" s="3">
        <f t="shared" si="27"/>
        <v>5.5176942530583101E-21</v>
      </c>
      <c r="AB36" s="3">
        <f t="shared" si="27"/>
        <v>1.184044570290169E-194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8.592681608923361E-2</v>
      </c>
      <c r="C37" s="18">
        <f t="shared" si="3"/>
        <v>8.5595472993728092E-2</v>
      </c>
      <c r="D37" s="17"/>
      <c r="F37" s="3">
        <f t="shared" si="28"/>
        <v>8.5595472993728092E-2</v>
      </c>
      <c r="G37" s="3">
        <f t="shared" si="28"/>
        <v>8.5595472993728092E-2</v>
      </c>
      <c r="H37" s="3">
        <f t="shared" si="28"/>
        <v>8.5595472993728092E-2</v>
      </c>
      <c r="I37" s="3">
        <f t="shared" si="28"/>
        <v>8.5595472993728092E-2</v>
      </c>
      <c r="J37" s="3">
        <f t="shared" si="28"/>
        <v>8.5595472993728092E-2</v>
      </c>
      <c r="K37" s="3">
        <f t="shared" si="28"/>
        <v>8.559547299372805E-2</v>
      </c>
      <c r="L37" s="3">
        <f t="shared" si="28"/>
        <v>8.5595472993727745E-2</v>
      </c>
      <c r="M37" s="3">
        <f t="shared" si="28"/>
        <v>8.5595472993724664E-2</v>
      </c>
      <c r="N37" s="3">
        <f t="shared" si="28"/>
        <v>8.5595472993693786E-2</v>
      </c>
      <c r="O37" s="3">
        <f t="shared" si="28"/>
        <v>8.5595472993385019E-2</v>
      </c>
      <c r="P37" s="3">
        <f t="shared" si="27"/>
        <v>8.5595472990297322E-2</v>
      </c>
      <c r="Q37" s="3">
        <f t="shared" si="27"/>
        <v>8.559547295942041E-2</v>
      </c>
      <c r="R37" s="3">
        <f t="shared" si="27"/>
        <v>8.5595472650651303E-2</v>
      </c>
      <c r="S37" s="3">
        <f t="shared" si="27"/>
        <v>8.5595469562960214E-2</v>
      </c>
      <c r="T37" s="3">
        <f t="shared" si="27"/>
        <v>8.5595438686055528E-2</v>
      </c>
      <c r="U37" s="3">
        <f t="shared" si="27"/>
        <v>8.559512991762129E-2</v>
      </c>
      <c r="V37" s="3">
        <f t="shared" si="27"/>
        <v>8.5592042294538304E-2</v>
      </c>
      <c r="W37" s="3">
        <f t="shared" si="27"/>
        <v>8.556117218883677E-2</v>
      </c>
      <c r="X37" s="3">
        <f t="shared" si="27"/>
        <v>8.5253082827923432E-2</v>
      </c>
      <c r="Y37" s="3">
        <f t="shared" si="27"/>
        <v>8.223255021400111E-2</v>
      </c>
      <c r="Z37" s="3">
        <f t="shared" si="27"/>
        <v>5.7329799601444652E-2</v>
      </c>
      <c r="AA37" s="3">
        <f t="shared" si="27"/>
        <v>1.5550597174768582E-3</v>
      </c>
      <c r="AB37" s="3">
        <f t="shared" si="27"/>
        <v>3.3528455614341028E-19</v>
      </c>
      <c r="AC37" s="3">
        <f t="shared" si="27"/>
        <v>7.2791107828103116E-176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3.0448010381568334E-2</v>
      </c>
      <c r="C38" s="18">
        <f t="shared" si="3"/>
        <v>3.0330599560697977E-2</v>
      </c>
      <c r="D38" s="17"/>
      <c r="F38" s="3">
        <f t="shared" si="28"/>
        <v>3.0330599560697977E-2</v>
      </c>
      <c r="G38" s="3">
        <f t="shared" si="28"/>
        <v>3.0330599560697977E-2</v>
      </c>
      <c r="H38" s="3">
        <f t="shared" si="28"/>
        <v>3.0330599560697977E-2</v>
      </c>
      <c r="I38" s="3">
        <f t="shared" si="28"/>
        <v>3.0330599560697977E-2</v>
      </c>
      <c r="J38" s="3">
        <f t="shared" si="28"/>
        <v>3.0330599560697977E-2</v>
      </c>
      <c r="K38" s="3">
        <f t="shared" si="28"/>
        <v>3.0330599560697977E-2</v>
      </c>
      <c r="L38" s="3">
        <f t="shared" si="28"/>
        <v>3.0330599560697967E-2</v>
      </c>
      <c r="M38" s="3">
        <f t="shared" si="28"/>
        <v>3.0330599560697866E-2</v>
      </c>
      <c r="N38" s="3">
        <f t="shared" si="28"/>
        <v>3.0330599560696881E-2</v>
      </c>
      <c r="O38" s="3">
        <f t="shared" si="28"/>
        <v>3.033059956068701E-2</v>
      </c>
      <c r="P38" s="3">
        <f t="shared" si="27"/>
        <v>3.0330599560588312E-2</v>
      </c>
      <c r="Q38" s="3">
        <f t="shared" si="27"/>
        <v>3.0330599559601327E-2</v>
      </c>
      <c r="R38" s="3">
        <f t="shared" si="27"/>
        <v>3.0330599549731475E-2</v>
      </c>
      <c r="S38" s="3">
        <f t="shared" si="27"/>
        <v>3.0330599451032954E-2</v>
      </c>
      <c r="T38" s="3">
        <f t="shared" si="27"/>
        <v>3.0330598464047769E-2</v>
      </c>
      <c r="U38" s="3">
        <f t="shared" si="27"/>
        <v>3.0330588594197672E-2</v>
      </c>
      <c r="V38" s="3">
        <f t="shared" si="27"/>
        <v>3.0330489895873357E-2</v>
      </c>
      <c r="W38" s="3">
        <f t="shared" si="27"/>
        <v>3.0329502930294541E-2</v>
      </c>
      <c r="X38" s="3">
        <f t="shared" si="27"/>
        <v>3.0319635040726711E-2</v>
      </c>
      <c r="Y38" s="3">
        <f t="shared" si="27"/>
        <v>3.0221132554612149E-2</v>
      </c>
      <c r="Z38" s="3">
        <f t="shared" si="27"/>
        <v>2.9253538086432739E-2</v>
      </c>
      <c r="AA38" s="3">
        <f t="shared" si="27"/>
        <v>2.1127837021344506E-2</v>
      </c>
      <c r="AB38" s="3">
        <f t="shared" si="27"/>
        <v>8.158708620886637E-4</v>
      </c>
      <c r="AC38" s="3">
        <f t="shared" si="27"/>
        <v>6.0156875711698578E-18</v>
      </c>
      <c r="AD38" s="3">
        <f t="shared" si="27"/>
        <v>2.8570890058950825E-159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3.2251957824665237E-2</v>
      </c>
      <c r="C39" s="18">
        <f t="shared" si="3"/>
        <v>3.2127590787364095E-2</v>
      </c>
      <c r="D39" s="17"/>
      <c r="F39" s="3">
        <f t="shared" si="28"/>
        <v>3.2127590787364095E-2</v>
      </c>
      <c r="G39" s="3">
        <f t="shared" si="28"/>
        <v>3.2127590787364095E-2</v>
      </c>
      <c r="H39" s="3">
        <f t="shared" si="28"/>
        <v>3.2127590787364095E-2</v>
      </c>
      <c r="I39" s="3">
        <f t="shared" si="28"/>
        <v>3.2127590787364095E-2</v>
      </c>
      <c r="J39" s="3">
        <f t="shared" si="28"/>
        <v>3.2127590787364095E-2</v>
      </c>
      <c r="K39" s="3">
        <f t="shared" si="28"/>
        <v>3.2127590787364095E-2</v>
      </c>
      <c r="L39" s="3">
        <f t="shared" si="28"/>
        <v>3.2127590787364088E-2</v>
      </c>
      <c r="M39" s="3">
        <f t="shared" si="28"/>
        <v>3.212759078736406E-2</v>
      </c>
      <c r="N39" s="3">
        <f t="shared" si="28"/>
        <v>3.2127590787363776E-2</v>
      </c>
      <c r="O39" s="3">
        <f t="shared" si="28"/>
        <v>3.2127590787360882E-2</v>
      </c>
      <c r="P39" s="3">
        <f t="shared" si="27"/>
        <v>3.2127590787331968E-2</v>
      </c>
      <c r="Q39" s="3">
        <f t="shared" si="27"/>
        <v>3.2127590787042817E-2</v>
      </c>
      <c r="R39" s="3">
        <f t="shared" si="27"/>
        <v>3.2127590784151339E-2</v>
      </c>
      <c r="S39" s="3">
        <f t="shared" si="27"/>
        <v>3.2127590755236503E-2</v>
      </c>
      <c r="T39" s="3">
        <f t="shared" si="27"/>
        <v>3.2127590466088186E-2</v>
      </c>
      <c r="U39" s="3">
        <f t="shared" si="27"/>
        <v>3.2127587574605182E-2</v>
      </c>
      <c r="V39" s="3">
        <f t="shared" si="27"/>
        <v>3.2127558659789369E-2</v>
      </c>
      <c r="W39" s="3">
        <f t="shared" si="27"/>
        <v>3.2127269513062592E-2</v>
      </c>
      <c r="X39" s="3">
        <f t="shared" si="27"/>
        <v>3.212437818891796E-2</v>
      </c>
      <c r="Y39" s="3">
        <f t="shared" si="27"/>
        <v>3.2095479255018863E-2</v>
      </c>
      <c r="Z39" s="3">
        <f t="shared" si="27"/>
        <v>3.1807915917791127E-2</v>
      </c>
      <c r="AA39" s="3">
        <f t="shared" si="27"/>
        <v>2.9070246295754408E-2</v>
      </c>
      <c r="AB39" s="3">
        <f t="shared" si="27"/>
        <v>1.1819080145040283E-2</v>
      </c>
      <c r="AC39" s="3">
        <f t="shared" si="27"/>
        <v>1.4585903651841854E-6</v>
      </c>
      <c r="AD39" s="3">
        <f t="shared" si="27"/>
        <v>1.1951707865550151E-45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1.6001059853235956E-2</v>
      </c>
      <c r="C40" s="18">
        <f t="shared" si="3"/>
        <v>1.5939358035986794E-2</v>
      </c>
      <c r="D40" s="17"/>
      <c r="F40" s="3">
        <f t="shared" si="28"/>
        <v>1.5939358035986794E-2</v>
      </c>
      <c r="G40" s="3">
        <f t="shared" si="28"/>
        <v>1.5939358035986794E-2</v>
      </c>
      <c r="H40" s="3">
        <f t="shared" si="28"/>
        <v>1.5939358035986794E-2</v>
      </c>
      <c r="I40" s="3">
        <f t="shared" si="28"/>
        <v>1.5939358035986794E-2</v>
      </c>
      <c r="J40" s="3">
        <f t="shared" si="28"/>
        <v>1.5939358035986794E-2</v>
      </c>
      <c r="K40" s="3">
        <f t="shared" si="28"/>
        <v>1.5939358035986794E-2</v>
      </c>
      <c r="L40" s="3">
        <f t="shared" si="28"/>
        <v>1.5939358035986794E-2</v>
      </c>
      <c r="M40" s="3">
        <f t="shared" si="28"/>
        <v>1.5939358035986791E-2</v>
      </c>
      <c r="N40" s="3">
        <f t="shared" si="28"/>
        <v>1.5939358035986777E-2</v>
      </c>
      <c r="O40" s="3">
        <f t="shared" si="28"/>
        <v>1.5939358035986635E-2</v>
      </c>
      <c r="P40" s="3">
        <f t="shared" si="27"/>
        <v>1.5939358035985198E-2</v>
      </c>
      <c r="Q40" s="3">
        <f t="shared" si="27"/>
        <v>1.5939358035970855E-2</v>
      </c>
      <c r="R40" s="3">
        <f t="shared" si="27"/>
        <v>1.5939358035827401E-2</v>
      </c>
      <c r="S40" s="3">
        <f t="shared" si="27"/>
        <v>1.5939358034392857E-2</v>
      </c>
      <c r="T40" s="3">
        <f t="shared" si="27"/>
        <v>1.5939358020047437E-2</v>
      </c>
      <c r="U40" s="3">
        <f t="shared" si="27"/>
        <v>1.5939357876593216E-2</v>
      </c>
      <c r="V40" s="3">
        <f t="shared" si="27"/>
        <v>1.5939356442051071E-2</v>
      </c>
      <c r="W40" s="3">
        <f t="shared" si="27"/>
        <v>1.5939342096636729E-2</v>
      </c>
      <c r="X40" s="3">
        <f t="shared" si="27"/>
        <v>1.5939198643203398E-2</v>
      </c>
      <c r="Y40" s="3">
        <f t="shared" si="27"/>
        <v>1.5937764179877328E-2</v>
      </c>
      <c r="Z40" s="3">
        <f t="shared" si="27"/>
        <v>1.5923426644973929E-2</v>
      </c>
      <c r="AA40" s="3">
        <f t="shared" si="27"/>
        <v>1.5780758773597192E-2</v>
      </c>
      <c r="AB40" s="3">
        <f t="shared" si="27"/>
        <v>1.4422527570433014E-2</v>
      </c>
      <c r="AC40" s="3">
        <f t="shared" si="27"/>
        <v>5.8637621269103605E-3</v>
      </c>
      <c r="AD40" s="3">
        <f t="shared" si="27"/>
        <v>7.2364573529289895E-7</v>
      </c>
      <c r="AE40" s="3">
        <f t="shared" si="27"/>
        <v>5.9295622902869131E-46</v>
      </c>
      <c r="AF40" s="3">
        <f t="shared" si="29"/>
        <v>0</v>
      </c>
      <c r="AG40" s="3">
        <f t="shared" si="29"/>
        <v>0</v>
      </c>
      <c r="AH40" s="3">
        <f t="shared" si="29"/>
        <v>0</v>
      </c>
      <c r="AI40" s="3">
        <f t="shared" si="29"/>
        <v>0</v>
      </c>
      <c r="AJ40" s="3">
        <f t="shared" si="29"/>
        <v>0</v>
      </c>
    </row>
    <row r="41" spans="1:36" x14ac:dyDescent="0.25">
      <c r="A41" s="3">
        <f t="shared" si="30"/>
        <v>1000000000</v>
      </c>
      <c r="B41" s="106">
        <v>1.0137317525355824E-3</v>
      </c>
      <c r="C41" s="18">
        <f t="shared" si="3"/>
        <v>1.0098226932664881E-3</v>
      </c>
      <c r="D41" s="17"/>
      <c r="F41" s="3">
        <f t="shared" si="28"/>
        <v>1.0098226932664881E-3</v>
      </c>
      <c r="G41" s="3">
        <f t="shared" si="28"/>
        <v>1.0098226932664881E-3</v>
      </c>
      <c r="H41" s="3">
        <f t="shared" si="28"/>
        <v>1.0098226932664881E-3</v>
      </c>
      <c r="I41" s="3">
        <f t="shared" si="28"/>
        <v>1.0098226932664881E-3</v>
      </c>
      <c r="J41" s="3">
        <f t="shared" si="28"/>
        <v>1.0098226932664881E-3</v>
      </c>
      <c r="K41" s="3">
        <f t="shared" si="28"/>
        <v>1.0098226932664881E-3</v>
      </c>
      <c r="L41" s="3">
        <f t="shared" si="28"/>
        <v>1.0098226932664881E-3</v>
      </c>
      <c r="M41" s="3">
        <f t="shared" si="28"/>
        <v>1.0098226932664881E-3</v>
      </c>
      <c r="N41" s="3">
        <f t="shared" si="28"/>
        <v>1.0098226932664879E-3</v>
      </c>
      <c r="O41" s="3">
        <f t="shared" si="28"/>
        <v>1.009822693266487E-3</v>
      </c>
      <c r="P41" s="3">
        <f t="shared" si="27"/>
        <v>1.0098226932664779E-3</v>
      </c>
      <c r="Q41" s="3">
        <f t="shared" si="27"/>
        <v>1.0098226932663871E-3</v>
      </c>
      <c r="R41" s="3">
        <f t="shared" si="27"/>
        <v>1.0098226932654783E-3</v>
      </c>
      <c r="S41" s="3">
        <f t="shared" si="27"/>
        <v>1.0098226932563899E-3</v>
      </c>
      <c r="T41" s="3">
        <f t="shared" si="27"/>
        <v>1.0098226931655057E-3</v>
      </c>
      <c r="U41" s="3">
        <f t="shared" si="27"/>
        <v>1.0098226922566655E-3</v>
      </c>
      <c r="V41" s="3">
        <f t="shared" si="27"/>
        <v>1.0098226831682612E-3</v>
      </c>
      <c r="W41" s="3">
        <f t="shared" si="27"/>
        <v>1.0098225922842239E-3</v>
      </c>
      <c r="X41" s="3">
        <f t="shared" si="27"/>
        <v>1.0098216834442998E-3</v>
      </c>
      <c r="Y41" s="3">
        <f t="shared" si="27"/>
        <v>1.0098125950900464E-3</v>
      </c>
      <c r="Z41" s="3">
        <f t="shared" si="27"/>
        <v>1.0097217160461066E-3</v>
      </c>
      <c r="AA41" s="3">
        <f t="shared" si="27"/>
        <v>1.0088133753163066E-3</v>
      </c>
      <c r="AB41" s="3">
        <f t="shared" si="27"/>
        <v>9.9977478958462374E-4</v>
      </c>
      <c r="AC41" s="3">
        <f t="shared" si="27"/>
        <v>9.1372535844936784E-4</v>
      </c>
      <c r="AD41" s="3">
        <f t="shared" si="27"/>
        <v>3.7149300808111648E-4</v>
      </c>
      <c r="AE41" s="3">
        <f t="shared" si="27"/>
        <v>4.5845879346861848E-8</v>
      </c>
      <c r="AF41" s="3">
        <f t="shared" si="29"/>
        <v>3.7566171412613202E-47</v>
      </c>
      <c r="AG41" s="3">
        <f t="shared" si="29"/>
        <v>0</v>
      </c>
      <c r="AH41" s="3">
        <f t="shared" si="29"/>
        <v>0</v>
      </c>
      <c r="AI41" s="3">
        <f t="shared" si="29"/>
        <v>0</v>
      </c>
      <c r="AJ41" s="3">
        <f t="shared" si="29"/>
        <v>0</v>
      </c>
    </row>
    <row r="42" spans="1:36" x14ac:dyDescent="0.25">
      <c r="A42" s="3">
        <f t="shared" si="30"/>
        <v>10000000000</v>
      </c>
      <c r="B42" s="106">
        <v>3.5369178328215236E-3</v>
      </c>
      <c r="C42" s="18">
        <f t="shared" si="3"/>
        <v>3.5232790951536608E-3</v>
      </c>
      <c r="D42" s="17"/>
      <c r="F42" s="3">
        <f t="shared" si="28"/>
        <v>3.5232790951536608E-3</v>
      </c>
      <c r="G42" s="3">
        <f t="shared" si="28"/>
        <v>3.5232790951536608E-3</v>
      </c>
      <c r="H42" s="3">
        <f t="shared" si="28"/>
        <v>3.5232790951536608E-3</v>
      </c>
      <c r="I42" s="3">
        <f t="shared" si="28"/>
        <v>3.5232790951536608E-3</v>
      </c>
      <c r="J42" s="3">
        <f t="shared" si="28"/>
        <v>3.5232790951536608E-3</v>
      </c>
      <c r="K42" s="3">
        <f t="shared" si="28"/>
        <v>3.5232790951536608E-3</v>
      </c>
      <c r="L42" s="3">
        <f t="shared" si="28"/>
        <v>3.5232790951536608E-3</v>
      </c>
      <c r="M42" s="3">
        <f t="shared" si="28"/>
        <v>3.5232790951536608E-3</v>
      </c>
      <c r="N42" s="3">
        <f t="shared" si="28"/>
        <v>3.5232790951536608E-3</v>
      </c>
      <c r="O42" s="3">
        <f t="shared" si="28"/>
        <v>3.5232790951536604E-3</v>
      </c>
      <c r="P42" s="3">
        <f t="shared" si="27"/>
        <v>3.5232790951536573E-3</v>
      </c>
      <c r="Q42" s="3">
        <f t="shared" si="27"/>
        <v>3.5232790951536257E-3</v>
      </c>
      <c r="R42" s="3">
        <f t="shared" si="27"/>
        <v>3.5232790951533082E-3</v>
      </c>
      <c r="S42" s="3">
        <f t="shared" si="27"/>
        <v>3.5232790951501376E-3</v>
      </c>
      <c r="T42" s="3">
        <f t="shared" si="27"/>
        <v>3.5232790951184281E-3</v>
      </c>
      <c r="U42" s="3">
        <f t="shared" si="27"/>
        <v>3.5232790948013328E-3</v>
      </c>
      <c r="V42" s="3">
        <f t="shared" si="27"/>
        <v>3.5232790916303819E-3</v>
      </c>
      <c r="W42" s="3">
        <f t="shared" si="27"/>
        <v>3.5232790599208702E-3</v>
      </c>
      <c r="X42" s="3">
        <f t="shared" si="27"/>
        <v>3.5232787428257691E-3</v>
      </c>
      <c r="Y42" s="3">
        <f t="shared" si="27"/>
        <v>3.5232755718763273E-3</v>
      </c>
      <c r="Z42" s="3">
        <f t="shared" si="27"/>
        <v>3.5232438625388725E-3</v>
      </c>
      <c r="AA42" s="3">
        <f t="shared" si="27"/>
        <v>3.5229267848599535E-3</v>
      </c>
      <c r="AB42" s="3">
        <f t="shared" si="27"/>
        <v>3.5197575771109884E-3</v>
      </c>
      <c r="AC42" s="3">
        <f t="shared" si="27"/>
        <v>3.4882218824088015E-3</v>
      </c>
      <c r="AD42" s="3">
        <f t="shared" si="27"/>
        <v>3.1879947594789103E-3</v>
      </c>
      <c r="AE42" s="3">
        <f t="shared" si="27"/>
        <v>1.2961419446161537E-3</v>
      </c>
      <c r="AF42" s="3">
        <f t="shared" si="29"/>
        <v>1.5995662345360739E-7</v>
      </c>
      <c r="AG42" s="3">
        <f t="shared" si="29"/>
        <v>1.3106865918697563E-46</v>
      </c>
      <c r="AH42" s="3">
        <f t="shared" si="29"/>
        <v>0</v>
      </c>
      <c r="AI42" s="3">
        <f t="shared" si="29"/>
        <v>0</v>
      </c>
      <c r="AJ42" s="3">
        <f t="shared" si="29"/>
        <v>0</v>
      </c>
    </row>
    <row r="43" spans="1:36" x14ac:dyDescent="0.25">
      <c r="A43" s="3">
        <f t="shared" si="30"/>
        <v>100000000000</v>
      </c>
      <c r="B43" s="106">
        <v>1.7593900414668377E-4</v>
      </c>
      <c r="C43" s="18">
        <f t="shared" si="3"/>
        <v>1.7526056431954549E-4</v>
      </c>
      <c r="D43" s="17"/>
      <c r="F43" s="3">
        <f t="shared" si="28"/>
        <v>1.7526056431954549E-4</v>
      </c>
      <c r="G43" s="3">
        <f t="shared" si="28"/>
        <v>1.7526056431954549E-4</v>
      </c>
      <c r="H43" s="3">
        <f t="shared" si="28"/>
        <v>1.7526056431954549E-4</v>
      </c>
      <c r="I43" s="3">
        <f t="shared" si="28"/>
        <v>1.7526056431954549E-4</v>
      </c>
      <c r="J43" s="3">
        <f t="shared" si="28"/>
        <v>1.7526056431954549E-4</v>
      </c>
      <c r="K43" s="3">
        <f t="shared" si="28"/>
        <v>1.7526056431954549E-4</v>
      </c>
      <c r="L43" s="3">
        <f t="shared" si="28"/>
        <v>1.7526056431954549E-4</v>
      </c>
      <c r="M43" s="3">
        <f t="shared" si="28"/>
        <v>1.7526056431954549E-4</v>
      </c>
      <c r="N43" s="3">
        <f t="shared" si="28"/>
        <v>1.7526056431954549E-4</v>
      </c>
      <c r="O43" s="3">
        <f t="shared" si="28"/>
        <v>1.7526056431954549E-4</v>
      </c>
      <c r="P43" s="3">
        <f t="shared" si="27"/>
        <v>1.7526056431954546E-4</v>
      </c>
      <c r="Q43" s="3">
        <f t="shared" si="27"/>
        <v>1.7526056431954533E-4</v>
      </c>
      <c r="R43" s="3">
        <f t="shared" si="27"/>
        <v>1.7526056431954373E-4</v>
      </c>
      <c r="S43" s="3">
        <f t="shared" si="27"/>
        <v>1.7526056431952796E-4</v>
      </c>
      <c r="T43" s="3">
        <f t="shared" si="27"/>
        <v>1.7526056431937023E-4</v>
      </c>
      <c r="U43" s="3">
        <f t="shared" si="27"/>
        <v>1.7526056431779288E-4</v>
      </c>
      <c r="V43" s="3">
        <f t="shared" si="27"/>
        <v>1.7526056430201945E-4</v>
      </c>
      <c r="W43" s="3">
        <f t="shared" si="27"/>
        <v>1.7526056414428494E-4</v>
      </c>
      <c r="X43" s="3">
        <f t="shared" si="27"/>
        <v>1.7526056256693986E-4</v>
      </c>
      <c r="Y43" s="3">
        <f t="shared" si="27"/>
        <v>1.7526054679348993E-4</v>
      </c>
      <c r="Z43" s="3">
        <f t="shared" si="27"/>
        <v>1.7526038905906881E-4</v>
      </c>
      <c r="AA43" s="3">
        <f t="shared" si="27"/>
        <v>1.7525881172266529E-4</v>
      </c>
      <c r="AB43" s="3">
        <f t="shared" si="27"/>
        <v>1.7524303913938715E-4</v>
      </c>
      <c r="AC43" s="3">
        <f t="shared" si="27"/>
        <v>1.7508539135630531E-4</v>
      </c>
      <c r="AD43" s="3">
        <f t="shared" si="27"/>
        <v>1.7351669256735139E-4</v>
      </c>
      <c r="AE43" s="3">
        <f t="shared" si="27"/>
        <v>1.5858231650242276E-4</v>
      </c>
      <c r="AF43" s="3">
        <f t="shared" si="29"/>
        <v>6.4474758461266021E-5</v>
      </c>
      <c r="AG43" s="3">
        <f t="shared" si="29"/>
        <v>7.9568173102408246E-9</v>
      </c>
      <c r="AH43" s="3">
        <f t="shared" si="29"/>
        <v>6.5198261486899574E-48</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1.1810892988233631E-4</v>
      </c>
      <c r="C45" s="18">
        <f t="shared" si="3"/>
        <v>1.1765348907566872E-4</v>
      </c>
      <c r="D45" s="17"/>
      <c r="F45" s="3">
        <f t="shared" si="28"/>
        <v>1.1765348907566872E-4</v>
      </c>
      <c r="G45" s="3">
        <f t="shared" si="28"/>
        <v>1.1765348907566872E-4</v>
      </c>
      <c r="H45" s="3">
        <f t="shared" si="28"/>
        <v>1.1765348907566872E-4</v>
      </c>
      <c r="I45" s="3">
        <f t="shared" si="28"/>
        <v>1.1765348907566872E-4</v>
      </c>
      <c r="J45" s="3">
        <f t="shared" si="28"/>
        <v>1.1765348907566872E-4</v>
      </c>
      <c r="K45" s="3">
        <f t="shared" si="28"/>
        <v>1.1765348907566872E-4</v>
      </c>
      <c r="L45" s="3">
        <f t="shared" si="28"/>
        <v>1.1765348907566872E-4</v>
      </c>
      <c r="M45" s="3">
        <f t="shared" si="28"/>
        <v>1.1765348907566872E-4</v>
      </c>
      <c r="N45" s="3">
        <f t="shared" si="28"/>
        <v>1.1765348907566872E-4</v>
      </c>
      <c r="O45" s="3">
        <f t="shared" si="28"/>
        <v>1.1765348907566872E-4</v>
      </c>
      <c r="P45" s="3">
        <f t="shared" si="27"/>
        <v>1.1765348907566872E-4</v>
      </c>
      <c r="Q45" s="3">
        <f t="shared" si="27"/>
        <v>1.1765348907566872E-4</v>
      </c>
      <c r="R45" s="3">
        <f t="shared" si="27"/>
        <v>1.1765348907566871E-4</v>
      </c>
      <c r="S45" s="3">
        <f t="shared" si="27"/>
        <v>1.176534890756686E-4</v>
      </c>
      <c r="T45" s="3">
        <f t="shared" si="27"/>
        <v>1.1765348907566754E-4</v>
      </c>
      <c r="U45" s="3">
        <f t="shared" si="27"/>
        <v>1.1765348907565696E-4</v>
      </c>
      <c r="V45" s="3">
        <f t="shared" si="27"/>
        <v>1.1765348907555107E-4</v>
      </c>
      <c r="W45" s="3">
        <f t="shared" si="27"/>
        <v>1.1765348907449219E-4</v>
      </c>
      <c r="X45" s="3">
        <f t="shared" si="27"/>
        <v>1.1765348906390337E-4</v>
      </c>
      <c r="Y45" s="3">
        <f t="shared" si="27"/>
        <v>1.1765348895801524E-4</v>
      </c>
      <c r="Z45" s="3">
        <f t="shared" si="27"/>
        <v>1.1765348789913383E-4</v>
      </c>
      <c r="AA45" s="3">
        <f t="shared" si="27"/>
        <v>1.1765347731032041E-4</v>
      </c>
      <c r="AB45" s="3">
        <f t="shared" si="27"/>
        <v>1.1765337142223847E-4</v>
      </c>
      <c r="AC45" s="3">
        <f t="shared" si="27"/>
        <v>1.1765231254666062E-4</v>
      </c>
      <c r="AD45" s="3">
        <f t="shared" si="27"/>
        <v>1.1764172431500899E-4</v>
      </c>
      <c r="AE45" s="3">
        <f t="shared" si="27"/>
        <v>1.1753589439373359E-4</v>
      </c>
      <c r="AF45" s="3">
        <f t="shared" si="29"/>
        <v>1.1648281729937538E-4</v>
      </c>
      <c r="AG45" s="3">
        <f t="shared" si="29"/>
        <v>1.0645727927815006E-4</v>
      </c>
      <c r="AH45" s="3">
        <f t="shared" si="29"/>
        <v>4.3282299813027408E-5</v>
      </c>
      <c r="AI45" s="3">
        <f t="shared" si="29"/>
        <v>5.3414601403466392E-9</v>
      </c>
      <c r="AJ45" s="3">
        <f t="shared" si="29"/>
        <v>4.376799182054251E-48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6.6242470451004874E-5</v>
      </c>
      <c r="C47" s="18">
        <f t="shared" si="3"/>
        <v>6.5987032321069097E-5</v>
      </c>
      <c r="D47" s="17"/>
      <c r="F47" s="3">
        <f t="shared" si="28"/>
        <v>6.5987032321069097E-5</v>
      </c>
      <c r="G47" s="3">
        <f t="shared" si="28"/>
        <v>6.5987032321069097E-5</v>
      </c>
      <c r="H47" s="3">
        <f t="shared" si="28"/>
        <v>6.5987032321069097E-5</v>
      </c>
      <c r="I47" s="3">
        <f t="shared" si="28"/>
        <v>6.5987032321069097E-5</v>
      </c>
      <c r="J47" s="3">
        <f t="shared" si="28"/>
        <v>6.5987032321069097E-5</v>
      </c>
      <c r="K47" s="3">
        <f t="shared" si="28"/>
        <v>6.5987032321069097E-5</v>
      </c>
      <c r="L47" s="3">
        <f t="shared" si="28"/>
        <v>6.5987032321069097E-5</v>
      </c>
      <c r="M47" s="3">
        <f t="shared" si="28"/>
        <v>6.5987032321069097E-5</v>
      </c>
      <c r="N47" s="3">
        <f t="shared" si="28"/>
        <v>6.5987032321069097E-5</v>
      </c>
      <c r="O47" s="3">
        <f t="shared" si="28"/>
        <v>6.5987032321069097E-5</v>
      </c>
      <c r="P47" s="3">
        <f t="shared" si="27"/>
        <v>6.5987032321069097E-5</v>
      </c>
      <c r="Q47" s="3">
        <f t="shared" si="27"/>
        <v>6.5987032321069097E-5</v>
      </c>
      <c r="R47" s="3">
        <f t="shared" si="27"/>
        <v>6.5987032321069097E-5</v>
      </c>
      <c r="S47" s="3">
        <f t="shared" si="27"/>
        <v>6.5987032321069097E-5</v>
      </c>
      <c r="T47" s="3">
        <f t="shared" si="27"/>
        <v>6.5987032321069083E-5</v>
      </c>
      <c r="U47" s="3">
        <f t="shared" si="27"/>
        <v>6.5987032321069029E-5</v>
      </c>
      <c r="V47" s="3">
        <f t="shared" si="27"/>
        <v>6.5987032321068433E-5</v>
      </c>
      <c r="W47" s="3">
        <f t="shared" si="27"/>
        <v>6.5987032321062497E-5</v>
      </c>
      <c r="X47" s="3">
        <f t="shared" si="27"/>
        <v>6.598703232100311E-5</v>
      </c>
      <c r="Y47" s="3">
        <f t="shared" si="27"/>
        <v>6.5987032320409224E-5</v>
      </c>
      <c r="Z47" s="3">
        <f t="shared" si="27"/>
        <v>6.5987032314470398E-5</v>
      </c>
      <c r="AA47" s="3">
        <f t="shared" si="27"/>
        <v>6.5987032255082072E-5</v>
      </c>
      <c r="AB47" s="3">
        <f t="shared" si="27"/>
        <v>6.5987031661198772E-5</v>
      </c>
      <c r="AC47" s="3">
        <f t="shared" si="27"/>
        <v>6.5987025722366203E-5</v>
      </c>
      <c r="AD47" s="3">
        <f t="shared" si="27"/>
        <v>6.5986966334069771E-5</v>
      </c>
      <c r="AE47" s="3">
        <f t="shared" si="27"/>
        <v>6.5986372454045227E-5</v>
      </c>
      <c r="AF47" s="3">
        <f t="shared" si="29"/>
        <v>6.598043394776115E-5</v>
      </c>
      <c r="AG47" s="3">
        <f t="shared" si="29"/>
        <v>6.5921078271269099E-5</v>
      </c>
      <c r="AH47" s="3">
        <f t="shared" si="29"/>
        <v>6.5330450379075437E-5</v>
      </c>
      <c r="AI47" s="3">
        <f t="shared" si="29"/>
        <v>5.9707535949251568E-5</v>
      </c>
      <c r="AJ47" s="3">
        <f t="shared" si="29"/>
        <v>2.4275272574836803E-5</v>
      </c>
    </row>
    <row r="48" spans="1:36" x14ac:dyDescent="0.25">
      <c r="A48" s="3">
        <f t="shared" si="30"/>
        <v>1E+16</v>
      </c>
      <c r="B48" s="106">
        <v>7.0120514381566082E-5</v>
      </c>
      <c r="C48" s="18">
        <f t="shared" si="3"/>
        <v>6.9850122094838041E-5</v>
      </c>
      <c r="D48" s="17"/>
      <c r="F48" s="3">
        <f t="shared" si="28"/>
        <v>6.9850122094838041E-5</v>
      </c>
      <c r="G48" s="3">
        <f t="shared" si="28"/>
        <v>6.9850122094838041E-5</v>
      </c>
      <c r="H48" s="3">
        <f t="shared" si="28"/>
        <v>6.9850122094838041E-5</v>
      </c>
      <c r="I48" s="3">
        <f t="shared" si="28"/>
        <v>6.9850122094838041E-5</v>
      </c>
      <c r="J48" s="3">
        <f t="shared" si="28"/>
        <v>6.9850122094838041E-5</v>
      </c>
      <c r="K48" s="3">
        <f t="shared" si="28"/>
        <v>6.9850122094838041E-5</v>
      </c>
      <c r="L48" s="3">
        <f t="shared" si="28"/>
        <v>6.9850122094838041E-5</v>
      </c>
      <c r="M48" s="3">
        <f t="shared" si="28"/>
        <v>6.9850122094838041E-5</v>
      </c>
      <c r="N48" s="3">
        <f t="shared" si="28"/>
        <v>6.9850122094838041E-5</v>
      </c>
      <c r="O48" s="3">
        <f t="shared" si="28"/>
        <v>6.9850122094838041E-5</v>
      </c>
      <c r="P48" s="3">
        <f t="shared" si="27"/>
        <v>6.9850122094838041E-5</v>
      </c>
      <c r="Q48" s="3">
        <f t="shared" si="27"/>
        <v>6.9850122094838041E-5</v>
      </c>
      <c r="R48" s="3">
        <f t="shared" si="27"/>
        <v>6.9850122094838041E-5</v>
      </c>
      <c r="S48" s="3">
        <f t="shared" si="27"/>
        <v>6.9850122094838041E-5</v>
      </c>
      <c r="T48" s="3">
        <f t="shared" si="27"/>
        <v>6.9850122094838041E-5</v>
      </c>
      <c r="U48" s="3">
        <f t="shared" si="27"/>
        <v>6.9850122094838028E-5</v>
      </c>
      <c r="V48" s="3">
        <f t="shared" si="27"/>
        <v>6.9850122094837974E-5</v>
      </c>
      <c r="W48" s="3">
        <f t="shared" si="27"/>
        <v>6.985012209483735E-5</v>
      </c>
      <c r="X48" s="3">
        <f t="shared" si="27"/>
        <v>6.9850122094831048E-5</v>
      </c>
      <c r="Y48" s="3">
        <f t="shared" si="27"/>
        <v>6.9850122094768192E-5</v>
      </c>
      <c r="Z48" s="3">
        <f t="shared" si="27"/>
        <v>6.9850122094139544E-5</v>
      </c>
      <c r="AA48" s="3">
        <f t="shared" si="27"/>
        <v>6.9850122087853028E-5</v>
      </c>
      <c r="AB48" s="3">
        <f t="shared" si="27"/>
        <v>6.9850122024987923E-5</v>
      </c>
      <c r="AC48" s="3">
        <f t="shared" si="27"/>
        <v>6.9850121396336821E-5</v>
      </c>
      <c r="AD48" s="3">
        <f t="shared" si="27"/>
        <v>6.9850115109826189E-5</v>
      </c>
      <c r="AE48" s="3">
        <f t="shared" si="27"/>
        <v>6.9850052244750874E-5</v>
      </c>
      <c r="AF48" s="3">
        <f t="shared" si="29"/>
        <v>6.9849423597109593E-5</v>
      </c>
      <c r="AG48" s="3">
        <f t="shared" si="29"/>
        <v>6.9843137431867524E-5</v>
      </c>
      <c r="AH48" s="3">
        <f t="shared" si="29"/>
        <v>6.9780306886165473E-5</v>
      </c>
      <c r="AI48" s="3">
        <f t="shared" si="29"/>
        <v>6.9155101767353494E-5</v>
      </c>
      <c r="AJ48" s="3">
        <f t="shared" si="29"/>
        <v>6.3203004125789782E-5</v>
      </c>
    </row>
    <row r="49" spans="1:36" x14ac:dyDescent="0.25">
      <c r="B49" s="16">
        <f>SUM(B17:B48)</f>
        <v>1.0038710352769451</v>
      </c>
      <c r="C49" s="18">
        <f>SUM(C17:C48)</f>
        <v>0.99999999999999989</v>
      </c>
      <c r="F49" s="3">
        <f t="shared" ref="F49:AJ49" si="31">F16-F17</f>
        <v>-0.3308946023335011</v>
      </c>
      <c r="G49" s="3">
        <f t="shared" si="31"/>
        <v>-0.27678629332694982</v>
      </c>
      <c r="H49" s="3">
        <f t="shared" si="31"/>
        <v>-0.29161938546621968</v>
      </c>
      <c r="I49" s="3">
        <f t="shared" si="31"/>
        <v>-0.12736556995423598</v>
      </c>
      <c r="J49" s="3">
        <f t="shared" si="31"/>
        <v>1.2943625451034677</v>
      </c>
      <c r="K49" s="3">
        <f t="shared" si="31"/>
        <v>-0.29679675341321854</v>
      </c>
      <c r="L49" s="3">
        <f t="shared" si="31"/>
        <v>9.5367639314645203E-3</v>
      </c>
      <c r="M49" s="3">
        <f t="shared" si="31"/>
        <v>7.9865444001370633E-2</v>
      </c>
      <c r="N49" s="3">
        <f t="shared" si="31"/>
        <v>-0.19720596962724812</v>
      </c>
      <c r="O49" s="3">
        <f t="shared" si="31"/>
        <v>0.4055926587252543</v>
      </c>
      <c r="P49" s="3">
        <f t="shared" si="31"/>
        <v>-0.69342397348918894</v>
      </c>
      <c r="Q49" s="3">
        <f t="shared" si="31"/>
        <v>0.98770702914771391</v>
      </c>
      <c r="R49" s="3">
        <f t="shared" si="31"/>
        <v>-1.2052315349383207</v>
      </c>
      <c r="S49" s="3">
        <f t="shared" si="31"/>
        <v>1.2702447889296309</v>
      </c>
      <c r="T49" s="3">
        <f t="shared" si="31"/>
        <v>-1.1448232068532889</v>
      </c>
      <c r="U49" s="3">
        <f t="shared" si="31"/>
        <v>0.88178869185230724</v>
      </c>
      <c r="V49" s="3">
        <f t="shared" si="31"/>
        <v>-0.59058103776351345</v>
      </c>
      <c r="W49" s="3">
        <f t="shared" si="31"/>
        <v>0.34487161325114357</v>
      </c>
      <c r="X49" s="3">
        <f t="shared" si="31"/>
        <v>-0.16834598669856859</v>
      </c>
      <c r="Y49" s="3">
        <f t="shared" si="31"/>
        <v>6.8747440204106169E-2</v>
      </c>
      <c r="Z49" s="3">
        <f t="shared" si="31"/>
        <v>-2.9188385152338014E-2</v>
      </c>
      <c r="AA49" s="3">
        <f t="shared" si="31"/>
        <v>1.4088652515511058E-2</v>
      </c>
      <c r="AB49" s="3">
        <f t="shared" si="31"/>
        <v>-1.2451403914383263E-2</v>
      </c>
      <c r="AC49" s="3">
        <f t="shared" si="31"/>
        <v>2.600171850639299E-2</v>
      </c>
      <c r="AD49" s="3">
        <f t="shared" si="31"/>
        <v>-4.0939343676399176E-2</v>
      </c>
      <c r="AE49" s="3">
        <f t="shared" si="31"/>
        <v>5.6189187096606474E-2</v>
      </c>
      <c r="AF49" s="3">
        <f t="shared" si="31"/>
        <v>-8.6765579792469794E-2</v>
      </c>
      <c r="AG49" s="3">
        <f t="shared" si="31"/>
        <v>0.13871105550177276</v>
      </c>
      <c r="AH49" s="3">
        <f t="shared" si="31"/>
        <v>-0.18987806760374326</v>
      </c>
      <c r="AI49" s="3">
        <f t="shared" si="31"/>
        <v>0.12142291484079237</v>
      </c>
      <c r="AJ49" s="3">
        <f t="shared" si="31"/>
        <v>-1.7025709159412372E-2</v>
      </c>
    </row>
    <row r="50" spans="1:36" x14ac:dyDescent="0.25">
      <c r="F50" s="57">
        <f t="shared" ref="F50:AJ50" si="32">F49/F17</f>
        <v>-5.1068577682269621E-5</v>
      </c>
      <c r="G50" s="57">
        <f t="shared" si="32"/>
        <v>-4.2717828397728836E-5</v>
      </c>
      <c r="H50" s="57">
        <f t="shared" si="32"/>
        <v>-4.500762016250916E-5</v>
      </c>
      <c r="I50" s="57">
        <f t="shared" si="32"/>
        <v>-1.9659484636016159E-5</v>
      </c>
      <c r="J50" s="57">
        <f t="shared" si="32"/>
        <v>2.0001033564488654E-4</v>
      </c>
      <c r="K50" s="57">
        <f t="shared" si="32"/>
        <v>-4.6189595773112262E-5</v>
      </c>
      <c r="L50" s="57">
        <f t="shared" si="32"/>
        <v>1.518562098723503E-6</v>
      </c>
      <c r="M50" s="57">
        <f t="shared" si="32"/>
        <v>1.3027206788963834E-5</v>
      </c>
      <c r="N50" s="57">
        <f t="shared" si="32"/>
        <v>-3.3090153704951371E-5</v>
      </c>
      <c r="O50" s="57">
        <f t="shared" si="32"/>
        <v>7.0437080174396571E-5</v>
      </c>
      <c r="P50" s="57">
        <f t="shared" si="32"/>
        <v>-1.2484218812387694E-4</v>
      </c>
      <c r="Q50" s="57">
        <f t="shared" si="32"/>
        <v>1.8652775021767181E-4</v>
      </c>
      <c r="R50" s="57">
        <f t="shared" si="32"/>
        <v>-2.4029870265969972E-4</v>
      </c>
      <c r="S50" s="57">
        <f t="shared" si="32"/>
        <v>2.6818565836282123E-4</v>
      </c>
      <c r="T50" s="57">
        <f t="shared" si="32"/>
        <v>-2.5785635883479146E-4</v>
      </c>
      <c r="U50" s="57">
        <f t="shared" si="32"/>
        <v>2.1431345776188012E-4</v>
      </c>
      <c r="V50" s="57">
        <f t="shared" si="32"/>
        <v>-1.6122089783031802E-4</v>
      </c>
      <c r="W50" s="57">
        <f t="shared" si="32"/>
        <v>1.1346600501782271E-4</v>
      </c>
      <c r="X50" s="57">
        <f t="shared" si="32"/>
        <v>-7.1433347516055366E-5</v>
      </c>
      <c r="Y50" s="57">
        <f t="shared" si="32"/>
        <v>4.1301151367405307E-5</v>
      </c>
      <c r="Z50" s="57">
        <f t="shared" si="32"/>
        <v>-2.806708695310568E-5</v>
      </c>
      <c r="AA50" s="57">
        <f t="shared" si="32"/>
        <v>2.3643394182747313E-5</v>
      </c>
      <c r="AB50" s="57">
        <f t="shared" si="32"/>
        <v>-3.7534814604344323E-5</v>
      </c>
      <c r="AC50" s="57">
        <f t="shared" si="32"/>
        <v>1.3493293940206925E-4</v>
      </c>
      <c r="AD50" s="57">
        <f t="shared" si="32"/>
        <v>-2.7488256990975383E-4</v>
      </c>
      <c r="AE50" s="57">
        <f t="shared" si="32"/>
        <v>4.1911864036514162E-4</v>
      </c>
      <c r="AF50" s="57">
        <f t="shared" si="32"/>
        <v>-6.9418669138073018E-4</v>
      </c>
      <c r="AG50" s="57">
        <f t="shared" si="32"/>
        <v>1.1141328574172222E-3</v>
      </c>
      <c r="AH50" s="57">
        <f t="shared" si="32"/>
        <v>-1.5302272112220402E-3</v>
      </c>
      <c r="AI50" s="57">
        <f t="shared" si="32"/>
        <v>9.8110188742893726E-4</v>
      </c>
      <c r="AJ50" s="57">
        <f t="shared" si="32"/>
        <v>-1.378692046084379E-4</v>
      </c>
    </row>
    <row r="51" spans="1:36" x14ac:dyDescent="0.25">
      <c r="A51" s="13" t="s">
        <v>21</v>
      </c>
      <c r="B51" s="3">
        <f>STUTT!D8</f>
        <v>6524.0923000000003</v>
      </c>
      <c r="E51" s="11" t="s">
        <v>24</v>
      </c>
      <c r="F51" s="20">
        <f t="shared" ref="F51:AJ51" si="33">(F16-F17)^2</f>
        <v>0.10949123785344583</v>
      </c>
      <c r="G51" s="20">
        <f t="shared" si="33"/>
        <v>7.66106521736723E-2</v>
      </c>
      <c r="H51" s="20">
        <f t="shared" si="33"/>
        <v>8.5041865979695624E-2</v>
      </c>
      <c r="I51" s="20">
        <f t="shared" si="33"/>
        <v>1.6221988409767379E-2</v>
      </c>
      <c r="J51" s="20">
        <f t="shared" si="33"/>
        <v>1.6753743981667264</v>
      </c>
      <c r="K51" s="20">
        <f t="shared" si="33"/>
        <v>8.8088312836626853E-2</v>
      </c>
      <c r="L51" s="20">
        <f t="shared" si="33"/>
        <v>9.094986628448261E-5</v>
      </c>
      <c r="M51" s="20">
        <f t="shared" si="33"/>
        <v>6.3784891455360686E-3</v>
      </c>
      <c r="N51" s="20">
        <f t="shared" si="33"/>
        <v>3.889019445662311E-2</v>
      </c>
      <c r="O51" s="20">
        <f t="shared" si="33"/>
        <v>0.1645054048118206</v>
      </c>
      <c r="P51" s="20">
        <f t="shared" si="33"/>
        <v>0.48083680700953541</v>
      </c>
      <c r="Q51" s="20">
        <f t="shared" si="33"/>
        <v>0.97556517542780297</v>
      </c>
      <c r="R51" s="20">
        <f t="shared" si="33"/>
        <v>1.4525830528097805</v>
      </c>
      <c r="S51" s="20">
        <f t="shared" si="33"/>
        <v>1.6135218238028826</v>
      </c>
      <c r="T51" s="20">
        <f t="shared" si="33"/>
        <v>1.3106201749498483</v>
      </c>
      <c r="U51" s="20">
        <f t="shared" si="33"/>
        <v>0.77755129707860327</v>
      </c>
      <c r="V51" s="20">
        <f t="shared" si="33"/>
        <v>0.34878596216582852</v>
      </c>
      <c r="W51" s="20">
        <f t="shared" si="33"/>
        <v>0.11893642962644635</v>
      </c>
      <c r="X51" s="20">
        <f t="shared" si="33"/>
        <v>2.8340371237514633E-2</v>
      </c>
      <c r="Y51" s="20">
        <f t="shared" si="33"/>
        <v>4.7262105346171533E-3</v>
      </c>
      <c r="Z51" s="20">
        <f t="shared" si="33"/>
        <v>8.5196182780122626E-4</v>
      </c>
      <c r="AA51" s="20">
        <f t="shared" si="33"/>
        <v>1.9849012970281604E-4</v>
      </c>
      <c r="AB51" s="20">
        <f t="shared" si="33"/>
        <v>1.5503745943911884E-4</v>
      </c>
      <c r="AC51" s="20">
        <f t="shared" si="33"/>
        <v>6.7608936528569974E-4</v>
      </c>
      <c r="AD51" s="20">
        <f t="shared" si="33"/>
        <v>1.6760298606543253E-3</v>
      </c>
      <c r="AE51" s="20">
        <f t="shared" si="33"/>
        <v>3.1572247465774476E-3</v>
      </c>
      <c r="AF51" s="20">
        <f t="shared" si="33"/>
        <v>7.5282658367234424E-3</v>
      </c>
      <c r="AG51" s="20">
        <f t="shared" si="33"/>
        <v>1.9240756918415883E-2</v>
      </c>
      <c r="AH51" s="20">
        <f t="shared" si="33"/>
        <v>3.6053680556931693E-2</v>
      </c>
      <c r="AI51" s="20">
        <f t="shared" si="33"/>
        <v>1.4743524248434317E-2</v>
      </c>
      <c r="AJ51" s="20">
        <f t="shared" si="33"/>
        <v>2.8987477238089836E-4</v>
      </c>
    </row>
    <row r="52" spans="1:36" x14ac:dyDescent="0.25">
      <c r="A52" s="13"/>
    </row>
    <row r="53" spans="1:36" x14ac:dyDescent="0.25">
      <c r="E53" s="119" t="s">
        <v>25</v>
      </c>
      <c r="F53" s="119"/>
      <c r="G53" s="104">
        <f>SUM(F51:AJ51)</f>
        <v>9.4567317340654053</v>
      </c>
      <c r="I53" s="3">
        <f>G53+C123</f>
        <v>9.4567317340654053</v>
      </c>
      <c r="K53" s="3">
        <f>SUM(Z51:AJ51)</f>
        <v>8.4570935722346877E-2</v>
      </c>
    </row>
    <row r="55" spans="1:36" x14ac:dyDescent="0.25">
      <c r="E55" s="30" t="s">
        <v>30</v>
      </c>
      <c r="F55" s="31">
        <f t="shared" ref="F55:AJ55" si="34">ABS(F17-F16)/F16</f>
        <v>5.1071185815089741E-5</v>
      </c>
      <c r="G55" s="31">
        <f t="shared" si="34"/>
        <v>4.271965328854723E-5</v>
      </c>
      <c r="H55" s="31">
        <f t="shared" si="34"/>
        <v>4.5009645939557256E-5</v>
      </c>
      <c r="I55" s="31">
        <f t="shared" si="34"/>
        <v>1.9659871138950763E-5</v>
      </c>
      <c r="J55" s="31">
        <f t="shared" si="34"/>
        <v>1.9997033951016209E-4</v>
      </c>
      <c r="K55" s="31">
        <f t="shared" si="34"/>
        <v>4.6191729350419021E-5</v>
      </c>
      <c r="L55" s="31">
        <f t="shared" si="34"/>
        <v>1.5185597926961573E-6</v>
      </c>
      <c r="M55" s="31">
        <f t="shared" si="34"/>
        <v>1.3027037083057906E-5</v>
      </c>
      <c r="N55" s="31">
        <f t="shared" si="34"/>
        <v>3.3091248699457132E-5</v>
      </c>
      <c r="O55" s="31">
        <f t="shared" si="34"/>
        <v>7.0432119141573742E-5</v>
      </c>
      <c r="P55" s="31">
        <f t="shared" si="34"/>
        <v>1.2485777564179233E-4</v>
      </c>
      <c r="Q55" s="31">
        <f t="shared" si="34"/>
        <v>1.8649296410464593E-4</v>
      </c>
      <c r="R55" s="31">
        <f t="shared" si="34"/>
        <v>2.4035646000521486E-4</v>
      </c>
      <c r="S55" s="31">
        <f t="shared" si="34"/>
        <v>2.6811375409916202E-4</v>
      </c>
      <c r="T55" s="31">
        <f t="shared" si="34"/>
        <v>2.5792286588584903E-4</v>
      </c>
      <c r="U55" s="31">
        <f t="shared" si="34"/>
        <v>2.1426753734506558E-4</v>
      </c>
      <c r="V55" s="31">
        <f t="shared" si="34"/>
        <v>1.6124689419937319E-4</v>
      </c>
      <c r="W55" s="31">
        <f t="shared" si="34"/>
        <v>1.1345313194418424E-4</v>
      </c>
      <c r="X55" s="31">
        <f t="shared" si="34"/>
        <v>7.143845060372335E-5</v>
      </c>
      <c r="Y55" s="31">
        <f t="shared" si="34"/>
        <v>4.129944565274901E-5</v>
      </c>
      <c r="Z55" s="31">
        <f t="shared" si="34"/>
        <v>2.80678747365865E-5</v>
      </c>
      <c r="AA55" s="31">
        <f t="shared" si="34"/>
        <v>2.3642835185875416E-5</v>
      </c>
      <c r="AB55" s="31">
        <f t="shared" si="34"/>
        <v>3.7536223519535076E-5</v>
      </c>
      <c r="AC55" s="31">
        <f t="shared" si="34"/>
        <v>1.3491473496031239E-4</v>
      </c>
      <c r="AD55" s="31">
        <f t="shared" si="34"/>
        <v>2.7495815111294942E-4</v>
      </c>
      <c r="AE55" s="31">
        <f t="shared" si="34"/>
        <v>4.18943053522159E-4</v>
      </c>
      <c r="AF55" s="31">
        <f t="shared" si="34"/>
        <v>6.9466892130081305E-4</v>
      </c>
      <c r="AG55" s="31">
        <f t="shared" si="34"/>
        <v>1.112892946818384E-3</v>
      </c>
      <c r="AH55" s="31">
        <f t="shared" si="34"/>
        <v>1.5325723952043496E-3</v>
      </c>
      <c r="AI55" s="31">
        <f t="shared" si="34"/>
        <v>9.8014026996013433E-4</v>
      </c>
      <c r="AJ55" s="31">
        <f t="shared" si="34"/>
        <v>1.3788821514698507E-4</v>
      </c>
    </row>
    <row r="56" spans="1:36" x14ac:dyDescent="0.25">
      <c r="E56" s="13" t="s">
        <v>31</v>
      </c>
      <c r="F56" s="32">
        <f>AVERAGE(F55:AJ55)</f>
        <v>2.4446342873255981E-4</v>
      </c>
    </row>
    <row r="57" spans="1:36" x14ac:dyDescent="0.25">
      <c r="A57" s="42"/>
      <c r="B57" s="15"/>
      <c r="C57" s="15"/>
      <c r="D57" s="15"/>
      <c r="F57" s="60">
        <f>AVERAGE(S55:X55)</f>
        <v>1.8107377234622625E-4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-24.635274013105377</v>
      </c>
    </row>
    <row r="119" spans="1:14" x14ac:dyDescent="0.25">
      <c r="L119" s="11">
        <f>L118+1</f>
        <v>2</v>
      </c>
      <c r="M119" s="11">
        <f t="shared" ref="M119:M124" si="35">INDEX($B$125:$K$126,1,L119)</f>
        <v>0</v>
      </c>
      <c r="N119" s="11">
        <f t="shared" ref="N119:N124" si="36">IF(L119=$B$3,0,INDEX($B$125:$K$126,2,L119))</f>
        <v>-21.515325644798491</v>
      </c>
    </row>
    <row r="120" spans="1:14" x14ac:dyDescent="0.25">
      <c r="L120" s="11">
        <f t="shared" ref="L120:L124" si="37">L119+1</f>
        <v>3</v>
      </c>
      <c r="M120" s="11">
        <f t="shared" si="35"/>
        <v>25</v>
      </c>
      <c r="N120" s="11">
        <f t="shared" si="36"/>
        <v>-17.307978877914891</v>
      </c>
    </row>
    <row r="121" spans="1:14" x14ac:dyDescent="0.25">
      <c r="A121" s="103">
        <f>(A165+A204+A243+A282+A321+A360+A399)*10^9</f>
        <v>5930601873600471</v>
      </c>
      <c r="L121" s="11">
        <f t="shared" si="37"/>
        <v>4</v>
      </c>
      <c r="M121" s="11">
        <f t="shared" si="35"/>
        <v>50</v>
      </c>
      <c r="N121" s="11">
        <f t="shared" si="36"/>
        <v>-10.743893827874675</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19.380397857459062</v>
      </c>
    </row>
    <row r="124" spans="1:14" x14ac:dyDescent="0.25">
      <c r="B124" s="3"/>
      <c r="C124" s="3"/>
      <c r="D124" s="3"/>
      <c r="E124" s="3"/>
      <c r="F124" s="3"/>
      <c r="G124" s="3"/>
      <c r="H124" s="3"/>
      <c r="I124" s="3"/>
      <c r="J124" s="3"/>
      <c r="K124" s="3"/>
      <c r="L124" s="11">
        <f t="shared" si="37"/>
        <v>7</v>
      </c>
      <c r="M124" s="11">
        <f t="shared" si="35"/>
        <v>160</v>
      </c>
      <c r="N124" s="11">
        <f t="shared" si="36"/>
        <v>23.582586792413974</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-24.635274013105377</v>
      </c>
      <c r="C126" s="107">
        <v>-21.515325644798491</v>
      </c>
      <c r="D126" s="107">
        <v>-17.307978877914891</v>
      </c>
      <c r="E126" s="107">
        <v>-10.743893827874675</v>
      </c>
      <c r="F126" s="107">
        <v>-3.9850854072879436E-5</v>
      </c>
      <c r="G126" s="107">
        <v>19.380397857459062</v>
      </c>
      <c r="H126" s="107">
        <v>23.582586792413974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6524.0922106495309</v>
      </c>
      <c r="C131" s="27">
        <f t="shared" ref="C131:AF131" si="40">($C$17+SUM(C132:C162))*$B$51</f>
        <v>6524.0914065033521</v>
      </c>
      <c r="D131" s="27">
        <f t="shared" si="40"/>
        <v>6524.0833658376368</v>
      </c>
      <c r="E131" s="27">
        <f t="shared" si="40"/>
        <v>6524.0030387341239</v>
      </c>
      <c r="F131" s="27">
        <f t="shared" si="40"/>
        <v>6523.2076703339753</v>
      </c>
      <c r="G131" s="27">
        <f t="shared" si="40"/>
        <v>6515.9940574086859</v>
      </c>
      <c r="H131" s="27">
        <f t="shared" si="40"/>
        <v>6485.4635559543167</v>
      </c>
      <c r="I131" s="27">
        <f t="shared" si="40"/>
        <v>6479.4176833189549</v>
      </c>
      <c r="J131" s="27">
        <f t="shared" si="40"/>
        <v>6479.4176817124289</v>
      </c>
      <c r="K131" s="27">
        <f t="shared" si="40"/>
        <v>6479.4176665677142</v>
      </c>
      <c r="L131" s="27">
        <f t="shared" si="40"/>
        <v>6479.4175151207428</v>
      </c>
      <c r="M131" s="27">
        <f t="shared" si="40"/>
        <v>6479.416000668959</v>
      </c>
      <c r="N131" s="27">
        <f t="shared" si="40"/>
        <v>6479.4008579431647</v>
      </c>
      <c r="O131" s="27">
        <f t="shared" si="40"/>
        <v>6479.2496096767618</v>
      </c>
      <c r="P131" s="27">
        <f t="shared" si="40"/>
        <v>6477.7548146625841</v>
      </c>
      <c r="Q131" s="27">
        <f t="shared" si="40"/>
        <v>6464.3825554572986</v>
      </c>
      <c r="R131" s="27">
        <f t="shared" si="40"/>
        <v>6395.6541973987305</v>
      </c>
      <c r="S131" s="27">
        <f t="shared" si="40"/>
        <v>6232.5192449233382</v>
      </c>
      <c r="T131" s="27">
        <f t="shared" si="40"/>
        <v>6082.6444076052567</v>
      </c>
      <c r="U131" s="27">
        <f t="shared" si="40"/>
        <v>5899.2652713300149</v>
      </c>
      <c r="V131" s="27">
        <f t="shared" si="40"/>
        <v>5690.4799756809762</v>
      </c>
      <c r="W131" s="27">
        <f t="shared" si="40"/>
        <v>5481.7112432284457</v>
      </c>
      <c r="X131" s="27">
        <f t="shared" si="40"/>
        <v>5196.7541103498988</v>
      </c>
      <c r="Y131" s="27">
        <f t="shared" si="40"/>
        <v>4925.2191335791968</v>
      </c>
      <c r="Z131" s="27">
        <f t="shared" si="40"/>
        <v>4637.938779732207</v>
      </c>
      <c r="AA131" s="27">
        <f t="shared" si="40"/>
        <v>4338.4906637329013</v>
      </c>
      <c r="AB131" s="27">
        <f t="shared" si="40"/>
        <v>3991.7590256497633</v>
      </c>
      <c r="AC131" s="27">
        <f t="shared" si="40"/>
        <v>3472.1934235956501</v>
      </c>
      <c r="AD131" s="27">
        <f t="shared" si="40"/>
        <v>2831.1081366391222</v>
      </c>
      <c r="AE131" s="27">
        <f t="shared" si="40"/>
        <v>2147.0286712963898</v>
      </c>
      <c r="AF131" s="27">
        <f t="shared" si="40"/>
        <v>1473.3273651407237</v>
      </c>
    </row>
    <row r="132" spans="1:33" x14ac:dyDescent="0.25">
      <c r="B132" s="3">
        <f t="shared" ref="B132:Z133" si="41">$C18*EXP(-B$129/$A18/EXP(-$B$126))</f>
        <v>6.8476234240823722E-3</v>
      </c>
      <c r="C132" s="3">
        <f t="shared" ref="C132:AF132" si="42">$C18*EXP(-C$129/$A18/EXP(-$B$126))</f>
        <v>6.8475001661422513E-3</v>
      </c>
      <c r="D132" s="3">
        <f t="shared" si="42"/>
        <v>6.8462677087605317E-3</v>
      </c>
      <c r="E132" s="3">
        <f t="shared" si="42"/>
        <v>6.8339553287689028E-3</v>
      </c>
      <c r="F132" s="3">
        <f t="shared" si="42"/>
        <v>6.7120428291562355E-3</v>
      </c>
      <c r="G132" s="3">
        <f t="shared" si="42"/>
        <v>5.6063544679147946E-3</v>
      </c>
      <c r="H132" s="3">
        <f t="shared" si="42"/>
        <v>9.2669942391351455E-4</v>
      </c>
      <c r="I132" s="3">
        <f t="shared" si="42"/>
        <v>1.4109846628151534E-11</v>
      </c>
      <c r="J132" s="3">
        <f t="shared" si="42"/>
        <v>9.4483569755672632E-90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4.1306699022082179E-3</v>
      </c>
      <c r="C136" s="3">
        <f t="shared" si="49"/>
        <v>4.130669902208204E-3</v>
      </c>
      <c r="D136" s="3">
        <f t="shared" si="49"/>
        <v>4.1306699022080643E-3</v>
      </c>
      <c r="E136" s="3">
        <f t="shared" si="49"/>
        <v>4.1306699022066662E-3</v>
      </c>
      <c r="F136" s="3">
        <f t="shared" si="49"/>
        <v>4.1306699021926852E-3</v>
      </c>
      <c r="G136" s="3">
        <f t="shared" si="49"/>
        <v>4.1306699020528742E-3</v>
      </c>
      <c r="H136" s="3">
        <f t="shared" si="49"/>
        <v>4.1306699006547652E-3</v>
      </c>
      <c r="I136" s="3">
        <f t="shared" si="49"/>
        <v>4.130669886673672E-3</v>
      </c>
      <c r="J136" s="3">
        <f t="shared" si="49"/>
        <v>4.1306697468627461E-3</v>
      </c>
      <c r="K136" s="3">
        <f t="shared" si="49"/>
        <v>4.1306683487537538E-3</v>
      </c>
      <c r="L136" s="3">
        <f t="shared" si="49"/>
        <v>4.1306543676898535E-3</v>
      </c>
      <c r="M136" s="3">
        <f t="shared" si="49"/>
        <v>4.1305145596535163E-3</v>
      </c>
      <c r="N136" s="3">
        <f t="shared" si="49"/>
        <v>4.1291167395241229E-3</v>
      </c>
      <c r="O136" s="3">
        <f t="shared" si="49"/>
        <v>4.1151645290677195E-3</v>
      </c>
      <c r="P136" s="3">
        <f t="shared" si="49"/>
        <v>3.9782092514714052E-3</v>
      </c>
      <c r="Q136" s="3">
        <f t="shared" si="49"/>
        <v>2.8359059141908113E-3</v>
      </c>
      <c r="R136" s="3">
        <f t="shared" si="49"/>
        <v>9.6102297700206062E-5</v>
      </c>
      <c r="S136" s="3">
        <f t="shared" si="49"/>
        <v>1.9193461285844398E-19</v>
      </c>
      <c r="T136" s="3">
        <f t="shared" si="49"/>
        <v>1.9379769106042693E-166</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2.7997525232425744E-2</v>
      </c>
      <c r="C137" s="3">
        <f t="shared" si="51"/>
        <v>2.7997525232425734E-2</v>
      </c>
      <c r="D137" s="3">
        <f t="shared" si="51"/>
        <v>2.7997525232425647E-2</v>
      </c>
      <c r="E137" s="3">
        <f t="shared" si="51"/>
        <v>2.7997525232424793E-2</v>
      </c>
      <c r="F137" s="3">
        <f t="shared" si="51"/>
        <v>2.7997525232416245E-2</v>
      </c>
      <c r="G137" s="3">
        <f t="shared" si="51"/>
        <v>2.7997525232330761E-2</v>
      </c>
      <c r="H137" s="3">
        <f t="shared" si="51"/>
        <v>2.7997525231475917E-2</v>
      </c>
      <c r="I137" s="3">
        <f t="shared" si="51"/>
        <v>2.7997525222927477E-2</v>
      </c>
      <c r="J137" s="3">
        <f t="shared" si="51"/>
        <v>2.7997525137443077E-2</v>
      </c>
      <c r="K137" s="3">
        <f t="shared" si="51"/>
        <v>2.79975242825991E-2</v>
      </c>
      <c r="L137" s="3">
        <f t="shared" si="51"/>
        <v>2.7997515734160764E-2</v>
      </c>
      <c r="M137" s="3">
        <f t="shared" si="51"/>
        <v>2.7997430249920938E-2</v>
      </c>
      <c r="N137" s="3">
        <f t="shared" si="51"/>
        <v>2.7996575421877955E-2</v>
      </c>
      <c r="O137" s="3">
        <f t="shared" si="51"/>
        <v>2.7988028576812828E-2</v>
      </c>
      <c r="P137" s="3">
        <f t="shared" si="51"/>
        <v>2.7902703500608275E-2</v>
      </c>
      <c r="Q137" s="3">
        <f t="shared" si="51"/>
        <v>2.7063629525290137E-2</v>
      </c>
      <c r="R137" s="3">
        <f t="shared" si="51"/>
        <v>1.9942683416984248E-2</v>
      </c>
      <c r="S137" s="3">
        <f t="shared" si="51"/>
        <v>9.4136738587714472E-4</v>
      </c>
      <c r="T137" s="3">
        <f t="shared" si="51"/>
        <v>5.1702872999884042E-17</v>
      </c>
      <c r="U137" s="3">
        <f t="shared" si="51"/>
        <v>1.291427296708055E-149</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2.197959763100649E-2</v>
      </c>
      <c r="C138" s="3">
        <f t="shared" si="53"/>
        <v>2.197959763100649E-2</v>
      </c>
      <c r="D138" s="3">
        <f t="shared" si="53"/>
        <v>2.1979597631006483E-2</v>
      </c>
      <c r="E138" s="3">
        <f t="shared" si="53"/>
        <v>2.1979597631006421E-2</v>
      </c>
      <c r="F138" s="3">
        <f t="shared" si="53"/>
        <v>2.1979597631005817E-2</v>
      </c>
      <c r="G138" s="3">
        <f t="shared" si="53"/>
        <v>2.1979597630999763E-2</v>
      </c>
      <c r="H138" s="3">
        <f t="shared" si="53"/>
        <v>2.1979597630939225E-2</v>
      </c>
      <c r="I138" s="3">
        <f t="shared" si="53"/>
        <v>2.1979597630333837E-2</v>
      </c>
      <c r="J138" s="3">
        <f t="shared" si="53"/>
        <v>2.1979597624279961E-2</v>
      </c>
      <c r="K138" s="3">
        <f t="shared" si="53"/>
        <v>2.1979597563741196E-2</v>
      </c>
      <c r="L138" s="3">
        <f t="shared" si="53"/>
        <v>2.1979596958353571E-2</v>
      </c>
      <c r="M138" s="3">
        <f t="shared" si="53"/>
        <v>2.1979590904478208E-2</v>
      </c>
      <c r="N138" s="3">
        <f t="shared" si="53"/>
        <v>2.1979530365816315E-2</v>
      </c>
      <c r="O138" s="3">
        <f t="shared" si="53"/>
        <v>2.1978924988368145E-2</v>
      </c>
      <c r="P138" s="3">
        <f t="shared" si="53"/>
        <v>2.1972872130868557E-2</v>
      </c>
      <c r="Q138" s="3">
        <f t="shared" si="53"/>
        <v>2.1912435160705283E-2</v>
      </c>
      <c r="R138" s="3">
        <f t="shared" si="53"/>
        <v>2.1317133271907832E-2</v>
      </c>
      <c r="S138" s="3">
        <f t="shared" si="53"/>
        <v>1.618491279567378E-2</v>
      </c>
      <c r="T138" s="3">
        <f t="shared" si="53"/>
        <v>1.0302105614292103E-3</v>
      </c>
      <c r="U138" s="3">
        <f t="shared" si="53"/>
        <v>1.1248182096100827E-15</v>
      </c>
      <c r="V138" s="3">
        <f t="shared" si="53"/>
        <v>2.7079818247662208E-135</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2.8250918359936459E-2</v>
      </c>
      <c r="C139" s="3">
        <f t="shared" si="55"/>
        <v>2.8250918359936459E-2</v>
      </c>
      <c r="D139" s="3">
        <f t="shared" si="55"/>
        <v>2.8250918359936459E-2</v>
      </c>
      <c r="E139" s="3">
        <f t="shared" si="55"/>
        <v>2.8250918359936452E-2</v>
      </c>
      <c r="F139" s="3">
        <f t="shared" si="55"/>
        <v>2.8250918359936379E-2</v>
      </c>
      <c r="G139" s="3">
        <f t="shared" si="55"/>
        <v>2.8250918359935678E-2</v>
      </c>
      <c r="H139" s="3">
        <f t="shared" si="55"/>
        <v>2.825091835992866E-2</v>
      </c>
      <c r="I139" s="3">
        <f t="shared" si="55"/>
        <v>2.8250918359858466E-2</v>
      </c>
      <c r="J139" s="3">
        <f t="shared" si="55"/>
        <v>2.8250918359156538E-2</v>
      </c>
      <c r="K139" s="3">
        <f t="shared" si="55"/>
        <v>2.825091835213725E-2</v>
      </c>
      <c r="L139" s="3">
        <f t="shared" si="55"/>
        <v>2.8250918281944388E-2</v>
      </c>
      <c r="M139" s="3">
        <f t="shared" si="55"/>
        <v>2.8250917580015741E-2</v>
      </c>
      <c r="N139" s="3">
        <f t="shared" si="55"/>
        <v>2.8250910560730265E-2</v>
      </c>
      <c r="O139" s="3">
        <f t="shared" si="55"/>
        <v>2.8250840367971413E-2</v>
      </c>
      <c r="P139" s="3">
        <f t="shared" si="55"/>
        <v>2.8250138449974968E-2</v>
      </c>
      <c r="Q139" s="3">
        <f t="shared" si="55"/>
        <v>2.8243120229127772E-2</v>
      </c>
      <c r="R139" s="3">
        <f t="shared" si="55"/>
        <v>2.8173033844266771E-2</v>
      </c>
      <c r="S139" s="3">
        <f t="shared" si="55"/>
        <v>2.7481664847519956E-2</v>
      </c>
      <c r="T139" s="3">
        <f t="shared" si="55"/>
        <v>2.1435679638003986E-2</v>
      </c>
      <c r="U139" s="3">
        <f t="shared" si="55"/>
        <v>1.7868144120912176E-3</v>
      </c>
      <c r="V139" s="3">
        <f t="shared" si="55"/>
        <v>2.8940187230972155E-14</v>
      </c>
      <c r="W139" s="3">
        <f t="shared" si="55"/>
        <v>3.5951766464333457E-122</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3.4437903010475883E-2</v>
      </c>
      <c r="C140" s="3">
        <f t="shared" si="57"/>
        <v>3.4437903010475883E-2</v>
      </c>
      <c r="D140" s="3">
        <f t="shared" si="57"/>
        <v>3.4437903010475883E-2</v>
      </c>
      <c r="E140" s="3">
        <f t="shared" si="57"/>
        <v>3.4437903010475883E-2</v>
      </c>
      <c r="F140" s="3">
        <f t="shared" si="57"/>
        <v>3.4437903010475876E-2</v>
      </c>
      <c r="G140" s="3">
        <f t="shared" si="57"/>
        <v>3.44379030104758E-2</v>
      </c>
      <c r="H140" s="3">
        <f t="shared" si="57"/>
        <v>3.4437903010475029E-2</v>
      </c>
      <c r="I140" s="3">
        <f t="shared" si="57"/>
        <v>3.4437903010467306E-2</v>
      </c>
      <c r="J140" s="3">
        <f t="shared" si="57"/>
        <v>3.4437903010390118E-2</v>
      </c>
      <c r="K140" s="3">
        <f t="shared" si="57"/>
        <v>3.443790300961825E-2</v>
      </c>
      <c r="L140" s="3">
        <f t="shared" si="57"/>
        <v>3.4437903001899556E-2</v>
      </c>
      <c r="M140" s="3">
        <f t="shared" si="57"/>
        <v>3.4437902924712646E-2</v>
      </c>
      <c r="N140" s="3">
        <f t="shared" si="57"/>
        <v>3.4437902152843487E-2</v>
      </c>
      <c r="O140" s="3">
        <f t="shared" si="57"/>
        <v>3.4437894434152912E-2</v>
      </c>
      <c r="P140" s="3">
        <f t="shared" si="57"/>
        <v>3.4437817247342281E-2</v>
      </c>
      <c r="Q140" s="3">
        <f t="shared" si="57"/>
        <v>3.4437045388751024E-2</v>
      </c>
      <c r="R140" s="3">
        <f t="shared" si="57"/>
        <v>3.4429327754260781E-2</v>
      </c>
      <c r="S140" s="3">
        <f t="shared" si="57"/>
        <v>3.4352246472741196E-2</v>
      </c>
      <c r="T140" s="3">
        <f t="shared" si="57"/>
        <v>3.3590861630714119E-2</v>
      </c>
      <c r="U140" s="3">
        <f t="shared" si="57"/>
        <v>2.6846096843598021E-2</v>
      </c>
      <c r="V140" s="3">
        <f t="shared" si="57"/>
        <v>2.8541792074703596E-3</v>
      </c>
      <c r="W140" s="3">
        <f t="shared" si="57"/>
        <v>5.266015013285229E-13</v>
      </c>
      <c r="X140" s="3">
        <f t="shared" si="57"/>
        <v>2.4070806530146816E-110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2.9401070007452231E-2</v>
      </c>
      <c r="C141" s="3">
        <f t="shared" si="59"/>
        <v>2.9401070007452231E-2</v>
      </c>
      <c r="D141" s="3">
        <f t="shared" si="59"/>
        <v>2.9401070007452231E-2</v>
      </c>
      <c r="E141" s="3">
        <f t="shared" si="59"/>
        <v>2.9401070007452231E-2</v>
      </c>
      <c r="F141" s="3">
        <f t="shared" si="59"/>
        <v>2.9401070007452231E-2</v>
      </c>
      <c r="G141" s="3">
        <f t="shared" si="59"/>
        <v>2.9401070007452224E-2</v>
      </c>
      <c r="H141" s="3">
        <f t="shared" si="59"/>
        <v>2.9401070007452165E-2</v>
      </c>
      <c r="I141" s="3">
        <f t="shared" si="59"/>
        <v>2.9401070007451572E-2</v>
      </c>
      <c r="J141" s="3">
        <f t="shared" si="59"/>
        <v>2.9401070007445629E-2</v>
      </c>
      <c r="K141" s="3">
        <f t="shared" si="59"/>
        <v>2.940107000738618E-2</v>
      </c>
      <c r="L141" s="3">
        <f t="shared" si="59"/>
        <v>2.9401070006791728E-2</v>
      </c>
      <c r="M141" s="3">
        <f t="shared" si="59"/>
        <v>2.9401070000847209E-2</v>
      </c>
      <c r="N141" s="3">
        <f t="shared" si="59"/>
        <v>2.9401069941402021E-2</v>
      </c>
      <c r="O141" s="3">
        <f t="shared" si="59"/>
        <v>2.9401069346950127E-2</v>
      </c>
      <c r="P141" s="3">
        <f t="shared" si="59"/>
        <v>2.9401063402431864E-2</v>
      </c>
      <c r="Q141" s="3">
        <f t="shared" si="59"/>
        <v>2.9401003957315298E-2</v>
      </c>
      <c r="R141" s="3">
        <f t="shared" si="59"/>
        <v>2.9400409512760101E-2</v>
      </c>
      <c r="S141" s="3">
        <f t="shared" si="59"/>
        <v>2.9394465728201168E-2</v>
      </c>
      <c r="T141" s="3">
        <f t="shared" si="59"/>
        <v>2.9335093932495275E-2</v>
      </c>
      <c r="U141" s="3">
        <f t="shared" si="59"/>
        <v>2.8747931818450305E-2</v>
      </c>
      <c r="V141" s="3">
        <f t="shared" si="59"/>
        <v>2.3485393215944544E-2</v>
      </c>
      <c r="W141" s="3">
        <f t="shared" si="59"/>
        <v>3.1096401426916821E-3</v>
      </c>
      <c r="X141" s="3">
        <f t="shared" si="59"/>
        <v>5.150306966328172E-12</v>
      </c>
      <c r="Y141" s="3">
        <f t="shared" si="59"/>
        <v>7.9995013991504648E-100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4.9041908611543852E-2</v>
      </c>
      <c r="C142" s="3">
        <f t="shared" si="61"/>
        <v>4.9041908611543852E-2</v>
      </c>
      <c r="D142" s="3">
        <f t="shared" si="61"/>
        <v>4.9041908611543852E-2</v>
      </c>
      <c r="E142" s="3">
        <f t="shared" si="61"/>
        <v>4.9041908611543852E-2</v>
      </c>
      <c r="F142" s="3">
        <f t="shared" si="61"/>
        <v>4.9041908611543852E-2</v>
      </c>
      <c r="G142" s="3">
        <f t="shared" si="61"/>
        <v>4.9041908611543852E-2</v>
      </c>
      <c r="H142" s="3">
        <f t="shared" si="61"/>
        <v>4.9041908611543839E-2</v>
      </c>
      <c r="I142" s="3">
        <f t="shared" si="61"/>
        <v>4.9041908611543755E-2</v>
      </c>
      <c r="J142" s="3">
        <f t="shared" si="61"/>
        <v>4.9041908611542853E-2</v>
      </c>
      <c r="K142" s="3">
        <f t="shared" si="61"/>
        <v>4.9041908611533916E-2</v>
      </c>
      <c r="L142" s="3">
        <f t="shared" si="61"/>
        <v>4.9041908611444467E-2</v>
      </c>
      <c r="M142" s="3">
        <f t="shared" si="61"/>
        <v>4.9041908610549988E-2</v>
      </c>
      <c r="N142" s="3">
        <f t="shared" si="61"/>
        <v>4.9041908601605261E-2</v>
      </c>
      <c r="O142" s="3">
        <f t="shared" si="61"/>
        <v>4.9041908512157895E-2</v>
      </c>
      <c r="P142" s="3">
        <f t="shared" si="61"/>
        <v>4.9041907617684281E-2</v>
      </c>
      <c r="Q142" s="3">
        <f t="shared" si="61"/>
        <v>4.9041898672949051E-2</v>
      </c>
      <c r="R142" s="3">
        <f t="shared" si="61"/>
        <v>4.9041809225686503E-2</v>
      </c>
      <c r="S142" s="3">
        <f t="shared" si="61"/>
        <v>4.9040914762033733E-2</v>
      </c>
      <c r="T142" s="3">
        <f t="shared" si="61"/>
        <v>4.9031971022723789E-2</v>
      </c>
      <c r="U142" s="3">
        <f t="shared" si="61"/>
        <v>4.8942623290876994E-2</v>
      </c>
      <c r="V142" s="3">
        <f t="shared" si="61"/>
        <v>4.8058051884584049E-2</v>
      </c>
      <c r="W142" s="3">
        <f t="shared" si="61"/>
        <v>4.0045649903648985E-2</v>
      </c>
      <c r="X142" s="3">
        <f t="shared" si="61"/>
        <v>6.463193959418469E-3</v>
      </c>
      <c r="Y142" s="3">
        <f t="shared" si="61"/>
        <v>7.7511406754628585E-11</v>
      </c>
      <c r="Z142" s="3">
        <f t="shared" si="61"/>
        <v>4.7703463981103969E-90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4.178985908034704E-2</v>
      </c>
      <c r="C143" s="3">
        <f t="shared" si="63"/>
        <v>4.178985908034704E-2</v>
      </c>
      <c r="D143" s="3">
        <f t="shared" si="63"/>
        <v>4.178985908034704E-2</v>
      </c>
      <c r="E143" s="3">
        <f t="shared" si="63"/>
        <v>4.178985908034704E-2</v>
      </c>
      <c r="F143" s="3">
        <f t="shared" si="63"/>
        <v>4.178985908034704E-2</v>
      </c>
      <c r="G143" s="3">
        <f t="shared" si="63"/>
        <v>4.178985908034704E-2</v>
      </c>
      <c r="H143" s="3">
        <f t="shared" si="63"/>
        <v>4.178985908034704E-2</v>
      </c>
      <c r="I143" s="3">
        <f t="shared" si="63"/>
        <v>4.1789859080347033E-2</v>
      </c>
      <c r="J143" s="3">
        <f t="shared" si="63"/>
        <v>4.1789859080346964E-2</v>
      </c>
      <c r="K143" s="3">
        <f t="shared" si="63"/>
        <v>4.1789859080346277E-2</v>
      </c>
      <c r="L143" s="3">
        <f t="shared" si="63"/>
        <v>4.17898590803394E-2</v>
      </c>
      <c r="M143" s="3">
        <f t="shared" si="63"/>
        <v>4.1789859080270643E-2</v>
      </c>
      <c r="N143" s="3">
        <f t="shared" si="63"/>
        <v>4.1789859079583075E-2</v>
      </c>
      <c r="O143" s="3">
        <f t="shared" si="63"/>
        <v>4.178985907270736E-2</v>
      </c>
      <c r="P143" s="3">
        <f t="shared" si="63"/>
        <v>4.1789859003950242E-2</v>
      </c>
      <c r="Q143" s="3">
        <f t="shared" si="63"/>
        <v>4.1789858316379054E-2</v>
      </c>
      <c r="R143" s="3">
        <f t="shared" si="63"/>
        <v>4.1789851440667831E-2</v>
      </c>
      <c r="S143" s="3">
        <f t="shared" si="63"/>
        <v>4.178978268361782E-2</v>
      </c>
      <c r="T143" s="3">
        <f t="shared" si="63"/>
        <v>4.1789095119339585E-2</v>
      </c>
      <c r="U143" s="3">
        <f t="shared" si="63"/>
        <v>4.1782220098711007E-2</v>
      </c>
      <c r="V143" s="3">
        <f t="shared" si="63"/>
        <v>4.1713532069946449E-2</v>
      </c>
      <c r="W143" s="3">
        <f t="shared" si="63"/>
        <v>4.1032831849036895E-2</v>
      </c>
      <c r="X143" s="3">
        <f t="shared" si="63"/>
        <v>3.4807813635018774E-2</v>
      </c>
      <c r="Y143" s="3">
        <f t="shared" si="63"/>
        <v>6.7162876840279875E-3</v>
      </c>
      <c r="Z143" s="3">
        <f t="shared" si="63"/>
        <v>4.8045724146099382E-10</v>
      </c>
      <c r="AA143" s="3">
        <f t="shared" ref="AA143" si="64">$C29*EXP(-AA$129/$A29/EXP(-$B$126))</f>
        <v>1.6862007366260602E-81</v>
      </c>
      <c r="AB143" s="3">
        <f t="shared" si="46"/>
        <v>0</v>
      </c>
      <c r="AC143" s="3">
        <f t="shared" si="46"/>
        <v>0</v>
      </c>
      <c r="AD143" s="3">
        <f t="shared" si="46"/>
        <v>0</v>
      </c>
      <c r="AE143" s="3">
        <f t="shared" si="46"/>
        <v>0</v>
      </c>
      <c r="AF143" s="3">
        <f t="shared" si="46"/>
        <v>0</v>
      </c>
    </row>
    <row r="144" spans="1:33" x14ac:dyDescent="0.25">
      <c r="B144" s="3">
        <f t="shared" ref="B144:Z144" si="65">$C30*EXP(-B$129/$A30/EXP(-$B$126))</f>
        <v>4.6925793493946939E-2</v>
      </c>
      <c r="C144" s="3">
        <f t="shared" si="65"/>
        <v>4.6925793493946939E-2</v>
      </c>
      <c r="D144" s="3">
        <f t="shared" si="65"/>
        <v>4.6925793493946939E-2</v>
      </c>
      <c r="E144" s="3">
        <f t="shared" si="65"/>
        <v>4.6925793493946939E-2</v>
      </c>
      <c r="F144" s="3">
        <f t="shared" si="65"/>
        <v>4.6925793493946939E-2</v>
      </c>
      <c r="G144" s="3">
        <f t="shared" si="65"/>
        <v>4.6925793493946939E-2</v>
      </c>
      <c r="H144" s="3">
        <f t="shared" si="65"/>
        <v>4.6925793493946939E-2</v>
      </c>
      <c r="I144" s="3">
        <f t="shared" si="65"/>
        <v>4.6925793493946939E-2</v>
      </c>
      <c r="J144" s="3">
        <f t="shared" si="65"/>
        <v>4.6925793493946932E-2</v>
      </c>
      <c r="K144" s="3">
        <f t="shared" si="65"/>
        <v>4.6925793493946863E-2</v>
      </c>
      <c r="L144" s="3">
        <f t="shared" si="65"/>
        <v>4.6925793493946162E-2</v>
      </c>
      <c r="M144" s="3">
        <f t="shared" si="65"/>
        <v>4.6925793493939202E-2</v>
      </c>
      <c r="N144" s="3">
        <f t="shared" si="65"/>
        <v>4.692579349386955E-2</v>
      </c>
      <c r="O144" s="3">
        <f t="shared" si="65"/>
        <v>4.6925793493173079E-2</v>
      </c>
      <c r="P144" s="3">
        <f t="shared" si="65"/>
        <v>4.6925793486208338E-2</v>
      </c>
      <c r="Q144" s="3">
        <f t="shared" si="65"/>
        <v>4.6925793416560925E-2</v>
      </c>
      <c r="R144" s="3">
        <f t="shared" si="65"/>
        <v>4.6925792720086817E-2</v>
      </c>
      <c r="S144" s="3">
        <f t="shared" si="65"/>
        <v>4.6925785755346276E-2</v>
      </c>
      <c r="T144" s="3">
        <f t="shared" si="65"/>
        <v>4.6925716107997777E-2</v>
      </c>
      <c r="U144" s="3">
        <f t="shared" si="65"/>
        <v>4.6925019640198108E-2</v>
      </c>
      <c r="V144" s="3">
        <f t="shared" si="65"/>
        <v>4.691805553070677E-2</v>
      </c>
      <c r="W144" s="3">
        <f t="shared" si="65"/>
        <v>4.6848471255117291E-2</v>
      </c>
      <c r="X144" s="3">
        <f t="shared" si="65"/>
        <v>4.615827935248E-2</v>
      </c>
      <c r="Y144" s="3">
        <f t="shared" si="65"/>
        <v>3.9791607702883605E-2</v>
      </c>
      <c r="Z144" s="3">
        <f t="shared" si="65"/>
        <v>9.0200768475614135E-3</v>
      </c>
      <c r="AA144" s="3">
        <f t="shared" ref="AA144" si="66">$C30*EXP(-AA$129/$A30/EXP(-$B$126))</f>
        <v>3.2314523034411871E-9</v>
      </c>
      <c r="AB144" s="3">
        <f t="shared" ref="AB144:AF153" si="67">$C30*EXP(-AB$129/$A30/EXP(-$B$126))</f>
        <v>1.1253118055789022E-73</v>
      </c>
      <c r="AC144" s="3">
        <f t="shared" si="67"/>
        <v>0</v>
      </c>
      <c r="AD144" s="3">
        <f t="shared" si="67"/>
        <v>0</v>
      </c>
      <c r="AE144" s="3">
        <f t="shared" si="67"/>
        <v>0</v>
      </c>
      <c r="AF144" s="3">
        <f t="shared" si="67"/>
        <v>0</v>
      </c>
    </row>
    <row r="145" spans="1:32" x14ac:dyDescent="0.25">
      <c r="B145" s="3">
        <f t="shared" ref="B145:Z145" si="68">$C31*EXP(-B$129/$A31/EXP(-$B$126))</f>
        <v>4.7062467056075051E-2</v>
      </c>
      <c r="C145" s="3">
        <f t="shared" si="68"/>
        <v>4.7062467056075051E-2</v>
      </c>
      <c r="D145" s="3">
        <f t="shared" si="68"/>
        <v>4.7062467056075051E-2</v>
      </c>
      <c r="E145" s="3">
        <f t="shared" si="68"/>
        <v>4.7062467056075051E-2</v>
      </c>
      <c r="F145" s="3">
        <f t="shared" si="68"/>
        <v>4.7062467056075051E-2</v>
      </c>
      <c r="G145" s="3">
        <f t="shared" si="68"/>
        <v>4.7062467056075051E-2</v>
      </c>
      <c r="H145" s="3">
        <f t="shared" si="68"/>
        <v>4.7062467056075051E-2</v>
      </c>
      <c r="I145" s="3">
        <f t="shared" si="68"/>
        <v>4.7062467056075051E-2</v>
      </c>
      <c r="J145" s="3">
        <f t="shared" si="68"/>
        <v>4.7062467056075051E-2</v>
      </c>
      <c r="K145" s="3">
        <f t="shared" si="68"/>
        <v>4.7062467056075044E-2</v>
      </c>
      <c r="L145" s="3">
        <f t="shared" si="68"/>
        <v>4.7062467056074982E-2</v>
      </c>
      <c r="M145" s="3">
        <f t="shared" si="68"/>
        <v>4.706246705607435E-2</v>
      </c>
      <c r="N145" s="3">
        <f t="shared" si="68"/>
        <v>4.706246705606805E-2</v>
      </c>
      <c r="O145" s="3">
        <f t="shared" si="68"/>
        <v>4.7062467056005045E-2</v>
      </c>
      <c r="P145" s="3">
        <f t="shared" si="68"/>
        <v>4.7062467055374931E-2</v>
      </c>
      <c r="Q145" s="3">
        <f t="shared" si="68"/>
        <v>4.7062467049073853E-2</v>
      </c>
      <c r="R145" s="3">
        <f t="shared" si="68"/>
        <v>4.706246698606311E-2</v>
      </c>
      <c r="S145" s="3">
        <f t="shared" si="68"/>
        <v>4.706246635595563E-2</v>
      </c>
      <c r="T145" s="3">
        <f t="shared" si="68"/>
        <v>4.7062460054881322E-2</v>
      </c>
      <c r="U145" s="3">
        <f t="shared" si="68"/>
        <v>4.7062397044184669E-2</v>
      </c>
      <c r="V145" s="3">
        <f t="shared" si="68"/>
        <v>4.7061766941858027E-2</v>
      </c>
      <c r="W145" s="3">
        <f t="shared" si="68"/>
        <v>4.7055466382565324E-2</v>
      </c>
      <c r="X145" s="3">
        <f t="shared" si="68"/>
        <v>4.6992507164032631E-2</v>
      </c>
      <c r="Y145" s="3">
        <f t="shared" si="68"/>
        <v>4.6367529527060511E-2</v>
      </c>
      <c r="Z145" s="3">
        <f t="shared" si="68"/>
        <v>4.0557144131978265E-2</v>
      </c>
      <c r="AA145" s="3">
        <f t="shared" ref="AA145" si="69">$C31*EXP(-AA$129/$A31/EXP(-$B$126))</f>
        <v>1.0631669213329987E-2</v>
      </c>
      <c r="AB145" s="3">
        <f t="shared" si="67"/>
        <v>1.6290797756461933E-8</v>
      </c>
      <c r="AC145" s="3">
        <f t="shared" si="67"/>
        <v>1.1623885288382805E-66</v>
      </c>
      <c r="AD145" s="3">
        <f t="shared" si="67"/>
        <v>0</v>
      </c>
      <c r="AE145" s="3">
        <f t="shared" si="67"/>
        <v>0</v>
      </c>
      <c r="AF145" s="3">
        <f t="shared" si="67"/>
        <v>0</v>
      </c>
    </row>
    <row r="146" spans="1:32" x14ac:dyDescent="0.25">
      <c r="B146" s="3">
        <f t="shared" ref="B146:Z146" si="70">$C32*EXP(-B$129/$A32/EXP(-$B$126))</f>
        <v>5.1874996245126884E-2</v>
      </c>
      <c r="C146" s="3">
        <f t="shared" si="70"/>
        <v>5.1874996245126884E-2</v>
      </c>
      <c r="D146" s="3">
        <f t="shared" si="70"/>
        <v>5.1874996245126884E-2</v>
      </c>
      <c r="E146" s="3">
        <f t="shared" si="70"/>
        <v>5.1874996245126884E-2</v>
      </c>
      <c r="F146" s="3">
        <f t="shared" si="70"/>
        <v>5.1874996245126884E-2</v>
      </c>
      <c r="G146" s="3">
        <f t="shared" si="70"/>
        <v>5.1874996245126884E-2</v>
      </c>
      <c r="H146" s="3">
        <f t="shared" si="70"/>
        <v>5.1874996245126884E-2</v>
      </c>
      <c r="I146" s="3">
        <f t="shared" si="70"/>
        <v>5.1874996245126884E-2</v>
      </c>
      <c r="J146" s="3">
        <f t="shared" si="70"/>
        <v>5.1874996245126884E-2</v>
      </c>
      <c r="K146" s="3">
        <f t="shared" si="70"/>
        <v>5.1874996245126884E-2</v>
      </c>
      <c r="L146" s="3">
        <f t="shared" si="70"/>
        <v>5.1874996245126877E-2</v>
      </c>
      <c r="M146" s="3">
        <f t="shared" si="70"/>
        <v>5.1874996245126814E-2</v>
      </c>
      <c r="N146" s="3">
        <f t="shared" si="70"/>
        <v>5.187499624512619E-2</v>
      </c>
      <c r="O146" s="3">
        <f t="shared" si="70"/>
        <v>5.1874996245119924E-2</v>
      </c>
      <c r="P146" s="3">
        <f t="shared" si="70"/>
        <v>5.1874996245057273E-2</v>
      </c>
      <c r="Q146" s="3">
        <f t="shared" si="70"/>
        <v>5.1874996244430739E-2</v>
      </c>
      <c r="R146" s="3">
        <f t="shared" si="70"/>
        <v>5.187499623816539E-2</v>
      </c>
      <c r="S146" s="3">
        <f t="shared" si="70"/>
        <v>5.1874996175512E-2</v>
      </c>
      <c r="T146" s="3">
        <f t="shared" si="70"/>
        <v>5.1874995548978044E-2</v>
      </c>
      <c r="U146" s="3">
        <f t="shared" si="70"/>
        <v>5.18749892836389E-2</v>
      </c>
      <c r="V146" s="3">
        <f t="shared" si="70"/>
        <v>5.1874926630289107E-2</v>
      </c>
      <c r="W146" s="3">
        <f t="shared" si="70"/>
        <v>5.1874300100953001E-2</v>
      </c>
      <c r="X146" s="3">
        <f t="shared" si="70"/>
        <v>5.1868035223763494E-2</v>
      </c>
      <c r="Y146" s="3">
        <f t="shared" si="70"/>
        <v>5.1805428050421265E-2</v>
      </c>
      <c r="Z146" s="3">
        <f t="shared" si="70"/>
        <v>5.1183497642746031E-2</v>
      </c>
      <c r="AA146" s="3">
        <f t="shared" ref="AA146" si="71">$C32*EXP(-AA$129/$A32/EXP(-$B$126))</f>
        <v>4.5360402314973979E-2</v>
      </c>
      <c r="AB146" s="3">
        <f t="shared" si="67"/>
        <v>1.3556459262343626E-2</v>
      </c>
      <c r="AC146" s="3">
        <f t="shared" si="67"/>
        <v>7.7061956111813171E-8</v>
      </c>
      <c r="AD146" s="3">
        <f t="shared" si="67"/>
        <v>2.7150484457415042E-60</v>
      </c>
      <c r="AE146" s="3">
        <f t="shared" si="67"/>
        <v>0</v>
      </c>
      <c r="AF146" s="3">
        <f t="shared" si="67"/>
        <v>0</v>
      </c>
    </row>
    <row r="147" spans="1:32" x14ac:dyDescent="0.25">
      <c r="B147" s="3">
        <f t="shared" ref="B147:Z147" si="72">$C33*EXP(-B$129/$A33/EXP(-$B$126))</f>
        <v>9.3719085133360594E-2</v>
      </c>
      <c r="C147" s="3">
        <f t="shared" si="72"/>
        <v>9.3719085133360594E-2</v>
      </c>
      <c r="D147" s="3">
        <f t="shared" si="72"/>
        <v>9.3719085133360594E-2</v>
      </c>
      <c r="E147" s="3">
        <f t="shared" si="72"/>
        <v>9.3719085133360594E-2</v>
      </c>
      <c r="F147" s="3">
        <f t="shared" si="72"/>
        <v>9.3719085133360594E-2</v>
      </c>
      <c r="G147" s="3">
        <f t="shared" si="72"/>
        <v>9.3719085133360594E-2</v>
      </c>
      <c r="H147" s="3">
        <f t="shared" si="72"/>
        <v>9.3719085133360594E-2</v>
      </c>
      <c r="I147" s="3">
        <f t="shared" si="72"/>
        <v>9.3719085133360594E-2</v>
      </c>
      <c r="J147" s="3">
        <f t="shared" si="72"/>
        <v>9.3719085133360594E-2</v>
      </c>
      <c r="K147" s="3">
        <f t="shared" si="72"/>
        <v>9.3719085133360594E-2</v>
      </c>
      <c r="L147" s="3">
        <f t="shared" si="72"/>
        <v>9.3719085133360594E-2</v>
      </c>
      <c r="M147" s="3">
        <f t="shared" si="72"/>
        <v>9.371908513336058E-2</v>
      </c>
      <c r="N147" s="3">
        <f t="shared" si="72"/>
        <v>9.3719085133360483E-2</v>
      </c>
      <c r="O147" s="3">
        <f t="shared" si="72"/>
        <v>9.3719085133359456E-2</v>
      </c>
      <c r="P147" s="3">
        <f t="shared" si="72"/>
        <v>9.3719085133349256E-2</v>
      </c>
      <c r="Q147" s="3">
        <f t="shared" si="72"/>
        <v>9.3719085133247143E-2</v>
      </c>
      <c r="R147" s="3">
        <f t="shared" si="72"/>
        <v>9.3719085132226057E-2</v>
      </c>
      <c r="S147" s="3">
        <f t="shared" si="72"/>
        <v>9.3719085122015225E-2</v>
      </c>
      <c r="T147" s="3">
        <f t="shared" si="72"/>
        <v>9.3719085019906889E-2</v>
      </c>
      <c r="U147" s="3">
        <f t="shared" si="72"/>
        <v>9.3719083998823616E-2</v>
      </c>
      <c r="V147" s="3">
        <f t="shared" si="72"/>
        <v>9.371907378799138E-2</v>
      </c>
      <c r="W147" s="3">
        <f t="shared" si="72"/>
        <v>9.3718971679730284E-2</v>
      </c>
      <c r="X147" s="3">
        <f t="shared" si="72"/>
        <v>9.3717950603237885E-2</v>
      </c>
      <c r="Y147" s="3">
        <f t="shared" si="72"/>
        <v>9.370774045015344E-2</v>
      </c>
      <c r="Z147" s="3">
        <f t="shared" si="72"/>
        <v>9.3605700078605109E-2</v>
      </c>
      <c r="AA147" s="3">
        <f t="shared" ref="AA147" si="73">$C33*EXP(-AA$129/$A33/EXP(-$B$126))</f>
        <v>9.2591387709853312E-2</v>
      </c>
      <c r="AB147" s="3">
        <f t="shared" si="67"/>
        <v>8.3033542554400736E-2</v>
      </c>
      <c r="AC147" s="3">
        <f t="shared" si="67"/>
        <v>2.7930795631822842E-2</v>
      </c>
      <c r="AD147" s="3">
        <f t="shared" si="67"/>
        <v>5.1806077045018134E-7</v>
      </c>
      <c r="AE147" s="3">
        <f t="shared" si="67"/>
        <v>2.4966330010246416E-54</v>
      </c>
      <c r="AF147" s="3">
        <f t="shared" si="67"/>
        <v>0</v>
      </c>
    </row>
    <row r="148" spans="1:32" x14ac:dyDescent="0.25">
      <c r="B148" s="3">
        <f t="shared" ref="B148:Z148" si="74">$C34*EXP(-B$129/$A34/EXP(-$B$126))</f>
        <v>0.10682658591512105</v>
      </c>
      <c r="C148" s="3">
        <f t="shared" si="74"/>
        <v>0.10682658591512105</v>
      </c>
      <c r="D148" s="3">
        <f t="shared" si="74"/>
        <v>0.10682658591512105</v>
      </c>
      <c r="E148" s="3">
        <f t="shared" si="74"/>
        <v>0.10682658591512105</v>
      </c>
      <c r="F148" s="3">
        <f t="shared" si="74"/>
        <v>0.10682658591512105</v>
      </c>
      <c r="G148" s="3">
        <f t="shared" si="74"/>
        <v>0.10682658591512105</v>
      </c>
      <c r="H148" s="3">
        <f t="shared" si="74"/>
        <v>0.10682658591512105</v>
      </c>
      <c r="I148" s="3">
        <f t="shared" si="74"/>
        <v>0.10682658591512105</v>
      </c>
      <c r="J148" s="3">
        <f t="shared" si="74"/>
        <v>0.10682658591512105</v>
      </c>
      <c r="K148" s="3">
        <f t="shared" si="74"/>
        <v>0.10682658591512105</v>
      </c>
      <c r="L148" s="3">
        <f t="shared" si="74"/>
        <v>0.10682658591512105</v>
      </c>
      <c r="M148" s="3">
        <f t="shared" si="74"/>
        <v>0.10682658591512105</v>
      </c>
      <c r="N148" s="3">
        <f t="shared" si="74"/>
        <v>0.10682658591512104</v>
      </c>
      <c r="O148" s="3">
        <f t="shared" si="74"/>
        <v>0.10682658591512093</v>
      </c>
      <c r="P148" s="3">
        <f t="shared" si="74"/>
        <v>0.10682658591511988</v>
      </c>
      <c r="Q148" s="3">
        <f t="shared" si="74"/>
        <v>0.10682658591510938</v>
      </c>
      <c r="R148" s="3">
        <f t="shared" si="74"/>
        <v>0.10682658591500439</v>
      </c>
      <c r="S148" s="3">
        <f t="shared" si="74"/>
        <v>0.10682658591395447</v>
      </c>
      <c r="T148" s="3">
        <f t="shared" si="74"/>
        <v>0.1068265859034552</v>
      </c>
      <c r="U148" s="3">
        <f t="shared" si="74"/>
        <v>0.10682658579846251</v>
      </c>
      <c r="V148" s="3">
        <f t="shared" si="74"/>
        <v>0.1068265847485356</v>
      </c>
      <c r="W148" s="3">
        <f t="shared" si="74"/>
        <v>0.10682657424926709</v>
      </c>
      <c r="X148" s="3">
        <f t="shared" si="74"/>
        <v>0.1068264692566387</v>
      </c>
      <c r="Y148" s="3">
        <f t="shared" si="74"/>
        <v>0.10682541933603028</v>
      </c>
      <c r="Z148" s="3">
        <f t="shared" si="74"/>
        <v>0.10681492069746978</v>
      </c>
      <c r="AA148" s="3">
        <f>$C34*EXP(-AA$129/$A34/EXP(-$B$126))</f>
        <v>0.10670999104359288</v>
      </c>
      <c r="AB148" s="3">
        <f t="shared" si="67"/>
        <v>0.10566634710137017</v>
      </c>
      <c r="AC148" s="3">
        <f t="shared" si="67"/>
        <v>9.5775141043307324E-2</v>
      </c>
      <c r="AD148" s="3">
        <f t="shared" si="67"/>
        <v>3.5843784840785396E-2</v>
      </c>
      <c r="AE148" s="3">
        <f t="shared" si="67"/>
        <v>1.932077205484778E-6</v>
      </c>
      <c r="AF148" s="3">
        <f t="shared" si="67"/>
        <v>4.0006506328257554E-49</v>
      </c>
    </row>
    <row r="149" spans="1:32" x14ac:dyDescent="0.25">
      <c r="B149" s="3">
        <f t="shared" ref="B149:Z149" si="75">$C35*EXP(-B$129/$A35/EXP(-$B$126))</f>
        <v>0.11271230139024535</v>
      </c>
      <c r="C149" s="3">
        <f t="shared" si="75"/>
        <v>0.11271230139024535</v>
      </c>
      <c r="D149" s="3">
        <f t="shared" si="75"/>
        <v>0.11271230139024535</v>
      </c>
      <c r="E149" s="3">
        <f t="shared" si="75"/>
        <v>0.11271230139024535</v>
      </c>
      <c r="F149" s="3">
        <f t="shared" si="75"/>
        <v>0.11271230139024535</v>
      </c>
      <c r="G149" s="3">
        <f t="shared" si="75"/>
        <v>0.11271230139024535</v>
      </c>
      <c r="H149" s="3">
        <f t="shared" si="75"/>
        <v>0.11271230139024535</v>
      </c>
      <c r="I149" s="3">
        <f t="shared" si="75"/>
        <v>0.11271230139024535</v>
      </c>
      <c r="J149" s="3">
        <f t="shared" si="75"/>
        <v>0.11271230139024535</v>
      </c>
      <c r="K149" s="3">
        <f t="shared" si="75"/>
        <v>0.11271230139024535</v>
      </c>
      <c r="L149" s="3">
        <f t="shared" si="75"/>
        <v>0.11271230139024535</v>
      </c>
      <c r="M149" s="3">
        <f t="shared" si="75"/>
        <v>0.11271230139024535</v>
      </c>
      <c r="N149" s="3">
        <f t="shared" si="75"/>
        <v>0.11271230139024535</v>
      </c>
      <c r="O149" s="3">
        <f t="shared" si="75"/>
        <v>0.11271230139024534</v>
      </c>
      <c r="P149" s="3">
        <f t="shared" si="75"/>
        <v>0.11271230139024524</v>
      </c>
      <c r="Q149" s="3">
        <f t="shared" si="75"/>
        <v>0.11271230139024424</v>
      </c>
      <c r="R149" s="3">
        <f t="shared" si="75"/>
        <v>0.11271230139023425</v>
      </c>
      <c r="S149" s="3">
        <f t="shared" si="75"/>
        <v>0.11271230139013431</v>
      </c>
      <c r="T149" s="3">
        <f t="shared" si="75"/>
        <v>0.112712301389135</v>
      </c>
      <c r="U149" s="3">
        <f t="shared" si="75"/>
        <v>0.11271230137914198</v>
      </c>
      <c r="V149" s="3">
        <f t="shared" si="75"/>
        <v>0.11271230127921157</v>
      </c>
      <c r="W149" s="3">
        <f t="shared" si="75"/>
        <v>0.11271230027990757</v>
      </c>
      <c r="X149" s="3">
        <f t="shared" si="75"/>
        <v>0.11271229028686805</v>
      </c>
      <c r="Y149" s="3">
        <f t="shared" si="75"/>
        <v>0.11271219035652165</v>
      </c>
      <c r="Z149" s="3">
        <f t="shared" si="75"/>
        <v>0.11271119105793034</v>
      </c>
      <c r="AA149" s="3">
        <f t="shared" ref="AA149" si="76">$C35*EXP(-AA$129/$A35/EXP(-$B$126))</f>
        <v>0.11270119855928873</v>
      </c>
      <c r="AB149" s="3">
        <f t="shared" si="67"/>
        <v>0.11260132228401798</v>
      </c>
      <c r="AC149" s="3">
        <f t="shared" si="67"/>
        <v>0.11160741470444177</v>
      </c>
      <c r="AD149" s="3">
        <f t="shared" si="67"/>
        <v>0.1021382999578246</v>
      </c>
      <c r="AE149" s="3">
        <f t="shared" si="67"/>
        <v>4.2086653350101401E-2</v>
      </c>
      <c r="AF149" s="3">
        <f t="shared" si="67"/>
        <v>5.9388461105334668E-6</v>
      </c>
    </row>
    <row r="150" spans="1:32" x14ac:dyDescent="0.25">
      <c r="B150" s="3">
        <f t="shared" ref="B150:Z150" si="77">$C36*EXP(-B$129/$A36/EXP(-$B$126))</f>
        <v>0.10920571405178373</v>
      </c>
      <c r="C150" s="3">
        <f t="shared" si="77"/>
        <v>0.10920571405178373</v>
      </c>
      <c r="D150" s="3">
        <f t="shared" si="77"/>
        <v>0.10920571405178373</v>
      </c>
      <c r="E150" s="3">
        <f t="shared" si="77"/>
        <v>0.10920571405178373</v>
      </c>
      <c r="F150" s="3">
        <f t="shared" si="77"/>
        <v>0.10920571405178373</v>
      </c>
      <c r="G150" s="3">
        <f t="shared" si="77"/>
        <v>0.10920571405178373</v>
      </c>
      <c r="H150" s="3">
        <f t="shared" si="77"/>
        <v>0.10920571405178373</v>
      </c>
      <c r="I150" s="3">
        <f t="shared" si="77"/>
        <v>0.10920571405178373</v>
      </c>
      <c r="J150" s="3">
        <f t="shared" si="77"/>
        <v>0.10920571405178373</v>
      </c>
      <c r="K150" s="3">
        <f t="shared" si="77"/>
        <v>0.10920571405178373</v>
      </c>
      <c r="L150" s="3">
        <f t="shared" si="77"/>
        <v>0.10920571405178373</v>
      </c>
      <c r="M150" s="3">
        <f t="shared" si="77"/>
        <v>0.10920571405178373</v>
      </c>
      <c r="N150" s="3">
        <f t="shared" si="77"/>
        <v>0.10920571405178373</v>
      </c>
      <c r="O150" s="3">
        <f t="shared" si="77"/>
        <v>0.10920571405178373</v>
      </c>
      <c r="P150" s="3">
        <f t="shared" si="77"/>
        <v>0.10920571405178371</v>
      </c>
      <c r="Q150" s="3">
        <f t="shared" si="77"/>
        <v>0.10920571405178363</v>
      </c>
      <c r="R150" s="3">
        <f t="shared" si="77"/>
        <v>0.10920571405178275</v>
      </c>
      <c r="S150" s="3">
        <f t="shared" si="77"/>
        <v>0.10920571405177402</v>
      </c>
      <c r="T150" s="3">
        <f t="shared" si="77"/>
        <v>0.10920571405168668</v>
      </c>
      <c r="U150" s="3">
        <f t="shared" si="77"/>
        <v>0.10920571405081328</v>
      </c>
      <c r="V150" s="3">
        <f t="shared" si="77"/>
        <v>0.10920571404207917</v>
      </c>
      <c r="W150" s="3">
        <f t="shared" si="77"/>
        <v>0.10920571395473815</v>
      </c>
      <c r="X150" s="3">
        <f t="shared" si="77"/>
        <v>0.10920571308132794</v>
      </c>
      <c r="Y150" s="3">
        <f t="shared" si="77"/>
        <v>0.10920570434722626</v>
      </c>
      <c r="Z150" s="3">
        <f t="shared" si="77"/>
        <v>0.10920561700624791</v>
      </c>
      <c r="AA150" s="3">
        <f t="shared" ref="AA150" si="78">$C36*EXP(-AA$129/$A36/EXP(-$B$126))</f>
        <v>0.10920474360030638</v>
      </c>
      <c r="AB150" s="3">
        <f t="shared" si="67"/>
        <v>0.10919600992507532</v>
      </c>
      <c r="AC150" s="3">
        <f t="shared" si="67"/>
        <v>0.10910871157982496</v>
      </c>
      <c r="AD150" s="3">
        <f t="shared" si="67"/>
        <v>0.1082395574922093</v>
      </c>
      <c r="AE150" s="3">
        <f t="shared" si="67"/>
        <v>9.9919859594486127E-2</v>
      </c>
      <c r="AF150" s="3">
        <f t="shared" si="67"/>
        <v>4.4906570060603349E-2</v>
      </c>
    </row>
    <row r="151" spans="1:32" x14ac:dyDescent="0.25">
      <c r="B151" s="3">
        <f t="shared" ref="B151:Z151" si="79">$C37*EXP(-B$129/$A37/EXP(-$B$126))</f>
        <v>8.5595472993728092E-2</v>
      </c>
      <c r="C151" s="3">
        <f t="shared" si="79"/>
        <v>8.5595472993728092E-2</v>
      </c>
      <c r="D151" s="3">
        <f t="shared" si="79"/>
        <v>8.5595472993728092E-2</v>
      </c>
      <c r="E151" s="3">
        <f t="shared" si="79"/>
        <v>8.5595472993728092E-2</v>
      </c>
      <c r="F151" s="3">
        <f t="shared" si="79"/>
        <v>8.5595472993728092E-2</v>
      </c>
      <c r="G151" s="3">
        <f t="shared" si="79"/>
        <v>8.5595472993728092E-2</v>
      </c>
      <c r="H151" s="3">
        <f t="shared" si="79"/>
        <v>8.5595472993728092E-2</v>
      </c>
      <c r="I151" s="3">
        <f t="shared" si="79"/>
        <v>8.5595472993728092E-2</v>
      </c>
      <c r="J151" s="3">
        <f t="shared" si="79"/>
        <v>8.5595472993728092E-2</v>
      </c>
      <c r="K151" s="3">
        <f t="shared" si="79"/>
        <v>8.5595472993728092E-2</v>
      </c>
      <c r="L151" s="3">
        <f t="shared" si="79"/>
        <v>8.5595472993728092E-2</v>
      </c>
      <c r="M151" s="3">
        <f t="shared" si="79"/>
        <v>8.5595472993728092E-2</v>
      </c>
      <c r="N151" s="3">
        <f t="shared" si="79"/>
        <v>8.5595472993728092E-2</v>
      </c>
      <c r="O151" s="3">
        <f t="shared" si="79"/>
        <v>8.5595472993728092E-2</v>
      </c>
      <c r="P151" s="3">
        <f t="shared" si="79"/>
        <v>8.5595472993728092E-2</v>
      </c>
      <c r="Q151" s="3">
        <f t="shared" si="79"/>
        <v>8.5595472993728078E-2</v>
      </c>
      <c r="R151" s="3">
        <f t="shared" si="79"/>
        <v>8.5595472993728022E-2</v>
      </c>
      <c r="S151" s="3">
        <f t="shared" si="79"/>
        <v>8.5595472993727412E-2</v>
      </c>
      <c r="T151" s="3">
        <f t="shared" si="79"/>
        <v>8.5595472993721236E-2</v>
      </c>
      <c r="U151" s="3">
        <f t="shared" si="79"/>
        <v>8.559547299365948E-2</v>
      </c>
      <c r="V151" s="3">
        <f t="shared" si="79"/>
        <v>8.5595472993041932E-2</v>
      </c>
      <c r="W151" s="3">
        <f t="shared" si="79"/>
        <v>8.5595472986866455E-2</v>
      </c>
      <c r="X151" s="3">
        <f t="shared" si="79"/>
        <v>8.5595472925111715E-2</v>
      </c>
      <c r="Y151" s="3">
        <f t="shared" si="79"/>
        <v>8.5595472307564341E-2</v>
      </c>
      <c r="Z151" s="3">
        <f t="shared" si="79"/>
        <v>8.5595466132090736E-2</v>
      </c>
      <c r="AA151" s="3">
        <f t="shared" ref="AA151" si="80">$C37*EXP(-AA$129/$A37/EXP(-$B$126))</f>
        <v>8.5595404377379197E-2</v>
      </c>
      <c r="AB151" s="3">
        <f t="shared" si="67"/>
        <v>8.5594786832714417E-2</v>
      </c>
      <c r="AC151" s="3">
        <f t="shared" si="67"/>
        <v>8.5588611631108077E-2</v>
      </c>
      <c r="AD151" s="3">
        <f t="shared" si="67"/>
        <v>8.5526884112651663E-2</v>
      </c>
      <c r="AE151" s="3">
        <f t="shared" si="67"/>
        <v>8.4912052161887991E-2</v>
      </c>
      <c r="AF151" s="3">
        <f t="shared" si="67"/>
        <v>7.9001657909959555E-2</v>
      </c>
    </row>
    <row r="152" spans="1:32" x14ac:dyDescent="0.25">
      <c r="B152" s="3">
        <f t="shared" ref="B152:Z152" si="81">$C38*EXP(-B$129/$A38/EXP(-$B$126))</f>
        <v>3.0330599560697977E-2</v>
      </c>
      <c r="C152" s="3">
        <f t="shared" si="81"/>
        <v>3.0330599560697977E-2</v>
      </c>
      <c r="D152" s="3">
        <f t="shared" si="81"/>
        <v>3.0330599560697977E-2</v>
      </c>
      <c r="E152" s="3">
        <f t="shared" si="81"/>
        <v>3.0330599560697977E-2</v>
      </c>
      <c r="F152" s="3">
        <f t="shared" si="81"/>
        <v>3.0330599560697977E-2</v>
      </c>
      <c r="G152" s="3">
        <f t="shared" si="81"/>
        <v>3.0330599560697977E-2</v>
      </c>
      <c r="H152" s="3">
        <f t="shared" si="81"/>
        <v>3.0330599560697977E-2</v>
      </c>
      <c r="I152" s="3">
        <f t="shared" si="81"/>
        <v>3.0330599560697977E-2</v>
      </c>
      <c r="J152" s="3">
        <f t="shared" si="81"/>
        <v>3.0330599560697977E-2</v>
      </c>
      <c r="K152" s="3">
        <f t="shared" si="81"/>
        <v>3.0330599560697977E-2</v>
      </c>
      <c r="L152" s="3">
        <f t="shared" si="81"/>
        <v>3.0330599560697977E-2</v>
      </c>
      <c r="M152" s="3">
        <f t="shared" si="81"/>
        <v>3.0330599560697977E-2</v>
      </c>
      <c r="N152" s="3">
        <f t="shared" si="81"/>
        <v>3.0330599560697977E-2</v>
      </c>
      <c r="O152" s="3">
        <f t="shared" si="81"/>
        <v>3.0330599560697977E-2</v>
      </c>
      <c r="P152" s="3">
        <f t="shared" si="81"/>
        <v>3.0330599560697977E-2</v>
      </c>
      <c r="Q152" s="3">
        <f t="shared" si="81"/>
        <v>3.0330599560697977E-2</v>
      </c>
      <c r="R152" s="3">
        <f t="shared" si="81"/>
        <v>3.0330599560697974E-2</v>
      </c>
      <c r="S152" s="3">
        <f t="shared" si="81"/>
        <v>3.0330599560697953E-2</v>
      </c>
      <c r="T152" s="3">
        <f t="shared" si="81"/>
        <v>3.0330599560697759E-2</v>
      </c>
      <c r="U152" s="3">
        <f t="shared" si="81"/>
        <v>3.0330599560695785E-2</v>
      </c>
      <c r="V152" s="3">
        <f t="shared" si="81"/>
        <v>3.0330599560676047E-2</v>
      </c>
      <c r="W152" s="3">
        <f t="shared" si="81"/>
        <v>3.0330599560478642E-2</v>
      </c>
      <c r="X152" s="3">
        <f t="shared" si="81"/>
        <v>3.0330599558504645E-2</v>
      </c>
      <c r="Y152" s="3">
        <f t="shared" si="81"/>
        <v>3.0330599538764647E-2</v>
      </c>
      <c r="Z152" s="3">
        <f t="shared" si="81"/>
        <v>3.0330599341364679E-2</v>
      </c>
      <c r="AA152" s="3">
        <f t="shared" ref="AA152" si="82">$C38*EXP(-AA$129/$A38/EXP(-$B$126))</f>
        <v>3.0330597367365073E-2</v>
      </c>
      <c r="AB152" s="3">
        <f t="shared" si="67"/>
        <v>3.0330577627376083E-2</v>
      </c>
      <c r="AC152" s="3">
        <f t="shared" si="67"/>
        <v>3.0330380228192743E-2</v>
      </c>
      <c r="AD152" s="3">
        <f t="shared" si="67"/>
        <v>3.0328406307017844E-2</v>
      </c>
      <c r="AE152" s="3">
        <f t="shared" si="67"/>
        <v>3.030867415941467E-2</v>
      </c>
      <c r="AF152" s="3">
        <f t="shared" si="67"/>
        <v>3.0112057399833789E-2</v>
      </c>
    </row>
    <row r="153" spans="1:32" x14ac:dyDescent="0.25">
      <c r="B153" s="3">
        <f t="shared" ref="B153:Z153" si="83">$C39*EXP(-B$129/$A39/EXP(-$B$126))</f>
        <v>3.2127590787364095E-2</v>
      </c>
      <c r="C153" s="3">
        <f t="shared" si="83"/>
        <v>3.2127590787364095E-2</v>
      </c>
      <c r="D153" s="3">
        <f t="shared" si="83"/>
        <v>3.2127590787364095E-2</v>
      </c>
      <c r="E153" s="3">
        <f t="shared" si="83"/>
        <v>3.2127590787364095E-2</v>
      </c>
      <c r="F153" s="3">
        <f t="shared" si="83"/>
        <v>3.2127590787364095E-2</v>
      </c>
      <c r="G153" s="3">
        <f t="shared" si="83"/>
        <v>3.2127590787364095E-2</v>
      </c>
      <c r="H153" s="3">
        <f t="shared" si="83"/>
        <v>3.2127590787364095E-2</v>
      </c>
      <c r="I153" s="3">
        <f t="shared" si="83"/>
        <v>3.2127590787364095E-2</v>
      </c>
      <c r="J153" s="3">
        <f t="shared" si="83"/>
        <v>3.2127590787364095E-2</v>
      </c>
      <c r="K153" s="3">
        <f t="shared" si="83"/>
        <v>3.2127590787364095E-2</v>
      </c>
      <c r="L153" s="3">
        <f t="shared" si="83"/>
        <v>3.2127590787364095E-2</v>
      </c>
      <c r="M153" s="3">
        <f t="shared" si="83"/>
        <v>3.2127590787364095E-2</v>
      </c>
      <c r="N153" s="3">
        <f t="shared" si="83"/>
        <v>3.2127590787364095E-2</v>
      </c>
      <c r="O153" s="3">
        <f t="shared" si="83"/>
        <v>3.2127590787364095E-2</v>
      </c>
      <c r="P153" s="3">
        <f t="shared" si="83"/>
        <v>3.2127590787364095E-2</v>
      </c>
      <c r="Q153" s="3">
        <f t="shared" si="83"/>
        <v>3.2127590787364095E-2</v>
      </c>
      <c r="R153" s="3">
        <f t="shared" si="83"/>
        <v>3.2127590787364095E-2</v>
      </c>
      <c r="S153" s="3">
        <f t="shared" si="83"/>
        <v>3.2127590787364088E-2</v>
      </c>
      <c r="T153" s="3">
        <f t="shared" si="83"/>
        <v>3.2127590787364033E-2</v>
      </c>
      <c r="U153" s="3">
        <f t="shared" si="83"/>
        <v>3.212759078736345E-2</v>
      </c>
      <c r="V153" s="3">
        <f t="shared" si="83"/>
        <v>3.212759078735767E-2</v>
      </c>
      <c r="W153" s="3">
        <f t="shared" si="83"/>
        <v>3.2127590787299841E-2</v>
      </c>
      <c r="X153" s="3">
        <f t="shared" si="83"/>
        <v>3.2127590786721533E-2</v>
      </c>
      <c r="Y153" s="3">
        <f t="shared" si="83"/>
        <v>3.2127590780938478E-2</v>
      </c>
      <c r="Z153" s="3">
        <f t="shared" si="83"/>
        <v>3.212759072310796E-2</v>
      </c>
      <c r="AA153" s="3">
        <f t="shared" ref="AA153" si="84">$C39*EXP(-AA$129/$A39/EXP(-$B$126))</f>
        <v>3.2127590144802758E-2</v>
      </c>
      <c r="AB153" s="3">
        <f t="shared" si="67"/>
        <v>3.2127584361751296E-2</v>
      </c>
      <c r="AC153" s="3">
        <f t="shared" si="67"/>
        <v>3.2127526531293915E-2</v>
      </c>
      <c r="AD153" s="3">
        <f t="shared" si="67"/>
        <v>3.2126948232445371E-2</v>
      </c>
      <c r="AE153" s="3">
        <f t="shared" si="67"/>
        <v>3.2121165816448215E-2</v>
      </c>
      <c r="AF153" s="3">
        <f t="shared" si="67"/>
        <v>3.2063398867194955E-2</v>
      </c>
    </row>
    <row r="154" spans="1:32" x14ac:dyDescent="0.25">
      <c r="B154" s="3">
        <f t="shared" ref="B154:Z154" si="85">$C40*EXP(-B$129/$A40/EXP(-$B$126))</f>
        <v>1.5939358035986794E-2</v>
      </c>
      <c r="C154" s="3">
        <f t="shared" si="85"/>
        <v>1.5939358035986794E-2</v>
      </c>
      <c r="D154" s="3">
        <f t="shared" si="85"/>
        <v>1.5939358035986794E-2</v>
      </c>
      <c r="E154" s="3">
        <f t="shared" si="85"/>
        <v>1.5939358035986794E-2</v>
      </c>
      <c r="F154" s="3">
        <f t="shared" si="85"/>
        <v>1.5939358035986794E-2</v>
      </c>
      <c r="G154" s="3">
        <f t="shared" si="85"/>
        <v>1.5939358035986794E-2</v>
      </c>
      <c r="H154" s="3">
        <f t="shared" si="85"/>
        <v>1.5939358035986794E-2</v>
      </c>
      <c r="I154" s="3">
        <f t="shared" si="85"/>
        <v>1.5939358035986794E-2</v>
      </c>
      <c r="J154" s="3">
        <f t="shared" si="85"/>
        <v>1.5939358035986794E-2</v>
      </c>
      <c r="K154" s="3">
        <f t="shared" si="85"/>
        <v>1.5939358035986794E-2</v>
      </c>
      <c r="L154" s="3">
        <f t="shared" si="85"/>
        <v>1.5939358035986794E-2</v>
      </c>
      <c r="M154" s="3">
        <f t="shared" si="85"/>
        <v>1.5939358035986794E-2</v>
      </c>
      <c r="N154" s="3">
        <f t="shared" si="85"/>
        <v>1.5939358035986794E-2</v>
      </c>
      <c r="O154" s="3">
        <f t="shared" si="85"/>
        <v>1.5939358035986794E-2</v>
      </c>
      <c r="P154" s="3">
        <f t="shared" si="85"/>
        <v>1.5939358035986794E-2</v>
      </c>
      <c r="Q154" s="3">
        <f t="shared" si="85"/>
        <v>1.5939358035986794E-2</v>
      </c>
      <c r="R154" s="3">
        <f t="shared" si="85"/>
        <v>1.5939358035986794E-2</v>
      </c>
      <c r="S154" s="3">
        <f t="shared" si="85"/>
        <v>1.5939358035986794E-2</v>
      </c>
      <c r="T154" s="3">
        <f t="shared" si="85"/>
        <v>1.5939358035986791E-2</v>
      </c>
      <c r="U154" s="3">
        <f t="shared" si="85"/>
        <v>1.5939358035986763E-2</v>
      </c>
      <c r="V154" s="3">
        <f t="shared" si="85"/>
        <v>1.5939358035986475E-2</v>
      </c>
      <c r="W154" s="3">
        <f t="shared" si="85"/>
        <v>1.5939358035983606E-2</v>
      </c>
      <c r="X154" s="3">
        <f t="shared" si="85"/>
        <v>1.5939358035954913E-2</v>
      </c>
      <c r="Y154" s="3">
        <f t="shared" si="85"/>
        <v>1.5939358035668E-2</v>
      </c>
      <c r="Z154" s="3">
        <f t="shared" si="85"/>
        <v>1.5939358032798875E-2</v>
      </c>
      <c r="AA154" s="3">
        <f t="shared" ref="AA154:AF154" si="86">$C40*EXP(-AA$129/$A40/EXP(-$B$126))</f>
        <v>1.5939358004107604E-2</v>
      </c>
      <c r="AB154" s="3">
        <f t="shared" si="86"/>
        <v>1.5939357717194909E-2</v>
      </c>
      <c r="AC154" s="3">
        <f t="shared" si="86"/>
        <v>1.5939354848068233E-2</v>
      </c>
      <c r="AD154" s="3">
        <f t="shared" si="86"/>
        <v>1.5939326156829858E-2</v>
      </c>
      <c r="AE154" s="3">
        <f t="shared" si="86"/>
        <v>1.5939039247286603E-2</v>
      </c>
      <c r="AF154" s="3">
        <f t="shared" si="86"/>
        <v>1.5936170435880803E-2</v>
      </c>
    </row>
    <row r="155" spans="1:32" x14ac:dyDescent="0.25">
      <c r="B155" s="3">
        <f t="shared" ref="B155:Z155" si="87">$C41*EXP(-B$129/$A41/EXP(-$B$126))</f>
        <v>1.0098226932664881E-3</v>
      </c>
      <c r="C155" s="3">
        <f t="shared" si="87"/>
        <v>1.0098226932664881E-3</v>
      </c>
      <c r="D155" s="3">
        <f t="shared" si="87"/>
        <v>1.0098226932664881E-3</v>
      </c>
      <c r="E155" s="3">
        <f t="shared" si="87"/>
        <v>1.0098226932664881E-3</v>
      </c>
      <c r="F155" s="3">
        <f t="shared" si="87"/>
        <v>1.0098226932664881E-3</v>
      </c>
      <c r="G155" s="3">
        <f t="shared" si="87"/>
        <v>1.0098226932664881E-3</v>
      </c>
      <c r="H155" s="3">
        <f t="shared" si="87"/>
        <v>1.0098226932664881E-3</v>
      </c>
      <c r="I155" s="3">
        <f t="shared" si="87"/>
        <v>1.0098226932664881E-3</v>
      </c>
      <c r="J155" s="3">
        <f t="shared" si="87"/>
        <v>1.0098226932664881E-3</v>
      </c>
      <c r="K155" s="3">
        <f t="shared" si="87"/>
        <v>1.0098226932664881E-3</v>
      </c>
      <c r="L155" s="3">
        <f t="shared" si="87"/>
        <v>1.0098226932664881E-3</v>
      </c>
      <c r="M155" s="3">
        <f t="shared" si="87"/>
        <v>1.0098226932664881E-3</v>
      </c>
      <c r="N155" s="3">
        <f t="shared" si="87"/>
        <v>1.0098226932664881E-3</v>
      </c>
      <c r="O155" s="3">
        <f t="shared" si="87"/>
        <v>1.0098226932664881E-3</v>
      </c>
      <c r="P155" s="3">
        <f t="shared" si="87"/>
        <v>1.0098226932664881E-3</v>
      </c>
      <c r="Q155" s="3">
        <f t="shared" si="87"/>
        <v>1.0098226932664881E-3</v>
      </c>
      <c r="R155" s="3">
        <f t="shared" si="87"/>
        <v>1.0098226932664881E-3</v>
      </c>
      <c r="S155" s="3">
        <f t="shared" si="87"/>
        <v>1.0098226932664881E-3</v>
      </c>
      <c r="T155" s="3">
        <f t="shared" si="87"/>
        <v>1.0098226932664881E-3</v>
      </c>
      <c r="U155" s="3">
        <f t="shared" si="87"/>
        <v>1.0098226932664879E-3</v>
      </c>
      <c r="V155" s="3">
        <f t="shared" si="87"/>
        <v>1.0098226932664862E-3</v>
      </c>
      <c r="W155" s="3">
        <f t="shared" si="87"/>
        <v>1.009822693266468E-3</v>
      </c>
      <c r="X155" s="3">
        <f t="shared" si="87"/>
        <v>1.0098226932662862E-3</v>
      </c>
      <c r="Y155" s="3">
        <f t="shared" si="87"/>
        <v>1.0098226932644685E-3</v>
      </c>
      <c r="Z155" s="3">
        <f t="shared" si="87"/>
        <v>1.0098226932462914E-3</v>
      </c>
      <c r="AA155" s="3">
        <f t="shared" ref="AA155:AF155" si="88">$C41*EXP(-AA$129/$A41/EXP(-$B$126))</f>
        <v>1.0098226930645206E-3</v>
      </c>
      <c r="AB155" s="3">
        <f t="shared" si="88"/>
        <v>1.0098226912468127E-3</v>
      </c>
      <c r="AC155" s="3">
        <f t="shared" si="88"/>
        <v>1.009822673069735E-3</v>
      </c>
      <c r="AD155" s="3">
        <f t="shared" si="88"/>
        <v>1.0098224912989747E-3</v>
      </c>
      <c r="AE155" s="3">
        <f t="shared" si="88"/>
        <v>1.0098206735931713E-3</v>
      </c>
      <c r="AF155" s="3">
        <f t="shared" si="88"/>
        <v>1.0098024967150911E-3</v>
      </c>
    </row>
    <row r="156" spans="1:32" x14ac:dyDescent="0.25">
      <c r="B156" s="3">
        <f t="shared" ref="B156:Z156" si="89">$C42*EXP(-B$129/$A42/EXP(-$B$126))</f>
        <v>3.5232790951536608E-3</v>
      </c>
      <c r="C156" s="3">
        <f t="shared" si="89"/>
        <v>3.5232790951536608E-3</v>
      </c>
      <c r="D156" s="3">
        <f t="shared" si="89"/>
        <v>3.5232790951536608E-3</v>
      </c>
      <c r="E156" s="3">
        <f t="shared" si="89"/>
        <v>3.5232790951536608E-3</v>
      </c>
      <c r="F156" s="3">
        <f t="shared" si="89"/>
        <v>3.5232790951536608E-3</v>
      </c>
      <c r="G156" s="3">
        <f t="shared" si="89"/>
        <v>3.5232790951536608E-3</v>
      </c>
      <c r="H156" s="3">
        <f t="shared" si="89"/>
        <v>3.5232790951536608E-3</v>
      </c>
      <c r="I156" s="3">
        <f t="shared" si="89"/>
        <v>3.5232790951536608E-3</v>
      </c>
      <c r="J156" s="3">
        <f t="shared" si="89"/>
        <v>3.5232790951536608E-3</v>
      </c>
      <c r="K156" s="3">
        <f t="shared" si="89"/>
        <v>3.5232790951536608E-3</v>
      </c>
      <c r="L156" s="3">
        <f t="shared" si="89"/>
        <v>3.5232790951536608E-3</v>
      </c>
      <c r="M156" s="3">
        <f t="shared" si="89"/>
        <v>3.5232790951536608E-3</v>
      </c>
      <c r="N156" s="3">
        <f t="shared" si="89"/>
        <v>3.5232790951536608E-3</v>
      </c>
      <c r="O156" s="3">
        <f t="shared" si="89"/>
        <v>3.5232790951536608E-3</v>
      </c>
      <c r="P156" s="3">
        <f t="shared" si="89"/>
        <v>3.5232790951536608E-3</v>
      </c>
      <c r="Q156" s="3">
        <f t="shared" si="89"/>
        <v>3.5232790951536608E-3</v>
      </c>
      <c r="R156" s="3">
        <f t="shared" si="89"/>
        <v>3.5232790951536608E-3</v>
      </c>
      <c r="S156" s="3">
        <f t="shared" si="89"/>
        <v>3.5232790951536608E-3</v>
      </c>
      <c r="T156" s="3">
        <f t="shared" si="89"/>
        <v>3.5232790951536608E-3</v>
      </c>
      <c r="U156" s="3">
        <f t="shared" si="89"/>
        <v>3.5232790951536608E-3</v>
      </c>
      <c r="V156" s="3">
        <f t="shared" si="89"/>
        <v>3.5232790951536599E-3</v>
      </c>
      <c r="W156" s="3">
        <f t="shared" si="89"/>
        <v>3.5232790951536539E-3</v>
      </c>
      <c r="X156" s="3">
        <f t="shared" si="89"/>
        <v>3.5232790951535906E-3</v>
      </c>
      <c r="Y156" s="3">
        <f t="shared" si="89"/>
        <v>3.5232790951529565E-3</v>
      </c>
      <c r="Z156" s="3">
        <f t="shared" si="89"/>
        <v>3.5232790951466139E-3</v>
      </c>
      <c r="AA156" s="3">
        <f t="shared" ref="AA156:AF156" si="90">$C42*EXP(-AA$129/$A42/EXP(-$B$126))</f>
        <v>3.5232790950831942E-3</v>
      </c>
      <c r="AB156" s="3">
        <f t="shared" si="90"/>
        <v>3.5232790944489945E-3</v>
      </c>
      <c r="AC156" s="3">
        <f t="shared" si="90"/>
        <v>3.5232790881069981E-3</v>
      </c>
      <c r="AD156" s="3">
        <f t="shared" si="90"/>
        <v>3.5232790246870344E-3</v>
      </c>
      <c r="AE156" s="3">
        <f t="shared" si="90"/>
        <v>3.5232783904874626E-3</v>
      </c>
      <c r="AF156" s="3">
        <f t="shared" si="90"/>
        <v>3.5232720484980212E-3</v>
      </c>
    </row>
    <row r="157" spans="1:32" x14ac:dyDescent="0.25">
      <c r="B157" s="3">
        <f t="shared" ref="B157:Z157" si="91">$C43*EXP(-B$129/$A43/EXP(-$B$126))</f>
        <v>1.7526056431954549E-4</v>
      </c>
      <c r="C157" s="3">
        <f t="shared" si="91"/>
        <v>1.7526056431954549E-4</v>
      </c>
      <c r="D157" s="3">
        <f t="shared" si="91"/>
        <v>1.7526056431954549E-4</v>
      </c>
      <c r="E157" s="3">
        <f t="shared" si="91"/>
        <v>1.7526056431954549E-4</v>
      </c>
      <c r="F157" s="3">
        <f t="shared" si="91"/>
        <v>1.7526056431954549E-4</v>
      </c>
      <c r="G157" s="3">
        <f t="shared" si="91"/>
        <v>1.7526056431954549E-4</v>
      </c>
      <c r="H157" s="3">
        <f t="shared" si="91"/>
        <v>1.7526056431954549E-4</v>
      </c>
      <c r="I157" s="3">
        <f t="shared" si="91"/>
        <v>1.7526056431954549E-4</v>
      </c>
      <c r="J157" s="3">
        <f t="shared" si="91"/>
        <v>1.7526056431954549E-4</v>
      </c>
      <c r="K157" s="3">
        <f t="shared" si="91"/>
        <v>1.7526056431954549E-4</v>
      </c>
      <c r="L157" s="3">
        <f t="shared" si="91"/>
        <v>1.7526056431954549E-4</v>
      </c>
      <c r="M157" s="3">
        <f t="shared" si="91"/>
        <v>1.7526056431954549E-4</v>
      </c>
      <c r="N157" s="3">
        <f t="shared" si="91"/>
        <v>1.7526056431954549E-4</v>
      </c>
      <c r="O157" s="3">
        <f t="shared" si="91"/>
        <v>1.7526056431954549E-4</v>
      </c>
      <c r="P157" s="3">
        <f t="shared" si="91"/>
        <v>1.7526056431954549E-4</v>
      </c>
      <c r="Q157" s="3">
        <f t="shared" si="91"/>
        <v>1.7526056431954549E-4</v>
      </c>
      <c r="R157" s="3">
        <f t="shared" si="91"/>
        <v>1.7526056431954549E-4</v>
      </c>
      <c r="S157" s="3">
        <f t="shared" si="91"/>
        <v>1.7526056431954549E-4</v>
      </c>
      <c r="T157" s="3">
        <f t="shared" si="91"/>
        <v>1.7526056431954549E-4</v>
      </c>
      <c r="U157" s="3">
        <f t="shared" si="91"/>
        <v>1.7526056431954549E-4</v>
      </c>
      <c r="V157" s="3">
        <f t="shared" si="91"/>
        <v>1.7526056431954549E-4</v>
      </c>
      <c r="W157" s="3">
        <f t="shared" si="91"/>
        <v>1.7526056431954546E-4</v>
      </c>
      <c r="X157" s="3">
        <f t="shared" si="91"/>
        <v>1.7526056431954514E-4</v>
      </c>
      <c r="Y157" s="3">
        <f t="shared" si="91"/>
        <v>1.75260564319542E-4</v>
      </c>
      <c r="Z157" s="3">
        <f t="shared" si="91"/>
        <v>1.7526056431951045E-4</v>
      </c>
      <c r="AA157" s="3">
        <f t="shared" ref="AA157:AF157" si="92">$C43*EXP(-AA$129/$A43/EXP(-$B$126))</f>
        <v>1.7526056431919497E-4</v>
      </c>
      <c r="AB157" s="3">
        <f t="shared" si="92"/>
        <v>1.7526056431604021E-4</v>
      </c>
      <c r="AC157" s="3">
        <f t="shared" si="92"/>
        <v>1.7526056428449286E-4</v>
      </c>
      <c r="AD157" s="3">
        <f t="shared" si="92"/>
        <v>1.7526056396901916E-4</v>
      </c>
      <c r="AE157" s="3">
        <f t="shared" si="92"/>
        <v>1.7526056081428225E-4</v>
      </c>
      <c r="AF157" s="3">
        <f t="shared" si="92"/>
        <v>1.7526052926691634E-4</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1.1765348907566872E-4</v>
      </c>
      <c r="C159" s="3">
        <f t="shared" si="95"/>
        <v>1.1765348907566872E-4</v>
      </c>
      <c r="D159" s="3">
        <f t="shared" si="95"/>
        <v>1.1765348907566872E-4</v>
      </c>
      <c r="E159" s="3">
        <f t="shared" si="95"/>
        <v>1.1765348907566872E-4</v>
      </c>
      <c r="F159" s="3">
        <f t="shared" si="95"/>
        <v>1.1765348907566872E-4</v>
      </c>
      <c r="G159" s="3">
        <f t="shared" si="95"/>
        <v>1.1765348907566872E-4</v>
      </c>
      <c r="H159" s="3">
        <f t="shared" si="95"/>
        <v>1.1765348907566872E-4</v>
      </c>
      <c r="I159" s="3">
        <f t="shared" si="95"/>
        <v>1.1765348907566872E-4</v>
      </c>
      <c r="J159" s="3">
        <f t="shared" si="95"/>
        <v>1.1765348907566872E-4</v>
      </c>
      <c r="K159" s="3">
        <f t="shared" si="95"/>
        <v>1.1765348907566872E-4</v>
      </c>
      <c r="L159" s="3">
        <f t="shared" si="95"/>
        <v>1.1765348907566872E-4</v>
      </c>
      <c r="M159" s="3">
        <f t="shared" si="95"/>
        <v>1.1765348907566872E-4</v>
      </c>
      <c r="N159" s="3">
        <f t="shared" si="95"/>
        <v>1.1765348907566872E-4</v>
      </c>
      <c r="O159" s="3">
        <f t="shared" si="95"/>
        <v>1.1765348907566872E-4</v>
      </c>
      <c r="P159" s="3">
        <f t="shared" si="95"/>
        <v>1.1765348907566872E-4</v>
      </c>
      <c r="Q159" s="3">
        <f t="shared" si="95"/>
        <v>1.1765348907566872E-4</v>
      </c>
      <c r="R159" s="3">
        <f t="shared" si="95"/>
        <v>1.1765348907566872E-4</v>
      </c>
      <c r="S159" s="3">
        <f t="shared" si="95"/>
        <v>1.1765348907566872E-4</v>
      </c>
      <c r="T159" s="3">
        <f t="shared" si="95"/>
        <v>1.1765348907566872E-4</v>
      </c>
      <c r="U159" s="3">
        <f t="shared" si="95"/>
        <v>1.1765348907566872E-4</v>
      </c>
      <c r="V159" s="3">
        <f t="shared" si="95"/>
        <v>1.1765348907566872E-4</v>
      </c>
      <c r="W159" s="3">
        <f t="shared" si="95"/>
        <v>1.1765348907566872E-4</v>
      </c>
      <c r="X159" s="3">
        <f t="shared" si="95"/>
        <v>1.1765348907566872E-4</v>
      </c>
      <c r="Y159" s="3">
        <f t="shared" si="95"/>
        <v>1.176534890756687E-4</v>
      </c>
      <c r="Z159" s="3">
        <f t="shared" si="95"/>
        <v>1.1765348907566849E-4</v>
      </c>
      <c r="AA159" s="3">
        <f t="shared" ref="AA159:AF159" si="96">$C45*EXP(-AA$129/$A45/EXP(-$B$126))</f>
        <v>1.1765348907566638E-4</v>
      </c>
      <c r="AB159" s="3">
        <f t="shared" si="96"/>
        <v>1.176534890756452E-4</v>
      </c>
      <c r="AC159" s="3">
        <f t="shared" si="96"/>
        <v>1.1765348907543341E-4</v>
      </c>
      <c r="AD159" s="3">
        <f t="shared" si="96"/>
        <v>1.1765348907331561E-4</v>
      </c>
      <c r="AE159" s="3">
        <f t="shared" si="96"/>
        <v>1.1765348905213767E-4</v>
      </c>
      <c r="AF159" s="3">
        <f t="shared" si="96"/>
        <v>1.1765348884035825E-4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6.5987032321069097E-5</v>
      </c>
      <c r="C161" s="3">
        <f t="shared" si="99"/>
        <v>6.5987032321069097E-5</v>
      </c>
      <c r="D161" s="3">
        <f t="shared" si="99"/>
        <v>6.5987032321069097E-5</v>
      </c>
      <c r="E161" s="3">
        <f t="shared" si="99"/>
        <v>6.5987032321069097E-5</v>
      </c>
      <c r="F161" s="3">
        <f t="shared" si="99"/>
        <v>6.5987032321069097E-5</v>
      </c>
      <c r="G161" s="3">
        <f t="shared" si="99"/>
        <v>6.5987032321069097E-5</v>
      </c>
      <c r="H161" s="3">
        <f t="shared" si="99"/>
        <v>6.5987032321069097E-5</v>
      </c>
      <c r="I161" s="3">
        <f t="shared" si="99"/>
        <v>6.5987032321069097E-5</v>
      </c>
      <c r="J161" s="3">
        <f t="shared" si="99"/>
        <v>6.5987032321069097E-5</v>
      </c>
      <c r="K161" s="3">
        <f t="shared" si="99"/>
        <v>6.5987032321069097E-5</v>
      </c>
      <c r="L161" s="3">
        <f t="shared" si="99"/>
        <v>6.5987032321069097E-5</v>
      </c>
      <c r="M161" s="3">
        <f t="shared" si="99"/>
        <v>6.5987032321069097E-5</v>
      </c>
      <c r="N161" s="3">
        <f t="shared" si="99"/>
        <v>6.5987032321069097E-5</v>
      </c>
      <c r="O161" s="3">
        <f t="shared" si="99"/>
        <v>6.5987032321069097E-5</v>
      </c>
      <c r="P161" s="3">
        <f t="shared" si="99"/>
        <v>6.5987032321069097E-5</v>
      </c>
      <c r="Q161" s="3">
        <f t="shared" si="99"/>
        <v>6.5987032321069097E-5</v>
      </c>
      <c r="R161" s="3">
        <f t="shared" si="99"/>
        <v>6.5987032321069097E-5</v>
      </c>
      <c r="S161" s="3">
        <f t="shared" si="99"/>
        <v>6.5987032321069097E-5</v>
      </c>
      <c r="T161" s="3">
        <f t="shared" si="99"/>
        <v>6.5987032321069097E-5</v>
      </c>
      <c r="U161" s="3">
        <f t="shared" si="99"/>
        <v>6.5987032321069097E-5</v>
      </c>
      <c r="V161" s="3">
        <f t="shared" si="99"/>
        <v>6.5987032321069097E-5</v>
      </c>
      <c r="W161" s="3">
        <f t="shared" si="99"/>
        <v>6.5987032321069097E-5</v>
      </c>
      <c r="X161" s="3">
        <f t="shared" si="99"/>
        <v>6.5987032321069097E-5</v>
      </c>
      <c r="Y161" s="3">
        <f t="shared" si="99"/>
        <v>6.5987032321069097E-5</v>
      </c>
      <c r="Z161" s="3">
        <f t="shared" si="99"/>
        <v>6.5987032321069097E-5</v>
      </c>
      <c r="AA161" s="3">
        <f t="shared" ref="AA161:AF161" si="100">$C47*EXP(-AA$129/$A47/EXP(-$B$126))</f>
        <v>6.5987032321069083E-5</v>
      </c>
      <c r="AB161" s="3">
        <f t="shared" si="100"/>
        <v>6.5987032321068961E-5</v>
      </c>
      <c r="AC161" s="3">
        <f t="shared" si="100"/>
        <v>6.5987032321067782E-5</v>
      </c>
      <c r="AD161" s="3">
        <f t="shared" si="100"/>
        <v>6.5987032321055897E-5</v>
      </c>
      <c r="AE161" s="3">
        <f t="shared" si="100"/>
        <v>6.5987032320937122E-5</v>
      </c>
      <c r="AF161" s="3">
        <f t="shared" si="100"/>
        <v>6.5987032319749338E-5</v>
      </c>
    </row>
    <row r="162" spans="1:34" x14ac:dyDescent="0.25">
      <c r="B162" s="3">
        <f t="shared" ref="B162:Z162" si="101">$C48*EXP(-B$129/$A48/EXP(-$B$126))</f>
        <v>6.9850122094838041E-5</v>
      </c>
      <c r="C162" s="3">
        <f t="shared" si="101"/>
        <v>6.9850122094838041E-5</v>
      </c>
      <c r="D162" s="3">
        <f t="shared" si="101"/>
        <v>6.9850122094838041E-5</v>
      </c>
      <c r="E162" s="3">
        <f t="shared" si="101"/>
        <v>6.9850122094838041E-5</v>
      </c>
      <c r="F162" s="3">
        <f t="shared" si="101"/>
        <v>6.9850122094838041E-5</v>
      </c>
      <c r="G162" s="3">
        <f t="shared" si="101"/>
        <v>6.9850122094838041E-5</v>
      </c>
      <c r="H162" s="3">
        <f t="shared" si="101"/>
        <v>6.9850122094838041E-5</v>
      </c>
      <c r="I162" s="3">
        <f t="shared" si="101"/>
        <v>6.9850122094838041E-5</v>
      </c>
      <c r="J162" s="3">
        <f t="shared" si="101"/>
        <v>6.9850122094838041E-5</v>
      </c>
      <c r="K162" s="3">
        <f t="shared" si="101"/>
        <v>6.9850122094838041E-5</v>
      </c>
      <c r="L162" s="3">
        <f t="shared" si="101"/>
        <v>6.9850122094838041E-5</v>
      </c>
      <c r="M162" s="3">
        <f t="shared" si="101"/>
        <v>6.9850122094838041E-5</v>
      </c>
      <c r="N162" s="3">
        <f t="shared" si="101"/>
        <v>6.9850122094838041E-5</v>
      </c>
      <c r="O162" s="3">
        <f t="shared" si="101"/>
        <v>6.9850122094838041E-5</v>
      </c>
      <c r="P162" s="3">
        <f t="shared" si="101"/>
        <v>6.9850122094838041E-5</v>
      </c>
      <c r="Q162" s="3">
        <f t="shared" si="101"/>
        <v>6.9850122094838041E-5</v>
      </c>
      <c r="R162" s="3">
        <f t="shared" si="101"/>
        <v>6.9850122094838041E-5</v>
      </c>
      <c r="S162" s="3">
        <f t="shared" si="101"/>
        <v>6.9850122094838041E-5</v>
      </c>
      <c r="T162" s="3">
        <f t="shared" si="101"/>
        <v>6.9850122094838041E-5</v>
      </c>
      <c r="U162" s="3">
        <f t="shared" si="101"/>
        <v>6.9850122094838041E-5</v>
      </c>
      <c r="V162" s="3">
        <f t="shared" si="101"/>
        <v>6.9850122094838041E-5</v>
      </c>
      <c r="W162" s="3">
        <f t="shared" si="101"/>
        <v>6.9850122094838041E-5</v>
      </c>
      <c r="X162" s="3">
        <f t="shared" si="101"/>
        <v>6.9850122094838041E-5</v>
      </c>
      <c r="Y162" s="3">
        <f t="shared" si="101"/>
        <v>6.9850122094838041E-5</v>
      </c>
      <c r="Z162" s="3">
        <f t="shared" si="101"/>
        <v>6.9850122094838041E-5</v>
      </c>
      <c r="AA162" s="3">
        <f t="shared" ref="AA162:AF162" si="102">$C48*EXP(-AA$129/$A48/EXP(-$B$126))</f>
        <v>6.9850122094838041E-5</v>
      </c>
      <c r="AB162" s="3">
        <f t="shared" si="102"/>
        <v>6.9850122094838028E-5</v>
      </c>
      <c r="AC162" s="3">
        <f t="shared" si="102"/>
        <v>6.9850122094837906E-5</v>
      </c>
      <c r="AD162" s="3">
        <f t="shared" si="102"/>
        <v>6.9850122094836645E-5</v>
      </c>
      <c r="AE162" s="3">
        <f t="shared" si="102"/>
        <v>6.9850122094824069E-5</v>
      </c>
      <c r="AF162" s="3">
        <f t="shared" si="102"/>
        <v>6.9850122094698342E-5</v>
      </c>
    </row>
    <row r="163" spans="1:34" x14ac:dyDescent="0.25">
      <c r="A163" s="79">
        <f>AVERAGE(B163:AF163)</f>
        <v>4.4371517656047681E-2</v>
      </c>
      <c r="B163" s="80">
        <f>IF($A$64&lt;=B129,IF($B$64&gt;=B129,ABS((B131-B130)/B130),0),0)</f>
        <v>7.6131759769316604E-3</v>
      </c>
      <c r="C163" s="80">
        <f t="shared" ref="C163:AF163" si="103">IF($A$64&lt;=C129,IF($B$64&gt;=C129,ABS((C131-C130)/C130),0),0)</f>
        <v>7.6217572470041938E-3</v>
      </c>
      <c r="D163" s="80">
        <f t="shared" si="103"/>
        <v>7.617813237036716E-3</v>
      </c>
      <c r="E163" s="80">
        <f t="shared" si="103"/>
        <v>7.628480991629479E-3</v>
      </c>
      <c r="F163" s="80">
        <f t="shared" si="103"/>
        <v>7.7489842857651238E-3</v>
      </c>
      <c r="G163" s="80">
        <f t="shared" si="103"/>
        <v>8.8460933616544158E-3</v>
      </c>
      <c r="H163" s="80">
        <f t="shared" si="103"/>
        <v>1.3490064403921212E-2</v>
      </c>
      <c r="I163" s="80">
        <f t="shared" si="103"/>
        <v>1.440970034782907E-2</v>
      </c>
      <c r="J163" s="80">
        <f t="shared" si="103"/>
        <v>1.4409700592199244E-2</v>
      </c>
      <c r="K163" s="80">
        <f t="shared" si="103"/>
        <v>1.440970289587601E-2</v>
      </c>
      <c r="L163" s="80">
        <f t="shared" si="103"/>
        <v>1.4409722230092323E-2</v>
      </c>
      <c r="M163" s="80">
        <f t="shared" si="103"/>
        <v>1.4409911867016531E-2</v>
      </c>
      <c r="N163" s="80">
        <f t="shared" si="103"/>
        <v>1.4412137488530295E-2</v>
      </c>
      <c r="O163" s="80">
        <f t="shared" si="103"/>
        <v>1.4434051790649815E-2</v>
      </c>
      <c r="P163" s="80">
        <f t="shared" si="103"/>
        <v>1.4650495993561495E-2</v>
      </c>
      <c r="Q163" s="80">
        <f t="shared" si="103"/>
        <v>1.6576038039839994E-2</v>
      </c>
      <c r="R163" s="80">
        <f t="shared" si="103"/>
        <v>2.5980594163333117E-2</v>
      </c>
      <c r="S163" s="80">
        <f t="shared" si="103"/>
        <v>4.2508581772033774E-2</v>
      </c>
      <c r="T163" s="80">
        <f t="shared" si="103"/>
        <v>4.3440587628928308E-2</v>
      </c>
      <c r="U163" s="80">
        <f t="shared" si="103"/>
        <v>4.8224016037320308E-2</v>
      </c>
      <c r="V163" s="80">
        <f t="shared" si="103"/>
        <v>4.6056436828073553E-2</v>
      </c>
      <c r="W163" s="80">
        <f t="shared" si="103"/>
        <v>1.459616929583653E-2</v>
      </c>
      <c r="X163" s="80">
        <f t="shared" si="103"/>
        <v>2.5280996360798481E-2</v>
      </c>
      <c r="Y163" s="80">
        <f t="shared" si="103"/>
        <v>7.4646030596080284E-2</v>
      </c>
      <c r="Z163" s="80">
        <f t="shared" si="103"/>
        <v>0.11328979108913374</v>
      </c>
      <c r="AA163" s="80">
        <f t="shared" si="103"/>
        <v>0.13467042820091371</v>
      </c>
      <c r="AB163" s="80">
        <f t="shared" si="103"/>
        <v>0.13707224353084457</v>
      </c>
      <c r="AC163" s="80">
        <f t="shared" si="103"/>
        <v>7.9839972299606765E-2</v>
      </c>
      <c r="AD163" s="80">
        <f t="shared" si="103"/>
        <v>1.3617917397931056E-2</v>
      </c>
      <c r="AE163" s="80">
        <f t="shared" si="103"/>
        <v>0.12669813682898259</v>
      </c>
      <c r="AF163" s="80">
        <f t="shared" si="103"/>
        <v>0.25690731455812355</v>
      </c>
    </row>
    <row r="164" spans="1:34" x14ac:dyDescent="0.25">
      <c r="B164" s="21">
        <f>(B131-B130)^2</f>
        <v>2505.0127428506612</v>
      </c>
      <c r="C164" s="21">
        <f t="shared" ref="C164:AF164" si="104">(C131-C130)^2</f>
        <v>2510.7058290608179</v>
      </c>
      <c r="D164" s="21">
        <f t="shared" si="104"/>
        <v>2508.081967086518</v>
      </c>
      <c r="E164" s="21">
        <f t="shared" si="104"/>
        <v>2515.1035082696312</v>
      </c>
      <c r="F164" s="21">
        <f t="shared" si="104"/>
        <v>2595.1882464850059</v>
      </c>
      <c r="G164" s="21">
        <f t="shared" si="104"/>
        <v>3382.0669632026479</v>
      </c>
      <c r="H164" s="21">
        <f t="shared" si="104"/>
        <v>7865.15282061366</v>
      </c>
      <c r="I164" s="21">
        <f t="shared" si="104"/>
        <v>8974.0608933798976</v>
      </c>
      <c r="J164" s="21">
        <f t="shared" si="104"/>
        <v>8974.0611977571971</v>
      </c>
      <c r="K164" s="21">
        <f t="shared" si="104"/>
        <v>8974.0640671211786</v>
      </c>
      <c r="L164" s="21">
        <f t="shared" si="104"/>
        <v>8974.0880816099452</v>
      </c>
      <c r="M164" s="21">
        <f t="shared" si="104"/>
        <v>8974.3235456690163</v>
      </c>
      <c r="N164" s="21">
        <f t="shared" si="104"/>
        <v>8977.0945251282064</v>
      </c>
      <c r="O164" s="21">
        <f t="shared" si="104"/>
        <v>9004.3954736308733</v>
      </c>
      <c r="P164" s="21">
        <f t="shared" si="104"/>
        <v>9276.2632078091829</v>
      </c>
      <c r="Q164" s="21">
        <f t="shared" si="104"/>
        <v>11872.276336755691</v>
      </c>
      <c r="R164" s="21">
        <f t="shared" si="104"/>
        <v>29102.673491686633</v>
      </c>
      <c r="S164" s="21">
        <f t="shared" si="104"/>
        <v>76561.548277673734</v>
      </c>
      <c r="T164" s="21">
        <f t="shared" si="104"/>
        <v>76304.884704659402</v>
      </c>
      <c r="U164" s="21">
        <f t="shared" si="104"/>
        <v>89341.474706145804</v>
      </c>
      <c r="V164" s="21">
        <f t="shared" si="104"/>
        <v>75480.211120566732</v>
      </c>
      <c r="W164" s="21">
        <f t="shared" si="104"/>
        <v>6592.9776105756046</v>
      </c>
      <c r="X164" s="21">
        <f t="shared" si="104"/>
        <v>16419.763334771596</v>
      </c>
      <c r="Y164" s="21">
        <f t="shared" si="104"/>
        <v>117039.82806010435</v>
      </c>
      <c r="Z164" s="21">
        <f t="shared" si="104"/>
        <v>222748.67128189042</v>
      </c>
      <c r="AA164" s="21">
        <f t="shared" si="104"/>
        <v>265144.32954089087</v>
      </c>
      <c r="AB164" s="21">
        <f t="shared" si="104"/>
        <v>231553.61071003077</v>
      </c>
      <c r="AC164" s="21">
        <f t="shared" si="104"/>
        <v>65906.731798914581</v>
      </c>
      <c r="AD164" s="21">
        <f t="shared" si="104"/>
        <v>1527.7206795876496</v>
      </c>
      <c r="AE164" s="21">
        <f t="shared" si="104"/>
        <v>97025.83106820262</v>
      </c>
      <c r="AF164" s="21">
        <f t="shared" si="104"/>
        <v>259457.05063943606</v>
      </c>
    </row>
    <row r="165" spans="1:34" x14ac:dyDescent="0.25">
      <c r="A165" s="71">
        <f>SUM(B165:AF165)</f>
        <v>1738089.2464315672</v>
      </c>
      <c r="B165" s="60">
        <f>IF($A$64&lt;=B129,IF($B$64&gt;=B129,ABS(B164),0),0)</f>
        <v>2505.0127428506612</v>
      </c>
      <c r="C165" s="60">
        <f t="shared" ref="C165:AF165" si="105">IF($A$64&lt;=C129,IF($B$64&gt;=C129,ABS(C164),0),0)</f>
        <v>2510.7058290608179</v>
      </c>
      <c r="D165" s="60">
        <f t="shared" si="105"/>
        <v>2508.081967086518</v>
      </c>
      <c r="E165" s="60">
        <f t="shared" si="105"/>
        <v>2515.1035082696312</v>
      </c>
      <c r="F165" s="60">
        <f t="shared" si="105"/>
        <v>2595.1882464850059</v>
      </c>
      <c r="G165" s="60">
        <f t="shared" si="105"/>
        <v>3382.0669632026479</v>
      </c>
      <c r="H165" s="60">
        <f t="shared" si="105"/>
        <v>7865.15282061366</v>
      </c>
      <c r="I165" s="60">
        <f t="shared" si="105"/>
        <v>8974.0608933798976</v>
      </c>
      <c r="J165" s="60">
        <f t="shared" si="105"/>
        <v>8974.0611977571971</v>
      </c>
      <c r="K165" s="60">
        <f t="shared" si="105"/>
        <v>8974.0640671211786</v>
      </c>
      <c r="L165" s="60">
        <f t="shared" si="105"/>
        <v>8974.0880816099452</v>
      </c>
      <c r="M165" s="60">
        <f t="shared" si="105"/>
        <v>8974.3235456690163</v>
      </c>
      <c r="N165" s="60">
        <f t="shared" si="105"/>
        <v>8977.0945251282064</v>
      </c>
      <c r="O165" s="60">
        <f t="shared" si="105"/>
        <v>9004.3954736308733</v>
      </c>
      <c r="P165" s="60">
        <f t="shared" si="105"/>
        <v>9276.2632078091829</v>
      </c>
      <c r="Q165" s="60">
        <f t="shared" si="105"/>
        <v>11872.276336755691</v>
      </c>
      <c r="R165" s="60">
        <f t="shared" si="105"/>
        <v>29102.673491686633</v>
      </c>
      <c r="S165" s="60">
        <f t="shared" si="105"/>
        <v>76561.548277673734</v>
      </c>
      <c r="T165" s="60">
        <f t="shared" si="105"/>
        <v>76304.884704659402</v>
      </c>
      <c r="U165" s="60">
        <f t="shared" si="105"/>
        <v>89341.474706145804</v>
      </c>
      <c r="V165" s="60">
        <f t="shared" si="105"/>
        <v>75480.211120566732</v>
      </c>
      <c r="W165" s="60">
        <f t="shared" si="105"/>
        <v>6592.9776105756046</v>
      </c>
      <c r="X165" s="60">
        <f t="shared" si="105"/>
        <v>16419.763334771596</v>
      </c>
      <c r="Y165" s="60">
        <f t="shared" si="105"/>
        <v>117039.82806010435</v>
      </c>
      <c r="Z165" s="60">
        <f t="shared" si="105"/>
        <v>222748.67128189042</v>
      </c>
      <c r="AA165" s="60">
        <f t="shared" si="105"/>
        <v>265144.32954089087</v>
      </c>
      <c r="AB165" s="60">
        <f t="shared" si="105"/>
        <v>231553.61071003077</v>
      </c>
      <c r="AC165" s="60">
        <f t="shared" si="105"/>
        <v>65906.731798914581</v>
      </c>
      <c r="AD165" s="60">
        <f t="shared" si="105"/>
        <v>1527.7206795876496</v>
      </c>
      <c r="AE165" s="60">
        <f t="shared" si="105"/>
        <v>97025.83106820262</v>
      </c>
      <c r="AF165" s="60">
        <f t="shared" si="105"/>
        <v>259457.05063943606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6524.090276683628</v>
      </c>
      <c r="C170" s="27">
        <f t="shared" ref="C170:AF170" si="106">($C$17+SUM(C171:C201))*$B$51</f>
        <v>6524.0720709594179</v>
      </c>
      <c r="D170" s="27">
        <f t="shared" si="106"/>
        <v>6523.8904212914067</v>
      </c>
      <c r="E170" s="27">
        <f t="shared" si="106"/>
        <v>6522.1140739655129</v>
      </c>
      <c r="F170" s="27">
        <f t="shared" si="106"/>
        <v>6507.8206771826854</v>
      </c>
      <c r="G170" s="27">
        <f t="shared" si="106"/>
        <v>6479.8997351269854</v>
      </c>
      <c r="H170" s="27">
        <f t="shared" si="106"/>
        <v>6479.4176830141141</v>
      </c>
      <c r="I170" s="27">
        <f t="shared" si="106"/>
        <v>6479.4176795845615</v>
      </c>
      <c r="J170" s="27">
        <f t="shared" si="106"/>
        <v>6479.4176452890415</v>
      </c>
      <c r="K170" s="27">
        <f t="shared" si="106"/>
        <v>6479.4173023347603</v>
      </c>
      <c r="L170" s="27">
        <f t="shared" si="106"/>
        <v>6479.4138728838534</v>
      </c>
      <c r="M170" s="27">
        <f t="shared" si="106"/>
        <v>6479.3795875629748</v>
      </c>
      <c r="N170" s="27">
        <f t="shared" si="106"/>
        <v>6479.0376506976945</v>
      </c>
      <c r="O170" s="27">
        <f t="shared" si="106"/>
        <v>6475.7074921235726</v>
      </c>
      <c r="P170" s="27">
        <f t="shared" si="106"/>
        <v>6449.341790166789</v>
      </c>
      <c r="Q170" s="27">
        <f t="shared" si="106"/>
        <v>6343.6494883828145</v>
      </c>
      <c r="R170" s="27">
        <f t="shared" si="106"/>
        <v>6185.6582766571273</v>
      </c>
      <c r="S170" s="27">
        <f t="shared" si="106"/>
        <v>6027.4280862828628</v>
      </c>
      <c r="T170" s="27">
        <f t="shared" si="106"/>
        <v>5834.5074876693916</v>
      </c>
      <c r="U170" s="27">
        <f t="shared" si="106"/>
        <v>5626.1361226319186</v>
      </c>
      <c r="V170" s="27">
        <f t="shared" si="106"/>
        <v>5396.7284152361244</v>
      </c>
      <c r="W170" s="27">
        <f t="shared" si="106"/>
        <v>5104.109862449799</v>
      </c>
      <c r="X170" s="27">
        <f t="shared" si="106"/>
        <v>4830.5644294459244</v>
      </c>
      <c r="Y170" s="27">
        <f t="shared" si="106"/>
        <v>4534.371025296241</v>
      </c>
      <c r="Z170" s="27">
        <f t="shared" si="106"/>
        <v>4223.2737682720644</v>
      </c>
      <c r="AA170" s="27">
        <f t="shared" si="106"/>
        <v>3832.1764624947282</v>
      </c>
      <c r="AB170" s="27">
        <f t="shared" si="106"/>
        <v>3238.9312237270537</v>
      </c>
      <c r="AC170" s="27">
        <f t="shared" si="106"/>
        <v>2569.50899884712</v>
      </c>
      <c r="AD170" s="27">
        <f t="shared" si="106"/>
        <v>1876.3351711345256</v>
      </c>
      <c r="AE170" s="27">
        <f t="shared" si="106"/>
        <v>1223.5221164725522</v>
      </c>
      <c r="AF170" s="27">
        <f t="shared" si="106"/>
        <v>718.02493150952057</v>
      </c>
      <c r="AG170" s="27"/>
      <c r="AH170" s="27"/>
    </row>
    <row r="171" spans="1:34" x14ac:dyDescent="0.25">
      <c r="B171" s="3">
        <f t="shared" ref="B171:AF171" si="107">$C18*EXP(-B$168/$A18/EXP(-$C$126))</f>
        <v>6.8473269896033888E-3</v>
      </c>
      <c r="C171" s="3">
        <f t="shared" si="107"/>
        <v>6.8445364521047512E-3</v>
      </c>
      <c r="D171" s="3">
        <f t="shared" si="107"/>
        <v>6.816693549272705E-3</v>
      </c>
      <c r="E171" s="3">
        <f t="shared" si="107"/>
        <v>6.5444185347775206E-3</v>
      </c>
      <c r="F171" s="3">
        <f t="shared" si="107"/>
        <v>4.3535548679041686E-3</v>
      </c>
      <c r="G171" s="3">
        <f t="shared" si="107"/>
        <v>7.3887944521619668E-5</v>
      </c>
      <c r="H171" s="3">
        <f t="shared" si="107"/>
        <v>1.4651065642222445E-22</v>
      </c>
      <c r="I171" s="3">
        <f t="shared" si="107"/>
        <v>1.3766562292269809E-199</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4.130669902208184E-3</v>
      </c>
      <c r="C175" s="3">
        <f t="shared" si="111"/>
        <v>4.1306699022078674E-3</v>
      </c>
      <c r="D175" s="3">
        <f t="shared" si="111"/>
        <v>4.1306699022047016E-3</v>
      </c>
      <c r="E175" s="3">
        <f t="shared" si="111"/>
        <v>4.1306699021730411E-3</v>
      </c>
      <c r="F175" s="3">
        <f t="shared" si="111"/>
        <v>4.1306699018564368E-3</v>
      </c>
      <c r="G175" s="3">
        <f t="shared" si="111"/>
        <v>4.1306698986903886E-3</v>
      </c>
      <c r="H175" s="3">
        <f t="shared" si="111"/>
        <v>4.1306698670299097E-3</v>
      </c>
      <c r="I175" s="3">
        <f t="shared" si="111"/>
        <v>4.130669550425136E-3</v>
      </c>
      <c r="J175" s="3">
        <f t="shared" si="111"/>
        <v>4.1306663843787336E-3</v>
      </c>
      <c r="K175" s="3">
        <f t="shared" si="111"/>
        <v>4.1306347240481767E-3</v>
      </c>
      <c r="L175" s="3">
        <f t="shared" si="111"/>
        <v>4.130318134088983E-3</v>
      </c>
      <c r="M175" s="3">
        <f t="shared" si="111"/>
        <v>4.1271535687565858E-3</v>
      </c>
      <c r="N175" s="3">
        <f t="shared" si="111"/>
        <v>4.0956409637717302E-3</v>
      </c>
      <c r="O175" s="3">
        <f t="shared" si="111"/>
        <v>3.7934500405808883E-3</v>
      </c>
      <c r="P175" s="3">
        <f t="shared" si="111"/>
        <v>1.7626223645173791E-3</v>
      </c>
      <c r="Q175" s="3">
        <f t="shared" si="111"/>
        <v>8.2681500669778381E-7</v>
      </c>
      <c r="R175" s="3">
        <f t="shared" si="111"/>
        <v>4.2648041569235063E-40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2.7997525232425723E-2</v>
      </c>
      <c r="C176" s="3">
        <f t="shared" si="112"/>
        <v>2.7997525232425529E-2</v>
      </c>
      <c r="D176" s="3">
        <f t="shared" si="112"/>
        <v>2.7997525232423593E-2</v>
      </c>
      <c r="E176" s="3">
        <f t="shared" si="112"/>
        <v>2.7997525232404234E-2</v>
      </c>
      <c r="F176" s="3">
        <f t="shared" si="112"/>
        <v>2.7997525232210652E-2</v>
      </c>
      <c r="G176" s="3">
        <f t="shared" si="112"/>
        <v>2.799752523027484E-2</v>
      </c>
      <c r="H176" s="3">
        <f t="shared" si="112"/>
        <v>2.799752521091672E-2</v>
      </c>
      <c r="I176" s="3">
        <f t="shared" si="112"/>
        <v>2.79975250173355E-2</v>
      </c>
      <c r="J176" s="3">
        <f t="shared" si="112"/>
        <v>2.7997523081523371E-2</v>
      </c>
      <c r="K176" s="3">
        <f t="shared" si="112"/>
        <v>2.7997503723409464E-2</v>
      </c>
      <c r="L176" s="3">
        <f t="shared" si="112"/>
        <v>2.7997310143006514E-2</v>
      </c>
      <c r="M176" s="3">
        <f t="shared" si="112"/>
        <v>2.7995374412590493E-2</v>
      </c>
      <c r="N176" s="3">
        <f t="shared" si="112"/>
        <v>2.7976024467892002E-2</v>
      </c>
      <c r="O176" s="3">
        <f t="shared" si="112"/>
        <v>2.7783259087813171E-2</v>
      </c>
      <c r="P176" s="3">
        <f t="shared" si="112"/>
        <v>2.5927168267831084E-2</v>
      </c>
      <c r="Q176" s="3">
        <f t="shared" si="112"/>
        <v>1.2985959982777595E-2</v>
      </c>
      <c r="R176" s="3">
        <f t="shared" si="112"/>
        <v>1.2902200893537639E-5</v>
      </c>
      <c r="S176" s="3">
        <f t="shared" si="112"/>
        <v>1.2093755811153542E-35</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2.1979597631006487E-2</v>
      </c>
      <c r="C177" s="3">
        <f t="shared" si="113"/>
        <v>2.1979597631006476E-2</v>
      </c>
      <c r="D177" s="3">
        <f t="shared" si="113"/>
        <v>2.1979597631006337E-2</v>
      </c>
      <c r="E177" s="3">
        <f t="shared" si="113"/>
        <v>2.1979597631004967E-2</v>
      </c>
      <c r="F177" s="3">
        <f t="shared" si="113"/>
        <v>2.1979597630991259E-2</v>
      </c>
      <c r="G177" s="3">
        <f t="shared" si="113"/>
        <v>2.1979597630854168E-2</v>
      </c>
      <c r="H177" s="3">
        <f t="shared" si="113"/>
        <v>2.1979597629483254E-2</v>
      </c>
      <c r="I177" s="3">
        <f t="shared" si="113"/>
        <v>2.1979597615774123E-2</v>
      </c>
      <c r="J177" s="3">
        <f t="shared" si="113"/>
        <v>2.1979597478682819E-2</v>
      </c>
      <c r="K177" s="3">
        <f t="shared" si="113"/>
        <v>2.1979596107769828E-2</v>
      </c>
      <c r="L177" s="3">
        <f t="shared" si="113"/>
        <v>2.1979582398644618E-2</v>
      </c>
      <c r="M177" s="3">
        <f t="shared" si="113"/>
        <v>2.1979445307862801E-2</v>
      </c>
      <c r="N177" s="3">
        <f t="shared" si="113"/>
        <v>2.1978074447072116E-2</v>
      </c>
      <c r="O177" s="3">
        <f t="shared" si="113"/>
        <v>2.1964370540827362E-2</v>
      </c>
      <c r="P177" s="3">
        <f t="shared" si="113"/>
        <v>2.1827800561362676E-2</v>
      </c>
      <c r="Q177" s="3">
        <f t="shared" si="113"/>
        <v>2.0507944354588952E-2</v>
      </c>
      <c r="R177" s="3">
        <f t="shared" si="113"/>
        <v>1.0991163388807845E-2</v>
      </c>
      <c r="S177" s="3">
        <f t="shared" si="113"/>
        <v>2.1491117530595168E-5</v>
      </c>
      <c r="T177" s="3">
        <f t="shared" si="113"/>
        <v>1.7555465616566428E-32</v>
      </c>
      <c r="U177" s="3">
        <f t="shared" si="113"/>
        <v>2.3224473959804241E-303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2.8250918359936459E-2</v>
      </c>
      <c r="C178" s="3">
        <f t="shared" si="114"/>
        <v>2.8250918359936456E-2</v>
      </c>
      <c r="D178" s="3">
        <f t="shared" si="114"/>
        <v>2.8250918359936442E-2</v>
      </c>
      <c r="E178" s="3">
        <f t="shared" si="114"/>
        <v>2.8250918359936282E-2</v>
      </c>
      <c r="F178" s="3">
        <f t="shared" si="114"/>
        <v>2.8250918359934693E-2</v>
      </c>
      <c r="G178" s="3">
        <f t="shared" si="114"/>
        <v>2.8250918359918796E-2</v>
      </c>
      <c r="H178" s="3">
        <f t="shared" si="114"/>
        <v>2.8250918359759843E-2</v>
      </c>
      <c r="I178" s="3">
        <f t="shared" si="114"/>
        <v>2.8250918358170313E-2</v>
      </c>
      <c r="J178" s="3">
        <f t="shared" si="114"/>
        <v>2.8250918342274993E-2</v>
      </c>
      <c r="K178" s="3">
        <f t="shared" si="114"/>
        <v>2.8250918183321767E-2</v>
      </c>
      <c r="L178" s="3">
        <f t="shared" si="114"/>
        <v>2.8250916593789619E-2</v>
      </c>
      <c r="M178" s="3">
        <f t="shared" si="114"/>
        <v>2.8250900698473018E-2</v>
      </c>
      <c r="N178" s="3">
        <f t="shared" si="114"/>
        <v>2.8250741745798925E-2</v>
      </c>
      <c r="O178" s="3">
        <f t="shared" si="114"/>
        <v>2.8249152268245922E-2</v>
      </c>
      <c r="P178" s="3">
        <f t="shared" si="114"/>
        <v>2.823326241048723E-2</v>
      </c>
      <c r="Q178" s="3">
        <f t="shared" si="114"/>
        <v>2.8074854587791354E-2</v>
      </c>
      <c r="R178" s="3">
        <f t="shared" si="114"/>
        <v>2.6538845391430164E-2</v>
      </c>
      <c r="S178" s="3">
        <f t="shared" si="114"/>
        <v>1.5119140841391696E-2</v>
      </c>
      <c r="T178" s="3">
        <f t="shared" si="114"/>
        <v>5.444750657139402E-5</v>
      </c>
      <c r="U178" s="3">
        <f t="shared" si="114"/>
        <v>1.9975001883464913E-29</v>
      </c>
      <c r="V178" s="3">
        <f t="shared" si="114"/>
        <v>8.8221646405431904E-274</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3.4437903010475883E-2</v>
      </c>
      <c r="C179" s="3">
        <f t="shared" si="115"/>
        <v>3.4437903010475883E-2</v>
      </c>
      <c r="D179" s="3">
        <f t="shared" si="115"/>
        <v>3.4437903010475876E-2</v>
      </c>
      <c r="E179" s="3">
        <f t="shared" si="115"/>
        <v>3.4437903010475862E-2</v>
      </c>
      <c r="F179" s="3">
        <f t="shared" si="115"/>
        <v>3.4437903010475689E-2</v>
      </c>
      <c r="G179" s="3">
        <f t="shared" si="115"/>
        <v>3.443790301047394E-2</v>
      </c>
      <c r="H179" s="3">
        <f t="shared" si="115"/>
        <v>3.4437903010456461E-2</v>
      </c>
      <c r="I179" s="3">
        <f t="shared" si="115"/>
        <v>3.443790301028167E-2</v>
      </c>
      <c r="J179" s="3">
        <f t="shared" si="115"/>
        <v>3.4437903008533756E-2</v>
      </c>
      <c r="K179" s="3">
        <f t="shared" si="115"/>
        <v>3.4437902991054613E-2</v>
      </c>
      <c r="L179" s="3">
        <f t="shared" si="115"/>
        <v>3.4437902816263223E-2</v>
      </c>
      <c r="M179" s="3">
        <f t="shared" si="115"/>
        <v>3.4437901068349312E-2</v>
      </c>
      <c r="N179" s="3">
        <f t="shared" si="115"/>
        <v>3.4437883589215124E-2</v>
      </c>
      <c r="O179" s="3">
        <f t="shared" si="115"/>
        <v>3.4437708798361173E-2</v>
      </c>
      <c r="P179" s="3">
        <f t="shared" si="115"/>
        <v>3.4435960938614583E-2</v>
      </c>
      <c r="Q179" s="3">
        <f t="shared" si="115"/>
        <v>3.4418487219527005E-2</v>
      </c>
      <c r="R179" s="3">
        <f t="shared" si="115"/>
        <v>3.4244236951587619E-2</v>
      </c>
      <c r="S179" s="3">
        <f t="shared" si="115"/>
        <v>3.2549524428497373E-2</v>
      </c>
      <c r="T179" s="3">
        <f t="shared" si="115"/>
        <v>1.9593688028105492E-2</v>
      </c>
      <c r="U179" s="3">
        <f t="shared" si="115"/>
        <v>1.2241414453046442E-4</v>
      </c>
      <c r="V179" s="3">
        <f t="shared" si="115"/>
        <v>1.1091383763561908E-26</v>
      </c>
      <c r="W179" s="3">
        <f t="shared" si="115"/>
        <v>4.135490570998793E-247</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2.9401070007452231E-2</v>
      </c>
      <c r="C180" s="3">
        <f t="shared" si="116"/>
        <v>2.9401070007452231E-2</v>
      </c>
      <c r="D180" s="3">
        <f t="shared" si="116"/>
        <v>2.9401070007452231E-2</v>
      </c>
      <c r="E180" s="3">
        <f t="shared" si="116"/>
        <v>2.9401070007452231E-2</v>
      </c>
      <c r="F180" s="3">
        <f t="shared" si="116"/>
        <v>2.9401070007452214E-2</v>
      </c>
      <c r="G180" s="3">
        <f t="shared" si="116"/>
        <v>2.9401070007452082E-2</v>
      </c>
      <c r="H180" s="3">
        <f t="shared" si="116"/>
        <v>2.9401070007450736E-2</v>
      </c>
      <c r="I180" s="3">
        <f t="shared" si="116"/>
        <v>2.9401070007437274E-2</v>
      </c>
      <c r="J180" s="3">
        <f t="shared" si="116"/>
        <v>2.940107000730266E-2</v>
      </c>
      <c r="K180" s="3">
        <f t="shared" si="116"/>
        <v>2.9401070005956511E-2</v>
      </c>
      <c r="L180" s="3">
        <f t="shared" si="116"/>
        <v>2.9401069992495022E-2</v>
      </c>
      <c r="M180" s="3">
        <f t="shared" si="116"/>
        <v>2.9401069857880137E-2</v>
      </c>
      <c r="N180" s="3">
        <f t="shared" si="116"/>
        <v>2.940106851173134E-2</v>
      </c>
      <c r="O180" s="3">
        <f t="shared" si="116"/>
        <v>2.9401055050246754E-2</v>
      </c>
      <c r="P180" s="3">
        <f t="shared" si="116"/>
        <v>2.9400920435739886E-2</v>
      </c>
      <c r="Q180" s="3">
        <f t="shared" si="116"/>
        <v>2.9399574324569459E-2</v>
      </c>
      <c r="R180" s="3">
        <f t="shared" si="116"/>
        <v>2.9386116602118029E-2</v>
      </c>
      <c r="S180" s="3">
        <f t="shared" si="116"/>
        <v>2.9251877729426414E-2</v>
      </c>
      <c r="T180" s="3">
        <f t="shared" si="116"/>
        <v>2.7942757944881338E-2</v>
      </c>
      <c r="U180" s="3">
        <f t="shared" si="116"/>
        <v>1.7677647150839897E-2</v>
      </c>
      <c r="V180" s="3">
        <f t="shared" si="116"/>
        <v>1.8154169449147156E-4</v>
      </c>
      <c r="W180" s="3">
        <f t="shared" si="116"/>
        <v>2.3686212551904492E-24</v>
      </c>
      <c r="X180" s="3">
        <f t="shared" si="116"/>
        <v>3.3860081257114505E-223</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4.9041908611543852E-2</v>
      </c>
      <c r="C181" s="3">
        <f t="shared" si="117"/>
        <v>4.9041908611543852E-2</v>
      </c>
      <c r="D181" s="3">
        <f t="shared" si="117"/>
        <v>4.9041908611543852E-2</v>
      </c>
      <c r="E181" s="3">
        <f t="shared" si="117"/>
        <v>4.9041908611543852E-2</v>
      </c>
      <c r="F181" s="3">
        <f t="shared" si="117"/>
        <v>4.9041908611543852E-2</v>
      </c>
      <c r="G181" s="3">
        <f t="shared" si="117"/>
        <v>4.9041908611543832E-2</v>
      </c>
      <c r="H181" s="3">
        <f t="shared" si="117"/>
        <v>4.904190861154363E-2</v>
      </c>
      <c r="I181" s="3">
        <f t="shared" si="117"/>
        <v>4.9041908611541604E-2</v>
      </c>
      <c r="J181" s="3">
        <f t="shared" si="117"/>
        <v>4.9041908611521343E-2</v>
      </c>
      <c r="K181" s="3">
        <f t="shared" si="117"/>
        <v>4.9041908611318789E-2</v>
      </c>
      <c r="L181" s="3">
        <f t="shared" si="117"/>
        <v>4.9041908609293236E-2</v>
      </c>
      <c r="M181" s="3">
        <f t="shared" si="117"/>
        <v>4.9041908589037689E-2</v>
      </c>
      <c r="N181" s="3">
        <f t="shared" si="117"/>
        <v>4.9041908386482258E-2</v>
      </c>
      <c r="O181" s="3">
        <f t="shared" si="117"/>
        <v>4.9041906360927971E-2</v>
      </c>
      <c r="P181" s="3">
        <f t="shared" si="117"/>
        <v>4.9041886105389704E-2</v>
      </c>
      <c r="Q181" s="3">
        <f t="shared" si="117"/>
        <v>4.9041683550467147E-2</v>
      </c>
      <c r="R181" s="3">
        <f t="shared" si="117"/>
        <v>4.9039658047254055E-2</v>
      </c>
      <c r="S181" s="3">
        <f t="shared" si="117"/>
        <v>4.9019407615669149E-2</v>
      </c>
      <c r="T181" s="3">
        <f t="shared" si="117"/>
        <v>4.8817362652148297E-2</v>
      </c>
      <c r="U181" s="3">
        <f t="shared" si="117"/>
        <v>4.6842153958512912E-2</v>
      </c>
      <c r="V181" s="3">
        <f t="shared" si="117"/>
        <v>3.0992905951692188E-2</v>
      </c>
      <c r="W181" s="3">
        <f t="shared" si="117"/>
        <v>4.9832963019086904E-4</v>
      </c>
      <c r="X181" s="3">
        <f t="shared" si="117"/>
        <v>5.7552054711569913E-22</v>
      </c>
      <c r="Y181" s="3">
        <f t="shared" si="117"/>
        <v>2.4294169658085765E-201</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4.178985908034704E-2</v>
      </c>
      <c r="C182" s="3">
        <f t="shared" si="118"/>
        <v>4.178985908034704E-2</v>
      </c>
      <c r="D182" s="3">
        <f t="shared" si="118"/>
        <v>4.178985908034704E-2</v>
      </c>
      <c r="E182" s="3">
        <f t="shared" si="118"/>
        <v>4.178985908034704E-2</v>
      </c>
      <c r="F182" s="3">
        <f t="shared" si="118"/>
        <v>4.178985908034704E-2</v>
      </c>
      <c r="G182" s="3">
        <f t="shared" si="118"/>
        <v>4.178985908034704E-2</v>
      </c>
      <c r="H182" s="3">
        <f t="shared" si="118"/>
        <v>4.1789859080347019E-2</v>
      </c>
      <c r="I182" s="3">
        <f t="shared" si="118"/>
        <v>4.1789859080346867E-2</v>
      </c>
      <c r="J182" s="3">
        <f t="shared" si="118"/>
        <v>4.1789859080345312E-2</v>
      </c>
      <c r="K182" s="3">
        <f t="shared" si="118"/>
        <v>4.1789859080329742E-2</v>
      </c>
      <c r="L182" s="3">
        <f t="shared" si="118"/>
        <v>4.178985908017404E-2</v>
      </c>
      <c r="M182" s="3">
        <f t="shared" si="118"/>
        <v>4.1789859078617021E-2</v>
      </c>
      <c r="N182" s="3">
        <f t="shared" si="118"/>
        <v>4.1789859063046823E-2</v>
      </c>
      <c r="O182" s="3">
        <f t="shared" si="118"/>
        <v>4.1789858907344886E-2</v>
      </c>
      <c r="P182" s="3">
        <f t="shared" si="118"/>
        <v>4.1789857350325491E-2</v>
      </c>
      <c r="Q182" s="3">
        <f t="shared" si="118"/>
        <v>4.1789841780134736E-2</v>
      </c>
      <c r="R182" s="3">
        <f t="shared" si="118"/>
        <v>4.1789686078546273E-2</v>
      </c>
      <c r="S182" s="3">
        <f t="shared" si="118"/>
        <v>4.1788129094567722E-2</v>
      </c>
      <c r="T182" s="3">
        <f t="shared" si="118"/>
        <v>4.1772562444948577E-2</v>
      </c>
      <c r="U182" s="3">
        <f t="shared" si="118"/>
        <v>4.161721452604504E-2</v>
      </c>
      <c r="V182" s="3">
        <f t="shared" si="118"/>
        <v>4.009515823123698E-2</v>
      </c>
      <c r="W182" s="3">
        <f t="shared" si="118"/>
        <v>2.7623656006870761E-2</v>
      </c>
      <c r="X182" s="3">
        <f t="shared" si="118"/>
        <v>6.6553884974057339E-4</v>
      </c>
      <c r="Y182" s="3">
        <f t="shared" si="118"/>
        <v>4.3862760232711854E-20</v>
      </c>
      <c r="Z182" s="3">
        <f t="shared" si="118"/>
        <v>6.7814321136584761E-182</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4.6925793493946939E-2</v>
      </c>
      <c r="C183" s="3">
        <f t="shared" si="119"/>
        <v>4.6925793493946939E-2</v>
      </c>
      <c r="D183" s="3">
        <f t="shared" si="119"/>
        <v>4.6925793493946939E-2</v>
      </c>
      <c r="E183" s="3">
        <f t="shared" si="119"/>
        <v>4.6925793493946939E-2</v>
      </c>
      <c r="F183" s="3">
        <f t="shared" si="119"/>
        <v>4.6925793493946939E-2</v>
      </c>
      <c r="G183" s="3">
        <f t="shared" si="119"/>
        <v>4.6925793493946939E-2</v>
      </c>
      <c r="H183" s="3">
        <f t="shared" si="119"/>
        <v>4.6925793493946939E-2</v>
      </c>
      <c r="I183" s="3">
        <f t="shared" si="119"/>
        <v>4.6925793493946925E-2</v>
      </c>
      <c r="J183" s="3">
        <f t="shared" si="119"/>
        <v>4.6925793493946759E-2</v>
      </c>
      <c r="K183" s="3">
        <f t="shared" si="119"/>
        <v>4.6925793493945191E-2</v>
      </c>
      <c r="L183" s="3">
        <f t="shared" si="119"/>
        <v>4.6925793493929412E-2</v>
      </c>
      <c r="M183" s="3">
        <f t="shared" si="119"/>
        <v>4.6925793493771698E-2</v>
      </c>
      <c r="N183" s="3">
        <f t="shared" si="119"/>
        <v>4.6925793492194515E-2</v>
      </c>
      <c r="O183" s="3">
        <f t="shared" si="119"/>
        <v>4.6925793476422714E-2</v>
      </c>
      <c r="P183" s="3">
        <f t="shared" si="119"/>
        <v>4.6925793318704688E-2</v>
      </c>
      <c r="Q183" s="3">
        <f t="shared" si="119"/>
        <v>4.6925791741524427E-2</v>
      </c>
      <c r="R183" s="3">
        <f t="shared" si="119"/>
        <v>4.6925775969724755E-2</v>
      </c>
      <c r="S183" s="3">
        <f t="shared" si="119"/>
        <v>4.692561825201956E-2</v>
      </c>
      <c r="T183" s="3">
        <f t="shared" si="119"/>
        <v>4.6924041104122308E-2</v>
      </c>
      <c r="U183" s="3">
        <f t="shared" si="119"/>
        <v>4.6908272540251643E-2</v>
      </c>
      <c r="V183" s="3">
        <f t="shared" si="119"/>
        <v>4.6750878049546168E-2</v>
      </c>
      <c r="W183" s="3">
        <f t="shared" si="119"/>
        <v>4.520568911066921E-2</v>
      </c>
      <c r="X183" s="3">
        <f t="shared" si="119"/>
        <v>3.230176951619769E-2</v>
      </c>
      <c r="Y183" s="3">
        <f t="shared" si="119"/>
        <v>1.1208784358822893E-3</v>
      </c>
      <c r="Z183" s="3">
        <f t="shared" si="119"/>
        <v>2.83713835262958E-18</v>
      </c>
      <c r="AA183" s="3">
        <f t="shared" si="119"/>
        <v>3.0626722283991175E-164</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4.7062467056075051E-2</v>
      </c>
      <c r="C184" s="3">
        <f t="shared" si="120"/>
        <v>4.7062467056075051E-2</v>
      </c>
      <c r="D184" s="3">
        <f t="shared" si="120"/>
        <v>4.7062467056075051E-2</v>
      </c>
      <c r="E184" s="3">
        <f t="shared" si="120"/>
        <v>4.7062467056075051E-2</v>
      </c>
      <c r="F184" s="3">
        <f t="shared" si="120"/>
        <v>4.7062467056075051E-2</v>
      </c>
      <c r="G184" s="3">
        <f t="shared" si="120"/>
        <v>4.7062467056075051E-2</v>
      </c>
      <c r="H184" s="3">
        <f t="shared" si="120"/>
        <v>4.7062467056075051E-2</v>
      </c>
      <c r="I184" s="3">
        <f t="shared" si="120"/>
        <v>4.7062467056075051E-2</v>
      </c>
      <c r="J184" s="3">
        <f t="shared" si="120"/>
        <v>4.7062467056075037E-2</v>
      </c>
      <c r="K184" s="3">
        <f t="shared" si="120"/>
        <v>4.7062467056074891E-2</v>
      </c>
      <c r="L184" s="3">
        <f t="shared" si="120"/>
        <v>4.7062467056073469E-2</v>
      </c>
      <c r="M184" s="3">
        <f t="shared" si="120"/>
        <v>4.7062467056059196E-2</v>
      </c>
      <c r="N184" s="3">
        <f t="shared" si="120"/>
        <v>4.7062467055916511E-2</v>
      </c>
      <c r="O184" s="3">
        <f t="shared" si="120"/>
        <v>4.7062467054489611E-2</v>
      </c>
      <c r="P184" s="3">
        <f t="shared" si="120"/>
        <v>4.7062467040220698E-2</v>
      </c>
      <c r="Q184" s="3">
        <f t="shared" si="120"/>
        <v>4.7062466897531532E-2</v>
      </c>
      <c r="R184" s="3">
        <f t="shared" si="120"/>
        <v>4.7062465470639907E-2</v>
      </c>
      <c r="S184" s="3">
        <f t="shared" si="120"/>
        <v>4.7062451201726044E-2</v>
      </c>
      <c r="T184" s="3">
        <f t="shared" si="120"/>
        <v>4.7062308512825328E-2</v>
      </c>
      <c r="U184" s="3">
        <f t="shared" si="120"/>
        <v>4.7060881647611991E-2</v>
      </c>
      <c r="V184" s="3">
        <f t="shared" si="120"/>
        <v>4.7046615374595951E-2</v>
      </c>
      <c r="W184" s="3">
        <f t="shared" si="120"/>
        <v>4.6904190289494815E-2</v>
      </c>
      <c r="X184" s="3">
        <f t="shared" si="120"/>
        <v>4.5503439500817172E-2</v>
      </c>
      <c r="Y184" s="3">
        <f t="shared" si="120"/>
        <v>3.3602380586190535E-2</v>
      </c>
      <c r="Z184" s="3">
        <f t="shared" si="120"/>
        <v>1.6204224751632703E-3</v>
      </c>
      <c r="AA184" s="3">
        <f t="shared" si="120"/>
        <v>1.1020730341828894E-16</v>
      </c>
      <c r="AB184" s="3">
        <f t="shared" si="120"/>
        <v>2.3336276132142189E-148</v>
      </c>
      <c r="AC184" s="3">
        <f t="shared" si="120"/>
        <v>0</v>
      </c>
      <c r="AD184" s="3">
        <f t="shared" si="120"/>
        <v>0</v>
      </c>
      <c r="AE184" s="3">
        <f t="shared" si="120"/>
        <v>0</v>
      </c>
      <c r="AF184" s="3">
        <f t="shared" si="120"/>
        <v>0</v>
      </c>
      <c r="AG184" s="3"/>
      <c r="AH184" s="3"/>
    </row>
    <row r="185" spans="2:34" x14ac:dyDescent="0.25">
      <c r="B185" s="3">
        <f t="shared" ref="B185:AF185" si="121">$C32*EXP(-B$168/$A32/EXP(-$C$126))</f>
        <v>5.1874996245126884E-2</v>
      </c>
      <c r="C185" s="3">
        <f t="shared" si="121"/>
        <v>5.1874996245126884E-2</v>
      </c>
      <c r="D185" s="3">
        <f t="shared" si="121"/>
        <v>5.1874996245126884E-2</v>
      </c>
      <c r="E185" s="3">
        <f t="shared" si="121"/>
        <v>5.1874996245126884E-2</v>
      </c>
      <c r="F185" s="3">
        <f t="shared" si="121"/>
        <v>5.1874996245126884E-2</v>
      </c>
      <c r="G185" s="3">
        <f t="shared" si="121"/>
        <v>5.1874996245126884E-2</v>
      </c>
      <c r="H185" s="3">
        <f t="shared" si="121"/>
        <v>5.1874996245126884E-2</v>
      </c>
      <c r="I185" s="3">
        <f t="shared" si="121"/>
        <v>5.1874996245126884E-2</v>
      </c>
      <c r="J185" s="3">
        <f t="shared" si="121"/>
        <v>5.1874996245126884E-2</v>
      </c>
      <c r="K185" s="3">
        <f t="shared" si="121"/>
        <v>5.187499624512687E-2</v>
      </c>
      <c r="L185" s="3">
        <f t="shared" si="121"/>
        <v>5.1874996245126731E-2</v>
      </c>
      <c r="M185" s="3">
        <f t="shared" si="121"/>
        <v>5.1874996245125309E-2</v>
      </c>
      <c r="N185" s="3">
        <f t="shared" si="121"/>
        <v>5.1874996245111119E-2</v>
      </c>
      <c r="O185" s="3">
        <f t="shared" si="121"/>
        <v>5.1874996244969239E-2</v>
      </c>
      <c r="P185" s="3">
        <f t="shared" si="121"/>
        <v>5.1874996243550443E-2</v>
      </c>
      <c r="Q185" s="3">
        <f t="shared" si="121"/>
        <v>5.1874996229362445E-2</v>
      </c>
      <c r="R185" s="3">
        <f t="shared" si="121"/>
        <v>5.1874996087482514E-2</v>
      </c>
      <c r="S185" s="3">
        <f t="shared" si="121"/>
        <v>5.18749946686832E-2</v>
      </c>
      <c r="T185" s="3">
        <f t="shared" si="121"/>
        <v>5.1874980480692216E-2</v>
      </c>
      <c r="U185" s="3">
        <f t="shared" si="121"/>
        <v>5.1874838600995767E-2</v>
      </c>
      <c r="V185" s="3">
        <f t="shared" si="121"/>
        <v>5.1873419825373662E-2</v>
      </c>
      <c r="W185" s="3">
        <f t="shared" si="121"/>
        <v>5.1859234203168875E-2</v>
      </c>
      <c r="X185" s="3">
        <f t="shared" si="121"/>
        <v>5.1717591166954686E-2</v>
      </c>
      <c r="Y185" s="3">
        <f t="shared" si="121"/>
        <v>5.0322265221210638E-2</v>
      </c>
      <c r="Z185" s="3">
        <f t="shared" si="121"/>
        <v>3.8280633726543799E-2</v>
      </c>
      <c r="AA185" s="3">
        <f t="shared" si="121"/>
        <v>2.4840966175430973E-3</v>
      </c>
      <c r="AB185" s="3">
        <f t="shared" si="121"/>
        <v>3.2889867975630485E-15</v>
      </c>
      <c r="AC185" s="3">
        <f t="shared" si="121"/>
        <v>5.4450089398244983E-134</v>
      </c>
      <c r="AD185" s="3">
        <f t="shared" si="121"/>
        <v>0</v>
      </c>
      <c r="AE185" s="3">
        <f t="shared" si="121"/>
        <v>0</v>
      </c>
      <c r="AF185" s="3">
        <f t="shared" si="121"/>
        <v>0</v>
      </c>
      <c r="AG185" s="3"/>
      <c r="AH185" s="3"/>
    </row>
    <row r="186" spans="2:34" x14ac:dyDescent="0.25">
      <c r="B186" s="3">
        <f t="shared" ref="B186:AF186" si="122">$C33*EXP(-B$168/$A33/EXP(-$C$126))</f>
        <v>9.3719085133360594E-2</v>
      </c>
      <c r="C186" s="3">
        <f t="shared" si="122"/>
        <v>9.3719085133360594E-2</v>
      </c>
      <c r="D186" s="3">
        <f t="shared" si="122"/>
        <v>9.3719085133360594E-2</v>
      </c>
      <c r="E186" s="3">
        <f t="shared" si="122"/>
        <v>9.3719085133360594E-2</v>
      </c>
      <c r="F186" s="3">
        <f t="shared" si="122"/>
        <v>9.3719085133360594E-2</v>
      </c>
      <c r="G186" s="3">
        <f t="shared" si="122"/>
        <v>9.3719085133360594E-2</v>
      </c>
      <c r="H186" s="3">
        <f t="shared" si="122"/>
        <v>9.3719085133360594E-2</v>
      </c>
      <c r="I186" s="3">
        <f t="shared" si="122"/>
        <v>9.3719085133360594E-2</v>
      </c>
      <c r="J186" s="3">
        <f t="shared" si="122"/>
        <v>9.3719085133360594E-2</v>
      </c>
      <c r="K186" s="3">
        <f t="shared" si="122"/>
        <v>9.3719085133360594E-2</v>
      </c>
      <c r="L186" s="3">
        <f t="shared" si="122"/>
        <v>9.371908513336058E-2</v>
      </c>
      <c r="M186" s="3">
        <f t="shared" si="122"/>
        <v>9.371908513336033E-2</v>
      </c>
      <c r="N186" s="3">
        <f t="shared" si="122"/>
        <v>9.3719085133358027E-2</v>
      </c>
      <c r="O186" s="3">
        <f t="shared" si="122"/>
        <v>9.3719085133334906E-2</v>
      </c>
      <c r="P186" s="3">
        <f t="shared" si="122"/>
        <v>9.3719085133103675E-2</v>
      </c>
      <c r="Q186" s="3">
        <f t="shared" si="122"/>
        <v>9.3719085130791413E-2</v>
      </c>
      <c r="R186" s="3">
        <f t="shared" si="122"/>
        <v>9.3719085107668756E-2</v>
      </c>
      <c r="S186" s="3">
        <f t="shared" si="122"/>
        <v>9.3719084876442316E-2</v>
      </c>
      <c r="T186" s="3">
        <f t="shared" si="122"/>
        <v>9.3719082564177755E-2</v>
      </c>
      <c r="U186" s="3">
        <f t="shared" si="122"/>
        <v>9.3719059441535274E-2</v>
      </c>
      <c r="V186" s="3">
        <f t="shared" si="122"/>
        <v>9.3718828215424294E-2</v>
      </c>
      <c r="W186" s="3">
        <f t="shared" si="122"/>
        <v>9.3716515985691098E-2</v>
      </c>
      <c r="X186" s="3">
        <f t="shared" si="122"/>
        <v>9.3693396825728623E-2</v>
      </c>
      <c r="Y186" s="3">
        <f t="shared" si="122"/>
        <v>9.3462518676831516E-2</v>
      </c>
      <c r="Z186" s="3">
        <f t="shared" si="122"/>
        <v>9.1184797997950845E-2</v>
      </c>
      <c r="AA186" s="3">
        <f t="shared" si="122"/>
        <v>7.1247895270969627E-2</v>
      </c>
      <c r="AB186" s="3">
        <f t="shared" si="122"/>
        <v>6.0432147851072846E-3</v>
      </c>
      <c r="AC186" s="3">
        <f t="shared" si="122"/>
        <v>1.1647371722506592E-13</v>
      </c>
      <c r="AD186" s="3">
        <f t="shared" si="122"/>
        <v>8.2380988099127252E-121</v>
      </c>
      <c r="AE186" s="3">
        <f t="shared" si="122"/>
        <v>0</v>
      </c>
      <c r="AF186" s="3">
        <f t="shared" si="122"/>
        <v>0</v>
      </c>
      <c r="AG186" s="3"/>
      <c r="AH186" s="3"/>
    </row>
    <row r="187" spans="2:34" x14ac:dyDescent="0.25">
      <c r="B187" s="3">
        <f t="shared" ref="B187:AF187" si="123">$C34*EXP(-B$168/$A34/EXP(-$C$126))</f>
        <v>0.10682658591512105</v>
      </c>
      <c r="C187" s="3">
        <f t="shared" si="123"/>
        <v>0.10682658591512105</v>
      </c>
      <c r="D187" s="3">
        <f t="shared" si="123"/>
        <v>0.10682658591512105</v>
      </c>
      <c r="E187" s="3">
        <f t="shared" si="123"/>
        <v>0.10682658591512105</v>
      </c>
      <c r="F187" s="3">
        <f t="shared" si="123"/>
        <v>0.10682658591512105</v>
      </c>
      <c r="G187" s="3">
        <f t="shared" si="123"/>
        <v>0.10682658591512105</v>
      </c>
      <c r="H187" s="3">
        <f t="shared" si="123"/>
        <v>0.10682658591512105</v>
      </c>
      <c r="I187" s="3">
        <f t="shared" si="123"/>
        <v>0.10682658591512105</v>
      </c>
      <c r="J187" s="3">
        <f t="shared" si="123"/>
        <v>0.10682658591512105</v>
      </c>
      <c r="K187" s="3">
        <f t="shared" si="123"/>
        <v>0.10682658591512105</v>
      </c>
      <c r="L187" s="3">
        <f t="shared" si="123"/>
        <v>0.10682658591512105</v>
      </c>
      <c r="M187" s="3">
        <f t="shared" si="123"/>
        <v>0.10682658591512102</v>
      </c>
      <c r="N187" s="3">
        <f t="shared" si="123"/>
        <v>0.10682658591512079</v>
      </c>
      <c r="O187" s="3">
        <f t="shared" si="123"/>
        <v>0.1068265859151184</v>
      </c>
      <c r="P187" s="3">
        <f t="shared" si="123"/>
        <v>0.10682658591509464</v>
      </c>
      <c r="Q187" s="3">
        <f t="shared" si="123"/>
        <v>0.10682658591485687</v>
      </c>
      <c r="R187" s="3">
        <f t="shared" si="123"/>
        <v>0.10682658591247929</v>
      </c>
      <c r="S187" s="3">
        <f t="shared" si="123"/>
        <v>0.10682658588870347</v>
      </c>
      <c r="T187" s="3">
        <f t="shared" si="123"/>
        <v>0.10682658565094531</v>
      </c>
      <c r="U187" s="3">
        <f t="shared" si="123"/>
        <v>0.10682658327336376</v>
      </c>
      <c r="V187" s="3">
        <f t="shared" si="123"/>
        <v>0.10682655949755111</v>
      </c>
      <c r="W187" s="3">
        <f t="shared" si="123"/>
        <v>0.10682632173971564</v>
      </c>
      <c r="X187" s="3">
        <f t="shared" si="123"/>
        <v>0.10682394419046475</v>
      </c>
      <c r="Y187" s="3">
        <f t="shared" si="123"/>
        <v>0.10680017160809971</v>
      </c>
      <c r="Z187" s="3">
        <f t="shared" si="123"/>
        <v>0.10656273655933311</v>
      </c>
      <c r="AA187" s="3">
        <f t="shared" si="123"/>
        <v>0.10421722552896276</v>
      </c>
      <c r="AB187" s="3">
        <f t="shared" si="123"/>
        <v>8.342206413203021E-2</v>
      </c>
      <c r="AC187" s="3">
        <f t="shared" si="123"/>
        <v>9.0093855883150512E-3</v>
      </c>
      <c r="AD187" s="3">
        <f t="shared" si="123"/>
        <v>1.944632789167773E-12</v>
      </c>
      <c r="AE187" s="3">
        <f t="shared" si="123"/>
        <v>4.2683684614992921E-109</v>
      </c>
      <c r="AF187" s="3">
        <f t="shared" si="123"/>
        <v>0</v>
      </c>
      <c r="AG187" s="3"/>
      <c r="AH187" s="3"/>
    </row>
    <row r="188" spans="2:34" x14ac:dyDescent="0.25">
      <c r="B188" s="3">
        <f t="shared" ref="B188:AF188" si="124">$C35*EXP(-B$168/$A35/EXP(-$C$126))</f>
        <v>0.11271230139024535</v>
      </c>
      <c r="C188" s="3">
        <f t="shared" si="124"/>
        <v>0.11271230139024535</v>
      </c>
      <c r="D188" s="3">
        <f t="shared" si="124"/>
        <v>0.11271230139024535</v>
      </c>
      <c r="E188" s="3">
        <f t="shared" si="124"/>
        <v>0.11271230139024535</v>
      </c>
      <c r="F188" s="3">
        <f t="shared" si="124"/>
        <v>0.11271230139024535</v>
      </c>
      <c r="G188" s="3">
        <f t="shared" si="124"/>
        <v>0.11271230139024535</v>
      </c>
      <c r="H188" s="3">
        <f t="shared" si="124"/>
        <v>0.11271230139024535</v>
      </c>
      <c r="I188" s="3">
        <f t="shared" si="124"/>
        <v>0.11271230139024535</v>
      </c>
      <c r="J188" s="3">
        <f t="shared" si="124"/>
        <v>0.11271230139024535</v>
      </c>
      <c r="K188" s="3">
        <f t="shared" si="124"/>
        <v>0.11271230139024535</v>
      </c>
      <c r="L188" s="3">
        <f t="shared" si="124"/>
        <v>0.11271230139024535</v>
      </c>
      <c r="M188" s="3">
        <f t="shared" si="124"/>
        <v>0.11271230139024535</v>
      </c>
      <c r="N188" s="3">
        <f t="shared" si="124"/>
        <v>0.11271230139024532</v>
      </c>
      <c r="O188" s="3">
        <f t="shared" si="124"/>
        <v>0.1127123013902451</v>
      </c>
      <c r="P188" s="3">
        <f t="shared" si="124"/>
        <v>0.11271230139024284</v>
      </c>
      <c r="Q188" s="3">
        <f t="shared" si="124"/>
        <v>0.1127123013902202</v>
      </c>
      <c r="R188" s="3">
        <f t="shared" si="124"/>
        <v>0.11271230138999391</v>
      </c>
      <c r="S188" s="3">
        <f t="shared" si="124"/>
        <v>0.11271230138773097</v>
      </c>
      <c r="T188" s="3">
        <f t="shared" si="124"/>
        <v>0.11271230136510152</v>
      </c>
      <c r="U188" s="3">
        <f t="shared" si="124"/>
        <v>0.11271230113880702</v>
      </c>
      <c r="V188" s="3">
        <f t="shared" si="124"/>
        <v>0.11271229887586211</v>
      </c>
      <c r="W188" s="3">
        <f t="shared" si="124"/>
        <v>0.11271227624641543</v>
      </c>
      <c r="X188" s="3">
        <f t="shared" si="124"/>
        <v>0.11271204995219844</v>
      </c>
      <c r="Y188" s="3">
        <f t="shared" si="124"/>
        <v>0.11270978703501691</v>
      </c>
      <c r="Z188" s="3">
        <f t="shared" si="124"/>
        <v>0.11268716036184057</v>
      </c>
      <c r="AA188" s="3">
        <f t="shared" si="124"/>
        <v>0.11246114330845731</v>
      </c>
      <c r="AB188" s="3">
        <f t="shared" si="124"/>
        <v>0.11022575612953976</v>
      </c>
      <c r="AC188" s="3">
        <f t="shared" si="124"/>
        <v>9.0175593673860577E-2</v>
      </c>
      <c r="AD188" s="3">
        <f t="shared" si="124"/>
        <v>1.2110114382726005E-2</v>
      </c>
      <c r="AE188" s="3">
        <f t="shared" si="124"/>
        <v>2.3106842012126595E-11</v>
      </c>
      <c r="AF188" s="3">
        <f t="shared" si="124"/>
        <v>1.4779648071385052E-98</v>
      </c>
      <c r="AG188" s="3"/>
      <c r="AH188" s="3"/>
    </row>
    <row r="189" spans="2:34" x14ac:dyDescent="0.25">
      <c r="B189" s="3">
        <f t="shared" ref="B189:AF189" si="125">$C36*EXP(-B$168/$A36/EXP(-$C$126))</f>
        <v>0.10920571405178373</v>
      </c>
      <c r="C189" s="3">
        <f t="shared" si="125"/>
        <v>0.10920571405178373</v>
      </c>
      <c r="D189" s="3">
        <f t="shared" si="125"/>
        <v>0.10920571405178373</v>
      </c>
      <c r="E189" s="3">
        <f t="shared" si="125"/>
        <v>0.10920571405178373</v>
      </c>
      <c r="F189" s="3">
        <f t="shared" si="125"/>
        <v>0.10920571405178373</v>
      </c>
      <c r="G189" s="3">
        <f t="shared" si="125"/>
        <v>0.10920571405178373</v>
      </c>
      <c r="H189" s="3">
        <f t="shared" si="125"/>
        <v>0.10920571405178373</v>
      </c>
      <c r="I189" s="3">
        <f t="shared" si="125"/>
        <v>0.10920571405178373</v>
      </c>
      <c r="J189" s="3">
        <f t="shared" si="125"/>
        <v>0.10920571405178373</v>
      </c>
      <c r="K189" s="3">
        <f t="shared" si="125"/>
        <v>0.10920571405178373</v>
      </c>
      <c r="L189" s="3">
        <f t="shared" si="125"/>
        <v>0.10920571405178373</v>
      </c>
      <c r="M189" s="3">
        <f t="shared" si="125"/>
        <v>0.10920571405178373</v>
      </c>
      <c r="N189" s="3">
        <f t="shared" si="125"/>
        <v>0.10920571405178373</v>
      </c>
      <c r="O189" s="3">
        <f t="shared" si="125"/>
        <v>0.1092057140517837</v>
      </c>
      <c r="P189" s="3">
        <f t="shared" si="125"/>
        <v>0.1092057140517835</v>
      </c>
      <c r="Q189" s="3">
        <f t="shared" si="125"/>
        <v>0.10920571405178153</v>
      </c>
      <c r="R189" s="3">
        <f t="shared" si="125"/>
        <v>0.10920571405176174</v>
      </c>
      <c r="S189" s="3">
        <f t="shared" si="125"/>
        <v>0.10920571405156396</v>
      </c>
      <c r="T189" s="3">
        <f t="shared" si="125"/>
        <v>0.10920571404958611</v>
      </c>
      <c r="U189" s="3">
        <f t="shared" si="125"/>
        <v>0.10920571402980755</v>
      </c>
      <c r="V189" s="3">
        <f t="shared" si="125"/>
        <v>0.10920571383202198</v>
      </c>
      <c r="W189" s="3">
        <f t="shared" si="125"/>
        <v>0.10920571185416619</v>
      </c>
      <c r="X189" s="3">
        <f t="shared" si="125"/>
        <v>0.1092056920756104</v>
      </c>
      <c r="Y189" s="3">
        <f t="shared" si="125"/>
        <v>0.10920549429024951</v>
      </c>
      <c r="Z189" s="3">
        <f t="shared" si="125"/>
        <v>0.10920351645634212</v>
      </c>
      <c r="AA189" s="3">
        <f t="shared" si="125"/>
        <v>0.10918374008730461</v>
      </c>
      <c r="AB189" s="3">
        <f t="shared" si="125"/>
        <v>0.10898617326861325</v>
      </c>
      <c r="AC189" s="3">
        <f t="shared" si="125"/>
        <v>0.10703006095958444</v>
      </c>
      <c r="AD189" s="3">
        <f t="shared" si="125"/>
        <v>8.9299589384281064E-2</v>
      </c>
      <c r="AE189" s="3">
        <f t="shared" si="125"/>
        <v>1.4597764510987968E-2</v>
      </c>
      <c r="AF189" s="3">
        <f t="shared" si="125"/>
        <v>1.9890938200162128E-10</v>
      </c>
      <c r="AG189" s="3"/>
      <c r="AH189" s="3"/>
    </row>
    <row r="190" spans="2:34" x14ac:dyDescent="0.25">
      <c r="B190" s="3">
        <f t="shared" ref="B190:AF190" si="126">$C37*EXP(-B$168/$A37/EXP(-$C$126))</f>
        <v>8.5595472993728092E-2</v>
      </c>
      <c r="C190" s="3">
        <f t="shared" si="126"/>
        <v>8.5595472993728092E-2</v>
      </c>
      <c r="D190" s="3">
        <f t="shared" si="126"/>
        <v>8.5595472993728092E-2</v>
      </c>
      <c r="E190" s="3">
        <f t="shared" si="126"/>
        <v>8.5595472993728092E-2</v>
      </c>
      <c r="F190" s="3">
        <f t="shared" si="126"/>
        <v>8.5595472993728092E-2</v>
      </c>
      <c r="G190" s="3">
        <f t="shared" si="126"/>
        <v>8.5595472993728092E-2</v>
      </c>
      <c r="H190" s="3">
        <f t="shared" si="126"/>
        <v>8.5595472993728092E-2</v>
      </c>
      <c r="I190" s="3">
        <f t="shared" si="126"/>
        <v>8.5595472993728092E-2</v>
      </c>
      <c r="J190" s="3">
        <f t="shared" si="126"/>
        <v>8.5595472993728092E-2</v>
      </c>
      <c r="K190" s="3">
        <f t="shared" si="126"/>
        <v>8.5595472993728092E-2</v>
      </c>
      <c r="L190" s="3">
        <f t="shared" si="126"/>
        <v>8.5595472993728092E-2</v>
      </c>
      <c r="M190" s="3">
        <f t="shared" si="126"/>
        <v>8.5595472993728092E-2</v>
      </c>
      <c r="N190" s="3">
        <f t="shared" si="126"/>
        <v>8.5595472993728092E-2</v>
      </c>
      <c r="O190" s="3">
        <f t="shared" si="126"/>
        <v>8.5595472993728092E-2</v>
      </c>
      <c r="P190" s="3">
        <f t="shared" si="126"/>
        <v>8.5595472993728078E-2</v>
      </c>
      <c r="Q190" s="3">
        <f t="shared" si="126"/>
        <v>8.5595472993727939E-2</v>
      </c>
      <c r="R190" s="3">
        <f t="shared" si="126"/>
        <v>8.5595472993726537E-2</v>
      </c>
      <c r="S190" s="3">
        <f t="shared" si="126"/>
        <v>8.5595472993712549E-2</v>
      </c>
      <c r="T190" s="3">
        <f t="shared" si="126"/>
        <v>8.5595472993572702E-2</v>
      </c>
      <c r="U190" s="3">
        <f t="shared" si="126"/>
        <v>8.5595472992174251E-2</v>
      </c>
      <c r="V190" s="3">
        <f t="shared" si="126"/>
        <v>8.5595472978189771E-2</v>
      </c>
      <c r="W190" s="3">
        <f t="shared" si="126"/>
        <v>8.5595472838344858E-2</v>
      </c>
      <c r="X190" s="3">
        <f t="shared" si="126"/>
        <v>8.5595471439895821E-2</v>
      </c>
      <c r="Y190" s="3">
        <f t="shared" si="126"/>
        <v>8.5595457455406698E-2</v>
      </c>
      <c r="Z190" s="3">
        <f t="shared" si="126"/>
        <v>8.5595317610641083E-2</v>
      </c>
      <c r="AA190" s="3">
        <f t="shared" si="126"/>
        <v>8.559391917555105E-2</v>
      </c>
      <c r="AB190" s="3">
        <f t="shared" si="126"/>
        <v>8.5579936081189911E-2</v>
      </c>
      <c r="AC190" s="3">
        <f t="shared" si="126"/>
        <v>8.5440230715567764E-2</v>
      </c>
      <c r="AD190" s="3">
        <f t="shared" si="126"/>
        <v>8.4055659276772401E-2</v>
      </c>
      <c r="AE190" s="3">
        <f t="shared" si="126"/>
        <v>7.1385897302145229E-2</v>
      </c>
      <c r="AF190" s="3">
        <f t="shared" si="126"/>
        <v>1.3933719490967505E-2</v>
      </c>
      <c r="AG190" s="3"/>
      <c r="AH190" s="3"/>
    </row>
    <row r="191" spans="2:34" x14ac:dyDescent="0.25">
      <c r="B191" s="3">
        <f t="shared" ref="B191:AF191" si="127">$C38*EXP(-B$168/$A38/EXP(-$C$126))</f>
        <v>3.0330599560697977E-2</v>
      </c>
      <c r="C191" s="3">
        <f t="shared" si="127"/>
        <v>3.0330599560697977E-2</v>
      </c>
      <c r="D191" s="3">
        <f t="shared" si="127"/>
        <v>3.0330599560697977E-2</v>
      </c>
      <c r="E191" s="3">
        <f t="shared" si="127"/>
        <v>3.0330599560697977E-2</v>
      </c>
      <c r="F191" s="3">
        <f t="shared" si="127"/>
        <v>3.0330599560697977E-2</v>
      </c>
      <c r="G191" s="3">
        <f t="shared" si="127"/>
        <v>3.0330599560697977E-2</v>
      </c>
      <c r="H191" s="3">
        <f t="shared" si="127"/>
        <v>3.0330599560697977E-2</v>
      </c>
      <c r="I191" s="3">
        <f t="shared" si="127"/>
        <v>3.0330599560697977E-2</v>
      </c>
      <c r="J191" s="3">
        <f t="shared" si="127"/>
        <v>3.0330599560697977E-2</v>
      </c>
      <c r="K191" s="3">
        <f t="shared" si="127"/>
        <v>3.0330599560697977E-2</v>
      </c>
      <c r="L191" s="3">
        <f t="shared" si="127"/>
        <v>3.0330599560697977E-2</v>
      </c>
      <c r="M191" s="3">
        <f t="shared" si="127"/>
        <v>3.0330599560697977E-2</v>
      </c>
      <c r="N191" s="3">
        <f t="shared" si="127"/>
        <v>3.0330599560697977E-2</v>
      </c>
      <c r="O191" s="3">
        <f t="shared" si="127"/>
        <v>3.0330599560697977E-2</v>
      </c>
      <c r="P191" s="3">
        <f t="shared" si="127"/>
        <v>3.0330599560697977E-2</v>
      </c>
      <c r="Q191" s="3">
        <f t="shared" si="127"/>
        <v>3.0330599560697974E-2</v>
      </c>
      <c r="R191" s="3">
        <f t="shared" si="127"/>
        <v>3.0330599560697925E-2</v>
      </c>
      <c r="S191" s="3">
        <f t="shared" si="127"/>
        <v>3.0330599560697481E-2</v>
      </c>
      <c r="T191" s="3">
        <f t="shared" si="127"/>
        <v>3.0330599560693009E-2</v>
      </c>
      <c r="U191" s="3">
        <f t="shared" si="127"/>
        <v>3.0330599560648309E-2</v>
      </c>
      <c r="V191" s="3">
        <f t="shared" si="127"/>
        <v>3.0330599560201295E-2</v>
      </c>
      <c r="W191" s="3">
        <f t="shared" si="127"/>
        <v>3.0330599555731128E-2</v>
      </c>
      <c r="X191" s="3">
        <f t="shared" si="127"/>
        <v>3.0330599511029493E-2</v>
      </c>
      <c r="Y191" s="3">
        <f t="shared" si="127"/>
        <v>3.0330599064013114E-2</v>
      </c>
      <c r="Z191" s="3">
        <f t="shared" si="127"/>
        <v>3.0330594593849697E-2</v>
      </c>
      <c r="AA191" s="3">
        <f t="shared" si="127"/>
        <v>3.0330549892251767E-2</v>
      </c>
      <c r="AB191" s="3">
        <f t="shared" si="127"/>
        <v>3.0330102879895959E-2</v>
      </c>
      <c r="AC191" s="3">
        <f t="shared" si="127"/>
        <v>3.0325633118666186E-2</v>
      </c>
      <c r="AD191" s="3">
        <f t="shared" si="127"/>
        <v>3.0280971719448282E-2</v>
      </c>
      <c r="AE191" s="3">
        <f t="shared" si="127"/>
        <v>2.9837959365474148E-2</v>
      </c>
      <c r="AF191" s="3">
        <f t="shared" si="127"/>
        <v>2.5749110079259459E-2</v>
      </c>
      <c r="AG191" s="3"/>
      <c r="AH191" s="3"/>
    </row>
    <row r="192" spans="2:34" x14ac:dyDescent="0.25">
      <c r="B192" s="3">
        <f t="shared" ref="B192:AF192" si="128">$C39*EXP(-B$168/$A39/EXP(-$C$126))</f>
        <v>3.2127590787364095E-2</v>
      </c>
      <c r="C192" s="3">
        <f t="shared" si="128"/>
        <v>3.2127590787364095E-2</v>
      </c>
      <c r="D192" s="3">
        <f t="shared" si="128"/>
        <v>3.2127590787364095E-2</v>
      </c>
      <c r="E192" s="3">
        <f t="shared" si="128"/>
        <v>3.2127590787364095E-2</v>
      </c>
      <c r="F192" s="3">
        <f t="shared" si="128"/>
        <v>3.2127590787364095E-2</v>
      </c>
      <c r="G192" s="3">
        <f t="shared" si="128"/>
        <v>3.2127590787364095E-2</v>
      </c>
      <c r="H192" s="3">
        <f t="shared" si="128"/>
        <v>3.2127590787364095E-2</v>
      </c>
      <c r="I192" s="3">
        <f t="shared" si="128"/>
        <v>3.2127590787364095E-2</v>
      </c>
      <c r="J192" s="3">
        <f t="shared" si="128"/>
        <v>3.2127590787364095E-2</v>
      </c>
      <c r="K192" s="3">
        <f t="shared" si="128"/>
        <v>3.2127590787364095E-2</v>
      </c>
      <c r="L192" s="3">
        <f t="shared" si="128"/>
        <v>3.2127590787364095E-2</v>
      </c>
      <c r="M192" s="3">
        <f t="shared" si="128"/>
        <v>3.2127590787364095E-2</v>
      </c>
      <c r="N192" s="3">
        <f t="shared" si="128"/>
        <v>3.2127590787364095E-2</v>
      </c>
      <c r="O192" s="3">
        <f t="shared" si="128"/>
        <v>3.2127590787364095E-2</v>
      </c>
      <c r="P192" s="3">
        <f t="shared" si="128"/>
        <v>3.2127590787364095E-2</v>
      </c>
      <c r="Q192" s="3">
        <f t="shared" si="128"/>
        <v>3.2127590787364095E-2</v>
      </c>
      <c r="R192" s="3">
        <f t="shared" si="128"/>
        <v>3.2127590787364081E-2</v>
      </c>
      <c r="S192" s="3">
        <f t="shared" si="128"/>
        <v>3.2127590787363949E-2</v>
      </c>
      <c r="T192" s="3">
        <f t="shared" si="128"/>
        <v>3.2127590787362638E-2</v>
      </c>
      <c r="U192" s="3">
        <f t="shared" si="128"/>
        <v>3.2127590787349544E-2</v>
      </c>
      <c r="V192" s="3">
        <f t="shared" si="128"/>
        <v>3.2127590787218586E-2</v>
      </c>
      <c r="W192" s="3">
        <f t="shared" si="128"/>
        <v>3.2127590785909002E-2</v>
      </c>
      <c r="X192" s="3">
        <f t="shared" si="128"/>
        <v>3.2127590772813158E-2</v>
      </c>
      <c r="Y192" s="3">
        <f t="shared" si="128"/>
        <v>3.2127590641854727E-2</v>
      </c>
      <c r="Z192" s="3">
        <f t="shared" si="128"/>
        <v>3.2127589332270445E-2</v>
      </c>
      <c r="AA192" s="3">
        <f t="shared" si="128"/>
        <v>3.2127576236430554E-2</v>
      </c>
      <c r="AB192" s="3">
        <f t="shared" si="128"/>
        <v>3.2127445278325208E-2</v>
      </c>
      <c r="AC192" s="3">
        <f t="shared" si="128"/>
        <v>3.2126135726630964E-2</v>
      </c>
      <c r="AD192" s="3">
        <f t="shared" si="128"/>
        <v>3.2113043145165589E-2</v>
      </c>
      <c r="AE192" s="3">
        <f t="shared" si="128"/>
        <v>3.1982410435969159E-2</v>
      </c>
      <c r="AF192" s="3">
        <f t="shared" si="128"/>
        <v>3.070495660852322E-2</v>
      </c>
      <c r="AG192" s="3"/>
      <c r="AH192" s="3"/>
    </row>
    <row r="193" spans="1:34" x14ac:dyDescent="0.25">
      <c r="B193" s="3">
        <f t="shared" ref="B193:AF193" si="129">$C40*EXP(-B$168/$A40/EXP(-$C$126))</f>
        <v>1.5939358035986794E-2</v>
      </c>
      <c r="C193" s="3">
        <f t="shared" si="129"/>
        <v>1.5939358035986794E-2</v>
      </c>
      <c r="D193" s="3">
        <f t="shared" si="129"/>
        <v>1.5939358035986794E-2</v>
      </c>
      <c r="E193" s="3">
        <f t="shared" si="129"/>
        <v>1.5939358035986794E-2</v>
      </c>
      <c r="F193" s="3">
        <f t="shared" si="129"/>
        <v>1.5939358035986794E-2</v>
      </c>
      <c r="G193" s="3">
        <f t="shared" si="129"/>
        <v>1.5939358035986794E-2</v>
      </c>
      <c r="H193" s="3">
        <f t="shared" si="129"/>
        <v>1.5939358035986794E-2</v>
      </c>
      <c r="I193" s="3">
        <f t="shared" si="129"/>
        <v>1.5939358035986794E-2</v>
      </c>
      <c r="J193" s="3">
        <f t="shared" si="129"/>
        <v>1.5939358035986794E-2</v>
      </c>
      <c r="K193" s="3">
        <f t="shared" si="129"/>
        <v>1.5939358035986794E-2</v>
      </c>
      <c r="L193" s="3">
        <f t="shared" si="129"/>
        <v>1.5939358035986794E-2</v>
      </c>
      <c r="M193" s="3">
        <f t="shared" si="129"/>
        <v>1.5939358035986794E-2</v>
      </c>
      <c r="N193" s="3">
        <f t="shared" si="129"/>
        <v>1.5939358035986794E-2</v>
      </c>
      <c r="O193" s="3">
        <f t="shared" si="129"/>
        <v>1.5939358035986794E-2</v>
      </c>
      <c r="P193" s="3">
        <f t="shared" si="129"/>
        <v>1.5939358035986794E-2</v>
      </c>
      <c r="Q193" s="3">
        <f t="shared" si="129"/>
        <v>1.5939358035986794E-2</v>
      </c>
      <c r="R193" s="3">
        <f t="shared" si="129"/>
        <v>1.5939358035986794E-2</v>
      </c>
      <c r="S193" s="3">
        <f t="shared" si="129"/>
        <v>1.5939358035986787E-2</v>
      </c>
      <c r="T193" s="3">
        <f t="shared" si="129"/>
        <v>1.5939358035986721E-2</v>
      </c>
      <c r="U193" s="3">
        <f t="shared" si="129"/>
        <v>1.5939358035986072E-2</v>
      </c>
      <c r="V193" s="3">
        <f t="shared" si="129"/>
        <v>1.5939358035979574E-2</v>
      </c>
      <c r="W193" s="3">
        <f t="shared" si="129"/>
        <v>1.5939358035914602E-2</v>
      </c>
      <c r="X193" s="3">
        <f t="shared" si="129"/>
        <v>1.5939358035264882E-2</v>
      </c>
      <c r="Y193" s="3">
        <f t="shared" si="129"/>
        <v>1.5939358028767683E-2</v>
      </c>
      <c r="Z193" s="3">
        <f t="shared" si="129"/>
        <v>1.5939357963795701E-2</v>
      </c>
      <c r="AA193" s="3">
        <f t="shared" si="129"/>
        <v>1.5939357314075871E-2</v>
      </c>
      <c r="AB193" s="3">
        <f t="shared" si="129"/>
        <v>1.5939350816879048E-2</v>
      </c>
      <c r="AC193" s="3">
        <f t="shared" si="129"/>
        <v>1.593928584505646E-2</v>
      </c>
      <c r="AD193" s="3">
        <f t="shared" si="129"/>
        <v>1.5938636141396473E-2</v>
      </c>
      <c r="AE193" s="3">
        <f t="shared" si="129"/>
        <v>1.5932140561165351E-2</v>
      </c>
      <c r="AF193" s="3">
        <f t="shared" si="129"/>
        <v>1.5867330176319694E-2</v>
      </c>
      <c r="AG193" s="3"/>
      <c r="AH193" s="3"/>
    </row>
    <row r="194" spans="1:34" x14ac:dyDescent="0.25">
      <c r="B194" s="3">
        <f t="shared" ref="B194:AF194" si="130">$C41*EXP(-B$168/$A41/EXP(-$C$126))</f>
        <v>1.0098226932664881E-3</v>
      </c>
      <c r="C194" s="3">
        <f t="shared" si="130"/>
        <v>1.0098226932664881E-3</v>
      </c>
      <c r="D194" s="3">
        <f t="shared" si="130"/>
        <v>1.0098226932664881E-3</v>
      </c>
      <c r="E194" s="3">
        <f t="shared" si="130"/>
        <v>1.0098226932664881E-3</v>
      </c>
      <c r="F194" s="3">
        <f t="shared" si="130"/>
        <v>1.0098226932664881E-3</v>
      </c>
      <c r="G194" s="3">
        <f t="shared" si="130"/>
        <v>1.0098226932664881E-3</v>
      </c>
      <c r="H194" s="3">
        <f t="shared" si="130"/>
        <v>1.0098226932664881E-3</v>
      </c>
      <c r="I194" s="3">
        <f t="shared" si="130"/>
        <v>1.0098226932664881E-3</v>
      </c>
      <c r="J194" s="3">
        <f t="shared" si="130"/>
        <v>1.0098226932664881E-3</v>
      </c>
      <c r="K194" s="3">
        <f t="shared" si="130"/>
        <v>1.0098226932664881E-3</v>
      </c>
      <c r="L194" s="3">
        <f t="shared" si="130"/>
        <v>1.0098226932664881E-3</v>
      </c>
      <c r="M194" s="3">
        <f t="shared" si="130"/>
        <v>1.0098226932664881E-3</v>
      </c>
      <c r="N194" s="3">
        <f t="shared" si="130"/>
        <v>1.0098226932664881E-3</v>
      </c>
      <c r="O194" s="3">
        <f t="shared" si="130"/>
        <v>1.0098226932664881E-3</v>
      </c>
      <c r="P194" s="3">
        <f t="shared" si="130"/>
        <v>1.0098226932664881E-3</v>
      </c>
      <c r="Q194" s="3">
        <f t="shared" si="130"/>
        <v>1.0098226932664881E-3</v>
      </c>
      <c r="R194" s="3">
        <f t="shared" si="130"/>
        <v>1.0098226932664881E-3</v>
      </c>
      <c r="S194" s="3">
        <f t="shared" si="130"/>
        <v>1.0098226932664881E-3</v>
      </c>
      <c r="T194" s="3">
        <f t="shared" si="130"/>
        <v>1.0098226932664877E-3</v>
      </c>
      <c r="U194" s="3">
        <f t="shared" si="130"/>
        <v>1.0098226932664836E-3</v>
      </c>
      <c r="V194" s="3">
        <f t="shared" si="130"/>
        <v>1.0098226932664424E-3</v>
      </c>
      <c r="W194" s="3">
        <f t="shared" si="130"/>
        <v>1.0098226932660308E-3</v>
      </c>
      <c r="X194" s="3">
        <f t="shared" si="130"/>
        <v>1.0098226932619145E-3</v>
      </c>
      <c r="Y194" s="3">
        <f t="shared" si="130"/>
        <v>1.0098226932207521E-3</v>
      </c>
      <c r="Z194" s="3">
        <f t="shared" si="130"/>
        <v>1.0098226928091283E-3</v>
      </c>
      <c r="AA194" s="3">
        <f t="shared" si="130"/>
        <v>1.009822688692891E-3</v>
      </c>
      <c r="AB194" s="3">
        <f t="shared" si="130"/>
        <v>1.0098226475305162E-3</v>
      </c>
      <c r="AC194" s="3">
        <f t="shared" si="130"/>
        <v>1.0098222359068623E-3</v>
      </c>
      <c r="AD194" s="3">
        <f t="shared" si="130"/>
        <v>1.009818119679551E-3</v>
      </c>
      <c r="AE194" s="3">
        <f t="shared" si="130"/>
        <v>1.0097769583292462E-3</v>
      </c>
      <c r="AF194" s="3">
        <f t="shared" si="130"/>
        <v>1.0093654370930388E-3</v>
      </c>
      <c r="AG194" s="3"/>
      <c r="AH194" s="3"/>
    </row>
    <row r="195" spans="1:34" x14ac:dyDescent="0.25">
      <c r="B195" s="3">
        <f t="shared" ref="B195:AF195" si="131">$C42*EXP(-B$168/$A42/EXP(-$C$126))</f>
        <v>3.5232790951536608E-3</v>
      </c>
      <c r="C195" s="3">
        <f t="shared" si="131"/>
        <v>3.5232790951536608E-3</v>
      </c>
      <c r="D195" s="3">
        <f t="shared" si="131"/>
        <v>3.5232790951536608E-3</v>
      </c>
      <c r="E195" s="3">
        <f t="shared" si="131"/>
        <v>3.5232790951536608E-3</v>
      </c>
      <c r="F195" s="3">
        <f t="shared" si="131"/>
        <v>3.5232790951536608E-3</v>
      </c>
      <c r="G195" s="3">
        <f t="shared" si="131"/>
        <v>3.5232790951536608E-3</v>
      </c>
      <c r="H195" s="3">
        <f t="shared" si="131"/>
        <v>3.5232790951536608E-3</v>
      </c>
      <c r="I195" s="3">
        <f t="shared" si="131"/>
        <v>3.5232790951536608E-3</v>
      </c>
      <c r="J195" s="3">
        <f t="shared" si="131"/>
        <v>3.5232790951536608E-3</v>
      </c>
      <c r="K195" s="3">
        <f t="shared" si="131"/>
        <v>3.5232790951536608E-3</v>
      </c>
      <c r="L195" s="3">
        <f t="shared" si="131"/>
        <v>3.5232790951536608E-3</v>
      </c>
      <c r="M195" s="3">
        <f t="shared" si="131"/>
        <v>3.5232790951536608E-3</v>
      </c>
      <c r="N195" s="3">
        <f t="shared" si="131"/>
        <v>3.5232790951536608E-3</v>
      </c>
      <c r="O195" s="3">
        <f t="shared" si="131"/>
        <v>3.5232790951536608E-3</v>
      </c>
      <c r="P195" s="3">
        <f t="shared" si="131"/>
        <v>3.5232790951536608E-3</v>
      </c>
      <c r="Q195" s="3">
        <f t="shared" si="131"/>
        <v>3.5232790951536608E-3</v>
      </c>
      <c r="R195" s="3">
        <f t="shared" si="131"/>
        <v>3.5232790951536608E-3</v>
      </c>
      <c r="S195" s="3">
        <f t="shared" si="131"/>
        <v>3.5232790951536608E-3</v>
      </c>
      <c r="T195" s="3">
        <f t="shared" si="131"/>
        <v>3.5232790951536608E-3</v>
      </c>
      <c r="U195" s="3">
        <f t="shared" si="131"/>
        <v>3.5232790951536591E-3</v>
      </c>
      <c r="V195" s="3">
        <f t="shared" si="131"/>
        <v>3.5232790951536448E-3</v>
      </c>
      <c r="W195" s="3">
        <f t="shared" si="131"/>
        <v>3.5232790951535012E-3</v>
      </c>
      <c r="X195" s="3">
        <f t="shared" si="131"/>
        <v>3.5232790951520653E-3</v>
      </c>
      <c r="Y195" s="3">
        <f t="shared" si="131"/>
        <v>3.5232790951377035E-3</v>
      </c>
      <c r="Z195" s="3">
        <f t="shared" si="131"/>
        <v>3.5232790949940875E-3</v>
      </c>
      <c r="AA195" s="3">
        <f t="shared" si="131"/>
        <v>3.523279093557929E-3</v>
      </c>
      <c r="AB195" s="3">
        <f t="shared" si="131"/>
        <v>3.523279079196345E-3</v>
      </c>
      <c r="AC195" s="3">
        <f t="shared" si="131"/>
        <v>3.5232789355805053E-3</v>
      </c>
      <c r="AD195" s="3">
        <f t="shared" si="131"/>
        <v>3.5232774994224305E-3</v>
      </c>
      <c r="AE195" s="3">
        <f t="shared" si="131"/>
        <v>3.5232631378738803E-3</v>
      </c>
      <c r="AF195" s="3">
        <f t="shared" si="131"/>
        <v>3.5231195256080592E-3</v>
      </c>
      <c r="AG195" s="3"/>
      <c r="AH195" s="3"/>
    </row>
    <row r="196" spans="1:34" x14ac:dyDescent="0.25">
      <c r="B196" s="3">
        <f t="shared" ref="B196:AF196" si="132">$C43*EXP(-B$168/$A43/EXP(-$C$126))</f>
        <v>1.7526056431954549E-4</v>
      </c>
      <c r="C196" s="3">
        <f t="shared" si="132"/>
        <v>1.7526056431954549E-4</v>
      </c>
      <c r="D196" s="3">
        <f t="shared" si="132"/>
        <v>1.7526056431954549E-4</v>
      </c>
      <c r="E196" s="3">
        <f t="shared" si="132"/>
        <v>1.7526056431954549E-4</v>
      </c>
      <c r="F196" s="3">
        <f t="shared" si="132"/>
        <v>1.7526056431954549E-4</v>
      </c>
      <c r="G196" s="3">
        <f t="shared" si="132"/>
        <v>1.7526056431954549E-4</v>
      </c>
      <c r="H196" s="3">
        <f t="shared" si="132"/>
        <v>1.7526056431954549E-4</v>
      </c>
      <c r="I196" s="3">
        <f t="shared" si="132"/>
        <v>1.7526056431954549E-4</v>
      </c>
      <c r="J196" s="3">
        <f t="shared" si="132"/>
        <v>1.7526056431954549E-4</v>
      </c>
      <c r="K196" s="3">
        <f t="shared" si="132"/>
        <v>1.7526056431954549E-4</v>
      </c>
      <c r="L196" s="3">
        <f t="shared" si="132"/>
        <v>1.7526056431954549E-4</v>
      </c>
      <c r="M196" s="3">
        <f t="shared" si="132"/>
        <v>1.7526056431954549E-4</v>
      </c>
      <c r="N196" s="3">
        <f t="shared" si="132"/>
        <v>1.7526056431954549E-4</v>
      </c>
      <c r="O196" s="3">
        <f t="shared" si="132"/>
        <v>1.7526056431954549E-4</v>
      </c>
      <c r="P196" s="3">
        <f t="shared" si="132"/>
        <v>1.7526056431954549E-4</v>
      </c>
      <c r="Q196" s="3">
        <f t="shared" si="132"/>
        <v>1.7526056431954549E-4</v>
      </c>
      <c r="R196" s="3">
        <f t="shared" si="132"/>
        <v>1.7526056431954549E-4</v>
      </c>
      <c r="S196" s="3">
        <f t="shared" si="132"/>
        <v>1.7526056431954549E-4</v>
      </c>
      <c r="T196" s="3">
        <f t="shared" si="132"/>
        <v>1.7526056431954549E-4</v>
      </c>
      <c r="U196" s="3">
        <f t="shared" si="132"/>
        <v>1.7526056431954549E-4</v>
      </c>
      <c r="V196" s="3">
        <f t="shared" si="132"/>
        <v>1.7526056431954541E-4</v>
      </c>
      <c r="W196" s="3">
        <f t="shared" si="132"/>
        <v>1.7526056431954471E-4</v>
      </c>
      <c r="X196" s="3">
        <f t="shared" si="132"/>
        <v>1.7526056431953755E-4</v>
      </c>
      <c r="Y196" s="3">
        <f t="shared" si="132"/>
        <v>1.7526056431946613E-4</v>
      </c>
      <c r="Z196" s="3">
        <f t="shared" si="132"/>
        <v>1.7526056431875172E-4</v>
      </c>
      <c r="AA196" s="3">
        <f t="shared" si="132"/>
        <v>1.7526056431160775E-4</v>
      </c>
      <c r="AB196" s="3">
        <f t="shared" si="132"/>
        <v>1.7526056424016807E-4</v>
      </c>
      <c r="AC196" s="3">
        <f t="shared" si="132"/>
        <v>1.7526056352577127E-4</v>
      </c>
      <c r="AD196" s="3">
        <f t="shared" si="132"/>
        <v>1.7526055638180326E-4</v>
      </c>
      <c r="AE196" s="3">
        <f t="shared" si="132"/>
        <v>1.7526048494213929E-4</v>
      </c>
      <c r="AF196" s="3">
        <f t="shared" si="132"/>
        <v>1.7525977054710118E-4</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1.1765348907566872E-4</v>
      </c>
      <c r="C198" s="3">
        <f t="shared" si="134"/>
        <v>1.1765348907566872E-4</v>
      </c>
      <c r="D198" s="3">
        <f t="shared" si="134"/>
        <v>1.1765348907566872E-4</v>
      </c>
      <c r="E198" s="3">
        <f t="shared" si="134"/>
        <v>1.1765348907566872E-4</v>
      </c>
      <c r="F198" s="3">
        <f t="shared" si="134"/>
        <v>1.1765348907566872E-4</v>
      </c>
      <c r="G198" s="3">
        <f t="shared" si="134"/>
        <v>1.1765348907566872E-4</v>
      </c>
      <c r="H198" s="3">
        <f t="shared" si="134"/>
        <v>1.1765348907566872E-4</v>
      </c>
      <c r="I198" s="3">
        <f t="shared" si="134"/>
        <v>1.1765348907566872E-4</v>
      </c>
      <c r="J198" s="3">
        <f t="shared" si="134"/>
        <v>1.1765348907566872E-4</v>
      </c>
      <c r="K198" s="3">
        <f t="shared" si="134"/>
        <v>1.1765348907566872E-4</v>
      </c>
      <c r="L198" s="3">
        <f t="shared" si="134"/>
        <v>1.1765348907566872E-4</v>
      </c>
      <c r="M198" s="3">
        <f t="shared" si="134"/>
        <v>1.1765348907566872E-4</v>
      </c>
      <c r="N198" s="3">
        <f t="shared" si="134"/>
        <v>1.1765348907566872E-4</v>
      </c>
      <c r="O198" s="3">
        <f t="shared" si="134"/>
        <v>1.1765348907566872E-4</v>
      </c>
      <c r="P198" s="3">
        <f t="shared" si="134"/>
        <v>1.1765348907566872E-4</v>
      </c>
      <c r="Q198" s="3">
        <f t="shared" si="134"/>
        <v>1.1765348907566872E-4</v>
      </c>
      <c r="R198" s="3">
        <f t="shared" si="134"/>
        <v>1.1765348907566872E-4</v>
      </c>
      <c r="S198" s="3">
        <f t="shared" si="134"/>
        <v>1.1765348907566872E-4</v>
      </c>
      <c r="T198" s="3">
        <f t="shared" si="134"/>
        <v>1.1765348907566872E-4</v>
      </c>
      <c r="U198" s="3">
        <f t="shared" si="134"/>
        <v>1.1765348907566872E-4</v>
      </c>
      <c r="V198" s="3">
        <f t="shared" si="134"/>
        <v>1.1765348907566872E-4</v>
      </c>
      <c r="W198" s="3">
        <f t="shared" si="134"/>
        <v>1.1765348907566872E-4</v>
      </c>
      <c r="X198" s="3">
        <f t="shared" si="134"/>
        <v>1.1765348907566867E-4</v>
      </c>
      <c r="Y198" s="3">
        <f t="shared" si="134"/>
        <v>1.1765348907566818E-4</v>
      </c>
      <c r="Z198" s="3">
        <f t="shared" si="134"/>
        <v>1.176534890756634E-4</v>
      </c>
      <c r="AA198" s="3">
        <f t="shared" si="134"/>
        <v>1.1765348907561545E-4</v>
      </c>
      <c r="AB198" s="3">
        <f t="shared" si="134"/>
        <v>1.1765348907513585E-4</v>
      </c>
      <c r="AC198" s="3">
        <f t="shared" si="134"/>
        <v>1.1765348907034007E-4</v>
      </c>
      <c r="AD198" s="3">
        <f t="shared" si="134"/>
        <v>1.1765348902238218E-4</v>
      </c>
      <c r="AE198" s="3">
        <f t="shared" si="134"/>
        <v>1.1765348854280322E-4</v>
      </c>
      <c r="AF198" s="3">
        <f t="shared" si="134"/>
        <v>1.1765348374701379E-4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6.5987032321069097E-5</v>
      </c>
      <c r="C200" s="3">
        <f t="shared" si="136"/>
        <v>6.5987032321069097E-5</v>
      </c>
      <c r="D200" s="3">
        <f t="shared" si="136"/>
        <v>6.5987032321069097E-5</v>
      </c>
      <c r="E200" s="3">
        <f t="shared" si="136"/>
        <v>6.5987032321069097E-5</v>
      </c>
      <c r="F200" s="3">
        <f t="shared" si="136"/>
        <v>6.5987032321069097E-5</v>
      </c>
      <c r="G200" s="3">
        <f t="shared" si="136"/>
        <v>6.5987032321069097E-5</v>
      </c>
      <c r="H200" s="3">
        <f t="shared" si="136"/>
        <v>6.5987032321069097E-5</v>
      </c>
      <c r="I200" s="3">
        <f t="shared" si="136"/>
        <v>6.5987032321069097E-5</v>
      </c>
      <c r="J200" s="3">
        <f t="shared" si="136"/>
        <v>6.5987032321069097E-5</v>
      </c>
      <c r="K200" s="3">
        <f t="shared" si="136"/>
        <v>6.5987032321069097E-5</v>
      </c>
      <c r="L200" s="3">
        <f t="shared" si="136"/>
        <v>6.5987032321069097E-5</v>
      </c>
      <c r="M200" s="3">
        <f t="shared" si="136"/>
        <v>6.5987032321069097E-5</v>
      </c>
      <c r="N200" s="3">
        <f t="shared" si="136"/>
        <v>6.5987032321069097E-5</v>
      </c>
      <c r="O200" s="3">
        <f t="shared" si="136"/>
        <v>6.5987032321069097E-5</v>
      </c>
      <c r="P200" s="3">
        <f t="shared" si="136"/>
        <v>6.5987032321069097E-5</v>
      </c>
      <c r="Q200" s="3">
        <f t="shared" si="136"/>
        <v>6.5987032321069097E-5</v>
      </c>
      <c r="R200" s="3">
        <f t="shared" si="136"/>
        <v>6.5987032321069097E-5</v>
      </c>
      <c r="S200" s="3">
        <f t="shared" si="136"/>
        <v>6.5987032321069097E-5</v>
      </c>
      <c r="T200" s="3">
        <f t="shared" si="136"/>
        <v>6.5987032321069097E-5</v>
      </c>
      <c r="U200" s="3">
        <f t="shared" si="136"/>
        <v>6.5987032321069097E-5</v>
      </c>
      <c r="V200" s="3">
        <f t="shared" si="136"/>
        <v>6.5987032321069097E-5</v>
      </c>
      <c r="W200" s="3">
        <f t="shared" si="136"/>
        <v>6.5987032321069097E-5</v>
      </c>
      <c r="X200" s="3">
        <f t="shared" si="136"/>
        <v>6.5987032321069097E-5</v>
      </c>
      <c r="Y200" s="3">
        <f t="shared" si="136"/>
        <v>6.5987032321069097E-5</v>
      </c>
      <c r="Z200" s="3">
        <f t="shared" si="136"/>
        <v>6.598703232106907E-5</v>
      </c>
      <c r="AA200" s="3">
        <f t="shared" si="136"/>
        <v>6.5987032321068799E-5</v>
      </c>
      <c r="AB200" s="3">
        <f t="shared" si="136"/>
        <v>6.5987032321066102E-5</v>
      </c>
      <c r="AC200" s="3">
        <f t="shared" si="136"/>
        <v>6.5987032321039213E-5</v>
      </c>
      <c r="AD200" s="3">
        <f t="shared" si="136"/>
        <v>6.5987032320770236E-5</v>
      </c>
      <c r="AE200" s="3">
        <f t="shared" si="136"/>
        <v>6.5987032318080466E-5</v>
      </c>
      <c r="AF200" s="3">
        <f t="shared" si="136"/>
        <v>6.5987032291182847E-5</v>
      </c>
      <c r="AG200" s="3"/>
      <c r="AH200" s="3"/>
    </row>
    <row r="201" spans="1:34" x14ac:dyDescent="0.25">
      <c r="B201" s="3">
        <f t="shared" ref="B201:AF201" si="137">$C48*EXP(-B$168/$A48/EXP(-$C$126))</f>
        <v>6.9850122094838041E-5</v>
      </c>
      <c r="C201" s="3">
        <f t="shared" si="137"/>
        <v>6.9850122094838041E-5</v>
      </c>
      <c r="D201" s="3">
        <f t="shared" si="137"/>
        <v>6.9850122094838041E-5</v>
      </c>
      <c r="E201" s="3">
        <f t="shared" si="137"/>
        <v>6.9850122094838041E-5</v>
      </c>
      <c r="F201" s="3">
        <f t="shared" si="137"/>
        <v>6.9850122094838041E-5</v>
      </c>
      <c r="G201" s="3">
        <f t="shared" si="137"/>
        <v>6.9850122094838041E-5</v>
      </c>
      <c r="H201" s="3">
        <f t="shared" si="137"/>
        <v>6.9850122094838041E-5</v>
      </c>
      <c r="I201" s="3">
        <f t="shared" si="137"/>
        <v>6.9850122094838041E-5</v>
      </c>
      <c r="J201" s="3">
        <f t="shared" si="137"/>
        <v>6.9850122094838041E-5</v>
      </c>
      <c r="K201" s="3">
        <f t="shared" si="137"/>
        <v>6.9850122094838041E-5</v>
      </c>
      <c r="L201" s="3">
        <f t="shared" si="137"/>
        <v>6.9850122094838041E-5</v>
      </c>
      <c r="M201" s="3">
        <f t="shared" si="137"/>
        <v>6.9850122094838041E-5</v>
      </c>
      <c r="N201" s="3">
        <f t="shared" si="137"/>
        <v>6.9850122094838041E-5</v>
      </c>
      <c r="O201" s="3">
        <f t="shared" si="137"/>
        <v>6.9850122094838041E-5</v>
      </c>
      <c r="P201" s="3">
        <f t="shared" si="137"/>
        <v>6.9850122094838041E-5</v>
      </c>
      <c r="Q201" s="3">
        <f t="shared" si="137"/>
        <v>6.9850122094838041E-5</v>
      </c>
      <c r="R201" s="3">
        <f t="shared" si="137"/>
        <v>6.9850122094838041E-5</v>
      </c>
      <c r="S201" s="3">
        <f t="shared" si="137"/>
        <v>6.9850122094838041E-5</v>
      </c>
      <c r="T201" s="3">
        <f t="shared" si="137"/>
        <v>6.9850122094838041E-5</v>
      </c>
      <c r="U201" s="3">
        <f t="shared" si="137"/>
        <v>6.9850122094838041E-5</v>
      </c>
      <c r="V201" s="3">
        <f t="shared" si="137"/>
        <v>6.9850122094838041E-5</v>
      </c>
      <c r="W201" s="3">
        <f t="shared" si="137"/>
        <v>6.9850122094838041E-5</v>
      </c>
      <c r="X201" s="3">
        <f t="shared" si="137"/>
        <v>6.9850122094838041E-5</v>
      </c>
      <c r="Y201" s="3">
        <f t="shared" si="137"/>
        <v>6.9850122094838041E-5</v>
      </c>
      <c r="Z201" s="3">
        <f t="shared" si="137"/>
        <v>6.9850122094838041E-5</v>
      </c>
      <c r="AA201" s="3">
        <f t="shared" si="137"/>
        <v>6.9850122094838014E-5</v>
      </c>
      <c r="AB201" s="3">
        <f t="shared" si="137"/>
        <v>6.985012209483773E-5</v>
      </c>
      <c r="AC201" s="3">
        <f t="shared" si="137"/>
        <v>6.9850122094834884E-5</v>
      </c>
      <c r="AD201" s="3">
        <f t="shared" si="137"/>
        <v>6.985012209480641E-5</v>
      </c>
      <c r="AE201" s="3">
        <f t="shared" si="137"/>
        <v>6.9850122094521685E-5</v>
      </c>
      <c r="AF201" s="3">
        <f t="shared" si="137"/>
        <v>6.9850122091674448E-5</v>
      </c>
      <c r="AG201" s="3"/>
      <c r="AH201" s="3"/>
    </row>
    <row r="202" spans="1:34" x14ac:dyDescent="0.25">
      <c r="A202" s="79">
        <f>AVERAGE(B202:AF202)</f>
        <v>5.8823445868656538E-2</v>
      </c>
      <c r="B202" s="80">
        <f>IF($A$64&lt;=B168,IF($B$64&gt;=B168,ABS((B170-B169)/B169),0),0)</f>
        <v>3.0005767079876317E-3</v>
      </c>
      <c r="C202" s="80">
        <f t="shared" ref="C202:AF202" si="138">IF($A$64&lt;=C168,IF($B$64&gt;=C168,ABS((C170-C169)/C169),0),0)</f>
        <v>3.0116947732136612E-3</v>
      </c>
      <c r="D202" s="80">
        <f t="shared" si="138"/>
        <v>3.0343279938954285E-3</v>
      </c>
      <c r="E202" s="80">
        <f t="shared" si="138"/>
        <v>3.3042683792134714E-3</v>
      </c>
      <c r="F202" s="80">
        <f t="shared" si="138"/>
        <v>5.4880791608220448E-3</v>
      </c>
      <c r="G202" s="80">
        <f t="shared" si="138"/>
        <v>9.7547415221618944E-3</v>
      </c>
      <c r="H202" s="80">
        <f t="shared" si="138"/>
        <v>9.828355922197848E-3</v>
      </c>
      <c r="I202" s="80">
        <f t="shared" si="138"/>
        <v>9.828349041246371E-3</v>
      </c>
      <c r="J202" s="80">
        <f t="shared" si="138"/>
        <v>9.8283172569754995E-3</v>
      </c>
      <c r="K202" s="80">
        <f t="shared" si="138"/>
        <v>9.8283659640407608E-3</v>
      </c>
      <c r="L202" s="80">
        <f t="shared" si="138"/>
        <v>9.8288752358021095E-3</v>
      </c>
      <c r="M202" s="80">
        <f t="shared" si="138"/>
        <v>9.8336999699682962E-3</v>
      </c>
      <c r="N202" s="80">
        <f t="shared" si="138"/>
        <v>9.8819704200831422E-3</v>
      </c>
      <c r="O202" s="80">
        <f t="shared" si="138"/>
        <v>1.0351108937094856E-2</v>
      </c>
      <c r="P202" s="80">
        <f t="shared" si="138"/>
        <v>1.3987217251580026E-2</v>
      </c>
      <c r="Q202" s="80">
        <f t="shared" si="138"/>
        <v>2.6568609981926301E-2</v>
      </c>
      <c r="R202" s="80">
        <f t="shared" si="138"/>
        <v>3.2101669651286004E-2</v>
      </c>
      <c r="S202" s="80">
        <f t="shared" si="138"/>
        <v>3.4088840090361762E-2</v>
      </c>
      <c r="T202" s="80">
        <f t="shared" si="138"/>
        <v>3.4729352615490539E-2</v>
      </c>
      <c r="U202" s="80">
        <f t="shared" si="138"/>
        <v>1.260803731078295E-2</v>
      </c>
      <c r="V202" s="80">
        <f t="shared" si="138"/>
        <v>3.3427557649292214E-2</v>
      </c>
      <c r="W202" s="80">
        <f t="shared" si="138"/>
        <v>7.6537677423568054E-2</v>
      </c>
      <c r="X202" s="80">
        <f t="shared" si="138"/>
        <v>0.12047627734820976</v>
      </c>
      <c r="Y202" s="80">
        <f t="shared" si="138"/>
        <v>0.14728580541039935</v>
      </c>
      <c r="Z202" s="80">
        <f t="shared" si="138"/>
        <v>0.16048960365242071</v>
      </c>
      <c r="AA202" s="80">
        <f t="shared" si="138"/>
        <v>0.14574519176608328</v>
      </c>
      <c r="AB202" s="80">
        <f t="shared" si="138"/>
        <v>6.7540459859778426E-2</v>
      </c>
      <c r="AC202" s="80">
        <f t="shared" si="138"/>
        <v>3.1675130474110955E-2</v>
      </c>
      <c r="AD202" s="80">
        <f t="shared" si="138"/>
        <v>0.14841241628227922</v>
      </c>
      <c r="AE202" s="80">
        <f t="shared" si="138"/>
        <v>0.27320953095822176</v>
      </c>
      <c r="AF202" s="80">
        <f t="shared" si="138"/>
        <v>0.35784071291785841</v>
      </c>
    </row>
    <row r="203" spans="1:34" x14ac:dyDescent="0.25">
      <c r="B203" s="21">
        <f>(B170-B169)^2</f>
        <v>385.53124175559714</v>
      </c>
      <c r="C203" s="21">
        <f t="shared" ref="C203:AF203" si="139">(C170-C169)^2</f>
        <v>388.40005474919599</v>
      </c>
      <c r="D203" s="21">
        <f t="shared" si="139"/>
        <v>394.25567529353867</v>
      </c>
      <c r="E203" s="21">
        <f t="shared" si="139"/>
        <v>467.52217307496949</v>
      </c>
      <c r="F203" s="21">
        <f t="shared" si="139"/>
        <v>1289.7095111605972</v>
      </c>
      <c r="G203" s="21">
        <f t="shared" si="139"/>
        <v>4074.5772968794631</v>
      </c>
      <c r="H203" s="21">
        <f t="shared" si="139"/>
        <v>4136.3067094042053</v>
      </c>
      <c r="I203" s="21">
        <f t="shared" si="139"/>
        <v>4136.3008557819248</v>
      </c>
      <c r="J203" s="21">
        <f t="shared" si="139"/>
        <v>4136.2737934112965</v>
      </c>
      <c r="K203" s="21">
        <f t="shared" si="139"/>
        <v>4136.314759578494</v>
      </c>
      <c r="L203" s="21">
        <f t="shared" si="139"/>
        <v>4136.7433058433662</v>
      </c>
      <c r="M203" s="21">
        <f t="shared" si="139"/>
        <v>4140.802069436515</v>
      </c>
      <c r="N203" s="21">
        <f t="shared" si="139"/>
        <v>4181.5199081525725</v>
      </c>
      <c r="O203" s="21">
        <f t="shared" si="139"/>
        <v>4587.603977152331</v>
      </c>
      <c r="P203" s="21">
        <f t="shared" si="139"/>
        <v>8370.0554950857604</v>
      </c>
      <c r="Q203" s="21">
        <f t="shared" si="139"/>
        <v>29978.184674090269</v>
      </c>
      <c r="R203" s="21">
        <f t="shared" si="139"/>
        <v>42088.903245110458</v>
      </c>
      <c r="S203" s="21">
        <f t="shared" si="139"/>
        <v>45249.538643810636</v>
      </c>
      <c r="T203" s="21">
        <f t="shared" si="139"/>
        <v>44065.994759108005</v>
      </c>
      <c r="U203" s="21">
        <f t="shared" si="139"/>
        <v>5161.0286069592603</v>
      </c>
      <c r="V203" s="21">
        <f t="shared" si="139"/>
        <v>30472.658353704217</v>
      </c>
      <c r="W203" s="21">
        <f t="shared" si="139"/>
        <v>131683.72934065474</v>
      </c>
      <c r="X203" s="21">
        <f t="shared" si="139"/>
        <v>269769.90876918304</v>
      </c>
      <c r="Y203" s="21">
        <f t="shared" si="139"/>
        <v>338854.02916315693</v>
      </c>
      <c r="Z203" s="21">
        <f t="shared" si="139"/>
        <v>341122.03242527181</v>
      </c>
      <c r="AA203" s="21">
        <f t="shared" si="139"/>
        <v>237631.15748375593</v>
      </c>
      <c r="AB203" s="21">
        <f t="shared" si="139"/>
        <v>41991.635630767953</v>
      </c>
      <c r="AC203" s="21">
        <f t="shared" si="139"/>
        <v>7064.7197569050968</v>
      </c>
      <c r="AD203" s="21">
        <f t="shared" si="139"/>
        <v>106930.76376547328</v>
      </c>
      <c r="AE203" s="21">
        <f t="shared" si="139"/>
        <v>211542.13965185374</v>
      </c>
      <c r="AF203" s="21">
        <f t="shared" si="139"/>
        <v>160093.24721153625</v>
      </c>
      <c r="AG203" s="3"/>
      <c r="AH203" s="3"/>
    </row>
    <row r="204" spans="1:34" x14ac:dyDescent="0.25">
      <c r="A204" s="71">
        <f>SUM(B204:AF204)</f>
        <v>2092661.5883081013</v>
      </c>
      <c r="B204" s="60">
        <f>IF($A$64&lt;=B168,IF($B$64&gt;=B168,ABS(B203),0),0)</f>
        <v>385.53124175559714</v>
      </c>
      <c r="C204" s="60">
        <f t="shared" ref="C204" si="140">IF($A$64&lt;=C168,IF($B$64&gt;=C168,ABS(C203),0),0)</f>
        <v>388.40005474919599</v>
      </c>
      <c r="D204" s="60">
        <f t="shared" ref="D204" si="141">IF($A$64&lt;=D168,IF($B$64&gt;=D168,ABS(D203),0),0)</f>
        <v>394.25567529353867</v>
      </c>
      <c r="E204" s="60">
        <f t="shared" ref="E204" si="142">IF($A$64&lt;=E168,IF($B$64&gt;=E168,ABS(E203),0),0)</f>
        <v>467.52217307496949</v>
      </c>
      <c r="F204" s="60">
        <f t="shared" ref="F204" si="143">IF($A$64&lt;=F168,IF($B$64&gt;=F168,ABS(F203),0),0)</f>
        <v>1289.7095111605972</v>
      </c>
      <c r="G204" s="60">
        <f t="shared" ref="G204" si="144">IF($A$64&lt;=G168,IF($B$64&gt;=G168,ABS(G203),0),0)</f>
        <v>4074.5772968794631</v>
      </c>
      <c r="H204" s="60">
        <f t="shared" ref="H204" si="145">IF($A$64&lt;=H168,IF($B$64&gt;=H168,ABS(H203),0),0)</f>
        <v>4136.3067094042053</v>
      </c>
      <c r="I204" s="60">
        <f t="shared" ref="I204" si="146">IF($A$64&lt;=I168,IF($B$64&gt;=I168,ABS(I203),0),0)</f>
        <v>4136.3008557819248</v>
      </c>
      <c r="J204" s="60">
        <f t="shared" ref="J204" si="147">IF($A$64&lt;=J168,IF($B$64&gt;=J168,ABS(J203),0),0)</f>
        <v>4136.2737934112965</v>
      </c>
      <c r="K204" s="60">
        <f t="shared" ref="K204" si="148">IF($A$64&lt;=K168,IF($B$64&gt;=K168,ABS(K203),0),0)</f>
        <v>4136.314759578494</v>
      </c>
      <c r="L204" s="60">
        <f t="shared" ref="L204" si="149">IF($A$64&lt;=L168,IF($B$64&gt;=L168,ABS(L203),0),0)</f>
        <v>4136.7433058433662</v>
      </c>
      <c r="M204" s="60">
        <f t="shared" ref="M204" si="150">IF($A$64&lt;=M168,IF($B$64&gt;=M168,ABS(M203),0),0)</f>
        <v>4140.802069436515</v>
      </c>
      <c r="N204" s="60">
        <f t="shared" ref="N204" si="151">IF($A$64&lt;=N168,IF($B$64&gt;=N168,ABS(N203),0),0)</f>
        <v>4181.5199081525725</v>
      </c>
      <c r="O204" s="60">
        <f t="shared" ref="O204" si="152">IF($A$64&lt;=O168,IF($B$64&gt;=O168,ABS(O203),0),0)</f>
        <v>4587.603977152331</v>
      </c>
      <c r="P204" s="60">
        <f t="shared" ref="P204" si="153">IF($A$64&lt;=P168,IF($B$64&gt;=P168,ABS(P203),0),0)</f>
        <v>8370.0554950857604</v>
      </c>
      <c r="Q204" s="60">
        <f t="shared" ref="Q204" si="154">IF($A$64&lt;=Q168,IF($B$64&gt;=Q168,ABS(Q203),0),0)</f>
        <v>29978.184674090269</v>
      </c>
      <c r="R204" s="60">
        <f t="shared" ref="R204" si="155">IF($A$64&lt;=R168,IF($B$64&gt;=R168,ABS(R203),0),0)</f>
        <v>42088.903245110458</v>
      </c>
      <c r="S204" s="60">
        <f t="shared" ref="S204" si="156">IF($A$64&lt;=S168,IF($B$64&gt;=S168,ABS(S203),0),0)</f>
        <v>45249.538643810636</v>
      </c>
      <c r="T204" s="60">
        <f t="shared" ref="T204" si="157">IF($A$64&lt;=T168,IF($B$64&gt;=T168,ABS(T203),0),0)</f>
        <v>44065.994759108005</v>
      </c>
      <c r="U204" s="60">
        <f t="shared" ref="U204" si="158">IF($A$64&lt;=U168,IF($B$64&gt;=U168,ABS(U203),0),0)</f>
        <v>5161.0286069592603</v>
      </c>
      <c r="V204" s="60">
        <f t="shared" ref="V204" si="159">IF($A$64&lt;=V168,IF($B$64&gt;=V168,ABS(V203),0),0)</f>
        <v>30472.658353704217</v>
      </c>
      <c r="W204" s="60">
        <f t="shared" ref="W204" si="160">IF($A$64&lt;=W168,IF($B$64&gt;=W168,ABS(W203),0),0)</f>
        <v>131683.72934065474</v>
      </c>
      <c r="X204" s="60">
        <f t="shared" ref="X204" si="161">IF($A$64&lt;=X168,IF($B$64&gt;=X168,ABS(X203),0),0)</f>
        <v>269769.90876918304</v>
      </c>
      <c r="Y204" s="60">
        <f t="shared" ref="Y204" si="162">IF($A$64&lt;=Y168,IF($B$64&gt;=Y168,ABS(Y203),0),0)</f>
        <v>338854.02916315693</v>
      </c>
      <c r="Z204" s="60">
        <f t="shared" ref="Z204" si="163">IF($A$64&lt;=Z168,IF($B$64&gt;=Z168,ABS(Z203),0),0)</f>
        <v>341122.03242527181</v>
      </c>
      <c r="AA204" s="60">
        <f t="shared" ref="AA204" si="164">IF($A$64&lt;=AA168,IF($B$64&gt;=AA168,ABS(AA203),0),0)</f>
        <v>237631.15748375593</v>
      </c>
      <c r="AB204" s="60">
        <f t="shared" ref="AB204" si="165">IF($A$64&lt;=AB168,IF($B$64&gt;=AB168,ABS(AB203),0),0)</f>
        <v>41991.635630767953</v>
      </c>
      <c r="AC204" s="60">
        <f t="shared" ref="AC204" si="166">IF($A$64&lt;=AC168,IF($B$64&gt;=AC168,ABS(AC203),0),0)</f>
        <v>7064.7197569050968</v>
      </c>
      <c r="AD204" s="60">
        <f t="shared" ref="AD204" si="167">IF($A$64&lt;=AD168,IF($B$64&gt;=AD168,ABS(AD203),0),0)</f>
        <v>106930.76376547328</v>
      </c>
      <c r="AE204" s="60">
        <f t="shared" ref="AE204" si="168">IF($A$64&lt;=AE168,IF($B$64&gt;=AE168,ABS(AE203),0),0)</f>
        <v>211542.13965185374</v>
      </c>
      <c r="AF204" s="60">
        <f t="shared" ref="AF204" si="169">IF($A$64&lt;=AF168,IF($B$64&gt;=AF168,ABS(AF203),0),0)</f>
        <v>160093.24721153625</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6523.9565810169179</v>
      </c>
      <c r="C209" s="27">
        <f t="shared" ref="C209:AF209" si="170">($C$17+SUM(C210:C240))*$B$51</f>
        <v>6522.7535144577269</v>
      </c>
      <c r="D209" s="27">
        <f t="shared" si="170"/>
        <v>6512.3728710272917</v>
      </c>
      <c r="E209" s="27">
        <f t="shared" si="170"/>
        <v>6481.5492081208558</v>
      </c>
      <c r="F209" s="27">
        <f t="shared" si="170"/>
        <v>6479.4176831391878</v>
      </c>
      <c r="G209" s="27">
        <f t="shared" si="170"/>
        <v>6479.4176808352786</v>
      </c>
      <c r="H209" s="27">
        <f t="shared" si="170"/>
        <v>6479.4176577962098</v>
      </c>
      <c r="I209" s="27">
        <f t="shared" si="170"/>
        <v>6479.4174274059369</v>
      </c>
      <c r="J209" s="27">
        <f t="shared" si="170"/>
        <v>6479.4151235446934</v>
      </c>
      <c r="K209" s="27">
        <f t="shared" si="170"/>
        <v>6479.3920890791942</v>
      </c>
      <c r="L209" s="27">
        <f t="shared" si="170"/>
        <v>6479.1621583671404</v>
      </c>
      <c r="M209" s="27">
        <f t="shared" si="170"/>
        <v>6476.9035049294143</v>
      </c>
      <c r="N209" s="27">
        <f t="shared" si="170"/>
        <v>6457.7364418061197</v>
      </c>
      <c r="O209" s="27">
        <f t="shared" si="170"/>
        <v>6371.529759174613</v>
      </c>
      <c r="P209" s="27">
        <f t="shared" si="170"/>
        <v>6208.9773699757206</v>
      </c>
      <c r="Q209" s="27">
        <f t="shared" si="170"/>
        <v>6055.4557577595406</v>
      </c>
      <c r="R209" s="27">
        <f t="shared" si="170"/>
        <v>5866.5005568529723</v>
      </c>
      <c r="S209" s="27">
        <f t="shared" si="170"/>
        <v>5656.4286532416199</v>
      </c>
      <c r="T209" s="27">
        <f t="shared" si="170"/>
        <v>5438.6946913149159</v>
      </c>
      <c r="U209" s="27">
        <f t="shared" si="170"/>
        <v>5145.7656077900865</v>
      </c>
      <c r="V209" s="27">
        <f t="shared" si="170"/>
        <v>4874.2981837501766</v>
      </c>
      <c r="W209" s="27">
        <f t="shared" si="170"/>
        <v>4581.5029486527428</v>
      </c>
      <c r="X209" s="27">
        <f t="shared" si="170"/>
        <v>4276.8385177168075</v>
      </c>
      <c r="Y209" s="27">
        <f t="shared" si="170"/>
        <v>3909.8030878333889</v>
      </c>
      <c r="Z209" s="27">
        <f t="shared" si="170"/>
        <v>3348.2625224091007</v>
      </c>
      <c r="AA209" s="27">
        <f t="shared" si="170"/>
        <v>2692.7445026279374</v>
      </c>
      <c r="AB209" s="27">
        <f t="shared" si="170"/>
        <v>2004.8300709945092</v>
      </c>
      <c r="AC209" s="27">
        <f t="shared" si="170"/>
        <v>1342.6085650937302</v>
      </c>
      <c r="AD209" s="27">
        <f t="shared" si="170"/>
        <v>804.50175576071354</v>
      </c>
      <c r="AE209" s="27">
        <f t="shared" si="170"/>
        <v>476.62295544722468</v>
      </c>
      <c r="AF209" s="27">
        <f t="shared" si="170"/>
        <v>241.73928404344019</v>
      </c>
      <c r="AG209" s="27"/>
      <c r="AH209" s="27"/>
    </row>
    <row r="210" spans="1:34" x14ac:dyDescent="0.25">
      <c r="B210" s="3">
        <f t="shared" ref="B210:AF210" si="171">$C18*EXP(-B$207/$A18/EXP(-$D$126))</f>
        <v>6.8268343815074128E-3</v>
      </c>
      <c r="C210" s="3">
        <f t="shared" si="171"/>
        <v>6.6424307122091714E-3</v>
      </c>
      <c r="D210" s="3">
        <f t="shared" si="171"/>
        <v>5.0513061617286272E-3</v>
      </c>
      <c r="E210" s="3">
        <f t="shared" si="171"/>
        <v>3.2671590977948226E-4</v>
      </c>
      <c r="F210" s="3">
        <f t="shared" si="171"/>
        <v>4.1863563828702348E-16</v>
      </c>
      <c r="G210" s="3">
        <f t="shared" si="171"/>
        <v>4.9945381136810696E-135</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4.130669902205856E-3</v>
      </c>
      <c r="C214" s="3">
        <f t="shared" si="175"/>
        <v>4.1306699021845875E-3</v>
      </c>
      <c r="D214" s="3">
        <f t="shared" si="175"/>
        <v>4.1306699019718982E-3</v>
      </c>
      <c r="E214" s="3">
        <f t="shared" si="175"/>
        <v>4.1306698998450084E-3</v>
      </c>
      <c r="F214" s="3">
        <f t="shared" si="175"/>
        <v>4.130669878576112E-3</v>
      </c>
      <c r="G214" s="3">
        <f t="shared" si="175"/>
        <v>4.130669665887151E-3</v>
      </c>
      <c r="H214" s="3">
        <f t="shared" si="175"/>
        <v>4.1306675389981432E-3</v>
      </c>
      <c r="I214" s="3">
        <f t="shared" si="175"/>
        <v>4.1306462701682948E-3</v>
      </c>
      <c r="J214" s="3">
        <f t="shared" si="175"/>
        <v>4.1304335878929489E-3</v>
      </c>
      <c r="K214" s="3">
        <f t="shared" si="175"/>
        <v>4.1283073673387283E-3</v>
      </c>
      <c r="L214" s="3">
        <f t="shared" si="175"/>
        <v>4.1071052671503901E-3</v>
      </c>
      <c r="M214" s="3">
        <f t="shared" si="175"/>
        <v>3.9009818517431265E-3</v>
      </c>
      <c r="N214" s="3">
        <f t="shared" si="175"/>
        <v>2.3310677009754956E-3</v>
      </c>
      <c r="O214" s="3">
        <f t="shared" si="175"/>
        <v>1.3532076891251335E-5</v>
      </c>
      <c r="P214" s="3">
        <f t="shared" si="175"/>
        <v>5.8811215654935416E-28</v>
      </c>
      <c r="Q214" s="3">
        <f t="shared" si="175"/>
        <v>1.413894983811127E-251</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2.7997525232424297E-2</v>
      </c>
      <c r="C215" s="3">
        <f t="shared" si="176"/>
        <v>2.7997525232411294E-2</v>
      </c>
      <c r="D215" s="3">
        <f t="shared" si="176"/>
        <v>2.7997525232281249E-2</v>
      </c>
      <c r="E215" s="3">
        <f t="shared" si="176"/>
        <v>2.799752523098081E-2</v>
      </c>
      <c r="F215" s="3">
        <f t="shared" si="176"/>
        <v>2.7997525217976396E-2</v>
      </c>
      <c r="G215" s="3">
        <f t="shared" si="176"/>
        <v>2.7997525087932282E-2</v>
      </c>
      <c r="H215" s="3">
        <f t="shared" si="176"/>
        <v>2.7997523787491152E-2</v>
      </c>
      <c r="I215" s="3">
        <f t="shared" si="176"/>
        <v>2.7997510783083181E-2</v>
      </c>
      <c r="J215" s="3">
        <f t="shared" si="176"/>
        <v>2.7997380739335689E-2</v>
      </c>
      <c r="K215" s="3">
        <f t="shared" si="176"/>
        <v>2.7996080335082042E-2</v>
      </c>
      <c r="L215" s="3">
        <f t="shared" si="176"/>
        <v>2.7983079614101215E-2</v>
      </c>
      <c r="M215" s="3">
        <f t="shared" si="176"/>
        <v>2.7853403989728E-2</v>
      </c>
      <c r="N215" s="3">
        <f t="shared" si="176"/>
        <v>2.6589243440253662E-2</v>
      </c>
      <c r="O215" s="3">
        <f t="shared" si="176"/>
        <v>1.671025203141014E-2</v>
      </c>
      <c r="P215" s="3">
        <f t="shared" si="176"/>
        <v>1.606028319949775E-4</v>
      </c>
      <c r="Q215" s="3">
        <f t="shared" si="176"/>
        <v>1.0800781715990562E-24</v>
      </c>
      <c r="R215" s="3">
        <f t="shared" si="176"/>
        <v>2.0439726871005236E-226</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2.1979597631006386E-2</v>
      </c>
      <c r="C216" s="3">
        <f t="shared" si="177"/>
        <v>2.1979597631005467E-2</v>
      </c>
      <c r="D216" s="3">
        <f t="shared" si="177"/>
        <v>2.1979597630996259E-2</v>
      </c>
      <c r="E216" s="3">
        <f t="shared" si="177"/>
        <v>2.1979597630904162E-2</v>
      </c>
      <c r="F216" s="3">
        <f t="shared" si="177"/>
        <v>2.1979597629983208E-2</v>
      </c>
      <c r="G216" s="3">
        <f t="shared" si="177"/>
        <v>2.1979597620773679E-2</v>
      </c>
      <c r="H216" s="3">
        <f t="shared" si="177"/>
        <v>2.1979597528678396E-2</v>
      </c>
      <c r="I216" s="3">
        <f t="shared" si="177"/>
        <v>2.1979596607725575E-2</v>
      </c>
      <c r="J216" s="3">
        <f t="shared" si="177"/>
        <v>2.1979587398199506E-2</v>
      </c>
      <c r="K216" s="3">
        <f t="shared" si="177"/>
        <v>2.1979495303151034E-2</v>
      </c>
      <c r="L216" s="3">
        <f t="shared" si="177"/>
        <v>2.1978574373889469E-2</v>
      </c>
      <c r="M216" s="3">
        <f t="shared" si="177"/>
        <v>2.1969367203261852E-2</v>
      </c>
      <c r="N216" s="3">
        <f t="shared" si="177"/>
        <v>2.1877507367182445E-2</v>
      </c>
      <c r="O216" s="3">
        <f t="shared" si="177"/>
        <v>2.0979771209802746E-2</v>
      </c>
      <c r="P216" s="3">
        <f t="shared" si="177"/>
        <v>1.3798435187434727E-2</v>
      </c>
      <c r="Q216" s="3">
        <f t="shared" si="177"/>
        <v>2.0898770660744494E-4</v>
      </c>
      <c r="R216" s="3">
        <f t="shared" si="177"/>
        <v>1.3274854250365268E-22</v>
      </c>
      <c r="S216" s="3">
        <f t="shared" si="177"/>
        <v>1.4194495946992154E-204</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2.8250918359936445E-2</v>
      </c>
      <c r="C217" s="3">
        <f t="shared" si="178"/>
        <v>2.8250918359936341E-2</v>
      </c>
      <c r="D217" s="3">
        <f t="shared" si="178"/>
        <v>2.8250918359935272E-2</v>
      </c>
      <c r="E217" s="3">
        <f t="shared" si="178"/>
        <v>2.8250918359924593E-2</v>
      </c>
      <c r="F217" s="3">
        <f t="shared" si="178"/>
        <v>2.8250918359817811E-2</v>
      </c>
      <c r="G217" s="3">
        <f t="shared" si="178"/>
        <v>2.8250918358749998E-2</v>
      </c>
      <c r="H217" s="3">
        <f t="shared" si="178"/>
        <v>2.8250918348071825E-2</v>
      </c>
      <c r="I217" s="3">
        <f t="shared" si="178"/>
        <v>2.825091824129013E-2</v>
      </c>
      <c r="J217" s="3">
        <f t="shared" si="178"/>
        <v>2.8250917173473191E-2</v>
      </c>
      <c r="K217" s="3">
        <f t="shared" si="178"/>
        <v>2.8250906495306014E-2</v>
      </c>
      <c r="L217" s="3">
        <f t="shared" si="178"/>
        <v>2.8250799713856245E-2</v>
      </c>
      <c r="M217" s="3">
        <f t="shared" si="178"/>
        <v>2.8249731921556689E-2</v>
      </c>
      <c r="N217" s="3">
        <f t="shared" si="178"/>
        <v>2.8239056218066882E-2</v>
      </c>
      <c r="O217" s="3">
        <f t="shared" si="178"/>
        <v>2.8132520823653952E-2</v>
      </c>
      <c r="P217" s="3">
        <f t="shared" si="178"/>
        <v>2.7089024070226744E-2</v>
      </c>
      <c r="Q217" s="3">
        <f t="shared" si="178"/>
        <v>1.8562670680584162E-2</v>
      </c>
      <c r="R217" s="3">
        <f t="shared" si="178"/>
        <v>4.2375171458350363E-4</v>
      </c>
      <c r="S217" s="3">
        <f t="shared" si="178"/>
        <v>1.6286267118896116E-20</v>
      </c>
      <c r="T217" s="3">
        <f t="shared" si="178"/>
        <v>1.145308291716303E-184</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3.4437903010475883E-2</v>
      </c>
      <c r="C218" s="3">
        <f t="shared" si="179"/>
        <v>3.4437903010475869E-2</v>
      </c>
      <c r="D218" s="3">
        <f t="shared" si="179"/>
        <v>3.4437903010475751E-2</v>
      </c>
      <c r="E218" s="3">
        <f t="shared" si="179"/>
        <v>3.4437903010474578E-2</v>
      </c>
      <c r="F218" s="3">
        <f t="shared" si="179"/>
        <v>3.4437903010462838E-2</v>
      </c>
      <c r="G218" s="3">
        <f t="shared" si="179"/>
        <v>3.4437903010345411E-2</v>
      </c>
      <c r="H218" s="3">
        <f t="shared" si="179"/>
        <v>3.4437903009171197E-2</v>
      </c>
      <c r="I218" s="3">
        <f t="shared" si="179"/>
        <v>3.4437902997429048E-2</v>
      </c>
      <c r="J218" s="3">
        <f t="shared" si="179"/>
        <v>3.4437902880007573E-2</v>
      </c>
      <c r="K218" s="3">
        <f t="shared" si="179"/>
        <v>3.4437901705792841E-2</v>
      </c>
      <c r="L218" s="3">
        <f t="shared" si="179"/>
        <v>3.4437889963647675E-2</v>
      </c>
      <c r="M218" s="3">
        <f t="shared" si="179"/>
        <v>3.4437772542416263E-2</v>
      </c>
      <c r="N218" s="3">
        <f t="shared" si="179"/>
        <v>3.4436598352121962E-2</v>
      </c>
      <c r="O218" s="3">
        <f t="shared" si="179"/>
        <v>3.4424858650889359E-2</v>
      </c>
      <c r="P218" s="3">
        <f t="shared" si="179"/>
        <v>3.4307681532090711E-2</v>
      </c>
      <c r="Q218" s="3">
        <f t="shared" si="179"/>
        <v>3.3157624796913109E-2</v>
      </c>
      <c r="R218" s="3">
        <f t="shared" si="179"/>
        <v>2.3577830521036069E-2</v>
      </c>
      <c r="S218" s="3">
        <f t="shared" si="179"/>
        <v>7.793061961396462E-4</v>
      </c>
      <c r="T218" s="3">
        <f t="shared" si="179"/>
        <v>1.2126933763185736E-18</v>
      </c>
      <c r="U218" s="3">
        <f t="shared" si="179"/>
        <v>1.0096707329433791E-166</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2.9401070007452231E-2</v>
      </c>
      <c r="C219" s="3">
        <f t="shared" si="180"/>
        <v>2.9401070007452231E-2</v>
      </c>
      <c r="D219" s="3">
        <f t="shared" si="180"/>
        <v>2.9401070007452221E-2</v>
      </c>
      <c r="E219" s="3">
        <f t="shared" si="180"/>
        <v>2.9401070007452131E-2</v>
      </c>
      <c r="F219" s="3">
        <f t="shared" si="180"/>
        <v>2.9401070007451225E-2</v>
      </c>
      <c r="G219" s="3">
        <f t="shared" si="180"/>
        <v>2.9401070007442184E-2</v>
      </c>
      <c r="H219" s="3">
        <f t="shared" si="180"/>
        <v>2.9401070007351749E-2</v>
      </c>
      <c r="I219" s="3">
        <f t="shared" si="180"/>
        <v>2.9401070006447434E-2</v>
      </c>
      <c r="J219" s="3">
        <f t="shared" si="180"/>
        <v>2.9401069997404265E-2</v>
      </c>
      <c r="K219" s="3">
        <f t="shared" si="180"/>
        <v>2.9401069906972593E-2</v>
      </c>
      <c r="L219" s="3">
        <f t="shared" si="180"/>
        <v>2.9401069002655884E-2</v>
      </c>
      <c r="M219" s="3">
        <f t="shared" si="180"/>
        <v>2.9401059959490314E-2</v>
      </c>
      <c r="N219" s="3">
        <f t="shared" si="180"/>
        <v>2.9400969527987576E-2</v>
      </c>
      <c r="O219" s="3">
        <f t="shared" si="180"/>
        <v>2.9400065228258224E-2</v>
      </c>
      <c r="P219" s="3">
        <f t="shared" si="180"/>
        <v>2.9391023760592508E-2</v>
      </c>
      <c r="Q219" s="3">
        <f t="shared" si="180"/>
        <v>2.9300761872779513E-2</v>
      </c>
      <c r="R219" s="3">
        <f t="shared" si="180"/>
        <v>2.8413249419899474E-2</v>
      </c>
      <c r="S219" s="3">
        <f t="shared" si="180"/>
        <v>2.0890114069103412E-2</v>
      </c>
      <c r="T219" s="3">
        <f t="shared" si="180"/>
        <v>9.6413952799393734E-4</v>
      </c>
      <c r="U219" s="3">
        <f t="shared" si="180"/>
        <v>4.2279579520845573E-17</v>
      </c>
      <c r="V219" s="3">
        <f t="shared" si="180"/>
        <v>1.1118299517243396E-150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4.9041908611543852E-2</v>
      </c>
      <c r="C220" s="3">
        <f t="shared" si="181"/>
        <v>4.9041908611543852E-2</v>
      </c>
      <c r="D220" s="3">
        <f t="shared" si="181"/>
        <v>4.9041908611543852E-2</v>
      </c>
      <c r="E220" s="3">
        <f t="shared" si="181"/>
        <v>4.9041908611543839E-2</v>
      </c>
      <c r="F220" s="3">
        <f t="shared" si="181"/>
        <v>4.90419086115437E-2</v>
      </c>
      <c r="G220" s="3">
        <f t="shared" si="181"/>
        <v>4.904190861154234E-2</v>
      </c>
      <c r="H220" s="3">
        <f t="shared" si="181"/>
        <v>4.9041908611528733E-2</v>
      </c>
      <c r="I220" s="3">
        <f t="shared" si="181"/>
        <v>4.9041908611392661E-2</v>
      </c>
      <c r="J220" s="3">
        <f t="shared" si="181"/>
        <v>4.9041908610031937E-2</v>
      </c>
      <c r="K220" s="3">
        <f t="shared" si="181"/>
        <v>4.9041908596424648E-2</v>
      </c>
      <c r="L220" s="3">
        <f t="shared" si="181"/>
        <v>4.9041908460351828E-2</v>
      </c>
      <c r="M220" s="3">
        <f t="shared" si="181"/>
        <v>4.9041907099623666E-2</v>
      </c>
      <c r="N220" s="3">
        <f t="shared" si="181"/>
        <v>4.9041893492344057E-2</v>
      </c>
      <c r="O220" s="3">
        <f t="shared" si="181"/>
        <v>4.9041757419755652E-2</v>
      </c>
      <c r="P220" s="3">
        <f t="shared" si="181"/>
        <v>4.9040396714636662E-2</v>
      </c>
      <c r="Q220" s="3">
        <f t="shared" si="181"/>
        <v>4.9026791739739346E-2</v>
      </c>
      <c r="R220" s="3">
        <f t="shared" si="181"/>
        <v>4.8890949407028331E-2</v>
      </c>
      <c r="S220" s="3">
        <f t="shared" si="181"/>
        <v>4.7553056341514785E-2</v>
      </c>
      <c r="T220" s="3">
        <f t="shared" si="181"/>
        <v>3.6031146313503196E-2</v>
      </c>
      <c r="U220" s="3">
        <f t="shared" si="181"/>
        <v>2.2473696875767541E-3</v>
      </c>
      <c r="V220" s="3">
        <f t="shared" si="181"/>
        <v>2.0028061436419052E-15</v>
      </c>
      <c r="W220" s="3">
        <f t="shared" si="181"/>
        <v>6.3282390460467074E-136</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4.178985908034704E-2</v>
      </c>
      <c r="C221" s="3">
        <f t="shared" si="182"/>
        <v>4.178985908034704E-2</v>
      </c>
      <c r="D221" s="3">
        <f t="shared" si="182"/>
        <v>4.178985908034704E-2</v>
      </c>
      <c r="E221" s="3">
        <f t="shared" si="182"/>
        <v>4.178985908034704E-2</v>
      </c>
      <c r="F221" s="3">
        <f t="shared" si="182"/>
        <v>4.1789859080347026E-2</v>
      </c>
      <c r="G221" s="3">
        <f t="shared" si="182"/>
        <v>4.1789859080346922E-2</v>
      </c>
      <c r="H221" s="3">
        <f t="shared" si="182"/>
        <v>4.1789859080345881E-2</v>
      </c>
      <c r="I221" s="3">
        <f t="shared" si="182"/>
        <v>4.1789859080335418E-2</v>
      </c>
      <c r="J221" s="3">
        <f t="shared" si="182"/>
        <v>4.1789859080230821E-2</v>
      </c>
      <c r="K221" s="3">
        <f t="shared" si="182"/>
        <v>4.1789859079184845E-2</v>
      </c>
      <c r="L221" s="3">
        <f t="shared" si="182"/>
        <v>4.1789859068725094E-2</v>
      </c>
      <c r="M221" s="3">
        <f t="shared" si="182"/>
        <v>4.1789858964127541E-2</v>
      </c>
      <c r="N221" s="3">
        <f t="shared" si="182"/>
        <v>4.178985791815204E-2</v>
      </c>
      <c r="O221" s="3">
        <f t="shared" si="182"/>
        <v>4.1789847458398539E-2</v>
      </c>
      <c r="P221" s="3">
        <f t="shared" si="182"/>
        <v>4.1789742861007499E-2</v>
      </c>
      <c r="Q221" s="3">
        <f t="shared" si="182"/>
        <v>4.1788696901496038E-2</v>
      </c>
      <c r="R221" s="3">
        <f t="shared" si="182"/>
        <v>4.1778238746141436E-2</v>
      </c>
      <c r="S221" s="3">
        <f t="shared" si="182"/>
        <v>4.1673801035358331E-2</v>
      </c>
      <c r="T221" s="3">
        <f t="shared" si="182"/>
        <v>4.0643675879884898E-2</v>
      </c>
      <c r="U221" s="3">
        <f t="shared" si="182"/>
        <v>3.164401877654989E-2</v>
      </c>
      <c r="V221" s="3">
        <f t="shared" si="182"/>
        <v>2.5898712550450464E-3</v>
      </c>
      <c r="W221" s="3">
        <f t="shared" si="182"/>
        <v>3.4925577367481863E-14</v>
      </c>
      <c r="X221" s="3">
        <f t="shared" si="182"/>
        <v>6.9470077491427936E-123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4.6925793493946939E-2</v>
      </c>
      <c r="C222" s="3">
        <f t="shared" si="183"/>
        <v>4.6925793493946939E-2</v>
      </c>
      <c r="D222" s="3">
        <f t="shared" si="183"/>
        <v>4.6925793493946939E-2</v>
      </c>
      <c r="E222" s="3">
        <f t="shared" si="183"/>
        <v>4.6925793493946939E-2</v>
      </c>
      <c r="F222" s="3">
        <f t="shared" si="183"/>
        <v>4.6925793493946939E-2</v>
      </c>
      <c r="G222" s="3">
        <f t="shared" si="183"/>
        <v>4.6925793493946925E-2</v>
      </c>
      <c r="H222" s="3">
        <f t="shared" si="183"/>
        <v>4.6925793493946821E-2</v>
      </c>
      <c r="I222" s="3">
        <f t="shared" si="183"/>
        <v>4.692579349394576E-2</v>
      </c>
      <c r="J222" s="3">
        <f t="shared" si="183"/>
        <v>4.6925793493935164E-2</v>
      </c>
      <c r="K222" s="3">
        <f t="shared" si="183"/>
        <v>4.6925793493829214E-2</v>
      </c>
      <c r="L222" s="3">
        <f t="shared" si="183"/>
        <v>4.6925793492769693E-2</v>
      </c>
      <c r="M222" s="3">
        <f t="shared" si="183"/>
        <v>4.6925793482174502E-2</v>
      </c>
      <c r="N222" s="3">
        <f t="shared" si="183"/>
        <v>4.6925793376222588E-2</v>
      </c>
      <c r="O222" s="3">
        <f t="shared" si="183"/>
        <v>4.6925792316703414E-2</v>
      </c>
      <c r="P222" s="3">
        <f t="shared" si="183"/>
        <v>4.6925781721513009E-2</v>
      </c>
      <c r="Q222" s="3">
        <f t="shared" si="183"/>
        <v>4.6925675769740514E-2</v>
      </c>
      <c r="R222" s="3">
        <f t="shared" si="183"/>
        <v>4.6924616265172879E-2</v>
      </c>
      <c r="S222" s="3">
        <f t="shared" si="183"/>
        <v>4.6914022535110241E-2</v>
      </c>
      <c r="T222" s="3">
        <f t="shared" si="183"/>
        <v>4.6808216686017701E-2</v>
      </c>
      <c r="U222" s="3">
        <f t="shared" si="183"/>
        <v>4.5763194192822765E-2</v>
      </c>
      <c r="V222" s="3">
        <f t="shared" si="183"/>
        <v>3.6513937920459032E-2</v>
      </c>
      <c r="W222" s="3">
        <f t="shared" si="183"/>
        <v>3.8184059916359222E-3</v>
      </c>
      <c r="X222" s="3">
        <f t="shared" si="183"/>
        <v>5.9719532953205386E-13</v>
      </c>
      <c r="Y222" s="3">
        <f t="shared" si="183"/>
        <v>5.2294907628274205E-111</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4.7062467056075051E-2</v>
      </c>
      <c r="C223" s="3">
        <f t="shared" si="184"/>
        <v>4.7062467056075051E-2</v>
      </c>
      <c r="D223" s="3">
        <f t="shared" si="184"/>
        <v>4.7062467056075051E-2</v>
      </c>
      <c r="E223" s="3">
        <f t="shared" si="184"/>
        <v>4.7062467056075051E-2</v>
      </c>
      <c r="F223" s="3">
        <f t="shared" si="184"/>
        <v>4.7062467056075051E-2</v>
      </c>
      <c r="G223" s="3">
        <f t="shared" si="184"/>
        <v>4.7062467056075051E-2</v>
      </c>
      <c r="H223" s="3">
        <f t="shared" si="184"/>
        <v>4.7062467056075037E-2</v>
      </c>
      <c r="I223" s="3">
        <f t="shared" si="184"/>
        <v>4.7062467056074947E-2</v>
      </c>
      <c r="J223" s="3">
        <f t="shared" si="184"/>
        <v>4.7062467056073982E-2</v>
      </c>
      <c r="K223" s="3">
        <f t="shared" si="184"/>
        <v>4.70624670560644E-2</v>
      </c>
      <c r="L223" s="3">
        <f t="shared" si="184"/>
        <v>4.7062467055968546E-2</v>
      </c>
      <c r="M223" s="3">
        <f t="shared" si="184"/>
        <v>4.7062467055009986E-2</v>
      </c>
      <c r="N223" s="3">
        <f t="shared" si="184"/>
        <v>4.7062467045424404E-2</v>
      </c>
      <c r="O223" s="3">
        <f t="shared" si="184"/>
        <v>4.7062466949568588E-2</v>
      </c>
      <c r="P223" s="3">
        <f t="shared" si="184"/>
        <v>4.706246599101041E-2</v>
      </c>
      <c r="Q223" s="3">
        <f t="shared" si="184"/>
        <v>4.7062456405429727E-2</v>
      </c>
      <c r="R223" s="3">
        <f t="shared" si="184"/>
        <v>4.7062360549730273E-2</v>
      </c>
      <c r="S223" s="3">
        <f t="shared" si="184"/>
        <v>4.7061402003473668E-2</v>
      </c>
      <c r="T223" s="3">
        <f t="shared" si="184"/>
        <v>4.7051817614621613E-2</v>
      </c>
      <c r="U223" s="3">
        <f t="shared" si="184"/>
        <v>4.6956081016624629E-2</v>
      </c>
      <c r="V223" s="3">
        <f t="shared" si="184"/>
        <v>4.6009363672632433E-2</v>
      </c>
      <c r="W223" s="3">
        <f t="shared" si="184"/>
        <v>3.7530993642208764E-2</v>
      </c>
      <c r="X223" s="3">
        <f t="shared" si="184"/>
        <v>4.8958535735872258E-3</v>
      </c>
      <c r="Y223" s="3">
        <f t="shared" si="184"/>
        <v>6.98573324209017E-12</v>
      </c>
      <c r="Z223" s="3">
        <f t="shared" si="184"/>
        <v>2.4436993326342446E-100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5.1874996245126884E-2</v>
      </c>
      <c r="C224" s="3">
        <f t="shared" si="185"/>
        <v>5.1874996245126884E-2</v>
      </c>
      <c r="D224" s="3">
        <f t="shared" si="185"/>
        <v>5.1874996245126884E-2</v>
      </c>
      <c r="E224" s="3">
        <f t="shared" si="185"/>
        <v>5.1874996245126884E-2</v>
      </c>
      <c r="F224" s="3">
        <f t="shared" si="185"/>
        <v>5.1874996245126884E-2</v>
      </c>
      <c r="G224" s="3">
        <f t="shared" si="185"/>
        <v>5.1874996245126884E-2</v>
      </c>
      <c r="H224" s="3">
        <f t="shared" si="185"/>
        <v>5.1874996245126884E-2</v>
      </c>
      <c r="I224" s="3">
        <f t="shared" si="185"/>
        <v>5.187499624512687E-2</v>
      </c>
      <c r="J224" s="3">
        <f t="shared" si="185"/>
        <v>5.187499624512678E-2</v>
      </c>
      <c r="K224" s="3">
        <f t="shared" si="185"/>
        <v>5.1874996245125822E-2</v>
      </c>
      <c r="L224" s="3">
        <f t="shared" si="185"/>
        <v>5.1874996245116295E-2</v>
      </c>
      <c r="M224" s="3">
        <f t="shared" si="185"/>
        <v>5.1874996245020982E-2</v>
      </c>
      <c r="N224" s="3">
        <f t="shared" si="185"/>
        <v>5.1874996244067863E-2</v>
      </c>
      <c r="O224" s="3">
        <f t="shared" si="185"/>
        <v>5.187499623453664E-2</v>
      </c>
      <c r="P224" s="3">
        <f t="shared" si="185"/>
        <v>5.1874996139224451E-2</v>
      </c>
      <c r="Q224" s="3">
        <f t="shared" si="185"/>
        <v>5.1874995186102529E-2</v>
      </c>
      <c r="R224" s="3">
        <f t="shared" si="185"/>
        <v>5.1874985654884333E-2</v>
      </c>
      <c r="S224" s="3">
        <f t="shared" si="185"/>
        <v>5.187489034279865E-2</v>
      </c>
      <c r="T224" s="3">
        <f t="shared" si="185"/>
        <v>5.1873937231573415E-2</v>
      </c>
      <c r="U224" s="3">
        <f t="shared" si="185"/>
        <v>5.1864407082415229E-2</v>
      </c>
      <c r="V224" s="3">
        <f t="shared" si="185"/>
        <v>5.1769201834804171E-2</v>
      </c>
      <c r="W224" s="3">
        <f t="shared" si="185"/>
        <v>5.0826708647788481E-2</v>
      </c>
      <c r="X224" s="3">
        <f t="shared" si="185"/>
        <v>4.2295792648427248E-2</v>
      </c>
      <c r="Y224" s="3">
        <f t="shared" si="185"/>
        <v>6.7351764587657474E-3</v>
      </c>
      <c r="Z224" s="3">
        <f t="shared" si="185"/>
        <v>7.0610141341668244E-11</v>
      </c>
      <c r="AA224" s="3">
        <f t="shared" si="185"/>
        <v>1.1325257982207844E-90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9.3719085133360594E-2</v>
      </c>
      <c r="C225" s="3">
        <f t="shared" si="186"/>
        <v>9.3719085133360594E-2</v>
      </c>
      <c r="D225" s="3">
        <f t="shared" si="186"/>
        <v>9.3719085133360594E-2</v>
      </c>
      <c r="E225" s="3">
        <f t="shared" si="186"/>
        <v>9.3719085133360594E-2</v>
      </c>
      <c r="F225" s="3">
        <f t="shared" si="186"/>
        <v>9.3719085133360594E-2</v>
      </c>
      <c r="G225" s="3">
        <f t="shared" si="186"/>
        <v>9.3719085133360594E-2</v>
      </c>
      <c r="H225" s="3">
        <f t="shared" si="186"/>
        <v>9.3719085133360594E-2</v>
      </c>
      <c r="I225" s="3">
        <f t="shared" si="186"/>
        <v>9.3719085133360594E-2</v>
      </c>
      <c r="J225" s="3">
        <f t="shared" si="186"/>
        <v>9.371908513336058E-2</v>
      </c>
      <c r="K225" s="3">
        <f t="shared" si="186"/>
        <v>9.3719085133360414E-2</v>
      </c>
      <c r="L225" s="3">
        <f t="shared" si="186"/>
        <v>9.3719085133358873E-2</v>
      </c>
      <c r="M225" s="3">
        <f t="shared" si="186"/>
        <v>9.371908513334333E-2</v>
      </c>
      <c r="N225" s="3">
        <f t="shared" si="186"/>
        <v>9.3719085133187996E-2</v>
      </c>
      <c r="O225" s="3">
        <f t="shared" si="186"/>
        <v>9.3719085131634669E-2</v>
      </c>
      <c r="P225" s="3">
        <f t="shared" si="186"/>
        <v>9.3719085116101317E-2</v>
      </c>
      <c r="Q225" s="3">
        <f t="shared" si="186"/>
        <v>9.3719084960767862E-2</v>
      </c>
      <c r="R225" s="3">
        <f t="shared" si="186"/>
        <v>9.371908340743329E-2</v>
      </c>
      <c r="S225" s="3">
        <f t="shared" si="186"/>
        <v>9.3719067874088943E-2</v>
      </c>
      <c r="T225" s="3">
        <f t="shared" si="186"/>
        <v>9.3718912540787069E-2</v>
      </c>
      <c r="U225" s="3">
        <f t="shared" si="186"/>
        <v>9.3717359221928268E-2</v>
      </c>
      <c r="V225" s="3">
        <f t="shared" si="186"/>
        <v>9.3701827449248487E-2</v>
      </c>
      <c r="W225" s="3">
        <f t="shared" si="186"/>
        <v>9.3546651226474431E-2</v>
      </c>
      <c r="X225" s="3">
        <f t="shared" si="186"/>
        <v>9.2008953006920233E-2</v>
      </c>
      <c r="Y225" s="3">
        <f t="shared" si="186"/>
        <v>7.7955816343053666E-2</v>
      </c>
      <c r="Z225" s="3">
        <f t="shared" si="186"/>
        <v>1.4860481237180753E-2</v>
      </c>
      <c r="AA225" s="3">
        <f t="shared" si="186"/>
        <v>9.4162151486308623E-10</v>
      </c>
      <c r="AB225" s="3">
        <f t="shared" si="186"/>
        <v>9.8245205688189149E-82</v>
      </c>
      <c r="AC225" s="3">
        <f t="shared" si="186"/>
        <v>0</v>
      </c>
      <c r="AD225" s="3">
        <f t="shared" si="186"/>
        <v>0</v>
      </c>
      <c r="AE225" s="3">
        <f t="shared" si="186"/>
        <v>0</v>
      </c>
      <c r="AF225" s="3">
        <f t="shared" si="186"/>
        <v>0</v>
      </c>
      <c r="AG225" s="3"/>
      <c r="AH225" s="3"/>
    </row>
    <row r="226" spans="2:34" x14ac:dyDescent="0.25">
      <c r="B226" s="3">
        <f t="shared" ref="B226:AF226" si="187">$C34*EXP(-B$207/$A34/EXP(-$D$126))</f>
        <v>0.10682658591512105</v>
      </c>
      <c r="C226" s="3">
        <f t="shared" si="187"/>
        <v>0.10682658591512105</v>
      </c>
      <c r="D226" s="3">
        <f t="shared" si="187"/>
        <v>0.10682658591512105</v>
      </c>
      <c r="E226" s="3">
        <f t="shared" si="187"/>
        <v>0.10682658591512105</v>
      </c>
      <c r="F226" s="3">
        <f t="shared" si="187"/>
        <v>0.10682658591512105</v>
      </c>
      <c r="G226" s="3">
        <f t="shared" si="187"/>
        <v>0.10682658591512105</v>
      </c>
      <c r="H226" s="3">
        <f t="shared" si="187"/>
        <v>0.10682658591512105</v>
      </c>
      <c r="I226" s="3">
        <f t="shared" si="187"/>
        <v>0.10682658591512105</v>
      </c>
      <c r="J226" s="3">
        <f t="shared" si="187"/>
        <v>0.10682658591512105</v>
      </c>
      <c r="K226" s="3">
        <f t="shared" si="187"/>
        <v>0.10682658591512104</v>
      </c>
      <c r="L226" s="3">
        <f t="shared" si="187"/>
        <v>0.10682658591512087</v>
      </c>
      <c r="M226" s="3">
        <f t="shared" si="187"/>
        <v>0.10682658591511927</v>
      </c>
      <c r="N226" s="3">
        <f t="shared" si="187"/>
        <v>0.1068265859151033</v>
      </c>
      <c r="O226" s="3">
        <f t="shared" si="187"/>
        <v>0.10682658591494358</v>
      </c>
      <c r="P226" s="3">
        <f t="shared" si="187"/>
        <v>0.10682658591334637</v>
      </c>
      <c r="Q226" s="3">
        <f t="shared" si="187"/>
        <v>0.10682658589737423</v>
      </c>
      <c r="R226" s="3">
        <f t="shared" si="187"/>
        <v>0.1068265857376529</v>
      </c>
      <c r="S226" s="3">
        <f t="shared" si="187"/>
        <v>0.10682658414043963</v>
      </c>
      <c r="T226" s="3">
        <f t="shared" si="187"/>
        <v>0.10682656816830827</v>
      </c>
      <c r="U226" s="3">
        <f t="shared" si="187"/>
        <v>0.10682640844712589</v>
      </c>
      <c r="V226" s="3">
        <f t="shared" si="187"/>
        <v>0.10682481124843642</v>
      </c>
      <c r="W226" s="3">
        <f t="shared" si="187"/>
        <v>0.10680884057489781</v>
      </c>
      <c r="X226" s="3">
        <f t="shared" si="187"/>
        <v>0.10664926510248841</v>
      </c>
      <c r="Y226" s="3">
        <f t="shared" si="187"/>
        <v>0.10506656435037061</v>
      </c>
      <c r="Z226" s="3">
        <f t="shared" si="187"/>
        <v>9.0475537372455631E-2</v>
      </c>
      <c r="AA226" s="3">
        <f t="shared" si="187"/>
        <v>2.0286053756184912E-2</v>
      </c>
      <c r="AB226" s="3">
        <f t="shared" si="187"/>
        <v>6.5142073682344236E-9</v>
      </c>
      <c r="AC226" s="3">
        <f t="shared" si="187"/>
        <v>7.5945431495595217E-74</v>
      </c>
      <c r="AD226" s="3">
        <f t="shared" si="187"/>
        <v>0</v>
      </c>
      <c r="AE226" s="3">
        <f t="shared" si="187"/>
        <v>0</v>
      </c>
      <c r="AF226" s="3">
        <f t="shared" si="187"/>
        <v>0</v>
      </c>
      <c r="AG226" s="3"/>
      <c r="AH226" s="3"/>
    </row>
    <row r="227" spans="2:34" x14ac:dyDescent="0.25">
      <c r="B227" s="3">
        <f t="shared" ref="B227:AF227" si="188">$C35*EXP(-B$207/$A35/EXP(-$D$126))</f>
        <v>0.11271230139024535</v>
      </c>
      <c r="C227" s="3">
        <f t="shared" si="188"/>
        <v>0.11271230139024535</v>
      </c>
      <c r="D227" s="3">
        <f t="shared" si="188"/>
        <v>0.11271230139024535</v>
      </c>
      <c r="E227" s="3">
        <f t="shared" si="188"/>
        <v>0.11271230139024535</v>
      </c>
      <c r="F227" s="3">
        <f t="shared" si="188"/>
        <v>0.11271230139024535</v>
      </c>
      <c r="G227" s="3">
        <f t="shared" si="188"/>
        <v>0.11271230139024535</v>
      </c>
      <c r="H227" s="3">
        <f t="shared" si="188"/>
        <v>0.11271230139024535</v>
      </c>
      <c r="I227" s="3">
        <f t="shared" si="188"/>
        <v>0.11271230139024535</v>
      </c>
      <c r="J227" s="3">
        <f t="shared" si="188"/>
        <v>0.11271230139024535</v>
      </c>
      <c r="K227" s="3">
        <f t="shared" si="188"/>
        <v>0.11271230139024535</v>
      </c>
      <c r="L227" s="3">
        <f t="shared" si="188"/>
        <v>0.11271230139024534</v>
      </c>
      <c r="M227" s="3">
        <f t="shared" si="188"/>
        <v>0.11271230139024518</v>
      </c>
      <c r="N227" s="3">
        <f t="shared" si="188"/>
        <v>0.11271230139024366</v>
      </c>
      <c r="O227" s="3">
        <f t="shared" si="188"/>
        <v>0.11271230139022846</v>
      </c>
      <c r="P227" s="3">
        <f t="shared" si="188"/>
        <v>0.11271230139007644</v>
      </c>
      <c r="Q227" s="3">
        <f t="shared" si="188"/>
        <v>0.11271230138855624</v>
      </c>
      <c r="R227" s="3">
        <f t="shared" si="188"/>
        <v>0.11271230137335421</v>
      </c>
      <c r="S227" s="3">
        <f t="shared" si="188"/>
        <v>0.11271230122133395</v>
      </c>
      <c r="T227" s="3">
        <f t="shared" si="188"/>
        <v>0.11271229970113136</v>
      </c>
      <c r="U227" s="3">
        <f t="shared" si="188"/>
        <v>0.11271228449910656</v>
      </c>
      <c r="V227" s="3">
        <f t="shared" si="188"/>
        <v>0.11271213247897123</v>
      </c>
      <c r="W227" s="3">
        <f t="shared" si="188"/>
        <v>0.11271061228889505</v>
      </c>
      <c r="X227" s="3">
        <f t="shared" si="188"/>
        <v>0.11269541151577267</v>
      </c>
      <c r="Y227" s="3">
        <f t="shared" si="188"/>
        <v>0.11254351649223453</v>
      </c>
      <c r="Z227" s="3">
        <f t="shared" si="188"/>
        <v>0.11103578098257698</v>
      </c>
      <c r="AA227" s="3">
        <f t="shared" si="188"/>
        <v>9.7025895329191134E-2</v>
      </c>
      <c r="AB227" s="3">
        <f t="shared" si="188"/>
        <v>2.5184581190187506E-2</v>
      </c>
      <c r="AC227" s="3">
        <f t="shared" si="188"/>
        <v>3.4962741105029379E-8</v>
      </c>
      <c r="AD227" s="3">
        <f t="shared" si="188"/>
        <v>9.2963589938381289E-67</v>
      </c>
      <c r="AE227" s="3">
        <f t="shared" si="188"/>
        <v>0</v>
      </c>
      <c r="AF227" s="3">
        <f t="shared" si="188"/>
        <v>0</v>
      </c>
      <c r="AG227" s="3"/>
      <c r="AH227" s="3"/>
    </row>
    <row r="228" spans="2:34" x14ac:dyDescent="0.25">
      <c r="B228" s="3">
        <f t="shared" ref="B228:AF228" si="189">$C36*EXP(-B$207/$A36/EXP(-$D$126))</f>
        <v>0.10920571405178373</v>
      </c>
      <c r="C228" s="3">
        <f t="shared" si="189"/>
        <v>0.10920571405178373</v>
      </c>
      <c r="D228" s="3">
        <f t="shared" si="189"/>
        <v>0.10920571405178373</v>
      </c>
      <c r="E228" s="3">
        <f t="shared" si="189"/>
        <v>0.10920571405178373</v>
      </c>
      <c r="F228" s="3">
        <f t="shared" si="189"/>
        <v>0.10920571405178373</v>
      </c>
      <c r="G228" s="3">
        <f t="shared" si="189"/>
        <v>0.10920571405178373</v>
      </c>
      <c r="H228" s="3">
        <f t="shared" si="189"/>
        <v>0.10920571405178373</v>
      </c>
      <c r="I228" s="3">
        <f t="shared" si="189"/>
        <v>0.10920571405178373</v>
      </c>
      <c r="J228" s="3">
        <f t="shared" si="189"/>
        <v>0.10920571405178373</v>
      </c>
      <c r="K228" s="3">
        <f t="shared" si="189"/>
        <v>0.10920571405178373</v>
      </c>
      <c r="L228" s="3">
        <f t="shared" si="189"/>
        <v>0.10920571405178373</v>
      </c>
      <c r="M228" s="3">
        <f t="shared" si="189"/>
        <v>0.10920571405178371</v>
      </c>
      <c r="N228" s="3">
        <f t="shared" si="189"/>
        <v>0.10920571405178359</v>
      </c>
      <c r="O228" s="3">
        <f t="shared" si="189"/>
        <v>0.10920571405178224</v>
      </c>
      <c r="P228" s="3">
        <f t="shared" si="189"/>
        <v>0.10920571405176896</v>
      </c>
      <c r="Q228" s="3">
        <f t="shared" si="189"/>
        <v>0.10920571405163609</v>
      </c>
      <c r="R228" s="3">
        <f t="shared" si="189"/>
        <v>0.10920571405030742</v>
      </c>
      <c r="S228" s="3">
        <f t="shared" si="189"/>
        <v>0.10920571403702056</v>
      </c>
      <c r="T228" s="3">
        <f t="shared" si="189"/>
        <v>0.10920571390415203</v>
      </c>
      <c r="U228" s="3">
        <f t="shared" si="189"/>
        <v>0.10920571257546681</v>
      </c>
      <c r="V228" s="3">
        <f t="shared" si="189"/>
        <v>0.10920569928861544</v>
      </c>
      <c r="W228" s="3">
        <f t="shared" si="189"/>
        <v>0.10920556642019068</v>
      </c>
      <c r="X228" s="3">
        <f t="shared" si="189"/>
        <v>0.10920423774483423</v>
      </c>
      <c r="Y228" s="3">
        <f t="shared" si="189"/>
        <v>0.10919095188034778</v>
      </c>
      <c r="Z228" s="3">
        <f t="shared" si="189"/>
        <v>0.10905818210326385</v>
      </c>
      <c r="AA228" s="3">
        <f t="shared" si="189"/>
        <v>0.10773933123457044</v>
      </c>
      <c r="AB228" s="3">
        <f t="shared" si="189"/>
        <v>9.5396949720467944E-2</v>
      </c>
      <c r="AC228" s="3">
        <f t="shared" si="189"/>
        <v>2.8257687594755321E-2</v>
      </c>
      <c r="AD228" s="3">
        <f t="shared" si="189"/>
        <v>1.4694605407727374E-7</v>
      </c>
      <c r="AE228" s="3">
        <f t="shared" si="189"/>
        <v>2.1250591319737344E-60</v>
      </c>
      <c r="AF228" s="3">
        <f t="shared" si="189"/>
        <v>0</v>
      </c>
      <c r="AG228" s="3"/>
      <c r="AH228" s="3"/>
    </row>
    <row r="229" spans="2:34" x14ac:dyDescent="0.25">
      <c r="B229" s="3">
        <f t="shared" ref="B229:AF229" si="190">$C37*EXP(-B$207/$A37/EXP(-$D$126))</f>
        <v>8.5595472993728092E-2</v>
      </c>
      <c r="C229" s="3">
        <f t="shared" si="190"/>
        <v>8.5595472993728092E-2</v>
      </c>
      <c r="D229" s="3">
        <f t="shared" si="190"/>
        <v>8.5595472993728092E-2</v>
      </c>
      <c r="E229" s="3">
        <f t="shared" si="190"/>
        <v>8.5595472993728092E-2</v>
      </c>
      <c r="F229" s="3">
        <f t="shared" si="190"/>
        <v>8.5595472993728092E-2</v>
      </c>
      <c r="G229" s="3">
        <f t="shared" si="190"/>
        <v>8.5595472993728092E-2</v>
      </c>
      <c r="H229" s="3">
        <f t="shared" si="190"/>
        <v>8.5595472993728092E-2</v>
      </c>
      <c r="I229" s="3">
        <f t="shared" si="190"/>
        <v>8.5595472993728092E-2</v>
      </c>
      <c r="J229" s="3">
        <f t="shared" si="190"/>
        <v>8.5595472993728092E-2</v>
      </c>
      <c r="K229" s="3">
        <f t="shared" si="190"/>
        <v>8.5595472993728092E-2</v>
      </c>
      <c r="L229" s="3">
        <f t="shared" si="190"/>
        <v>8.5595472993728092E-2</v>
      </c>
      <c r="M229" s="3">
        <f t="shared" si="190"/>
        <v>8.5595472993728092E-2</v>
      </c>
      <c r="N229" s="3">
        <f t="shared" si="190"/>
        <v>8.5595472993728078E-2</v>
      </c>
      <c r="O229" s="3">
        <f t="shared" si="190"/>
        <v>8.5595472993727981E-2</v>
      </c>
      <c r="P229" s="3">
        <f t="shared" si="190"/>
        <v>8.5595472993727051E-2</v>
      </c>
      <c r="Q229" s="3">
        <f t="shared" si="190"/>
        <v>8.5595472993717656E-2</v>
      </c>
      <c r="R229" s="3">
        <f t="shared" si="190"/>
        <v>8.5595472993623717E-2</v>
      </c>
      <c r="S229" s="3">
        <f t="shared" si="190"/>
        <v>8.5595472992684246E-2</v>
      </c>
      <c r="T229" s="3">
        <f t="shared" si="190"/>
        <v>8.5595472983289747E-2</v>
      </c>
      <c r="U229" s="3">
        <f t="shared" si="190"/>
        <v>8.5595472889344645E-2</v>
      </c>
      <c r="V229" s="3">
        <f t="shared" si="190"/>
        <v>8.5595471949893656E-2</v>
      </c>
      <c r="W229" s="3">
        <f t="shared" si="190"/>
        <v>8.5595462555384277E-2</v>
      </c>
      <c r="X229" s="3">
        <f t="shared" si="190"/>
        <v>8.5595368610347222E-2</v>
      </c>
      <c r="Y229" s="3">
        <f t="shared" si="190"/>
        <v>8.5594429165647731E-2</v>
      </c>
      <c r="Z229" s="3">
        <f t="shared" si="190"/>
        <v>8.5585035285727862E-2</v>
      </c>
      <c r="AA229" s="3">
        <f t="shared" si="190"/>
        <v>8.5491153171015521E-2</v>
      </c>
      <c r="AB229" s="3">
        <f t="shared" si="190"/>
        <v>8.4557977520811997E-2</v>
      </c>
      <c r="AC229" s="3">
        <f t="shared" si="190"/>
        <v>7.5768502385835851E-2</v>
      </c>
      <c r="AD229" s="3">
        <f t="shared" si="190"/>
        <v>2.5283073478666034E-2</v>
      </c>
      <c r="AE229" s="3">
        <f t="shared" si="190"/>
        <v>4.3275441066527711E-7</v>
      </c>
      <c r="AF229" s="3">
        <f t="shared" si="190"/>
        <v>9.3402363066625467E-55</v>
      </c>
      <c r="AG229" s="3"/>
      <c r="AH229" s="3"/>
    </row>
    <row r="230" spans="2:34" x14ac:dyDescent="0.25">
      <c r="B230" s="3">
        <f t="shared" ref="B230:AF230" si="191">$C38*EXP(-B$207/$A38/EXP(-$D$126))</f>
        <v>3.0330599560697977E-2</v>
      </c>
      <c r="C230" s="3">
        <f t="shared" si="191"/>
        <v>3.0330599560697977E-2</v>
      </c>
      <c r="D230" s="3">
        <f t="shared" si="191"/>
        <v>3.0330599560697977E-2</v>
      </c>
      <c r="E230" s="3">
        <f t="shared" si="191"/>
        <v>3.0330599560697977E-2</v>
      </c>
      <c r="F230" s="3">
        <f t="shared" si="191"/>
        <v>3.0330599560697977E-2</v>
      </c>
      <c r="G230" s="3">
        <f t="shared" si="191"/>
        <v>3.0330599560697977E-2</v>
      </c>
      <c r="H230" s="3">
        <f t="shared" si="191"/>
        <v>3.0330599560697977E-2</v>
      </c>
      <c r="I230" s="3">
        <f t="shared" si="191"/>
        <v>3.0330599560697977E-2</v>
      </c>
      <c r="J230" s="3">
        <f t="shared" si="191"/>
        <v>3.0330599560697977E-2</v>
      </c>
      <c r="K230" s="3">
        <f t="shared" si="191"/>
        <v>3.0330599560697977E-2</v>
      </c>
      <c r="L230" s="3">
        <f t="shared" si="191"/>
        <v>3.0330599560697977E-2</v>
      </c>
      <c r="M230" s="3">
        <f t="shared" si="191"/>
        <v>3.0330599560697977E-2</v>
      </c>
      <c r="N230" s="3">
        <f t="shared" si="191"/>
        <v>3.0330599560697977E-2</v>
      </c>
      <c r="O230" s="3">
        <f t="shared" si="191"/>
        <v>3.0330599560697974E-2</v>
      </c>
      <c r="P230" s="3">
        <f t="shared" si="191"/>
        <v>3.0330599560697943E-2</v>
      </c>
      <c r="Q230" s="3">
        <f t="shared" si="191"/>
        <v>3.0330599560697644E-2</v>
      </c>
      <c r="R230" s="3">
        <f t="shared" si="191"/>
        <v>3.033059956069464E-2</v>
      </c>
      <c r="S230" s="3">
        <f t="shared" si="191"/>
        <v>3.0330599560664612E-2</v>
      </c>
      <c r="T230" s="3">
        <f t="shared" si="191"/>
        <v>3.0330599560364314E-2</v>
      </c>
      <c r="U230" s="3">
        <f t="shared" si="191"/>
        <v>3.0330599557361344E-2</v>
      </c>
      <c r="V230" s="3">
        <f t="shared" si="191"/>
        <v>3.0330599527331647E-2</v>
      </c>
      <c r="W230" s="3">
        <f t="shared" si="191"/>
        <v>3.03305992270347E-2</v>
      </c>
      <c r="X230" s="3">
        <f t="shared" si="191"/>
        <v>3.0330596224065368E-2</v>
      </c>
      <c r="Y230" s="3">
        <f t="shared" si="191"/>
        <v>3.0330566194388387E-2</v>
      </c>
      <c r="Z230" s="3">
        <f t="shared" si="191"/>
        <v>3.0330265899253833E-2</v>
      </c>
      <c r="AA230" s="3">
        <f t="shared" si="191"/>
        <v>3.032726311142642E-2</v>
      </c>
      <c r="AB230" s="3">
        <f t="shared" si="191"/>
        <v>3.029725157897491E-2</v>
      </c>
      <c r="AC230" s="3">
        <f t="shared" si="191"/>
        <v>2.9998764864594869E-2</v>
      </c>
      <c r="AD230" s="3">
        <f t="shared" si="191"/>
        <v>2.7170947384796543E-2</v>
      </c>
      <c r="AE230" s="3">
        <f t="shared" si="191"/>
        <v>1.0095291342094239E-2</v>
      </c>
      <c r="AF230" s="3">
        <f t="shared" si="191"/>
        <v>5.0612712206194038E-7</v>
      </c>
      <c r="AG230" s="3"/>
      <c r="AH230" s="3"/>
    </row>
    <row r="231" spans="2:34" x14ac:dyDescent="0.25">
      <c r="B231" s="3">
        <f t="shared" ref="B231:AF231" si="192">$C39*EXP(-B$207/$A39/EXP(-$D$126))</f>
        <v>3.2127590787364095E-2</v>
      </c>
      <c r="C231" s="3">
        <f t="shared" si="192"/>
        <v>3.2127590787364095E-2</v>
      </c>
      <c r="D231" s="3">
        <f t="shared" si="192"/>
        <v>3.2127590787364095E-2</v>
      </c>
      <c r="E231" s="3">
        <f t="shared" si="192"/>
        <v>3.2127590787364095E-2</v>
      </c>
      <c r="F231" s="3">
        <f t="shared" si="192"/>
        <v>3.2127590787364095E-2</v>
      </c>
      <c r="G231" s="3">
        <f t="shared" si="192"/>
        <v>3.2127590787364095E-2</v>
      </c>
      <c r="H231" s="3">
        <f t="shared" si="192"/>
        <v>3.2127590787364095E-2</v>
      </c>
      <c r="I231" s="3">
        <f t="shared" si="192"/>
        <v>3.2127590787364095E-2</v>
      </c>
      <c r="J231" s="3">
        <f t="shared" si="192"/>
        <v>3.2127590787364095E-2</v>
      </c>
      <c r="K231" s="3">
        <f t="shared" si="192"/>
        <v>3.2127590787364095E-2</v>
      </c>
      <c r="L231" s="3">
        <f t="shared" si="192"/>
        <v>3.2127590787364095E-2</v>
      </c>
      <c r="M231" s="3">
        <f t="shared" si="192"/>
        <v>3.2127590787364095E-2</v>
      </c>
      <c r="N231" s="3">
        <f t="shared" si="192"/>
        <v>3.2127590787364095E-2</v>
      </c>
      <c r="O231" s="3">
        <f t="shared" si="192"/>
        <v>3.2127590787364095E-2</v>
      </c>
      <c r="P231" s="3">
        <f t="shared" si="192"/>
        <v>3.2127590787364081E-2</v>
      </c>
      <c r="Q231" s="3">
        <f t="shared" si="192"/>
        <v>3.2127590787363998E-2</v>
      </c>
      <c r="R231" s="3">
        <f t="shared" si="192"/>
        <v>3.2127590787363117E-2</v>
      </c>
      <c r="S231" s="3">
        <f t="shared" si="192"/>
        <v>3.2127590787354318E-2</v>
      </c>
      <c r="T231" s="3">
        <f t="shared" si="192"/>
        <v>3.2127590787266347E-2</v>
      </c>
      <c r="U231" s="3">
        <f t="shared" si="192"/>
        <v>3.2127590786386592E-2</v>
      </c>
      <c r="V231" s="3">
        <f t="shared" si="192"/>
        <v>3.2127590777589053E-2</v>
      </c>
      <c r="W231" s="3">
        <f t="shared" si="192"/>
        <v>3.2127590689613718E-2</v>
      </c>
      <c r="X231" s="3">
        <f t="shared" si="192"/>
        <v>3.2127589809860344E-2</v>
      </c>
      <c r="Y231" s="3">
        <f t="shared" si="192"/>
        <v>3.2127581012327905E-2</v>
      </c>
      <c r="Z231" s="3">
        <f t="shared" si="192"/>
        <v>3.2127493037136051E-2</v>
      </c>
      <c r="AA231" s="3">
        <f t="shared" si="192"/>
        <v>3.2126613298467055E-2</v>
      </c>
      <c r="AB231" s="3">
        <f t="shared" si="192"/>
        <v>3.211781723659908E-2</v>
      </c>
      <c r="AC231" s="3">
        <f t="shared" si="192"/>
        <v>3.2029988965992309E-2</v>
      </c>
      <c r="AD231" s="3">
        <f t="shared" si="192"/>
        <v>3.1164807951947118E-2</v>
      </c>
      <c r="AE231" s="3">
        <f t="shared" si="192"/>
        <v>2.3699605348898447E-2</v>
      </c>
      <c r="AF231" s="3">
        <f t="shared" si="192"/>
        <v>1.5328784031436063E-3</v>
      </c>
      <c r="AG231" s="3"/>
      <c r="AH231" s="3"/>
    </row>
    <row r="232" spans="2:34" x14ac:dyDescent="0.25">
      <c r="B232" s="3">
        <f t="shared" ref="B232:AF232" si="193">$C40*EXP(-B$207/$A40/EXP(-$D$126))</f>
        <v>1.5939358035986794E-2</v>
      </c>
      <c r="C232" s="3">
        <f t="shared" si="193"/>
        <v>1.5939358035986794E-2</v>
      </c>
      <c r="D232" s="3">
        <f t="shared" si="193"/>
        <v>1.5939358035986794E-2</v>
      </c>
      <c r="E232" s="3">
        <f t="shared" si="193"/>
        <v>1.5939358035986794E-2</v>
      </c>
      <c r="F232" s="3">
        <f t="shared" si="193"/>
        <v>1.5939358035986794E-2</v>
      </c>
      <c r="G232" s="3">
        <f t="shared" si="193"/>
        <v>1.5939358035986794E-2</v>
      </c>
      <c r="H232" s="3">
        <f t="shared" si="193"/>
        <v>1.5939358035986794E-2</v>
      </c>
      <c r="I232" s="3">
        <f t="shared" si="193"/>
        <v>1.5939358035986794E-2</v>
      </c>
      <c r="J232" s="3">
        <f t="shared" si="193"/>
        <v>1.5939358035986794E-2</v>
      </c>
      <c r="K232" s="3">
        <f t="shared" si="193"/>
        <v>1.5939358035986794E-2</v>
      </c>
      <c r="L232" s="3">
        <f t="shared" si="193"/>
        <v>1.5939358035986794E-2</v>
      </c>
      <c r="M232" s="3">
        <f t="shared" si="193"/>
        <v>1.5939358035986794E-2</v>
      </c>
      <c r="N232" s="3">
        <f t="shared" si="193"/>
        <v>1.5939358035986794E-2</v>
      </c>
      <c r="O232" s="3">
        <f t="shared" si="193"/>
        <v>1.5939358035986794E-2</v>
      </c>
      <c r="P232" s="3">
        <f t="shared" si="193"/>
        <v>1.5939358035986794E-2</v>
      </c>
      <c r="Q232" s="3">
        <f t="shared" si="193"/>
        <v>1.5939358035986787E-2</v>
      </c>
      <c r="R232" s="3">
        <f t="shared" si="193"/>
        <v>1.5939358035986746E-2</v>
      </c>
      <c r="S232" s="3">
        <f t="shared" si="193"/>
        <v>1.5939358035986308E-2</v>
      </c>
      <c r="T232" s="3">
        <f t="shared" si="193"/>
        <v>1.5939358035981944E-2</v>
      </c>
      <c r="U232" s="3">
        <f t="shared" si="193"/>
        <v>1.5939358035938298E-2</v>
      </c>
      <c r="V232" s="3">
        <f t="shared" si="193"/>
        <v>1.5939358035501828E-2</v>
      </c>
      <c r="W232" s="3">
        <f t="shared" si="193"/>
        <v>1.5939358031137135E-2</v>
      </c>
      <c r="X232" s="3">
        <f t="shared" si="193"/>
        <v>1.5939357987490216E-2</v>
      </c>
      <c r="Y232" s="3">
        <f t="shared" si="193"/>
        <v>1.5939357551021008E-2</v>
      </c>
      <c r="Z232" s="3">
        <f t="shared" si="193"/>
        <v>1.5939353186329604E-2</v>
      </c>
      <c r="AA232" s="3">
        <f t="shared" si="193"/>
        <v>1.5939309539481309E-2</v>
      </c>
      <c r="AB232" s="3">
        <f t="shared" si="193"/>
        <v>1.5938873077571789E-2</v>
      </c>
      <c r="AC232" s="3">
        <f t="shared" si="193"/>
        <v>1.5934509115756283E-2</v>
      </c>
      <c r="AD232" s="3">
        <f t="shared" si="193"/>
        <v>1.5890935159023945E-2</v>
      </c>
      <c r="AE232" s="3">
        <f t="shared" si="193"/>
        <v>1.546169569192303E-2</v>
      </c>
      <c r="AF232" s="3">
        <f t="shared" si="193"/>
        <v>1.1758008792749351E-2</v>
      </c>
      <c r="AG232" s="3"/>
      <c r="AH232" s="3"/>
    </row>
    <row r="233" spans="2:34" x14ac:dyDescent="0.25">
      <c r="B233" s="3">
        <f t="shared" ref="B233:AF233" si="194">$C41*EXP(-B$207/$A41/EXP(-$D$126))</f>
        <v>1.0098226932664881E-3</v>
      </c>
      <c r="C233" s="3">
        <f t="shared" si="194"/>
        <v>1.0098226932664881E-3</v>
      </c>
      <c r="D233" s="3">
        <f t="shared" si="194"/>
        <v>1.0098226932664881E-3</v>
      </c>
      <c r="E233" s="3">
        <f t="shared" si="194"/>
        <v>1.0098226932664881E-3</v>
      </c>
      <c r="F233" s="3">
        <f t="shared" si="194"/>
        <v>1.0098226932664881E-3</v>
      </c>
      <c r="G233" s="3">
        <f t="shared" si="194"/>
        <v>1.0098226932664881E-3</v>
      </c>
      <c r="H233" s="3">
        <f t="shared" si="194"/>
        <v>1.0098226932664881E-3</v>
      </c>
      <c r="I233" s="3">
        <f t="shared" si="194"/>
        <v>1.0098226932664881E-3</v>
      </c>
      <c r="J233" s="3">
        <f t="shared" si="194"/>
        <v>1.0098226932664881E-3</v>
      </c>
      <c r="K233" s="3">
        <f t="shared" si="194"/>
        <v>1.0098226932664881E-3</v>
      </c>
      <c r="L233" s="3">
        <f t="shared" si="194"/>
        <v>1.0098226932664881E-3</v>
      </c>
      <c r="M233" s="3">
        <f t="shared" si="194"/>
        <v>1.0098226932664881E-3</v>
      </c>
      <c r="N233" s="3">
        <f t="shared" si="194"/>
        <v>1.0098226932664881E-3</v>
      </c>
      <c r="O233" s="3">
        <f t="shared" si="194"/>
        <v>1.0098226932664881E-3</v>
      </c>
      <c r="P233" s="3">
        <f t="shared" si="194"/>
        <v>1.0098226932664881E-3</v>
      </c>
      <c r="Q233" s="3">
        <f t="shared" si="194"/>
        <v>1.0098226932664881E-3</v>
      </c>
      <c r="R233" s="3">
        <f t="shared" si="194"/>
        <v>1.0098226932664877E-3</v>
      </c>
      <c r="S233" s="3">
        <f t="shared" si="194"/>
        <v>1.0098226932664851E-3</v>
      </c>
      <c r="T233" s="3">
        <f t="shared" si="194"/>
        <v>1.0098226932664573E-3</v>
      </c>
      <c r="U233" s="3">
        <f t="shared" si="194"/>
        <v>1.0098226932661809E-3</v>
      </c>
      <c r="V233" s="3">
        <f t="shared" si="194"/>
        <v>1.0098226932634157E-3</v>
      </c>
      <c r="W233" s="3">
        <f t="shared" si="194"/>
        <v>1.0098226932357636E-3</v>
      </c>
      <c r="X233" s="3">
        <f t="shared" si="194"/>
        <v>1.0098226929592426E-3</v>
      </c>
      <c r="Y233" s="3">
        <f t="shared" si="194"/>
        <v>1.0098226901940339E-3</v>
      </c>
      <c r="Z233" s="3">
        <f t="shared" si="194"/>
        <v>1.0098226625419474E-3</v>
      </c>
      <c r="AA233" s="3">
        <f t="shared" si="194"/>
        <v>1.0098223860211227E-3</v>
      </c>
      <c r="AB233" s="3">
        <f t="shared" si="194"/>
        <v>1.0098196208170411E-3</v>
      </c>
      <c r="AC233" s="3">
        <f t="shared" si="194"/>
        <v>1.0097919691926794E-3</v>
      </c>
      <c r="AD233" s="3">
        <f t="shared" si="194"/>
        <v>1.0095154945903837E-3</v>
      </c>
      <c r="AE233" s="3">
        <f t="shared" si="194"/>
        <v>1.0067549084836922E-3</v>
      </c>
      <c r="AF233" s="3">
        <f t="shared" si="194"/>
        <v>9.7956085501268715E-4</v>
      </c>
      <c r="AG233" s="3"/>
      <c r="AH233" s="3"/>
    </row>
    <row r="234" spans="2:34" x14ac:dyDescent="0.25">
      <c r="B234" s="3">
        <f t="shared" ref="B234:AF234" si="195">$C42*EXP(-B$207/$A42/EXP(-$D$126))</f>
        <v>3.5232790951536608E-3</v>
      </c>
      <c r="C234" s="3">
        <f t="shared" si="195"/>
        <v>3.5232790951536608E-3</v>
      </c>
      <c r="D234" s="3">
        <f t="shared" si="195"/>
        <v>3.5232790951536608E-3</v>
      </c>
      <c r="E234" s="3">
        <f t="shared" si="195"/>
        <v>3.5232790951536608E-3</v>
      </c>
      <c r="F234" s="3">
        <f t="shared" si="195"/>
        <v>3.5232790951536608E-3</v>
      </c>
      <c r="G234" s="3">
        <f t="shared" si="195"/>
        <v>3.5232790951536608E-3</v>
      </c>
      <c r="H234" s="3">
        <f t="shared" si="195"/>
        <v>3.5232790951536608E-3</v>
      </c>
      <c r="I234" s="3">
        <f t="shared" si="195"/>
        <v>3.5232790951536608E-3</v>
      </c>
      <c r="J234" s="3">
        <f t="shared" si="195"/>
        <v>3.5232790951536608E-3</v>
      </c>
      <c r="K234" s="3">
        <f t="shared" si="195"/>
        <v>3.5232790951536608E-3</v>
      </c>
      <c r="L234" s="3">
        <f t="shared" si="195"/>
        <v>3.5232790951536608E-3</v>
      </c>
      <c r="M234" s="3">
        <f t="shared" si="195"/>
        <v>3.5232790951536608E-3</v>
      </c>
      <c r="N234" s="3">
        <f t="shared" si="195"/>
        <v>3.5232790951536608E-3</v>
      </c>
      <c r="O234" s="3">
        <f t="shared" si="195"/>
        <v>3.5232790951536608E-3</v>
      </c>
      <c r="P234" s="3">
        <f t="shared" si="195"/>
        <v>3.5232790951536608E-3</v>
      </c>
      <c r="Q234" s="3">
        <f t="shared" si="195"/>
        <v>3.5232790951536608E-3</v>
      </c>
      <c r="R234" s="3">
        <f t="shared" si="195"/>
        <v>3.5232790951536608E-3</v>
      </c>
      <c r="S234" s="3">
        <f t="shared" si="195"/>
        <v>3.5232790951536595E-3</v>
      </c>
      <c r="T234" s="3">
        <f t="shared" si="195"/>
        <v>3.5232790951536504E-3</v>
      </c>
      <c r="U234" s="3">
        <f t="shared" si="195"/>
        <v>3.5232790951535537E-3</v>
      </c>
      <c r="V234" s="3">
        <f t="shared" si="195"/>
        <v>3.5232790951525888E-3</v>
      </c>
      <c r="W234" s="3">
        <f t="shared" si="195"/>
        <v>3.5232790951429411E-3</v>
      </c>
      <c r="X234" s="3">
        <f t="shared" si="195"/>
        <v>3.5232790950464627E-3</v>
      </c>
      <c r="Y234" s="3">
        <f t="shared" si="195"/>
        <v>3.5232790940816789E-3</v>
      </c>
      <c r="Z234" s="3">
        <f t="shared" si="195"/>
        <v>3.5232790844338452E-3</v>
      </c>
      <c r="AA234" s="3">
        <f t="shared" si="195"/>
        <v>3.5232789879555033E-3</v>
      </c>
      <c r="AB234" s="3">
        <f t="shared" si="195"/>
        <v>3.5232780231722327E-3</v>
      </c>
      <c r="AC234" s="3">
        <f t="shared" si="195"/>
        <v>3.5232683753540564E-3</v>
      </c>
      <c r="AD234" s="3">
        <f t="shared" si="195"/>
        <v>3.5231718986253094E-3</v>
      </c>
      <c r="AE234" s="3">
        <f t="shared" si="195"/>
        <v>3.5222072766247304E-3</v>
      </c>
      <c r="AF234" s="3">
        <f t="shared" si="195"/>
        <v>3.5125755705985805E-3</v>
      </c>
      <c r="AG234" s="3"/>
      <c r="AH234" s="3"/>
    </row>
    <row r="235" spans="2:34" x14ac:dyDescent="0.25">
      <c r="B235" s="3">
        <f t="shared" ref="B235:AF235" si="196">$C43*EXP(-B$207/$A43/EXP(-$D$126))</f>
        <v>1.7526056431954549E-4</v>
      </c>
      <c r="C235" s="3">
        <f t="shared" si="196"/>
        <v>1.7526056431954549E-4</v>
      </c>
      <c r="D235" s="3">
        <f t="shared" si="196"/>
        <v>1.7526056431954549E-4</v>
      </c>
      <c r="E235" s="3">
        <f t="shared" si="196"/>
        <v>1.7526056431954549E-4</v>
      </c>
      <c r="F235" s="3">
        <f t="shared" si="196"/>
        <v>1.7526056431954549E-4</v>
      </c>
      <c r="G235" s="3">
        <f t="shared" si="196"/>
        <v>1.7526056431954549E-4</v>
      </c>
      <c r="H235" s="3">
        <f t="shared" si="196"/>
        <v>1.7526056431954549E-4</v>
      </c>
      <c r="I235" s="3">
        <f t="shared" si="196"/>
        <v>1.7526056431954549E-4</v>
      </c>
      <c r="J235" s="3">
        <f t="shared" si="196"/>
        <v>1.7526056431954549E-4</v>
      </c>
      <c r="K235" s="3">
        <f t="shared" si="196"/>
        <v>1.7526056431954549E-4</v>
      </c>
      <c r="L235" s="3">
        <f t="shared" si="196"/>
        <v>1.7526056431954549E-4</v>
      </c>
      <c r="M235" s="3">
        <f t="shared" si="196"/>
        <v>1.7526056431954549E-4</v>
      </c>
      <c r="N235" s="3">
        <f t="shared" si="196"/>
        <v>1.7526056431954549E-4</v>
      </c>
      <c r="O235" s="3">
        <f t="shared" si="196"/>
        <v>1.7526056431954549E-4</v>
      </c>
      <c r="P235" s="3">
        <f t="shared" si="196"/>
        <v>1.7526056431954549E-4</v>
      </c>
      <c r="Q235" s="3">
        <f t="shared" si="196"/>
        <v>1.7526056431954549E-4</v>
      </c>
      <c r="R235" s="3">
        <f t="shared" si="196"/>
        <v>1.7526056431954549E-4</v>
      </c>
      <c r="S235" s="3">
        <f t="shared" si="196"/>
        <v>1.7526056431954549E-4</v>
      </c>
      <c r="T235" s="3">
        <f t="shared" si="196"/>
        <v>1.7526056431954544E-4</v>
      </c>
      <c r="U235" s="3">
        <f t="shared" si="196"/>
        <v>1.7526056431954498E-4</v>
      </c>
      <c r="V235" s="3">
        <f t="shared" si="196"/>
        <v>1.7526056431954015E-4</v>
      </c>
      <c r="W235" s="3">
        <f t="shared" si="196"/>
        <v>1.7526056431949215E-4</v>
      </c>
      <c r="X235" s="3">
        <f t="shared" si="196"/>
        <v>1.7526056431901225E-4</v>
      </c>
      <c r="Y235" s="3">
        <f t="shared" si="196"/>
        <v>1.7526056431421306E-4</v>
      </c>
      <c r="Z235" s="3">
        <f t="shared" si="196"/>
        <v>1.7526056426622126E-4</v>
      </c>
      <c r="AA235" s="3">
        <f t="shared" si="196"/>
        <v>1.7526056378630334E-4</v>
      </c>
      <c r="AB235" s="3">
        <f t="shared" si="196"/>
        <v>1.7526055898712389E-4</v>
      </c>
      <c r="AC235" s="3">
        <f t="shared" si="196"/>
        <v>1.7526051099533673E-4</v>
      </c>
      <c r="AD235" s="3">
        <f t="shared" si="196"/>
        <v>1.7526003107818785E-4</v>
      </c>
      <c r="AE235" s="3">
        <f t="shared" si="196"/>
        <v>1.7525523197897737E-4</v>
      </c>
      <c r="AF235" s="3">
        <f t="shared" si="196"/>
        <v>1.7520724821396452E-4</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1.1765348907566872E-4</v>
      </c>
      <c r="C237" s="3">
        <f t="shared" si="198"/>
        <v>1.1765348907566872E-4</v>
      </c>
      <c r="D237" s="3">
        <f t="shared" si="198"/>
        <v>1.1765348907566872E-4</v>
      </c>
      <c r="E237" s="3">
        <f t="shared" si="198"/>
        <v>1.1765348907566872E-4</v>
      </c>
      <c r="F237" s="3">
        <f t="shared" si="198"/>
        <v>1.1765348907566872E-4</v>
      </c>
      <c r="G237" s="3">
        <f t="shared" si="198"/>
        <v>1.1765348907566872E-4</v>
      </c>
      <c r="H237" s="3">
        <f t="shared" si="198"/>
        <v>1.1765348907566872E-4</v>
      </c>
      <c r="I237" s="3">
        <f t="shared" si="198"/>
        <v>1.1765348907566872E-4</v>
      </c>
      <c r="J237" s="3">
        <f t="shared" si="198"/>
        <v>1.1765348907566872E-4</v>
      </c>
      <c r="K237" s="3">
        <f t="shared" si="198"/>
        <v>1.1765348907566872E-4</v>
      </c>
      <c r="L237" s="3">
        <f t="shared" si="198"/>
        <v>1.1765348907566872E-4</v>
      </c>
      <c r="M237" s="3">
        <f t="shared" si="198"/>
        <v>1.1765348907566872E-4</v>
      </c>
      <c r="N237" s="3">
        <f t="shared" si="198"/>
        <v>1.1765348907566872E-4</v>
      </c>
      <c r="O237" s="3">
        <f t="shared" si="198"/>
        <v>1.1765348907566872E-4</v>
      </c>
      <c r="P237" s="3">
        <f t="shared" si="198"/>
        <v>1.1765348907566872E-4</v>
      </c>
      <c r="Q237" s="3">
        <f t="shared" si="198"/>
        <v>1.1765348907566872E-4</v>
      </c>
      <c r="R237" s="3">
        <f t="shared" si="198"/>
        <v>1.1765348907566872E-4</v>
      </c>
      <c r="S237" s="3">
        <f t="shared" si="198"/>
        <v>1.1765348907566872E-4</v>
      </c>
      <c r="T237" s="3">
        <f t="shared" si="198"/>
        <v>1.1765348907566872E-4</v>
      </c>
      <c r="U237" s="3">
        <f t="shared" si="198"/>
        <v>1.1765348907566872E-4</v>
      </c>
      <c r="V237" s="3">
        <f t="shared" si="198"/>
        <v>1.1765348907566868E-4</v>
      </c>
      <c r="W237" s="3">
        <f t="shared" si="198"/>
        <v>1.1765348907566837E-4</v>
      </c>
      <c r="X237" s="3">
        <f t="shared" si="198"/>
        <v>1.1765348907566515E-4</v>
      </c>
      <c r="Y237" s="3">
        <f t="shared" si="198"/>
        <v>1.1765348907563292E-4</v>
      </c>
      <c r="Z237" s="3">
        <f t="shared" si="198"/>
        <v>1.1765348907531076E-4</v>
      </c>
      <c r="AA237" s="3">
        <f t="shared" si="198"/>
        <v>1.1765348907208904E-4</v>
      </c>
      <c r="AB237" s="3">
        <f t="shared" si="198"/>
        <v>1.1765348903987185E-4</v>
      </c>
      <c r="AC237" s="3">
        <f t="shared" si="198"/>
        <v>1.176534887177E-4</v>
      </c>
      <c r="AD237" s="3">
        <f t="shared" si="198"/>
        <v>1.1765348549598148E-4</v>
      </c>
      <c r="AE237" s="3">
        <f t="shared" si="198"/>
        <v>1.1765345327880114E-4</v>
      </c>
      <c r="AF237" s="3">
        <f t="shared" si="198"/>
        <v>1.1765313110748295E-4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6.5987032321069097E-5</v>
      </c>
      <c r="C239" s="3">
        <f t="shared" si="200"/>
        <v>6.5987032321069097E-5</v>
      </c>
      <c r="D239" s="3">
        <f t="shared" si="200"/>
        <v>6.5987032321069097E-5</v>
      </c>
      <c r="E239" s="3">
        <f t="shared" si="200"/>
        <v>6.5987032321069097E-5</v>
      </c>
      <c r="F239" s="3">
        <f t="shared" si="200"/>
        <v>6.5987032321069097E-5</v>
      </c>
      <c r="G239" s="3">
        <f t="shared" si="200"/>
        <v>6.5987032321069097E-5</v>
      </c>
      <c r="H239" s="3">
        <f t="shared" si="200"/>
        <v>6.5987032321069097E-5</v>
      </c>
      <c r="I239" s="3">
        <f t="shared" si="200"/>
        <v>6.5987032321069097E-5</v>
      </c>
      <c r="J239" s="3">
        <f t="shared" si="200"/>
        <v>6.5987032321069097E-5</v>
      </c>
      <c r="K239" s="3">
        <f t="shared" si="200"/>
        <v>6.5987032321069097E-5</v>
      </c>
      <c r="L239" s="3">
        <f t="shared" si="200"/>
        <v>6.5987032321069097E-5</v>
      </c>
      <c r="M239" s="3">
        <f t="shared" si="200"/>
        <v>6.5987032321069097E-5</v>
      </c>
      <c r="N239" s="3">
        <f t="shared" si="200"/>
        <v>6.5987032321069097E-5</v>
      </c>
      <c r="O239" s="3">
        <f t="shared" si="200"/>
        <v>6.5987032321069097E-5</v>
      </c>
      <c r="P239" s="3">
        <f t="shared" si="200"/>
        <v>6.5987032321069097E-5</v>
      </c>
      <c r="Q239" s="3">
        <f t="shared" si="200"/>
        <v>6.5987032321069097E-5</v>
      </c>
      <c r="R239" s="3">
        <f t="shared" si="200"/>
        <v>6.5987032321069097E-5</v>
      </c>
      <c r="S239" s="3">
        <f t="shared" si="200"/>
        <v>6.5987032321069097E-5</v>
      </c>
      <c r="T239" s="3">
        <f t="shared" si="200"/>
        <v>6.5987032321069097E-5</v>
      </c>
      <c r="U239" s="3">
        <f t="shared" si="200"/>
        <v>6.5987032321069097E-5</v>
      </c>
      <c r="V239" s="3">
        <f t="shared" si="200"/>
        <v>6.5987032321069097E-5</v>
      </c>
      <c r="W239" s="3">
        <f t="shared" si="200"/>
        <v>6.5987032321069097E-5</v>
      </c>
      <c r="X239" s="3">
        <f t="shared" si="200"/>
        <v>6.598703232106907E-5</v>
      </c>
      <c r="Y239" s="3">
        <f t="shared" si="200"/>
        <v>6.5987032321068894E-5</v>
      </c>
      <c r="Z239" s="3">
        <f t="shared" si="200"/>
        <v>6.5987032321067091E-5</v>
      </c>
      <c r="AA239" s="3">
        <f t="shared" si="200"/>
        <v>6.5987032321049012E-5</v>
      </c>
      <c r="AB239" s="3">
        <f t="shared" si="200"/>
        <v>6.598703232086833E-5</v>
      </c>
      <c r="AC239" s="3">
        <f t="shared" si="200"/>
        <v>6.5987032319061398E-5</v>
      </c>
      <c r="AD239" s="3">
        <f t="shared" si="200"/>
        <v>6.5987032300992085E-5</v>
      </c>
      <c r="AE239" s="3">
        <f t="shared" si="200"/>
        <v>6.5987032120299073E-5</v>
      </c>
      <c r="AF239" s="3">
        <f t="shared" si="200"/>
        <v>6.5987030313368857E-5</v>
      </c>
      <c r="AG239" s="3"/>
      <c r="AH239" s="3"/>
    </row>
    <row r="240" spans="2:34" x14ac:dyDescent="0.25">
      <c r="B240" s="3">
        <f t="shared" ref="B240:AF240" si="201">$C48*EXP(-B$207/$A48/EXP(-$D$126))</f>
        <v>6.9850122094838041E-5</v>
      </c>
      <c r="C240" s="3">
        <f t="shared" si="201"/>
        <v>6.9850122094838041E-5</v>
      </c>
      <c r="D240" s="3">
        <f t="shared" si="201"/>
        <v>6.9850122094838041E-5</v>
      </c>
      <c r="E240" s="3">
        <f t="shared" si="201"/>
        <v>6.9850122094838041E-5</v>
      </c>
      <c r="F240" s="3">
        <f t="shared" si="201"/>
        <v>6.9850122094838041E-5</v>
      </c>
      <c r="G240" s="3">
        <f t="shared" si="201"/>
        <v>6.9850122094838041E-5</v>
      </c>
      <c r="H240" s="3">
        <f t="shared" si="201"/>
        <v>6.9850122094838041E-5</v>
      </c>
      <c r="I240" s="3">
        <f t="shared" si="201"/>
        <v>6.9850122094838041E-5</v>
      </c>
      <c r="J240" s="3">
        <f t="shared" si="201"/>
        <v>6.9850122094838041E-5</v>
      </c>
      <c r="K240" s="3">
        <f t="shared" si="201"/>
        <v>6.9850122094838041E-5</v>
      </c>
      <c r="L240" s="3">
        <f t="shared" si="201"/>
        <v>6.9850122094838041E-5</v>
      </c>
      <c r="M240" s="3">
        <f t="shared" si="201"/>
        <v>6.9850122094838041E-5</v>
      </c>
      <c r="N240" s="3">
        <f t="shared" si="201"/>
        <v>6.9850122094838041E-5</v>
      </c>
      <c r="O240" s="3">
        <f t="shared" si="201"/>
        <v>6.9850122094838041E-5</v>
      </c>
      <c r="P240" s="3">
        <f t="shared" si="201"/>
        <v>6.9850122094838041E-5</v>
      </c>
      <c r="Q240" s="3">
        <f t="shared" si="201"/>
        <v>6.9850122094838041E-5</v>
      </c>
      <c r="R240" s="3">
        <f t="shared" si="201"/>
        <v>6.9850122094838041E-5</v>
      </c>
      <c r="S240" s="3">
        <f t="shared" si="201"/>
        <v>6.9850122094838041E-5</v>
      </c>
      <c r="T240" s="3">
        <f t="shared" si="201"/>
        <v>6.9850122094838041E-5</v>
      </c>
      <c r="U240" s="3">
        <f t="shared" si="201"/>
        <v>6.9850122094838041E-5</v>
      </c>
      <c r="V240" s="3">
        <f t="shared" si="201"/>
        <v>6.9850122094838041E-5</v>
      </c>
      <c r="W240" s="3">
        <f t="shared" si="201"/>
        <v>6.9850122094838041E-5</v>
      </c>
      <c r="X240" s="3">
        <f t="shared" si="201"/>
        <v>6.9850122094838041E-5</v>
      </c>
      <c r="Y240" s="3">
        <f t="shared" si="201"/>
        <v>6.9850122094838014E-5</v>
      </c>
      <c r="Z240" s="3">
        <f t="shared" si="201"/>
        <v>6.9850122094837838E-5</v>
      </c>
      <c r="AA240" s="3">
        <f t="shared" si="201"/>
        <v>6.9850122094835914E-5</v>
      </c>
      <c r="AB240" s="3">
        <f t="shared" si="201"/>
        <v>6.9850122094816791E-5</v>
      </c>
      <c r="AC240" s="3">
        <f t="shared" si="201"/>
        <v>6.9850122094625524E-5</v>
      </c>
      <c r="AD240" s="3">
        <f t="shared" si="201"/>
        <v>6.9850122092712802E-5</v>
      </c>
      <c r="AE240" s="3">
        <f t="shared" si="201"/>
        <v>6.9850122073585659E-5</v>
      </c>
      <c r="AF240" s="3">
        <f t="shared" si="201"/>
        <v>6.9850121882314304E-5</v>
      </c>
      <c r="AG240" s="3"/>
      <c r="AH240" s="3"/>
    </row>
    <row r="241" spans="1:34" x14ac:dyDescent="0.25">
      <c r="A241" s="79">
        <f>AVERAGE(B241:AF241)</f>
        <v>6.801638645626519E-2</v>
      </c>
      <c r="B241" s="80">
        <f>IF($A$64&lt;=B207,IF($B$64&gt;=B207,ABS((B209-B208)/B208),0),0)</f>
        <v>2.0513450014932831E-5</v>
      </c>
      <c r="C241" s="80">
        <f t="shared" ref="C241:AF241" si="202">IF($A$64&lt;=C207,IF($B$64&gt;=C207,ABS((C209-C208)/C208),0),0)</f>
        <v>2.1318429686387717E-4</v>
      </c>
      <c r="D241" s="80">
        <f t="shared" si="202"/>
        <v>1.79921277908123E-3</v>
      </c>
      <c r="E241" s="80">
        <f t="shared" si="202"/>
        <v>6.5222856752208151E-3</v>
      </c>
      <c r="F241" s="80">
        <f t="shared" si="202"/>
        <v>6.8485272484744069E-3</v>
      </c>
      <c r="G241" s="80">
        <f t="shared" si="202"/>
        <v>6.8483683930639578E-3</v>
      </c>
      <c r="H241" s="80">
        <f t="shared" si="202"/>
        <v>6.8483200891032193E-3</v>
      </c>
      <c r="I241" s="80">
        <f t="shared" si="202"/>
        <v>6.8483479977971594E-3</v>
      </c>
      <c r="J241" s="80">
        <f t="shared" si="202"/>
        <v>6.8486492935446305E-3</v>
      </c>
      <c r="K241" s="80">
        <f t="shared" si="202"/>
        <v>6.8518097178049001E-3</v>
      </c>
      <c r="L241" s="80">
        <f t="shared" si="202"/>
        <v>6.8833173352090505E-3</v>
      </c>
      <c r="M241" s="80">
        <f t="shared" si="202"/>
        <v>7.1922135304007548E-3</v>
      </c>
      <c r="N241" s="80">
        <f t="shared" si="202"/>
        <v>9.7611218029752308E-3</v>
      </c>
      <c r="O241" s="80">
        <f t="shared" si="202"/>
        <v>1.9595210632898211E-2</v>
      </c>
      <c r="P241" s="80">
        <f t="shared" si="202"/>
        <v>2.6304081559304391E-2</v>
      </c>
      <c r="Q241" s="80">
        <f t="shared" si="202"/>
        <v>2.8073509654679883E-2</v>
      </c>
      <c r="R241" s="80">
        <f t="shared" si="202"/>
        <v>3.2938391848587968E-2</v>
      </c>
      <c r="S241" s="80">
        <f t="shared" si="202"/>
        <v>3.3221344249837102E-2</v>
      </c>
      <c r="T241" s="80">
        <f t="shared" si="202"/>
        <v>1.5467332729560634E-2</v>
      </c>
      <c r="U241" s="80">
        <f t="shared" si="202"/>
        <v>2.1420147334880117E-2</v>
      </c>
      <c r="V241" s="80">
        <f t="shared" si="202"/>
        <v>7.5731260090339411E-2</v>
      </c>
      <c r="W241" s="80">
        <f t="shared" si="202"/>
        <v>0.11735597198968054</v>
      </c>
      <c r="X241" s="80">
        <f t="shared" si="202"/>
        <v>0.1444877794023246</v>
      </c>
      <c r="Y241" s="80">
        <f t="shared" si="202"/>
        <v>0.14697335474454304</v>
      </c>
      <c r="Z241" s="80">
        <f t="shared" si="202"/>
        <v>8.772301082679218E-2</v>
      </c>
      <c r="AA241" s="80">
        <f t="shared" si="202"/>
        <v>2.7910395007024092E-3</v>
      </c>
      <c r="AB241" s="80">
        <f t="shared" si="202"/>
        <v>0.10020471204440277</v>
      </c>
      <c r="AC241" s="80">
        <f t="shared" si="202"/>
        <v>0.21252711745026637</v>
      </c>
      <c r="AD241" s="80">
        <f t="shared" si="202"/>
        <v>0.29149384401914508</v>
      </c>
      <c r="AE241" s="80">
        <f t="shared" si="202"/>
        <v>0.29960962371360361</v>
      </c>
      <c r="AF241" s="80">
        <f t="shared" si="202"/>
        <v>0.37910437674311825</v>
      </c>
    </row>
    <row r="242" spans="1:34" x14ac:dyDescent="0.25">
      <c r="B242" s="21">
        <f>(B209-B208)^2</f>
        <v>1.7910897847035905E-2</v>
      </c>
      <c r="C242" s="21">
        <f t="shared" ref="C242:AF242" si="203">(C209-C208)^2</f>
        <v>1.9344501699052554</v>
      </c>
      <c r="D242" s="21">
        <f t="shared" si="203"/>
        <v>137.78684470382609</v>
      </c>
      <c r="E242" s="21">
        <f t="shared" si="203"/>
        <v>1810.6771459073354</v>
      </c>
      <c r="F242" s="21">
        <f t="shared" si="203"/>
        <v>1996.343857173212</v>
      </c>
      <c r="G242" s="21">
        <f t="shared" si="203"/>
        <v>1996.2506056045897</v>
      </c>
      <c r="H242" s="21">
        <f t="shared" si="203"/>
        <v>1996.2222368061628</v>
      </c>
      <c r="I242" s="21">
        <f t="shared" si="203"/>
        <v>1996.2384773254857</v>
      </c>
      <c r="J242" s="21">
        <f t="shared" si="203"/>
        <v>1996.4139233770752</v>
      </c>
      <c r="K242" s="21">
        <f t="shared" si="203"/>
        <v>1998.2554160765981</v>
      </c>
      <c r="L242" s="21">
        <f t="shared" si="203"/>
        <v>2016.6602031413004</v>
      </c>
      <c r="M242" s="21">
        <f t="shared" si="203"/>
        <v>2201.5555589937339</v>
      </c>
      <c r="N242" s="21">
        <f t="shared" si="203"/>
        <v>4052.0999576126837</v>
      </c>
      <c r="O242" s="21">
        <f t="shared" si="203"/>
        <v>16217.221772458444</v>
      </c>
      <c r="P242" s="21">
        <f t="shared" si="203"/>
        <v>28134.534878882801</v>
      </c>
      <c r="Q242" s="21">
        <f t="shared" si="203"/>
        <v>30592.872207931239</v>
      </c>
      <c r="R242" s="21">
        <f t="shared" si="203"/>
        <v>39925.901528636277</v>
      </c>
      <c r="S242" s="21">
        <f t="shared" si="203"/>
        <v>37780.258309974684</v>
      </c>
      <c r="T242" s="21">
        <f t="shared" si="203"/>
        <v>7300.6235338623683</v>
      </c>
      <c r="U242" s="21">
        <f t="shared" si="203"/>
        <v>11644.908152939546</v>
      </c>
      <c r="V242" s="21">
        <f t="shared" si="203"/>
        <v>117751.64281501561</v>
      </c>
      <c r="W242" s="21">
        <f t="shared" si="203"/>
        <v>231549.16614702824</v>
      </c>
      <c r="X242" s="21">
        <f t="shared" si="203"/>
        <v>291531.58857097937</v>
      </c>
      <c r="Y242" s="21">
        <f t="shared" si="203"/>
        <v>251003.81780082546</v>
      </c>
      <c r="Z242" s="21">
        <f t="shared" si="203"/>
        <v>72917.106970305627</v>
      </c>
      <c r="AA242" s="21">
        <f t="shared" si="203"/>
        <v>56.169605349379609</v>
      </c>
      <c r="AB242" s="21">
        <f t="shared" si="203"/>
        <v>49847.570384600614</v>
      </c>
      <c r="AC242" s="21">
        <f t="shared" si="203"/>
        <v>131297.45735437857</v>
      </c>
      <c r="AD242" s="21">
        <f t="shared" si="203"/>
        <v>109553.3119169805</v>
      </c>
      <c r="AE242" s="21">
        <f t="shared" si="203"/>
        <v>41570.101879359252</v>
      </c>
      <c r="AF242" s="21">
        <f t="shared" si="203"/>
        <v>21785.867744328632</v>
      </c>
      <c r="AG242" s="3"/>
      <c r="AH242" s="3"/>
    </row>
    <row r="243" spans="1:34" x14ac:dyDescent="0.25">
      <c r="A243" s="71">
        <f>SUM(B243:AF243)</f>
        <v>1512660.5781616264</v>
      </c>
      <c r="B243" s="60">
        <f>IF($A$64&lt;=B207,IF($B$64&gt;=B207,ABS(B242),0),0)</f>
        <v>1.7910897847035905E-2</v>
      </c>
      <c r="C243" s="60">
        <f t="shared" ref="C243" si="204">IF($A$64&lt;=C207,IF($B$64&gt;=C207,ABS(C242),0),0)</f>
        <v>1.9344501699052554</v>
      </c>
      <c r="D243" s="60">
        <f t="shared" ref="D243" si="205">IF($A$64&lt;=D207,IF($B$64&gt;=D207,ABS(D242),0),0)</f>
        <v>137.78684470382609</v>
      </c>
      <c r="E243" s="60">
        <f t="shared" ref="E243" si="206">IF($A$64&lt;=E207,IF($B$64&gt;=E207,ABS(E242),0),0)</f>
        <v>1810.6771459073354</v>
      </c>
      <c r="F243" s="60">
        <f t="shared" ref="F243" si="207">IF($A$64&lt;=F207,IF($B$64&gt;=F207,ABS(F242),0),0)</f>
        <v>1996.343857173212</v>
      </c>
      <c r="G243" s="60">
        <f t="shared" ref="G243" si="208">IF($A$64&lt;=G207,IF($B$64&gt;=G207,ABS(G242),0),0)</f>
        <v>1996.2506056045897</v>
      </c>
      <c r="H243" s="60">
        <f t="shared" ref="H243" si="209">IF($A$64&lt;=H207,IF($B$64&gt;=H207,ABS(H242),0),0)</f>
        <v>1996.2222368061628</v>
      </c>
      <c r="I243" s="60">
        <f t="shared" ref="I243" si="210">IF($A$64&lt;=I207,IF($B$64&gt;=I207,ABS(I242),0),0)</f>
        <v>1996.2384773254857</v>
      </c>
      <c r="J243" s="60">
        <f t="shared" ref="J243" si="211">IF($A$64&lt;=J207,IF($B$64&gt;=J207,ABS(J242),0),0)</f>
        <v>1996.4139233770752</v>
      </c>
      <c r="K243" s="60">
        <f t="shared" ref="K243" si="212">IF($A$64&lt;=K207,IF($B$64&gt;=K207,ABS(K242),0),0)</f>
        <v>1998.2554160765981</v>
      </c>
      <c r="L243" s="60">
        <f t="shared" ref="L243" si="213">IF($A$64&lt;=L207,IF($B$64&gt;=L207,ABS(L242),0),0)</f>
        <v>2016.6602031413004</v>
      </c>
      <c r="M243" s="60">
        <f t="shared" ref="M243" si="214">IF($A$64&lt;=M207,IF($B$64&gt;=M207,ABS(M242),0),0)</f>
        <v>2201.5555589937339</v>
      </c>
      <c r="N243" s="60">
        <f t="shared" ref="N243" si="215">IF($A$64&lt;=N207,IF($B$64&gt;=N207,ABS(N242),0),0)</f>
        <v>4052.0999576126837</v>
      </c>
      <c r="O243" s="60">
        <f t="shared" ref="O243" si="216">IF($A$64&lt;=O207,IF($B$64&gt;=O207,ABS(O242),0),0)</f>
        <v>16217.221772458444</v>
      </c>
      <c r="P243" s="60">
        <f t="shared" ref="P243" si="217">IF($A$64&lt;=P207,IF($B$64&gt;=P207,ABS(P242),0),0)</f>
        <v>28134.534878882801</v>
      </c>
      <c r="Q243" s="60">
        <f t="shared" ref="Q243" si="218">IF($A$64&lt;=Q207,IF($B$64&gt;=Q207,ABS(Q242),0),0)</f>
        <v>30592.872207931239</v>
      </c>
      <c r="R243" s="60">
        <f t="shared" ref="R243" si="219">IF($A$64&lt;=R207,IF($B$64&gt;=R207,ABS(R242),0),0)</f>
        <v>39925.901528636277</v>
      </c>
      <c r="S243" s="60">
        <f t="shared" ref="S243" si="220">IF($A$64&lt;=S207,IF($B$64&gt;=S207,ABS(S242),0),0)</f>
        <v>37780.258309974684</v>
      </c>
      <c r="T243" s="60">
        <f t="shared" ref="T243" si="221">IF($A$64&lt;=T207,IF($B$64&gt;=T207,ABS(T242),0),0)</f>
        <v>7300.6235338623683</v>
      </c>
      <c r="U243" s="60">
        <f t="shared" ref="U243" si="222">IF($A$64&lt;=U207,IF($B$64&gt;=U207,ABS(U242),0),0)</f>
        <v>11644.908152939546</v>
      </c>
      <c r="V243" s="60">
        <f t="shared" ref="V243" si="223">IF($A$64&lt;=V207,IF($B$64&gt;=V207,ABS(V242),0),0)</f>
        <v>117751.64281501561</v>
      </c>
      <c r="W243" s="60">
        <f t="shared" ref="W243" si="224">IF($A$64&lt;=W207,IF($B$64&gt;=W207,ABS(W242),0),0)</f>
        <v>231549.16614702824</v>
      </c>
      <c r="X243" s="60">
        <f t="shared" ref="X243" si="225">IF($A$64&lt;=X207,IF($B$64&gt;=X207,ABS(X242),0),0)</f>
        <v>291531.58857097937</v>
      </c>
      <c r="Y243" s="60">
        <f t="shared" ref="Y243" si="226">IF($A$64&lt;=Y207,IF($B$64&gt;=Y207,ABS(Y242),0),0)</f>
        <v>251003.81780082546</v>
      </c>
      <c r="Z243" s="60">
        <f t="shared" ref="Z243" si="227">IF($A$64&lt;=Z207,IF($B$64&gt;=Z207,ABS(Z242),0),0)</f>
        <v>72917.106970305627</v>
      </c>
      <c r="AA243" s="60">
        <f t="shared" ref="AA243" si="228">IF($A$64&lt;=AA207,IF($B$64&gt;=AA207,ABS(AA242),0),0)</f>
        <v>56.169605349379609</v>
      </c>
      <c r="AB243" s="60">
        <f t="shared" ref="AB243" si="229">IF($A$64&lt;=AB207,IF($B$64&gt;=AB207,ABS(AB242),0),0)</f>
        <v>49847.570384600614</v>
      </c>
      <c r="AC243" s="60">
        <f t="shared" ref="AC243" si="230">IF($A$64&lt;=AC207,IF($B$64&gt;=AC207,ABS(AC242),0),0)</f>
        <v>131297.45735437857</v>
      </c>
      <c r="AD243" s="60">
        <f t="shared" ref="AD243" si="231">IF($A$64&lt;=AD207,IF($B$64&gt;=AD207,ABS(AD242),0),0)</f>
        <v>109553.3119169805</v>
      </c>
      <c r="AE243" s="60">
        <f t="shared" ref="AE243" si="232">IF($A$64&lt;=AE207,IF($B$64&gt;=AE207,ABS(AE242),0),0)</f>
        <v>41570.101879359252</v>
      </c>
      <c r="AF243" s="60">
        <f t="shared" ref="AF243" si="233">IF($A$64&lt;=AF207,IF($B$64&gt;=AF207,ABS(AF242),0),0)</f>
        <v>21785.867744328632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6484.581777246899</v>
      </c>
      <c r="C248" s="27">
        <f t="shared" ref="C248:AF248" si="234">($C$17+SUM(C249:C279))*$B$51</f>
        <v>6479.4176832326648</v>
      </c>
      <c r="D248" s="27">
        <f t="shared" si="234"/>
        <v>6479.417681579791</v>
      </c>
      <c r="E248" s="27">
        <f t="shared" si="234"/>
        <v>6479.4176652413407</v>
      </c>
      <c r="F248" s="27">
        <f t="shared" si="234"/>
        <v>6479.4175018570477</v>
      </c>
      <c r="G248" s="27">
        <f t="shared" si="234"/>
        <v>6479.4158680349656</v>
      </c>
      <c r="H248" s="27">
        <f t="shared" si="234"/>
        <v>6479.3995318998086</v>
      </c>
      <c r="I248" s="27">
        <f t="shared" si="234"/>
        <v>6479.2363788470075</v>
      </c>
      <c r="J248" s="27">
        <f t="shared" si="234"/>
        <v>6477.6254128488599</v>
      </c>
      <c r="K248" s="27">
        <f t="shared" si="234"/>
        <v>6463.3316669167762</v>
      </c>
      <c r="L248" s="27">
        <f t="shared" si="234"/>
        <v>6391.6804212909219</v>
      </c>
      <c r="M248" s="27">
        <f t="shared" si="234"/>
        <v>6228.1238971498778</v>
      </c>
      <c r="N248" s="27">
        <f t="shared" si="234"/>
        <v>6077.7243676495782</v>
      </c>
      <c r="O248" s="27">
        <f t="shared" si="234"/>
        <v>5893.1939014920808</v>
      </c>
      <c r="P248" s="27">
        <f t="shared" si="234"/>
        <v>5683.9278410145444</v>
      </c>
      <c r="Q248" s="27">
        <f t="shared" si="234"/>
        <v>5473.8495383480295</v>
      </c>
      <c r="R248" s="27">
        <f t="shared" si="234"/>
        <v>5186.8488348393093</v>
      </c>
      <c r="S248" s="27">
        <f t="shared" si="234"/>
        <v>4915.5895980065106</v>
      </c>
      <c r="T248" s="27">
        <f t="shared" si="234"/>
        <v>4627.2632180787095</v>
      </c>
      <c r="U248" s="27">
        <f t="shared" si="234"/>
        <v>4327.0599920456889</v>
      </c>
      <c r="V248" s="27">
        <f t="shared" si="234"/>
        <v>3977.0814463495944</v>
      </c>
      <c r="W248" s="27">
        <f t="shared" si="234"/>
        <v>3449.6351667407471</v>
      </c>
      <c r="X248" s="27">
        <f t="shared" si="234"/>
        <v>2806.1339128108566</v>
      </c>
      <c r="Y248" s="27">
        <f t="shared" si="234"/>
        <v>2121.592877173945</v>
      </c>
      <c r="Z248" s="27">
        <f t="shared" si="234"/>
        <v>1450.0942216469384</v>
      </c>
      <c r="AA248" s="27">
        <f t="shared" si="234"/>
        <v>882.43440942496409</v>
      </c>
      <c r="AB248" s="27">
        <f t="shared" si="234"/>
        <v>516.76199342596965</v>
      </c>
      <c r="AC248" s="27">
        <f t="shared" si="234"/>
        <v>263.21970617004109</v>
      </c>
      <c r="AD248" s="27">
        <f t="shared" si="234"/>
        <v>165.54141332332162</v>
      </c>
      <c r="AE248" s="27">
        <f t="shared" si="234"/>
        <v>144.98031760566946</v>
      </c>
      <c r="AF248" s="27">
        <f t="shared" si="234"/>
        <v>128.151723168085</v>
      </c>
      <c r="AG248" s="27"/>
      <c r="AH248" s="27"/>
    </row>
    <row r="249" spans="1:34" x14ac:dyDescent="0.25">
      <c r="B249" s="3">
        <f t="shared" ref="B249:AF249" si="235">$C18*EXP(-B$246/$A18/EXP(-$E$126))</f>
        <v>7.9154212301350217E-4</v>
      </c>
      <c r="C249" s="3">
        <f t="shared" si="235"/>
        <v>2.9165785445617419E-12</v>
      </c>
      <c r="D249" s="3">
        <f t="shared" si="235"/>
        <v>1.3454579495868706E-96</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4.1306699005323189E-3</v>
      </c>
      <c r="C253" s="3">
        <f t="shared" si="239"/>
        <v>4.1306698854492088E-3</v>
      </c>
      <c r="D253" s="3">
        <f t="shared" si="239"/>
        <v>4.1306697346181189E-3</v>
      </c>
      <c r="E253" s="3">
        <f t="shared" si="239"/>
        <v>4.130668226307521E-3</v>
      </c>
      <c r="F253" s="3">
        <f t="shared" si="239"/>
        <v>4.1306531432318359E-3</v>
      </c>
      <c r="G253" s="3">
        <f t="shared" si="239"/>
        <v>4.1305023155041023E-3</v>
      </c>
      <c r="H253" s="3">
        <f t="shared" si="239"/>
        <v>4.1289943410985257E-3</v>
      </c>
      <c r="I253" s="3">
        <f t="shared" si="239"/>
        <v>4.1139448433379997E-3</v>
      </c>
      <c r="J253" s="3">
        <f t="shared" si="239"/>
        <v>3.9664340269953812E-3</v>
      </c>
      <c r="K253" s="3">
        <f t="shared" si="239"/>
        <v>2.7530743454210489E-3</v>
      </c>
      <c r="L253" s="3">
        <f t="shared" si="239"/>
        <v>7.1448807170305703E-5</v>
      </c>
      <c r="M253" s="3">
        <f t="shared" si="239"/>
        <v>9.9029688960108973E-21</v>
      </c>
      <c r="N253" s="3">
        <f t="shared" si="239"/>
        <v>2.591013870797128E-179</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2.7997525231401053E-2</v>
      </c>
      <c r="C254" s="3">
        <f t="shared" si="240"/>
        <v>2.7997525222178805E-2</v>
      </c>
      <c r="D254" s="3">
        <f t="shared" si="240"/>
        <v>2.7997525129956364E-2</v>
      </c>
      <c r="E254" s="3">
        <f t="shared" si="240"/>
        <v>2.7997524207731946E-2</v>
      </c>
      <c r="F254" s="3">
        <f t="shared" si="240"/>
        <v>2.7997514985489455E-2</v>
      </c>
      <c r="G254" s="3">
        <f t="shared" si="240"/>
        <v>2.7997422763231621E-2</v>
      </c>
      <c r="H254" s="3">
        <f t="shared" si="240"/>
        <v>2.7996500557360735E-2</v>
      </c>
      <c r="I254" s="3">
        <f t="shared" si="240"/>
        <v>2.7987280169194183E-2</v>
      </c>
      <c r="J254" s="3">
        <f t="shared" si="240"/>
        <v>2.7895243138341689E-2</v>
      </c>
      <c r="K254" s="3">
        <f t="shared" si="240"/>
        <v>2.6991356339043062E-2</v>
      </c>
      <c r="L254" s="3">
        <f t="shared" si="240"/>
        <v>1.9416470411694791E-2</v>
      </c>
      <c r="M254" s="3">
        <f t="shared" si="240"/>
        <v>7.2048683649247175E-4</v>
      </c>
      <c r="N254" s="3">
        <f t="shared" si="240"/>
        <v>3.5660194110065658E-18</v>
      </c>
      <c r="O254" s="3">
        <f t="shared" si="240"/>
        <v>3.1460109220486929E-161</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2.1979597630933923E-2</v>
      </c>
      <c r="C255" s="3">
        <f t="shared" si="241"/>
        <v>2.1979597630280817E-2</v>
      </c>
      <c r="D255" s="3">
        <f t="shared" si="241"/>
        <v>2.1979597623749764E-2</v>
      </c>
      <c r="E255" s="3">
        <f t="shared" si="241"/>
        <v>2.1979597558439219E-2</v>
      </c>
      <c r="F255" s="3">
        <f t="shared" si="241"/>
        <v>2.1979596905333777E-2</v>
      </c>
      <c r="G255" s="3">
        <f t="shared" si="241"/>
        <v>2.1979590374280451E-2</v>
      </c>
      <c r="H255" s="3">
        <f t="shared" si="241"/>
        <v>2.1979525063853898E-2</v>
      </c>
      <c r="I255" s="3">
        <f t="shared" si="241"/>
        <v>2.1978871970261812E-2</v>
      </c>
      <c r="J255" s="3">
        <f t="shared" si="241"/>
        <v>2.1972342101567285E-2</v>
      </c>
      <c r="K255" s="3">
        <f t="shared" si="241"/>
        <v>2.190715002001143E-2</v>
      </c>
      <c r="L255" s="3">
        <f t="shared" si="241"/>
        <v>2.1265773464577808E-2</v>
      </c>
      <c r="M255" s="3">
        <f t="shared" si="241"/>
        <v>1.5799167093268077E-2</v>
      </c>
      <c r="N255" s="3">
        <f t="shared" si="241"/>
        <v>8.0940201768988371E-4</v>
      </c>
      <c r="O255" s="3">
        <f t="shared" si="241"/>
        <v>1.0080108038616231E-16</v>
      </c>
      <c r="P255" s="3">
        <f t="shared" si="241"/>
        <v>9.0463675550840301E-146</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2.8250918359928042E-2</v>
      </c>
      <c r="C256" s="3">
        <f t="shared" si="242"/>
        <v>2.8250918359852321E-2</v>
      </c>
      <c r="D256" s="3">
        <f t="shared" si="242"/>
        <v>2.8250918359095063E-2</v>
      </c>
      <c r="E256" s="3">
        <f t="shared" si="242"/>
        <v>2.8250918351522505E-2</v>
      </c>
      <c r="F256" s="3">
        <f t="shared" si="242"/>
        <v>2.8250918275796903E-2</v>
      </c>
      <c r="G256" s="3">
        <f t="shared" si="242"/>
        <v>2.8250917518540898E-2</v>
      </c>
      <c r="H256" s="3">
        <f t="shared" si="242"/>
        <v>2.8250909945981981E-2</v>
      </c>
      <c r="I256" s="3">
        <f t="shared" si="242"/>
        <v>2.825083422050445E-2</v>
      </c>
      <c r="J256" s="3">
        <f t="shared" si="242"/>
        <v>2.8250076976892913E-2</v>
      </c>
      <c r="K256" s="3">
        <f t="shared" si="242"/>
        <v>2.8242505657043598E-2</v>
      </c>
      <c r="L256" s="3">
        <f t="shared" si="242"/>
        <v>2.8166903974529284E-2</v>
      </c>
      <c r="M256" s="3">
        <f t="shared" si="242"/>
        <v>2.7421928937332956E-2</v>
      </c>
      <c r="N256" s="3">
        <f t="shared" si="242"/>
        <v>2.0974271216600608E-2</v>
      </c>
      <c r="O256" s="3">
        <f t="shared" si="242"/>
        <v>1.4373934593728665E-3</v>
      </c>
      <c r="P256" s="3">
        <f t="shared" si="242"/>
        <v>3.284456485237879E-15</v>
      </c>
      <c r="Q256" s="3">
        <f t="shared" si="242"/>
        <v>1.2745063191479183E-131</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3.443790301047496E-2</v>
      </c>
      <c r="C257" s="3">
        <f t="shared" si="243"/>
        <v>3.4437903010466633E-2</v>
      </c>
      <c r="D257" s="3">
        <f t="shared" si="243"/>
        <v>3.443790301038336E-2</v>
      </c>
      <c r="E257" s="3">
        <f t="shared" si="243"/>
        <v>3.4437903009550651E-2</v>
      </c>
      <c r="F257" s="3">
        <f t="shared" si="243"/>
        <v>3.4437903001223555E-2</v>
      </c>
      <c r="G257" s="3">
        <f t="shared" si="243"/>
        <v>3.4437902917952623E-2</v>
      </c>
      <c r="H257" s="3">
        <f t="shared" si="243"/>
        <v>3.4437902085243263E-2</v>
      </c>
      <c r="I257" s="3">
        <f t="shared" si="243"/>
        <v>3.4437893758150796E-2</v>
      </c>
      <c r="J257" s="3">
        <f t="shared" si="243"/>
        <v>3.4437810487336851E-2</v>
      </c>
      <c r="K257" s="3">
        <f t="shared" si="243"/>
        <v>3.4436977790271522E-2</v>
      </c>
      <c r="L257" s="3">
        <f t="shared" si="243"/>
        <v>3.4428651926929559E-2</v>
      </c>
      <c r="M257" s="3">
        <f t="shared" si="243"/>
        <v>3.4345503925634797E-2</v>
      </c>
      <c r="N257" s="3">
        <f t="shared" si="243"/>
        <v>3.3524988783855729E-2</v>
      </c>
      <c r="O257" s="3">
        <f t="shared" si="243"/>
        <v>2.6324257184185674E-2</v>
      </c>
      <c r="P257" s="3">
        <f t="shared" si="243"/>
        <v>2.3454758429041407E-3</v>
      </c>
      <c r="Q257" s="3">
        <f t="shared" si="243"/>
        <v>7.3957011913297121E-14</v>
      </c>
      <c r="R257" s="3">
        <f t="shared" si="243"/>
        <v>7.1856038963212185E-119</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2.9401070007452158E-2</v>
      </c>
      <c r="C258" s="3">
        <f t="shared" si="244"/>
        <v>2.940107000745152E-2</v>
      </c>
      <c r="D258" s="3">
        <f t="shared" si="244"/>
        <v>2.9401070007445105E-2</v>
      </c>
      <c r="E258" s="3">
        <f t="shared" si="244"/>
        <v>2.9401070007380976E-2</v>
      </c>
      <c r="F258" s="3">
        <f t="shared" si="244"/>
        <v>2.9401070006739669E-2</v>
      </c>
      <c r="G258" s="3">
        <f t="shared" si="244"/>
        <v>2.9401070000326591E-2</v>
      </c>
      <c r="H258" s="3">
        <f t="shared" si="244"/>
        <v>2.9401069936195814E-2</v>
      </c>
      <c r="I258" s="3">
        <f t="shared" si="244"/>
        <v>2.9401069294888088E-2</v>
      </c>
      <c r="J258" s="3">
        <f t="shared" si="244"/>
        <v>2.9401062881811563E-2</v>
      </c>
      <c r="K258" s="3">
        <f t="shared" si="244"/>
        <v>2.9400998751123262E-2</v>
      </c>
      <c r="L258" s="3">
        <f t="shared" si="244"/>
        <v>2.9400357451933819E-2</v>
      </c>
      <c r="M258" s="3">
        <f t="shared" si="244"/>
        <v>2.9393945229335569E-2</v>
      </c>
      <c r="N258" s="3">
        <f t="shared" si="244"/>
        <v>2.9329899870919451E-2</v>
      </c>
      <c r="O258" s="3">
        <f t="shared" si="244"/>
        <v>2.8697071367056678E-2</v>
      </c>
      <c r="P258" s="3">
        <f t="shared" si="244"/>
        <v>2.3073185203224978E-2</v>
      </c>
      <c r="Q258" s="3">
        <f t="shared" si="244"/>
        <v>2.6049974049948046E-3</v>
      </c>
      <c r="R258" s="3">
        <f t="shared" si="244"/>
        <v>8.7660657620511216E-13</v>
      </c>
      <c r="S258" s="3">
        <f t="shared" si="244"/>
        <v>1.6322212132151692E-107</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4.9041908611543839E-2</v>
      </c>
      <c r="C259" s="3">
        <f t="shared" si="245"/>
        <v>4.9041908611543741E-2</v>
      </c>
      <c r="D259" s="3">
        <f t="shared" si="245"/>
        <v>4.9041908611542777E-2</v>
      </c>
      <c r="E259" s="3">
        <f t="shared" si="245"/>
        <v>4.9041908611533132E-2</v>
      </c>
      <c r="F259" s="3">
        <f t="shared" si="245"/>
        <v>4.9041908611436633E-2</v>
      </c>
      <c r="G259" s="3">
        <f t="shared" si="245"/>
        <v>4.9041908610471655E-2</v>
      </c>
      <c r="H259" s="3">
        <f t="shared" si="245"/>
        <v>4.904190860082188E-2</v>
      </c>
      <c r="I259" s="3">
        <f t="shared" si="245"/>
        <v>4.9041908504324105E-2</v>
      </c>
      <c r="J259" s="3">
        <f t="shared" si="245"/>
        <v>4.9041907539346369E-2</v>
      </c>
      <c r="K259" s="3">
        <f t="shared" si="245"/>
        <v>4.9041897889570057E-2</v>
      </c>
      <c r="L259" s="3">
        <f t="shared" si="245"/>
        <v>4.904180139191136E-2</v>
      </c>
      <c r="M259" s="3">
        <f t="shared" si="245"/>
        <v>4.904083642576744E-2</v>
      </c>
      <c r="N259" s="3">
        <f t="shared" si="245"/>
        <v>4.9031187808554921E-2</v>
      </c>
      <c r="O259" s="3">
        <f t="shared" si="245"/>
        <v>4.8934805983116149E-2</v>
      </c>
      <c r="P259" s="3">
        <f t="shared" si="245"/>
        <v>4.7981346827613548E-2</v>
      </c>
      <c r="Q259" s="3">
        <f t="shared" si="245"/>
        <v>3.9411055879591254E-2</v>
      </c>
      <c r="R259" s="3">
        <f t="shared" si="245"/>
        <v>5.5090210363363916E-3</v>
      </c>
      <c r="S259" s="3">
        <f t="shared" si="245"/>
        <v>1.5690545193559156E-11</v>
      </c>
      <c r="T259" s="3">
        <f t="shared" si="245"/>
        <v>5.5115540137082905E-97</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4.178985908034704E-2</v>
      </c>
      <c r="C260" s="3">
        <f t="shared" si="246"/>
        <v>4.1789859080347033E-2</v>
      </c>
      <c r="D260" s="3">
        <f t="shared" si="246"/>
        <v>4.1789859080346957E-2</v>
      </c>
      <c r="E260" s="3">
        <f t="shared" si="246"/>
        <v>4.1789859080346214E-2</v>
      </c>
      <c r="F260" s="3">
        <f t="shared" si="246"/>
        <v>4.1789859080338797E-2</v>
      </c>
      <c r="G260" s="3">
        <f t="shared" si="246"/>
        <v>4.178985908026462E-2</v>
      </c>
      <c r="H260" s="3">
        <f t="shared" si="246"/>
        <v>4.1789859079522859E-2</v>
      </c>
      <c r="I260" s="3">
        <f t="shared" si="246"/>
        <v>4.1789859072105189E-2</v>
      </c>
      <c r="J260" s="3">
        <f t="shared" si="246"/>
        <v>4.1789858997928496E-2</v>
      </c>
      <c r="K260" s="3">
        <f t="shared" si="246"/>
        <v>4.178985825616164E-2</v>
      </c>
      <c r="L260" s="3">
        <f t="shared" si="246"/>
        <v>4.1789850838493736E-2</v>
      </c>
      <c r="M260" s="3">
        <f t="shared" si="246"/>
        <v>4.1789776661887178E-2</v>
      </c>
      <c r="N260" s="3">
        <f t="shared" si="246"/>
        <v>4.1789034903063002E-2</v>
      </c>
      <c r="O260" s="3">
        <f t="shared" si="246"/>
        <v>4.1781618038915252E-2</v>
      </c>
      <c r="P260" s="3">
        <f t="shared" si="246"/>
        <v>4.1707521759306983E-2</v>
      </c>
      <c r="Q260" s="3">
        <f t="shared" si="246"/>
        <v>4.0973747851481744E-2</v>
      </c>
      <c r="R260" s="3">
        <f t="shared" si="246"/>
        <v>3.4309844132513381E-2</v>
      </c>
      <c r="S260" s="3">
        <f t="shared" si="246"/>
        <v>5.8149942674816449E-3</v>
      </c>
      <c r="T260" s="3">
        <f t="shared" si="246"/>
        <v>1.1372468677448365E-10</v>
      </c>
      <c r="U260" s="3">
        <f t="shared" si="246"/>
        <v>9.309135109768602E-88</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4.6925793493946939E-2</v>
      </c>
      <c r="C261" s="3">
        <f t="shared" si="247"/>
        <v>4.6925793493946939E-2</v>
      </c>
      <c r="D261" s="3">
        <f t="shared" si="247"/>
        <v>4.6925793493946925E-2</v>
      </c>
      <c r="E261" s="3">
        <f t="shared" si="247"/>
        <v>4.6925793493946856E-2</v>
      </c>
      <c r="F261" s="3">
        <f t="shared" si="247"/>
        <v>4.6925793493946107E-2</v>
      </c>
      <c r="G261" s="3">
        <f t="shared" si="247"/>
        <v>4.6925793493938592E-2</v>
      </c>
      <c r="H261" s="3">
        <f t="shared" si="247"/>
        <v>4.6925793493863451E-2</v>
      </c>
      <c r="I261" s="3">
        <f t="shared" si="247"/>
        <v>4.6925793493112086E-2</v>
      </c>
      <c r="J261" s="3">
        <f t="shared" si="247"/>
        <v>4.6925793485598367E-2</v>
      </c>
      <c r="K261" s="3">
        <f t="shared" si="247"/>
        <v>4.6925793410461214E-2</v>
      </c>
      <c r="L261" s="3">
        <f t="shared" si="247"/>
        <v>4.692579265908968E-2</v>
      </c>
      <c r="M261" s="3">
        <f t="shared" si="247"/>
        <v>4.6925785145375001E-2</v>
      </c>
      <c r="N261" s="3">
        <f t="shared" si="247"/>
        <v>4.6925710008294416E-2</v>
      </c>
      <c r="O261" s="3">
        <f t="shared" si="247"/>
        <v>4.6924958644105501E-2</v>
      </c>
      <c r="P261" s="3">
        <f t="shared" si="247"/>
        <v>4.6917445663871876E-2</v>
      </c>
      <c r="Q261" s="3">
        <f t="shared" si="247"/>
        <v>4.6842381987908299E-2</v>
      </c>
      <c r="R261" s="3">
        <f t="shared" si="247"/>
        <v>4.6098318856814244E-2</v>
      </c>
      <c r="S261" s="3">
        <f t="shared" si="247"/>
        <v>3.9277718184166581E-2</v>
      </c>
      <c r="T261" s="3">
        <f t="shared" si="247"/>
        <v>7.9205961794371945E-3</v>
      </c>
      <c r="U261" s="3">
        <f t="shared" si="247"/>
        <v>8.807934854650024E-10</v>
      </c>
      <c r="V261" s="3">
        <f t="shared" si="247"/>
        <v>2.5470432098608088E-79</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4.7062467056075051E-2</v>
      </c>
      <c r="C262" s="3">
        <f t="shared" si="248"/>
        <v>4.7062467056075051E-2</v>
      </c>
      <c r="D262" s="3">
        <f t="shared" si="248"/>
        <v>4.7062467056075051E-2</v>
      </c>
      <c r="E262" s="3">
        <f t="shared" si="248"/>
        <v>4.7062467056075044E-2</v>
      </c>
      <c r="F262" s="3">
        <f t="shared" si="248"/>
        <v>4.7062467056074975E-2</v>
      </c>
      <c r="G262" s="3">
        <f t="shared" si="248"/>
        <v>4.7062467056074295E-2</v>
      </c>
      <c r="H262" s="3">
        <f t="shared" si="248"/>
        <v>4.7062467056067495E-2</v>
      </c>
      <c r="I262" s="3">
        <f t="shared" si="248"/>
        <v>4.7062467055999521E-2</v>
      </c>
      <c r="J262" s="3">
        <f t="shared" si="248"/>
        <v>4.7062467055319746E-2</v>
      </c>
      <c r="K262" s="3">
        <f t="shared" si="248"/>
        <v>4.706246704852201E-2</v>
      </c>
      <c r="L262" s="3">
        <f t="shared" si="248"/>
        <v>4.7062466980544636E-2</v>
      </c>
      <c r="M262" s="3">
        <f t="shared" si="248"/>
        <v>4.7062466300770878E-2</v>
      </c>
      <c r="N262" s="3">
        <f t="shared" si="248"/>
        <v>4.7062459503033865E-2</v>
      </c>
      <c r="O262" s="3">
        <f t="shared" si="248"/>
        <v>4.7062391525717749E-2</v>
      </c>
      <c r="P262" s="3">
        <f t="shared" si="248"/>
        <v>4.7061711757956828E-2</v>
      </c>
      <c r="Q262" s="3">
        <f t="shared" si="248"/>
        <v>4.7054914620344182E-2</v>
      </c>
      <c r="R262" s="3">
        <f t="shared" si="248"/>
        <v>4.6986997215027304E-2</v>
      </c>
      <c r="S262" s="3">
        <f t="shared" si="248"/>
        <v>4.6313191510262058E-2</v>
      </c>
      <c r="T262" s="3">
        <f t="shared" si="248"/>
        <v>4.0084354392372637E-2</v>
      </c>
      <c r="U262" s="3">
        <f t="shared" si="248"/>
        <v>9.455330759472776E-3</v>
      </c>
      <c r="V262" s="3">
        <f t="shared" si="248"/>
        <v>5.0430706266069586E-9</v>
      </c>
      <c r="W262" s="3">
        <f t="shared" si="248"/>
        <v>9.3946000899974004E-72</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5.1874996245126884E-2</v>
      </c>
      <c r="C263" s="3">
        <f t="shared" si="249"/>
        <v>5.1874996245126884E-2</v>
      </c>
      <c r="D263" s="3">
        <f t="shared" si="249"/>
        <v>5.1874996245126884E-2</v>
      </c>
      <c r="E263" s="3">
        <f t="shared" si="249"/>
        <v>5.1874996245126884E-2</v>
      </c>
      <c r="F263" s="3">
        <f t="shared" si="249"/>
        <v>5.1874996245126877E-2</v>
      </c>
      <c r="G263" s="3">
        <f t="shared" si="249"/>
        <v>5.1874996245126807E-2</v>
      </c>
      <c r="H263" s="3">
        <f t="shared" si="249"/>
        <v>5.1874996245126134E-2</v>
      </c>
      <c r="I263" s="3">
        <f t="shared" si="249"/>
        <v>5.1874996245119376E-2</v>
      </c>
      <c r="J263" s="3">
        <f t="shared" si="249"/>
        <v>5.1874996245051784E-2</v>
      </c>
      <c r="K263" s="3">
        <f t="shared" si="249"/>
        <v>5.1874996244375859E-2</v>
      </c>
      <c r="L263" s="3">
        <f t="shared" si="249"/>
        <v>5.1874996237616676E-2</v>
      </c>
      <c r="M263" s="3">
        <f t="shared" si="249"/>
        <v>5.187499617002482E-2</v>
      </c>
      <c r="N263" s="3">
        <f t="shared" si="249"/>
        <v>5.1874995494106256E-2</v>
      </c>
      <c r="O263" s="3">
        <f t="shared" si="249"/>
        <v>5.1874988734921121E-2</v>
      </c>
      <c r="P263" s="3">
        <f t="shared" si="249"/>
        <v>5.1874921143118174E-2</v>
      </c>
      <c r="Q263" s="3">
        <f t="shared" si="249"/>
        <v>5.1874245229932593E-2</v>
      </c>
      <c r="R263" s="3">
        <f t="shared" si="249"/>
        <v>5.1867486582438768E-2</v>
      </c>
      <c r="S263" s="3">
        <f t="shared" si="249"/>
        <v>5.1799948520361752E-2</v>
      </c>
      <c r="T263" s="3">
        <f t="shared" si="249"/>
        <v>5.1129385926944992E-2</v>
      </c>
      <c r="U263" s="3">
        <f t="shared" si="249"/>
        <v>4.4883122550709934E-2</v>
      </c>
      <c r="V263" s="3">
        <f t="shared" si="249"/>
        <v>1.2195733627775757E-2</v>
      </c>
      <c r="W263" s="3">
        <f t="shared" si="249"/>
        <v>2.6758181628020087E-8</v>
      </c>
      <c r="X263" s="3">
        <f t="shared" si="249"/>
        <v>6.917406034068705E-65</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9.3719085133360594E-2</v>
      </c>
      <c r="C264" s="3">
        <f t="shared" si="250"/>
        <v>9.3719085133360594E-2</v>
      </c>
      <c r="D264" s="3">
        <f t="shared" si="250"/>
        <v>9.3719085133360594E-2</v>
      </c>
      <c r="E264" s="3">
        <f t="shared" si="250"/>
        <v>9.3719085133360594E-2</v>
      </c>
      <c r="F264" s="3">
        <f t="shared" si="250"/>
        <v>9.3719085133360594E-2</v>
      </c>
      <c r="G264" s="3">
        <f t="shared" si="250"/>
        <v>9.371908513336058E-2</v>
      </c>
      <c r="H264" s="3">
        <f t="shared" si="250"/>
        <v>9.3719085133360469E-2</v>
      </c>
      <c r="I264" s="3">
        <f t="shared" si="250"/>
        <v>9.3719085133359373E-2</v>
      </c>
      <c r="J264" s="3">
        <f t="shared" si="250"/>
        <v>9.3719085133348354E-2</v>
      </c>
      <c r="K264" s="3">
        <f t="shared" si="250"/>
        <v>9.3719085133238206E-2</v>
      </c>
      <c r="L264" s="3">
        <f t="shared" si="250"/>
        <v>9.3719085132136629E-2</v>
      </c>
      <c r="M264" s="3">
        <f t="shared" si="250"/>
        <v>9.3719085121120954E-2</v>
      </c>
      <c r="N264" s="3">
        <f t="shared" si="250"/>
        <v>9.3719085010964265E-2</v>
      </c>
      <c r="O264" s="3">
        <f t="shared" si="250"/>
        <v>9.3719083909397233E-2</v>
      </c>
      <c r="P264" s="3">
        <f t="shared" si="250"/>
        <v>9.3719072893727703E-2</v>
      </c>
      <c r="Q264" s="3">
        <f t="shared" si="250"/>
        <v>9.3718962737103589E-2</v>
      </c>
      <c r="R264" s="3">
        <f t="shared" si="250"/>
        <v>9.3717861177983766E-2</v>
      </c>
      <c r="S264" s="3">
        <f t="shared" si="250"/>
        <v>9.3706846298876489E-2</v>
      </c>
      <c r="T264" s="3">
        <f t="shared" si="250"/>
        <v>9.3596768685949322E-2</v>
      </c>
      <c r="U264" s="3">
        <f t="shared" si="250"/>
        <v>9.2503079513283223E-2</v>
      </c>
      <c r="V264" s="3">
        <f t="shared" si="250"/>
        <v>8.2245007850818619E-2</v>
      </c>
      <c r="W264" s="3">
        <f t="shared" si="250"/>
        <v>2.5388854100841872E-2</v>
      </c>
      <c r="X264" s="3">
        <f t="shared" si="250"/>
        <v>1.9951641603680961E-7</v>
      </c>
      <c r="Y264" s="3">
        <f t="shared" si="250"/>
        <v>1.7919834095521545E-58</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0.10682658591512105</v>
      </c>
      <c r="C265" s="3">
        <f t="shared" si="251"/>
        <v>0.10682658591512105</v>
      </c>
      <c r="D265" s="3">
        <f t="shared" si="251"/>
        <v>0.10682658591512105</v>
      </c>
      <c r="E265" s="3">
        <f t="shared" si="251"/>
        <v>0.10682658591512105</v>
      </c>
      <c r="F265" s="3">
        <f t="shared" si="251"/>
        <v>0.10682658591512105</v>
      </c>
      <c r="G265" s="3">
        <f t="shared" si="251"/>
        <v>0.10682658591512105</v>
      </c>
      <c r="H265" s="3">
        <f t="shared" si="251"/>
        <v>0.10682658591512104</v>
      </c>
      <c r="I265" s="3">
        <f t="shared" si="251"/>
        <v>0.10682658591512093</v>
      </c>
      <c r="J265" s="3">
        <f t="shared" si="251"/>
        <v>0.10682658591511979</v>
      </c>
      <c r="K265" s="3">
        <f t="shared" si="251"/>
        <v>0.10682658591510846</v>
      </c>
      <c r="L265" s="3">
        <f t="shared" si="251"/>
        <v>0.10682658591499521</v>
      </c>
      <c r="M265" s="3">
        <f t="shared" si="251"/>
        <v>0.10682658591386252</v>
      </c>
      <c r="N265" s="3">
        <f t="shared" si="251"/>
        <v>0.10682658590253567</v>
      </c>
      <c r="O265" s="3">
        <f t="shared" si="251"/>
        <v>0.10682658578926725</v>
      </c>
      <c r="P265" s="3">
        <f t="shared" si="251"/>
        <v>0.1068265846565831</v>
      </c>
      <c r="Q265" s="3">
        <f t="shared" si="251"/>
        <v>0.10682657332974217</v>
      </c>
      <c r="R265" s="3">
        <f t="shared" si="251"/>
        <v>0.10682646006139901</v>
      </c>
      <c r="S265" s="3">
        <f t="shared" si="251"/>
        <v>0.1068253273845728</v>
      </c>
      <c r="T265" s="3">
        <f t="shared" si="251"/>
        <v>0.10681400127682476</v>
      </c>
      <c r="U265" s="3">
        <f t="shared" si="251"/>
        <v>0.1067008062248453</v>
      </c>
      <c r="V265" s="3">
        <f t="shared" si="251"/>
        <v>0.10557543242586591</v>
      </c>
      <c r="W265" s="3">
        <f t="shared" si="251"/>
        <v>9.4954280816468561E-2</v>
      </c>
      <c r="X265" s="3">
        <f t="shared" si="251"/>
        <v>3.288753681979676E-2</v>
      </c>
      <c r="Y265" s="3">
        <f t="shared" si="251"/>
        <v>8.1695725274386806E-7</v>
      </c>
      <c r="Z265" s="3">
        <f t="shared" si="251"/>
        <v>7.309357208390072E-53</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0.11271230139024535</v>
      </c>
      <c r="C266" s="3">
        <f t="shared" si="252"/>
        <v>0.11271230139024535</v>
      </c>
      <c r="D266" s="3">
        <f t="shared" si="252"/>
        <v>0.11271230139024535</v>
      </c>
      <c r="E266" s="3">
        <f t="shared" si="252"/>
        <v>0.11271230139024535</v>
      </c>
      <c r="F266" s="3">
        <f t="shared" si="252"/>
        <v>0.11271230139024535</v>
      </c>
      <c r="G266" s="3">
        <f t="shared" si="252"/>
        <v>0.11271230139024535</v>
      </c>
      <c r="H266" s="3">
        <f t="shared" si="252"/>
        <v>0.11271230139024535</v>
      </c>
      <c r="I266" s="3">
        <f t="shared" si="252"/>
        <v>0.11271230139024534</v>
      </c>
      <c r="J266" s="3">
        <f t="shared" si="252"/>
        <v>0.11271230139024523</v>
      </c>
      <c r="K266" s="3">
        <f t="shared" si="252"/>
        <v>0.11271230139024414</v>
      </c>
      <c r="L266" s="3">
        <f t="shared" si="252"/>
        <v>0.11271230139023337</v>
      </c>
      <c r="M266" s="3">
        <f t="shared" si="252"/>
        <v>0.11271230139012557</v>
      </c>
      <c r="N266" s="3">
        <f t="shared" si="252"/>
        <v>0.11271230138904749</v>
      </c>
      <c r="O266" s="3">
        <f t="shared" si="252"/>
        <v>0.11271230137826679</v>
      </c>
      <c r="P266" s="3">
        <f t="shared" si="252"/>
        <v>0.11271230127045968</v>
      </c>
      <c r="Q266" s="3">
        <f t="shared" si="252"/>
        <v>0.11271230019238862</v>
      </c>
      <c r="R266" s="3">
        <f t="shared" si="252"/>
        <v>0.11271228941167863</v>
      </c>
      <c r="S266" s="3">
        <f t="shared" si="252"/>
        <v>0.11271218160463545</v>
      </c>
      <c r="T266" s="3">
        <f t="shared" si="252"/>
        <v>0.11271110353987492</v>
      </c>
      <c r="U266" s="3">
        <f t="shared" si="252"/>
        <v>0.11270032345938188</v>
      </c>
      <c r="V266" s="3">
        <f t="shared" si="252"/>
        <v>0.11259257934561741</v>
      </c>
      <c r="W266" s="3">
        <f t="shared" si="252"/>
        <v>0.11152078731291311</v>
      </c>
      <c r="X266" s="3">
        <f t="shared" si="252"/>
        <v>0.10134828666635066</v>
      </c>
      <c r="Y266" s="3">
        <f t="shared" si="252"/>
        <v>3.8942358894560741E-2</v>
      </c>
      <c r="Z266" s="3">
        <f t="shared" si="252"/>
        <v>2.7319999849590135E-6</v>
      </c>
      <c r="AA266" s="3">
        <f t="shared" si="252"/>
        <v>7.8897831975195532E-48</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0.10920571405178373</v>
      </c>
      <c r="C267" s="3">
        <f t="shared" si="253"/>
        <v>0.10920571405178373</v>
      </c>
      <c r="D267" s="3">
        <f t="shared" si="253"/>
        <v>0.10920571405178373</v>
      </c>
      <c r="E267" s="3">
        <f t="shared" si="253"/>
        <v>0.10920571405178373</v>
      </c>
      <c r="F267" s="3">
        <f t="shared" si="253"/>
        <v>0.10920571405178373</v>
      </c>
      <c r="G267" s="3">
        <f t="shared" si="253"/>
        <v>0.10920571405178373</v>
      </c>
      <c r="H267" s="3">
        <f t="shared" si="253"/>
        <v>0.10920571405178373</v>
      </c>
      <c r="I267" s="3">
        <f t="shared" si="253"/>
        <v>0.10920571405178373</v>
      </c>
      <c r="J267" s="3">
        <f t="shared" si="253"/>
        <v>0.10920571405178371</v>
      </c>
      <c r="K267" s="3">
        <f t="shared" si="253"/>
        <v>0.10920571405178361</v>
      </c>
      <c r="L267" s="3">
        <f t="shared" si="253"/>
        <v>0.10920571405178268</v>
      </c>
      <c r="M267" s="3">
        <f t="shared" si="253"/>
        <v>0.10920571405177325</v>
      </c>
      <c r="N267" s="3">
        <f t="shared" si="253"/>
        <v>0.10920571405167903</v>
      </c>
      <c r="O267" s="3">
        <f t="shared" si="253"/>
        <v>0.10920571405073677</v>
      </c>
      <c r="P267" s="3">
        <f t="shared" si="253"/>
        <v>0.10920571404131424</v>
      </c>
      <c r="Q267" s="3">
        <f t="shared" si="253"/>
        <v>0.10920571394708882</v>
      </c>
      <c r="R267" s="3">
        <f t="shared" si="253"/>
        <v>0.10920571300483475</v>
      </c>
      <c r="S267" s="3">
        <f t="shared" si="253"/>
        <v>0.10920570358229449</v>
      </c>
      <c r="T267" s="3">
        <f t="shared" si="253"/>
        <v>0.1092056093569365</v>
      </c>
      <c r="U267" s="3">
        <f t="shared" si="253"/>
        <v>0.10920466710782818</v>
      </c>
      <c r="V267" s="3">
        <f t="shared" si="253"/>
        <v>0.10919524506387933</v>
      </c>
      <c r="W267" s="3">
        <f t="shared" si="253"/>
        <v>0.10910106932354788</v>
      </c>
      <c r="X267" s="3">
        <f t="shared" si="253"/>
        <v>0.10816376759884284</v>
      </c>
      <c r="Y267" s="3">
        <f t="shared" si="253"/>
        <v>9.9222416025351645E-2</v>
      </c>
      <c r="Z267" s="3">
        <f t="shared" si="253"/>
        <v>4.1868722640009556E-2</v>
      </c>
      <c r="AA267" s="3">
        <f t="shared" si="253"/>
        <v>7.4935713617412041E-6</v>
      </c>
      <c r="AB267" s="3">
        <f t="shared" si="253"/>
        <v>2.5274362428870609E-43</v>
      </c>
      <c r="AC267" s="3">
        <f t="shared" si="253"/>
        <v>0</v>
      </c>
      <c r="AD267" s="3">
        <f t="shared" si="253"/>
        <v>0</v>
      </c>
      <c r="AE267" s="3">
        <f t="shared" si="253"/>
        <v>0</v>
      </c>
      <c r="AF267" s="3">
        <f t="shared" si="253"/>
        <v>0</v>
      </c>
      <c r="AG267" s="3"/>
      <c r="AH267" s="3"/>
    </row>
    <row r="268" spans="2:34" x14ac:dyDescent="0.25">
      <c r="B268" s="3">
        <f t="shared" ref="B268:AF268" si="254">$C37*EXP(-B$246/$A37/EXP(-$E$126))</f>
        <v>8.5595472993728092E-2</v>
      </c>
      <c r="C268" s="3">
        <f t="shared" si="254"/>
        <v>8.5595472993728092E-2</v>
      </c>
      <c r="D268" s="3">
        <f t="shared" si="254"/>
        <v>8.5595472993728092E-2</v>
      </c>
      <c r="E268" s="3">
        <f t="shared" si="254"/>
        <v>8.5595472993728092E-2</v>
      </c>
      <c r="F268" s="3">
        <f t="shared" si="254"/>
        <v>8.5595472993728092E-2</v>
      </c>
      <c r="G268" s="3">
        <f t="shared" si="254"/>
        <v>8.5595472993728092E-2</v>
      </c>
      <c r="H268" s="3">
        <f t="shared" si="254"/>
        <v>8.5595472993728092E-2</v>
      </c>
      <c r="I268" s="3">
        <f t="shared" si="254"/>
        <v>8.5595472993728092E-2</v>
      </c>
      <c r="J268" s="3">
        <f t="shared" si="254"/>
        <v>8.5595472993728092E-2</v>
      </c>
      <c r="K268" s="3">
        <f t="shared" si="254"/>
        <v>8.5595472993728078E-2</v>
      </c>
      <c r="L268" s="3">
        <f t="shared" si="254"/>
        <v>8.5595472993728022E-2</v>
      </c>
      <c r="M268" s="3">
        <f t="shared" si="254"/>
        <v>8.5595472993727356E-2</v>
      </c>
      <c r="N268" s="3">
        <f t="shared" si="254"/>
        <v>8.5595472993720695E-2</v>
      </c>
      <c r="O268" s="3">
        <f t="shared" si="254"/>
        <v>8.5595472993654068E-2</v>
      </c>
      <c r="P268" s="3">
        <f t="shared" si="254"/>
        <v>8.5595472992987851E-2</v>
      </c>
      <c r="Q268" s="3">
        <f t="shared" si="254"/>
        <v>8.559547298632561E-2</v>
      </c>
      <c r="R268" s="3">
        <f t="shared" si="254"/>
        <v>8.559547291970325E-2</v>
      </c>
      <c r="S268" s="3">
        <f t="shared" si="254"/>
        <v>8.559547225347959E-2</v>
      </c>
      <c r="T268" s="3">
        <f t="shared" si="254"/>
        <v>8.5595465591243342E-2</v>
      </c>
      <c r="U268" s="3">
        <f t="shared" si="254"/>
        <v>8.5595398968909456E-2</v>
      </c>
      <c r="V268" s="3">
        <f t="shared" si="254"/>
        <v>8.5594732748422483E-2</v>
      </c>
      <c r="W268" s="3">
        <f t="shared" si="254"/>
        <v>8.5588070828745352E-2</v>
      </c>
      <c r="X268" s="3">
        <f t="shared" si="254"/>
        <v>8.5521480143012252E-2</v>
      </c>
      <c r="Y268" s="3">
        <f t="shared" si="254"/>
        <v>8.4858416195800548E-2</v>
      </c>
      <c r="Z268" s="3">
        <f t="shared" si="254"/>
        <v>7.8504048227393985E-2</v>
      </c>
      <c r="AA268" s="3">
        <f t="shared" si="254"/>
        <v>3.6046521456606057E-2</v>
      </c>
      <c r="AB268" s="3">
        <f t="shared" si="254"/>
        <v>1.5016767083556642E-5</v>
      </c>
      <c r="AC268" s="3">
        <f t="shared" si="254"/>
        <v>2.3643255851584859E-39</v>
      </c>
      <c r="AD268" s="3">
        <f t="shared" si="254"/>
        <v>0</v>
      </c>
      <c r="AE268" s="3">
        <f t="shared" si="254"/>
        <v>0</v>
      </c>
      <c r="AF268" s="3">
        <f t="shared" si="254"/>
        <v>0</v>
      </c>
      <c r="AG268" s="3"/>
      <c r="AH268" s="3"/>
    </row>
    <row r="269" spans="2:34" x14ac:dyDescent="0.25">
      <c r="B269" s="3">
        <f t="shared" ref="B269:AF269" si="255">$C38*EXP(-B$246/$A38/EXP(-$E$126))</f>
        <v>3.0330599560697977E-2</v>
      </c>
      <c r="C269" s="3">
        <f t="shared" si="255"/>
        <v>3.0330599560697977E-2</v>
      </c>
      <c r="D269" s="3">
        <f t="shared" si="255"/>
        <v>3.0330599560697977E-2</v>
      </c>
      <c r="E269" s="3">
        <f t="shared" si="255"/>
        <v>3.0330599560697977E-2</v>
      </c>
      <c r="F269" s="3">
        <f t="shared" si="255"/>
        <v>3.0330599560697977E-2</v>
      </c>
      <c r="G269" s="3">
        <f t="shared" si="255"/>
        <v>3.0330599560697977E-2</v>
      </c>
      <c r="H269" s="3">
        <f t="shared" si="255"/>
        <v>3.0330599560697977E-2</v>
      </c>
      <c r="I269" s="3">
        <f t="shared" si="255"/>
        <v>3.0330599560697977E-2</v>
      </c>
      <c r="J269" s="3">
        <f t="shared" si="255"/>
        <v>3.0330599560697977E-2</v>
      </c>
      <c r="K269" s="3">
        <f t="shared" si="255"/>
        <v>3.0330599560697977E-2</v>
      </c>
      <c r="L269" s="3">
        <f t="shared" si="255"/>
        <v>3.0330599560697974E-2</v>
      </c>
      <c r="M269" s="3">
        <f t="shared" si="255"/>
        <v>3.0330599560697953E-2</v>
      </c>
      <c r="N269" s="3">
        <f t="shared" si="255"/>
        <v>3.0330599560697741E-2</v>
      </c>
      <c r="O269" s="3">
        <f t="shared" si="255"/>
        <v>3.0330599560695611E-2</v>
      </c>
      <c r="P269" s="3">
        <f t="shared" si="255"/>
        <v>3.0330599560674316E-2</v>
      </c>
      <c r="Q269" s="3">
        <f t="shared" si="255"/>
        <v>3.0330599560461354E-2</v>
      </c>
      <c r="R269" s="3">
        <f t="shared" si="255"/>
        <v>3.0330599558331763E-2</v>
      </c>
      <c r="S269" s="3">
        <f t="shared" si="255"/>
        <v>3.0330599537035822E-2</v>
      </c>
      <c r="T269" s="3">
        <f t="shared" si="255"/>
        <v>3.0330599324076408E-2</v>
      </c>
      <c r="U269" s="3">
        <f t="shared" si="255"/>
        <v>3.0330597194482379E-2</v>
      </c>
      <c r="V269" s="3">
        <f t="shared" si="255"/>
        <v>3.0330575898550299E-2</v>
      </c>
      <c r="W269" s="3">
        <f t="shared" si="255"/>
        <v>3.0330362940051873E-2</v>
      </c>
      <c r="X269" s="3">
        <f t="shared" si="255"/>
        <v>3.0328233437303752E-2</v>
      </c>
      <c r="Y269" s="3">
        <f t="shared" si="255"/>
        <v>3.0306946631302855E-2</v>
      </c>
      <c r="Z269" s="3">
        <f t="shared" si="255"/>
        <v>3.0094898587492952E-2</v>
      </c>
      <c r="AA269" s="3">
        <f t="shared" si="255"/>
        <v>2.8054328891605008E-2</v>
      </c>
      <c r="AB269" s="3">
        <f t="shared" si="255"/>
        <v>1.3901763085080896E-2</v>
      </c>
      <c r="AC269" s="3">
        <f t="shared" si="255"/>
        <v>1.2409945427105741E-5</v>
      </c>
      <c r="AD269" s="3">
        <f t="shared" si="255"/>
        <v>3.9881341557201176E-36</v>
      </c>
      <c r="AE269" s="3">
        <f t="shared" si="255"/>
        <v>0</v>
      </c>
      <c r="AF269" s="3">
        <f t="shared" si="255"/>
        <v>0</v>
      </c>
      <c r="AG269" s="3"/>
      <c r="AH269" s="3"/>
    </row>
    <row r="270" spans="2:34" x14ac:dyDescent="0.25">
      <c r="B270" s="3">
        <f t="shared" ref="B270:AF270" si="256">$C39*EXP(-B$246/$A39/EXP(-$E$126))</f>
        <v>3.2127590787364095E-2</v>
      </c>
      <c r="C270" s="3">
        <f t="shared" si="256"/>
        <v>3.2127590787364095E-2</v>
      </c>
      <c r="D270" s="3">
        <f t="shared" si="256"/>
        <v>3.2127590787364095E-2</v>
      </c>
      <c r="E270" s="3">
        <f t="shared" si="256"/>
        <v>3.2127590787364095E-2</v>
      </c>
      <c r="F270" s="3">
        <f t="shared" si="256"/>
        <v>3.2127590787364095E-2</v>
      </c>
      <c r="G270" s="3">
        <f t="shared" si="256"/>
        <v>3.2127590787364095E-2</v>
      </c>
      <c r="H270" s="3">
        <f t="shared" si="256"/>
        <v>3.2127590787364095E-2</v>
      </c>
      <c r="I270" s="3">
        <f t="shared" si="256"/>
        <v>3.2127590787364095E-2</v>
      </c>
      <c r="J270" s="3">
        <f t="shared" si="256"/>
        <v>3.2127590787364095E-2</v>
      </c>
      <c r="K270" s="3">
        <f t="shared" si="256"/>
        <v>3.2127590787364095E-2</v>
      </c>
      <c r="L270" s="3">
        <f t="shared" si="256"/>
        <v>3.2127590787364095E-2</v>
      </c>
      <c r="M270" s="3">
        <f t="shared" si="256"/>
        <v>3.2127590787364088E-2</v>
      </c>
      <c r="N270" s="3">
        <f t="shared" si="256"/>
        <v>3.2127590787364026E-2</v>
      </c>
      <c r="O270" s="3">
        <f t="shared" si="256"/>
        <v>3.2127590787363401E-2</v>
      </c>
      <c r="P270" s="3">
        <f t="shared" si="256"/>
        <v>3.2127590787357163E-2</v>
      </c>
      <c r="Q270" s="3">
        <f t="shared" si="256"/>
        <v>3.2127590787294776E-2</v>
      </c>
      <c r="R270" s="3">
        <f t="shared" si="256"/>
        <v>3.2127590786670886E-2</v>
      </c>
      <c r="S270" s="3">
        <f t="shared" si="256"/>
        <v>3.2127590780432001E-2</v>
      </c>
      <c r="T270" s="3">
        <f t="shared" si="256"/>
        <v>3.2127590718043171E-2</v>
      </c>
      <c r="U270" s="3">
        <f t="shared" si="256"/>
        <v>3.2127590094154841E-2</v>
      </c>
      <c r="V270" s="3">
        <f t="shared" si="256"/>
        <v>3.2127583855272236E-2</v>
      </c>
      <c r="W270" s="3">
        <f t="shared" si="256"/>
        <v>3.2127521466512807E-2</v>
      </c>
      <c r="X270" s="3">
        <f t="shared" si="256"/>
        <v>3.2126897585581925E-2</v>
      </c>
      <c r="Y270" s="3">
        <f t="shared" si="256"/>
        <v>3.212065944256353E-2</v>
      </c>
      <c r="Z270" s="3">
        <f t="shared" si="256"/>
        <v>3.2058344593576267E-2</v>
      </c>
      <c r="AA270" s="3">
        <f t="shared" si="256"/>
        <v>3.1441806631855466E-2</v>
      </c>
      <c r="AB270" s="3">
        <f t="shared" si="256"/>
        <v>2.5892351188541964E-2</v>
      </c>
      <c r="AC270" s="3">
        <f t="shared" si="256"/>
        <v>3.7137396411603685E-3</v>
      </c>
      <c r="AD270" s="3">
        <f t="shared" si="256"/>
        <v>1.3683938027530534E-11</v>
      </c>
      <c r="AE270" s="3">
        <f t="shared" si="256"/>
        <v>6.3125895358191524E-96</v>
      </c>
      <c r="AF270" s="3">
        <f t="shared" si="256"/>
        <v>0</v>
      </c>
      <c r="AG270" s="3"/>
      <c r="AH270" s="3"/>
    </row>
    <row r="271" spans="2:34" x14ac:dyDescent="0.25">
      <c r="B271" s="3">
        <f t="shared" ref="B271:AF271" si="257">$C40*EXP(-B$246/$A40/EXP(-$E$126))</f>
        <v>1.5939358035986794E-2</v>
      </c>
      <c r="C271" s="3">
        <f t="shared" si="257"/>
        <v>1.5939358035986794E-2</v>
      </c>
      <c r="D271" s="3">
        <f t="shared" si="257"/>
        <v>1.5939358035986794E-2</v>
      </c>
      <c r="E271" s="3">
        <f t="shared" si="257"/>
        <v>1.5939358035986794E-2</v>
      </c>
      <c r="F271" s="3">
        <f t="shared" si="257"/>
        <v>1.5939358035986794E-2</v>
      </c>
      <c r="G271" s="3">
        <f t="shared" si="257"/>
        <v>1.5939358035986794E-2</v>
      </c>
      <c r="H271" s="3">
        <f t="shared" si="257"/>
        <v>1.5939358035986794E-2</v>
      </c>
      <c r="I271" s="3">
        <f t="shared" si="257"/>
        <v>1.5939358035986794E-2</v>
      </c>
      <c r="J271" s="3">
        <f t="shared" si="257"/>
        <v>1.5939358035986794E-2</v>
      </c>
      <c r="K271" s="3">
        <f t="shared" si="257"/>
        <v>1.5939358035986794E-2</v>
      </c>
      <c r="L271" s="3">
        <f t="shared" si="257"/>
        <v>1.5939358035986794E-2</v>
      </c>
      <c r="M271" s="3">
        <f t="shared" si="257"/>
        <v>1.5939358035986794E-2</v>
      </c>
      <c r="N271" s="3">
        <f t="shared" si="257"/>
        <v>1.5939358035986791E-2</v>
      </c>
      <c r="O271" s="3">
        <f t="shared" si="257"/>
        <v>1.5939358035986759E-2</v>
      </c>
      <c r="P271" s="3">
        <f t="shared" si="257"/>
        <v>1.5939358035986451E-2</v>
      </c>
      <c r="Q271" s="3">
        <f t="shared" si="257"/>
        <v>1.5939358035983356E-2</v>
      </c>
      <c r="R271" s="3">
        <f t="shared" si="257"/>
        <v>1.5939358035952401E-2</v>
      </c>
      <c r="S271" s="3">
        <f t="shared" si="257"/>
        <v>1.5939358035642875E-2</v>
      </c>
      <c r="T271" s="3">
        <f t="shared" si="257"/>
        <v>1.5939358032547597E-2</v>
      </c>
      <c r="U271" s="3">
        <f t="shared" si="257"/>
        <v>1.5939358001594826E-2</v>
      </c>
      <c r="V271" s="3">
        <f t="shared" si="257"/>
        <v>1.5939357692067124E-2</v>
      </c>
      <c r="W271" s="3">
        <f t="shared" si="257"/>
        <v>1.5939354596790408E-2</v>
      </c>
      <c r="X271" s="3">
        <f t="shared" si="257"/>
        <v>1.5939323644056341E-2</v>
      </c>
      <c r="Y271" s="3">
        <f t="shared" si="257"/>
        <v>1.5939014120021532E-2</v>
      </c>
      <c r="Z271" s="3">
        <f t="shared" si="257"/>
        <v>1.5935919210237976E-2</v>
      </c>
      <c r="AA271" s="3">
        <f t="shared" si="257"/>
        <v>1.5905003145116871E-2</v>
      </c>
      <c r="AB271" s="3">
        <f t="shared" si="257"/>
        <v>1.5599122153925008E-2</v>
      </c>
      <c r="AC271" s="3">
        <f t="shared" si="257"/>
        <v>1.284588871662291E-2</v>
      </c>
      <c r="AD271" s="3">
        <f t="shared" si="257"/>
        <v>1.8424856748416288E-3</v>
      </c>
      <c r="AE271" s="3">
        <f t="shared" si="257"/>
        <v>6.7889680557326092E-12</v>
      </c>
      <c r="AF271" s="3">
        <f t="shared" si="257"/>
        <v>3.1318446942252156E-96</v>
      </c>
      <c r="AG271" s="3"/>
      <c r="AH271" s="3"/>
    </row>
    <row r="272" spans="2:34" x14ac:dyDescent="0.25">
      <c r="B272" s="3">
        <f t="shared" ref="B272:AF272" si="258">$C41*EXP(-B$246/$A41/EXP(-$E$126))</f>
        <v>1.0098226932664881E-3</v>
      </c>
      <c r="C272" s="3">
        <f t="shared" si="258"/>
        <v>1.0098226932664881E-3</v>
      </c>
      <c r="D272" s="3">
        <f t="shared" si="258"/>
        <v>1.0098226932664881E-3</v>
      </c>
      <c r="E272" s="3">
        <f t="shared" si="258"/>
        <v>1.0098226932664881E-3</v>
      </c>
      <c r="F272" s="3">
        <f t="shared" si="258"/>
        <v>1.0098226932664881E-3</v>
      </c>
      <c r="G272" s="3">
        <f t="shared" si="258"/>
        <v>1.0098226932664881E-3</v>
      </c>
      <c r="H272" s="3">
        <f t="shared" si="258"/>
        <v>1.0098226932664881E-3</v>
      </c>
      <c r="I272" s="3">
        <f t="shared" si="258"/>
        <v>1.0098226932664881E-3</v>
      </c>
      <c r="J272" s="3">
        <f t="shared" si="258"/>
        <v>1.0098226932664881E-3</v>
      </c>
      <c r="K272" s="3">
        <f t="shared" si="258"/>
        <v>1.0098226932664881E-3</v>
      </c>
      <c r="L272" s="3">
        <f t="shared" si="258"/>
        <v>1.0098226932664881E-3</v>
      </c>
      <c r="M272" s="3">
        <f t="shared" si="258"/>
        <v>1.0098226932664881E-3</v>
      </c>
      <c r="N272" s="3">
        <f t="shared" si="258"/>
        <v>1.0098226932664881E-3</v>
      </c>
      <c r="O272" s="3">
        <f t="shared" si="258"/>
        <v>1.0098226932664879E-3</v>
      </c>
      <c r="P272" s="3">
        <f t="shared" si="258"/>
        <v>1.0098226932664859E-3</v>
      </c>
      <c r="Q272" s="3">
        <f t="shared" si="258"/>
        <v>1.0098226932664664E-3</v>
      </c>
      <c r="R272" s="3">
        <f t="shared" si="258"/>
        <v>1.0098226932662702E-3</v>
      </c>
      <c r="S272" s="3">
        <f t="shared" si="258"/>
        <v>1.0098226932643093E-3</v>
      </c>
      <c r="T272" s="3">
        <f t="shared" si="258"/>
        <v>1.0098226932446993E-3</v>
      </c>
      <c r="U272" s="3">
        <f t="shared" si="258"/>
        <v>1.009822693048601E-3</v>
      </c>
      <c r="V272" s="3">
        <f t="shared" si="258"/>
        <v>1.0098226910876182E-3</v>
      </c>
      <c r="W272" s="3">
        <f t="shared" si="258"/>
        <v>1.0098226714777881E-3</v>
      </c>
      <c r="X272" s="3">
        <f t="shared" si="258"/>
        <v>1.0098224753795099E-3</v>
      </c>
      <c r="Y272" s="3">
        <f t="shared" si="258"/>
        <v>1.0098205143988224E-3</v>
      </c>
      <c r="Z272" s="3">
        <f t="shared" si="258"/>
        <v>1.0098009048013872E-3</v>
      </c>
      <c r="AA272" s="3">
        <f t="shared" si="258"/>
        <v>1.0096048297696331E-3</v>
      </c>
      <c r="AB272" s="3">
        <f t="shared" si="258"/>
        <v>1.007646172207935E-3</v>
      </c>
      <c r="AC272" s="3">
        <f t="shared" si="258"/>
        <v>9.8826737629614174E-4</v>
      </c>
      <c r="AD272" s="3">
        <f t="shared" si="258"/>
        <v>8.1383892073534484E-4</v>
      </c>
      <c r="AE272" s="3">
        <f t="shared" si="258"/>
        <v>1.1672890729179916E-4</v>
      </c>
      <c r="AF272" s="3">
        <f t="shared" si="258"/>
        <v>4.3010853956990168E-13</v>
      </c>
      <c r="AG272" s="3"/>
      <c r="AH272" s="3"/>
    </row>
    <row r="273" spans="1:34" x14ac:dyDescent="0.25">
      <c r="B273" s="3">
        <f t="shared" ref="B273:AF273" si="259">$C42*EXP(-B$246/$A42/EXP(-$E$126))</f>
        <v>3.5232790951536608E-3</v>
      </c>
      <c r="C273" s="3">
        <f t="shared" si="259"/>
        <v>3.5232790951536608E-3</v>
      </c>
      <c r="D273" s="3">
        <f t="shared" si="259"/>
        <v>3.5232790951536608E-3</v>
      </c>
      <c r="E273" s="3">
        <f t="shared" si="259"/>
        <v>3.5232790951536608E-3</v>
      </c>
      <c r="F273" s="3">
        <f t="shared" si="259"/>
        <v>3.5232790951536608E-3</v>
      </c>
      <c r="G273" s="3">
        <f t="shared" si="259"/>
        <v>3.5232790951536608E-3</v>
      </c>
      <c r="H273" s="3">
        <f t="shared" si="259"/>
        <v>3.5232790951536608E-3</v>
      </c>
      <c r="I273" s="3">
        <f t="shared" si="259"/>
        <v>3.5232790951536608E-3</v>
      </c>
      <c r="J273" s="3">
        <f t="shared" si="259"/>
        <v>3.5232790951536608E-3</v>
      </c>
      <c r="K273" s="3">
        <f t="shared" si="259"/>
        <v>3.5232790951536608E-3</v>
      </c>
      <c r="L273" s="3">
        <f t="shared" si="259"/>
        <v>3.5232790951536608E-3</v>
      </c>
      <c r="M273" s="3">
        <f t="shared" si="259"/>
        <v>3.5232790951536608E-3</v>
      </c>
      <c r="N273" s="3">
        <f t="shared" si="259"/>
        <v>3.5232790951536608E-3</v>
      </c>
      <c r="O273" s="3">
        <f t="shared" si="259"/>
        <v>3.5232790951536608E-3</v>
      </c>
      <c r="P273" s="3">
        <f t="shared" si="259"/>
        <v>3.5232790951536599E-3</v>
      </c>
      <c r="Q273" s="3">
        <f t="shared" si="259"/>
        <v>3.5232790951536534E-3</v>
      </c>
      <c r="R273" s="3">
        <f t="shared" si="259"/>
        <v>3.5232790951535849E-3</v>
      </c>
      <c r="S273" s="3">
        <f t="shared" si="259"/>
        <v>3.5232790951529006E-3</v>
      </c>
      <c r="T273" s="3">
        <f t="shared" si="259"/>
        <v>3.5232790951460584E-3</v>
      </c>
      <c r="U273" s="3">
        <f t="shared" si="259"/>
        <v>3.52327909507764E-3</v>
      </c>
      <c r="V273" s="3">
        <f t="shared" si="259"/>
        <v>3.5232790943934512E-3</v>
      </c>
      <c r="W273" s="3">
        <f t="shared" si="259"/>
        <v>3.5232790875515665E-3</v>
      </c>
      <c r="X273" s="3">
        <f t="shared" si="259"/>
        <v>3.5232790191327204E-3</v>
      </c>
      <c r="Y273" s="3">
        <f t="shared" si="259"/>
        <v>3.5232783349443287E-3</v>
      </c>
      <c r="Z273" s="3">
        <f t="shared" si="259"/>
        <v>3.5232714930677213E-3</v>
      </c>
      <c r="AA273" s="3">
        <f t="shared" si="259"/>
        <v>3.5232030750323882E-3</v>
      </c>
      <c r="AB273" s="3">
        <f t="shared" si="259"/>
        <v>3.5225189677479439E-3</v>
      </c>
      <c r="AC273" s="3">
        <f t="shared" si="259"/>
        <v>3.5156851965446319E-3</v>
      </c>
      <c r="AD273" s="3">
        <f t="shared" si="259"/>
        <v>3.4480724294910282E-3</v>
      </c>
      <c r="AE273" s="3">
        <f t="shared" si="259"/>
        <v>2.8394902148357317E-3</v>
      </c>
      <c r="AF273" s="3">
        <f t="shared" si="259"/>
        <v>4.0726804973157163E-4</v>
      </c>
      <c r="AG273" s="3"/>
      <c r="AH273" s="3"/>
    </row>
    <row r="274" spans="1:34" x14ac:dyDescent="0.25">
      <c r="B274" s="3">
        <f t="shared" ref="B274:AF274" si="260">$C43*EXP(-B$246/$A43/EXP(-$E$126))</f>
        <v>1.7526056431954549E-4</v>
      </c>
      <c r="C274" s="3">
        <f t="shared" si="260"/>
        <v>1.7526056431954549E-4</v>
      </c>
      <c r="D274" s="3">
        <f t="shared" si="260"/>
        <v>1.7526056431954549E-4</v>
      </c>
      <c r="E274" s="3">
        <f t="shared" si="260"/>
        <v>1.7526056431954549E-4</v>
      </c>
      <c r="F274" s="3">
        <f t="shared" si="260"/>
        <v>1.7526056431954549E-4</v>
      </c>
      <c r="G274" s="3">
        <f t="shared" si="260"/>
        <v>1.7526056431954549E-4</v>
      </c>
      <c r="H274" s="3">
        <f t="shared" si="260"/>
        <v>1.7526056431954549E-4</v>
      </c>
      <c r="I274" s="3">
        <f t="shared" si="260"/>
        <v>1.7526056431954549E-4</v>
      </c>
      <c r="J274" s="3">
        <f t="shared" si="260"/>
        <v>1.7526056431954549E-4</v>
      </c>
      <c r="K274" s="3">
        <f t="shared" si="260"/>
        <v>1.7526056431954549E-4</v>
      </c>
      <c r="L274" s="3">
        <f t="shared" si="260"/>
        <v>1.7526056431954549E-4</v>
      </c>
      <c r="M274" s="3">
        <f t="shared" si="260"/>
        <v>1.7526056431954549E-4</v>
      </c>
      <c r="N274" s="3">
        <f t="shared" si="260"/>
        <v>1.7526056431954549E-4</v>
      </c>
      <c r="O274" s="3">
        <f t="shared" si="260"/>
        <v>1.7526056431954549E-4</v>
      </c>
      <c r="P274" s="3">
        <f t="shared" si="260"/>
        <v>1.7526056431954549E-4</v>
      </c>
      <c r="Q274" s="3">
        <f t="shared" si="260"/>
        <v>1.7526056431954546E-4</v>
      </c>
      <c r="R274" s="3">
        <f t="shared" si="260"/>
        <v>1.7526056431954511E-4</v>
      </c>
      <c r="S274" s="3">
        <f t="shared" si="260"/>
        <v>1.7526056431954172E-4</v>
      </c>
      <c r="T274" s="3">
        <f t="shared" si="260"/>
        <v>1.7526056431950768E-4</v>
      </c>
      <c r="U274" s="3">
        <f t="shared" si="260"/>
        <v>1.7526056431916732E-4</v>
      </c>
      <c r="V274" s="3">
        <f t="shared" si="260"/>
        <v>1.7526056431576393E-4</v>
      </c>
      <c r="W274" s="3">
        <f t="shared" si="260"/>
        <v>1.7526056428172993E-4</v>
      </c>
      <c r="X274" s="3">
        <f t="shared" si="260"/>
        <v>1.7526056394139E-4</v>
      </c>
      <c r="Y274" s="3">
        <f t="shared" si="260"/>
        <v>1.752605605379907E-4</v>
      </c>
      <c r="Z274" s="3">
        <f t="shared" si="260"/>
        <v>1.7526052650400123E-4</v>
      </c>
      <c r="AA274" s="3">
        <f t="shared" si="260"/>
        <v>1.7526018616447012E-4</v>
      </c>
      <c r="AB274" s="3">
        <f t="shared" si="260"/>
        <v>1.7525678280550869E-4</v>
      </c>
      <c r="AC274" s="3">
        <f t="shared" si="260"/>
        <v>1.7522275285060342E-4</v>
      </c>
      <c r="AD274" s="3">
        <f t="shared" si="260"/>
        <v>1.7488281651142139E-4</v>
      </c>
      <c r="AE274" s="3">
        <f t="shared" si="260"/>
        <v>1.7151951448822364E-4</v>
      </c>
      <c r="AF274" s="3">
        <f t="shared" si="260"/>
        <v>1.4124644797979983E-4</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1.1765348907566872E-4</v>
      </c>
      <c r="C276" s="3">
        <f t="shared" si="262"/>
        <v>1.1765348907566872E-4</v>
      </c>
      <c r="D276" s="3">
        <f t="shared" si="262"/>
        <v>1.1765348907566872E-4</v>
      </c>
      <c r="E276" s="3">
        <f t="shared" si="262"/>
        <v>1.1765348907566872E-4</v>
      </c>
      <c r="F276" s="3">
        <f t="shared" si="262"/>
        <v>1.1765348907566872E-4</v>
      </c>
      <c r="G276" s="3">
        <f t="shared" si="262"/>
        <v>1.1765348907566872E-4</v>
      </c>
      <c r="H276" s="3">
        <f t="shared" si="262"/>
        <v>1.1765348907566872E-4</v>
      </c>
      <c r="I276" s="3">
        <f t="shared" si="262"/>
        <v>1.1765348907566872E-4</v>
      </c>
      <c r="J276" s="3">
        <f t="shared" si="262"/>
        <v>1.1765348907566872E-4</v>
      </c>
      <c r="K276" s="3">
        <f t="shared" si="262"/>
        <v>1.1765348907566872E-4</v>
      </c>
      <c r="L276" s="3">
        <f t="shared" si="262"/>
        <v>1.1765348907566872E-4</v>
      </c>
      <c r="M276" s="3">
        <f t="shared" si="262"/>
        <v>1.1765348907566872E-4</v>
      </c>
      <c r="N276" s="3">
        <f t="shared" si="262"/>
        <v>1.1765348907566872E-4</v>
      </c>
      <c r="O276" s="3">
        <f t="shared" si="262"/>
        <v>1.1765348907566872E-4</v>
      </c>
      <c r="P276" s="3">
        <f t="shared" si="262"/>
        <v>1.1765348907566872E-4</v>
      </c>
      <c r="Q276" s="3">
        <f t="shared" si="262"/>
        <v>1.1765348907566872E-4</v>
      </c>
      <c r="R276" s="3">
        <f t="shared" si="262"/>
        <v>1.1765348907566872E-4</v>
      </c>
      <c r="S276" s="3">
        <f t="shared" si="262"/>
        <v>1.176534890756687E-4</v>
      </c>
      <c r="T276" s="3">
        <f t="shared" si="262"/>
        <v>1.1765348907566848E-4</v>
      </c>
      <c r="U276" s="3">
        <f t="shared" si="262"/>
        <v>1.1765348907566619E-4</v>
      </c>
      <c r="V276" s="3">
        <f t="shared" si="262"/>
        <v>1.1765348907564334E-4</v>
      </c>
      <c r="W276" s="3">
        <f t="shared" si="262"/>
        <v>1.1765348907541486E-4</v>
      </c>
      <c r="X276" s="3">
        <f t="shared" si="262"/>
        <v>1.1765348907313015E-4</v>
      </c>
      <c r="Y276" s="3">
        <f t="shared" si="262"/>
        <v>1.1765348905028292E-4</v>
      </c>
      <c r="Z276" s="3">
        <f t="shared" si="262"/>
        <v>1.1765348882181063E-4</v>
      </c>
      <c r="AA276" s="3">
        <f t="shared" si="262"/>
        <v>1.1765348653708786E-4</v>
      </c>
      <c r="AB276" s="3">
        <f t="shared" si="262"/>
        <v>1.1765346368986251E-4</v>
      </c>
      <c r="AC276" s="3">
        <f t="shared" si="262"/>
        <v>1.1765323521785307E-4</v>
      </c>
      <c r="AD276" s="3">
        <f t="shared" si="262"/>
        <v>1.1765095052216044E-4</v>
      </c>
      <c r="AE276" s="3">
        <f t="shared" si="262"/>
        <v>1.1762810600523651E-4</v>
      </c>
      <c r="AF276" s="3">
        <f t="shared" si="262"/>
        <v>1.1739990466100567E-4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6.5987032321069097E-5</v>
      </c>
      <c r="C278" s="3">
        <f t="shared" si="264"/>
        <v>6.5987032321069097E-5</v>
      </c>
      <c r="D278" s="3">
        <f t="shared" si="264"/>
        <v>6.5987032321069097E-5</v>
      </c>
      <c r="E278" s="3">
        <f t="shared" si="264"/>
        <v>6.5987032321069097E-5</v>
      </c>
      <c r="F278" s="3">
        <f t="shared" si="264"/>
        <v>6.5987032321069097E-5</v>
      </c>
      <c r="G278" s="3">
        <f t="shared" si="264"/>
        <v>6.5987032321069097E-5</v>
      </c>
      <c r="H278" s="3">
        <f t="shared" si="264"/>
        <v>6.5987032321069097E-5</v>
      </c>
      <c r="I278" s="3">
        <f t="shared" si="264"/>
        <v>6.5987032321069097E-5</v>
      </c>
      <c r="J278" s="3">
        <f t="shared" si="264"/>
        <v>6.5987032321069097E-5</v>
      </c>
      <c r="K278" s="3">
        <f t="shared" si="264"/>
        <v>6.5987032321069097E-5</v>
      </c>
      <c r="L278" s="3">
        <f t="shared" si="264"/>
        <v>6.5987032321069097E-5</v>
      </c>
      <c r="M278" s="3">
        <f t="shared" si="264"/>
        <v>6.5987032321069097E-5</v>
      </c>
      <c r="N278" s="3">
        <f t="shared" si="264"/>
        <v>6.5987032321069097E-5</v>
      </c>
      <c r="O278" s="3">
        <f t="shared" si="264"/>
        <v>6.5987032321069097E-5</v>
      </c>
      <c r="P278" s="3">
        <f t="shared" si="264"/>
        <v>6.5987032321069097E-5</v>
      </c>
      <c r="Q278" s="3">
        <f t="shared" si="264"/>
        <v>6.5987032321069097E-5</v>
      </c>
      <c r="R278" s="3">
        <f t="shared" si="264"/>
        <v>6.5987032321069097E-5</v>
      </c>
      <c r="S278" s="3">
        <f t="shared" si="264"/>
        <v>6.5987032321069097E-5</v>
      </c>
      <c r="T278" s="3">
        <f t="shared" si="264"/>
        <v>6.5987032321069097E-5</v>
      </c>
      <c r="U278" s="3">
        <f t="shared" si="264"/>
        <v>6.5987032321069083E-5</v>
      </c>
      <c r="V278" s="3">
        <f t="shared" si="264"/>
        <v>6.5987032321068961E-5</v>
      </c>
      <c r="W278" s="3">
        <f t="shared" si="264"/>
        <v>6.5987032321067674E-5</v>
      </c>
      <c r="X278" s="3">
        <f t="shared" si="264"/>
        <v>6.5987032321054867E-5</v>
      </c>
      <c r="Y278" s="3">
        <f t="shared" si="264"/>
        <v>6.5987032320926714E-5</v>
      </c>
      <c r="Z278" s="3">
        <f t="shared" si="264"/>
        <v>6.5987032319645309E-5</v>
      </c>
      <c r="AA278" s="3">
        <f t="shared" si="264"/>
        <v>6.5987032306831232E-5</v>
      </c>
      <c r="AB278" s="3">
        <f t="shared" si="264"/>
        <v>6.5987032178690475E-5</v>
      </c>
      <c r="AC278" s="3">
        <f t="shared" si="264"/>
        <v>6.5987030897282864E-5</v>
      </c>
      <c r="AD278" s="3">
        <f t="shared" si="264"/>
        <v>6.5987018083208166E-5</v>
      </c>
      <c r="AE278" s="3">
        <f t="shared" si="264"/>
        <v>6.5986889942598064E-5</v>
      </c>
      <c r="AF278" s="3">
        <f t="shared" si="264"/>
        <v>6.5985608550182942E-5</v>
      </c>
      <c r="AG278" s="3"/>
      <c r="AH278" s="3"/>
    </row>
    <row r="279" spans="1:34" x14ac:dyDescent="0.25">
      <c r="B279" s="3">
        <f t="shared" ref="B279:AF279" si="265">$C48*EXP(-B$246/$A48/EXP(-$E$126))</f>
        <v>6.9850122094838041E-5</v>
      </c>
      <c r="C279" s="3">
        <f t="shared" si="265"/>
        <v>6.9850122094838041E-5</v>
      </c>
      <c r="D279" s="3">
        <f t="shared" si="265"/>
        <v>6.9850122094838041E-5</v>
      </c>
      <c r="E279" s="3">
        <f t="shared" si="265"/>
        <v>6.9850122094838041E-5</v>
      </c>
      <c r="F279" s="3">
        <f t="shared" si="265"/>
        <v>6.9850122094838041E-5</v>
      </c>
      <c r="G279" s="3">
        <f t="shared" si="265"/>
        <v>6.9850122094838041E-5</v>
      </c>
      <c r="H279" s="3">
        <f t="shared" si="265"/>
        <v>6.9850122094838041E-5</v>
      </c>
      <c r="I279" s="3">
        <f t="shared" si="265"/>
        <v>6.9850122094838041E-5</v>
      </c>
      <c r="J279" s="3">
        <f t="shared" si="265"/>
        <v>6.9850122094838041E-5</v>
      </c>
      <c r="K279" s="3">
        <f t="shared" si="265"/>
        <v>6.9850122094838041E-5</v>
      </c>
      <c r="L279" s="3">
        <f t="shared" si="265"/>
        <v>6.9850122094838041E-5</v>
      </c>
      <c r="M279" s="3">
        <f t="shared" si="265"/>
        <v>6.9850122094838041E-5</v>
      </c>
      <c r="N279" s="3">
        <f t="shared" si="265"/>
        <v>6.9850122094838041E-5</v>
      </c>
      <c r="O279" s="3">
        <f t="shared" si="265"/>
        <v>6.9850122094838041E-5</v>
      </c>
      <c r="P279" s="3">
        <f t="shared" si="265"/>
        <v>6.9850122094838041E-5</v>
      </c>
      <c r="Q279" s="3">
        <f t="shared" si="265"/>
        <v>6.9850122094838041E-5</v>
      </c>
      <c r="R279" s="3">
        <f t="shared" si="265"/>
        <v>6.9850122094838041E-5</v>
      </c>
      <c r="S279" s="3">
        <f t="shared" si="265"/>
        <v>6.9850122094838041E-5</v>
      </c>
      <c r="T279" s="3">
        <f t="shared" si="265"/>
        <v>6.9850122094838041E-5</v>
      </c>
      <c r="U279" s="3">
        <f t="shared" si="265"/>
        <v>6.9850122094838041E-5</v>
      </c>
      <c r="V279" s="3">
        <f t="shared" si="265"/>
        <v>6.9850122094838028E-5</v>
      </c>
      <c r="W279" s="3">
        <f t="shared" si="265"/>
        <v>6.9850122094837892E-5</v>
      </c>
      <c r="X279" s="3">
        <f t="shared" si="265"/>
        <v>6.9850122094836537E-5</v>
      </c>
      <c r="Y279" s="3">
        <f t="shared" si="265"/>
        <v>6.9850122094822971E-5</v>
      </c>
      <c r="Z279" s="3">
        <f t="shared" si="265"/>
        <v>6.9850122094687324E-5</v>
      </c>
      <c r="AA279" s="3">
        <f t="shared" si="265"/>
        <v>6.9850122093330905E-5</v>
      </c>
      <c r="AB279" s="3">
        <f t="shared" si="265"/>
        <v>6.9850122079766642E-5</v>
      </c>
      <c r="AC279" s="3">
        <f t="shared" si="265"/>
        <v>6.9850121944124127E-5</v>
      </c>
      <c r="AD279" s="3">
        <f t="shared" si="265"/>
        <v>6.9850120587698861E-5</v>
      </c>
      <c r="AE279" s="3">
        <f t="shared" si="265"/>
        <v>6.9850107023447657E-5</v>
      </c>
      <c r="AF279" s="3">
        <f t="shared" si="265"/>
        <v>6.9849971381080568E-5</v>
      </c>
      <c r="AG279" s="3"/>
      <c r="AH279" s="3"/>
    </row>
    <row r="280" spans="1:34" x14ac:dyDescent="0.25">
      <c r="A280" s="79">
        <f>AVERAGE(B280:AF280)</f>
        <v>1.8582902998584189E-2</v>
      </c>
      <c r="B280" s="80">
        <f>IF($D$61&lt;=B246,IF($E$61&gt;=B246,ABS((B248-B247)/B247),0),0)</f>
        <v>2.9780656103425432E-3</v>
      </c>
      <c r="C280" s="80">
        <f t="shared" ref="C280:AF280" si="266">IF($D$61&lt;=C246,IF($E$61&gt;=C246,ABS((C248-C247)/C247),0),0)</f>
        <v>3.7802304617088897E-3</v>
      </c>
      <c r="D280" s="80">
        <f t="shared" si="266"/>
        <v>3.7751767700491554E-3</v>
      </c>
      <c r="E280" s="80">
        <f t="shared" si="266"/>
        <v>3.7736760572237688E-3</v>
      </c>
      <c r="F280" s="80">
        <f t="shared" si="266"/>
        <v>3.7732272548498817E-3</v>
      </c>
      <c r="G280" s="80">
        <f t="shared" si="266"/>
        <v>3.7733081430389396E-3</v>
      </c>
      <c r="H280" s="80">
        <f t="shared" si="266"/>
        <v>3.775412588883149E-3</v>
      </c>
      <c r="I280" s="80">
        <f t="shared" si="266"/>
        <v>3.7971285936170152E-3</v>
      </c>
      <c r="J280" s="80">
        <f t="shared" si="266"/>
        <v>4.0112396475554318E-3</v>
      </c>
      <c r="K280" s="80">
        <f t="shared" si="266"/>
        <v>5.8764188711536549E-3</v>
      </c>
      <c r="L280" s="80">
        <f t="shared" si="266"/>
        <v>1.3817236752852987E-2</v>
      </c>
      <c r="M280" s="80">
        <f t="shared" si="266"/>
        <v>2.1458480581395198E-2</v>
      </c>
      <c r="N280" s="80">
        <f t="shared" si="266"/>
        <v>2.2803739193540066E-2</v>
      </c>
      <c r="O280" s="80">
        <f t="shared" si="266"/>
        <v>2.752231682657541E-2</v>
      </c>
      <c r="P280" s="80">
        <f t="shared" si="266"/>
        <v>3.1803031487688919E-2</v>
      </c>
      <c r="Q280" s="80">
        <f t="shared" si="266"/>
        <v>3.4446716651016202E-2</v>
      </c>
      <c r="R280" s="80">
        <f t="shared" si="266"/>
        <v>4.3622483387642408E-2</v>
      </c>
      <c r="S280" s="80">
        <f t="shared" si="266"/>
        <v>2.9479615783960095E-2</v>
      </c>
      <c r="T280" s="80">
        <f t="shared" si="266"/>
        <v>1.0278654593908927E-2</v>
      </c>
      <c r="U280" s="80">
        <f t="shared" si="266"/>
        <v>5.9031218238584489E-2</v>
      </c>
      <c r="V280" s="80">
        <f t="shared" si="266"/>
        <v>9.2094065768767441E-2</v>
      </c>
      <c r="W280" s="80">
        <f t="shared" si="266"/>
        <v>6.7450197658219566E-2</v>
      </c>
      <c r="X280" s="80">
        <f t="shared" si="266"/>
        <v>7.3279446586467295E-3</v>
      </c>
      <c r="Y280" s="80">
        <f t="shared" si="266"/>
        <v>7.5620407374888995E-2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375.16562643071427</v>
      </c>
      <c r="C281" s="21">
        <f t="shared" ref="C281:AF281" si="267">(C248-C247)^2</f>
        <v>604.50263280865852</v>
      </c>
      <c r="D281" s="21">
        <f t="shared" si="267"/>
        <v>602.88130854230576</v>
      </c>
      <c r="E281" s="21">
        <f t="shared" si="267"/>
        <v>602.40026965024344</v>
      </c>
      <c r="F281" s="21">
        <f t="shared" si="267"/>
        <v>602.25641852725312</v>
      </c>
      <c r="G281" s="21">
        <f t="shared" si="267"/>
        <v>602.2820344960611</v>
      </c>
      <c r="H281" s="21">
        <f t="shared" si="267"/>
        <v>602.95353716880959</v>
      </c>
      <c r="I281" s="21">
        <f t="shared" si="267"/>
        <v>609.90568408121578</v>
      </c>
      <c r="J281" s="21">
        <f t="shared" si="267"/>
        <v>680.58128698556015</v>
      </c>
      <c r="K281" s="21">
        <f t="shared" si="267"/>
        <v>1459.679884039452</v>
      </c>
      <c r="L281" s="21">
        <f t="shared" si="267"/>
        <v>8019.6919774676962</v>
      </c>
      <c r="M281" s="21">
        <f t="shared" si="267"/>
        <v>18653.224061362125</v>
      </c>
      <c r="N281" s="21">
        <f t="shared" si="267"/>
        <v>20115.486401121314</v>
      </c>
      <c r="O281" s="21">
        <f t="shared" si="267"/>
        <v>27817.119357770047</v>
      </c>
      <c r="P281" s="21">
        <f t="shared" si="267"/>
        <v>34858.340919021306</v>
      </c>
      <c r="Q281" s="21">
        <f t="shared" si="267"/>
        <v>38135.450981136521</v>
      </c>
      <c r="R281" s="21">
        <f t="shared" si="267"/>
        <v>55971.795481067638</v>
      </c>
      <c r="S281" s="21">
        <f t="shared" si="267"/>
        <v>22293.874294512327</v>
      </c>
      <c r="T281" s="21">
        <f t="shared" si="267"/>
        <v>2216.3513025561479</v>
      </c>
      <c r="U281" s="21">
        <f t="shared" si="267"/>
        <v>58174.384876763113</v>
      </c>
      <c r="V281" s="21">
        <f t="shared" si="267"/>
        <v>112479.18702400771</v>
      </c>
      <c r="W281" s="21">
        <f t="shared" si="267"/>
        <v>47513.55681682381</v>
      </c>
      <c r="X281" s="21">
        <f t="shared" si="267"/>
        <v>416.71523870267839</v>
      </c>
      <c r="Y281" s="21">
        <f t="shared" si="267"/>
        <v>30123.222139408146</v>
      </c>
      <c r="Z281" s="21">
        <f t="shared" si="267"/>
        <v>92672.020221777071</v>
      </c>
      <c r="AA281" s="21">
        <f t="shared" si="267"/>
        <v>83776.315800202428</v>
      </c>
      <c r="AB281" s="21">
        <f t="shared" si="267"/>
        <v>35231.327717619075</v>
      </c>
      <c r="AC281" s="21">
        <f t="shared" si="267"/>
        <v>19610.615004739702</v>
      </c>
      <c r="AD281" s="21">
        <f t="shared" si="267"/>
        <v>3800.6428661762889</v>
      </c>
      <c r="AE281" s="21">
        <f t="shared" si="267"/>
        <v>144.80257802190931</v>
      </c>
      <c r="AF281" s="21">
        <f t="shared" si="267"/>
        <v>77.776642333982338</v>
      </c>
      <c r="AG281" s="3"/>
      <c r="AH281" s="3"/>
    </row>
    <row r="282" spans="1:34" s="3" customFormat="1" x14ac:dyDescent="0.25">
      <c r="A282" s="71">
        <f>SUM(B282:AF282)</f>
        <v>483531.00955445087</v>
      </c>
      <c r="B282" s="21">
        <f>IF($D$61&lt;=B246,IF($E$61&gt;=B246,ABS(B281),0),0)</f>
        <v>375.16562643071427</v>
      </c>
      <c r="C282" s="21">
        <f t="shared" ref="C282:AF282" si="268">IF($D$61&lt;=C246,IF($E$61&gt;=C246,ABS(C281),0),0)</f>
        <v>604.50263280865852</v>
      </c>
      <c r="D282" s="21">
        <f t="shared" si="268"/>
        <v>602.88130854230576</v>
      </c>
      <c r="E282" s="21">
        <f t="shared" si="268"/>
        <v>602.40026965024344</v>
      </c>
      <c r="F282" s="21">
        <f t="shared" si="268"/>
        <v>602.25641852725312</v>
      </c>
      <c r="G282" s="21">
        <f t="shared" si="268"/>
        <v>602.2820344960611</v>
      </c>
      <c r="H282" s="21">
        <f t="shared" si="268"/>
        <v>602.95353716880959</v>
      </c>
      <c r="I282" s="21">
        <f t="shared" si="268"/>
        <v>609.90568408121578</v>
      </c>
      <c r="J282" s="21">
        <f t="shared" si="268"/>
        <v>680.58128698556015</v>
      </c>
      <c r="K282" s="21">
        <f t="shared" si="268"/>
        <v>1459.679884039452</v>
      </c>
      <c r="L282" s="21">
        <f t="shared" si="268"/>
        <v>8019.6919774676962</v>
      </c>
      <c r="M282" s="21">
        <f t="shared" si="268"/>
        <v>18653.224061362125</v>
      </c>
      <c r="N282" s="21">
        <f t="shared" si="268"/>
        <v>20115.486401121314</v>
      </c>
      <c r="O282" s="21">
        <f t="shared" si="268"/>
        <v>27817.119357770047</v>
      </c>
      <c r="P282" s="21">
        <f t="shared" si="268"/>
        <v>34858.340919021306</v>
      </c>
      <c r="Q282" s="21">
        <f t="shared" si="268"/>
        <v>38135.450981136521</v>
      </c>
      <c r="R282" s="21">
        <f t="shared" si="268"/>
        <v>55971.795481067638</v>
      </c>
      <c r="S282" s="21">
        <f t="shared" si="268"/>
        <v>22293.874294512327</v>
      </c>
      <c r="T282" s="21">
        <f t="shared" si="268"/>
        <v>2216.3513025561479</v>
      </c>
      <c r="U282" s="21">
        <f t="shared" si="268"/>
        <v>58174.384876763113</v>
      </c>
      <c r="V282" s="21">
        <f t="shared" si="268"/>
        <v>112479.18702400771</v>
      </c>
      <c r="W282" s="21">
        <f t="shared" si="268"/>
        <v>47513.55681682381</v>
      </c>
      <c r="X282" s="21">
        <f t="shared" si="268"/>
        <v>416.71523870267839</v>
      </c>
      <c r="Y282" s="21">
        <f t="shared" si="268"/>
        <v>30123.222139408146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6479.416842073043</v>
      </c>
      <c r="C287" s="27">
        <f t="shared" ref="C287:AF287" si="269">($C$17+SUM(C288:C318))*$B$51</f>
        <v>6479.40927062637</v>
      </c>
      <c r="D287" s="27">
        <f t="shared" si="269"/>
        <v>6479.3336009322684</v>
      </c>
      <c r="E287" s="27">
        <f t="shared" si="269"/>
        <v>6478.5813546832187</v>
      </c>
      <c r="F287" s="27">
        <f t="shared" si="269"/>
        <v>6471.4785895882997</v>
      </c>
      <c r="G287" s="27">
        <f t="shared" si="269"/>
        <v>6425.6206469605486</v>
      </c>
      <c r="H287" s="27">
        <f t="shared" si="269"/>
        <v>6280.1308470701042</v>
      </c>
      <c r="I287" s="27">
        <f t="shared" si="269"/>
        <v>6130.6681490726696</v>
      </c>
      <c r="J287" s="27">
        <f t="shared" si="269"/>
        <v>5959.6607378794506</v>
      </c>
      <c r="K287" s="27">
        <f t="shared" si="269"/>
        <v>5758.2305746024131</v>
      </c>
      <c r="L287" s="27">
        <f t="shared" si="269"/>
        <v>5554.4082652318948</v>
      </c>
      <c r="M287" s="27">
        <f t="shared" si="269"/>
        <v>5295.2340476198715</v>
      </c>
      <c r="N287" s="27">
        <f t="shared" si="269"/>
        <v>5015.5607434349031</v>
      </c>
      <c r="O287" s="27">
        <f t="shared" si="269"/>
        <v>4736.4435423479736</v>
      </c>
      <c r="P287" s="27">
        <f t="shared" si="269"/>
        <v>4439.776449825119</v>
      </c>
      <c r="Q287" s="27">
        <f t="shared" si="269"/>
        <v>4114.4874297382103</v>
      </c>
      <c r="R287" s="27">
        <f t="shared" si="269"/>
        <v>3663.1889436949664</v>
      </c>
      <c r="S287" s="27">
        <f t="shared" si="269"/>
        <v>3039.4374109293076</v>
      </c>
      <c r="T287" s="27">
        <f t="shared" si="269"/>
        <v>2356.6969975681614</v>
      </c>
      <c r="U287" s="27">
        <f t="shared" si="269"/>
        <v>1664.5505571325061</v>
      </c>
      <c r="V287" s="27">
        <f t="shared" si="269"/>
        <v>1039.9584634507762</v>
      </c>
      <c r="W287" s="27">
        <f t="shared" si="269"/>
        <v>595.88553690191327</v>
      </c>
      <c r="X287" s="27">
        <f t="shared" si="269"/>
        <v>331.73368190632476</v>
      </c>
      <c r="Y287" s="27">
        <f t="shared" si="269"/>
        <v>192.70260676968226</v>
      </c>
      <c r="Z287" s="27">
        <f t="shared" si="269"/>
        <v>148.93411999387354</v>
      </c>
      <c r="AA287" s="27">
        <f t="shared" si="269"/>
        <v>134.06545238623525</v>
      </c>
      <c r="AB287" s="27">
        <f t="shared" si="269"/>
        <v>124.98884378886393</v>
      </c>
      <c r="AC287" s="27">
        <f t="shared" si="269"/>
        <v>124.50136238790418</v>
      </c>
      <c r="AD287" s="27">
        <f t="shared" si="269"/>
        <v>124.08489649024924</v>
      </c>
      <c r="AE287" s="27">
        <f t="shared" si="269"/>
        <v>123.76178061586549</v>
      </c>
      <c r="AF287" s="27">
        <f t="shared" si="269"/>
        <v>123.49175658517987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4.1305922344475653E-3</v>
      </c>
      <c r="C292" s="3">
        <f t="shared" si="274"/>
        <v>4.1298932903147522E-3</v>
      </c>
      <c r="D292" s="3">
        <f t="shared" si="274"/>
        <v>4.1229103505058054E-3</v>
      </c>
      <c r="E292" s="3">
        <f t="shared" si="274"/>
        <v>4.0537270518612601E-3</v>
      </c>
      <c r="F292" s="3">
        <f t="shared" si="274"/>
        <v>3.4226352554378408E-3</v>
      </c>
      <c r="G292" s="3">
        <f t="shared" si="274"/>
        <v>6.3011785173378498E-4</v>
      </c>
      <c r="H292" s="3">
        <f t="shared" si="274"/>
        <v>2.8185998534641357E-11</v>
      </c>
      <c r="I292" s="3">
        <f t="shared" si="274"/>
        <v>9.0396130036559769E-85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2.7997477743729821E-2</v>
      </c>
      <c r="C293" s="3">
        <f t="shared" si="275"/>
        <v>2.7997050349091182E-2</v>
      </c>
      <c r="D293" s="3">
        <f t="shared" si="275"/>
        <v>2.7992776761529285E-2</v>
      </c>
      <c r="E293" s="3">
        <f t="shared" si="275"/>
        <v>2.7950076748096582E-2</v>
      </c>
      <c r="F293" s="3">
        <f t="shared" si="275"/>
        <v>2.7526642658925179E-2</v>
      </c>
      <c r="G293" s="3">
        <f t="shared" si="275"/>
        <v>2.3629560714106389E-2</v>
      </c>
      <c r="H293" s="3">
        <f t="shared" si="275"/>
        <v>5.1342815081258011E-3</v>
      </c>
      <c r="I293" s="3">
        <f t="shared" si="275"/>
        <v>1.2042591845127002E-9</v>
      </c>
      <c r="J293" s="3">
        <f t="shared" si="275"/>
        <v>6.0690801060865859E-76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2.1979594267925992E-2</v>
      </c>
      <c r="C294" s="3">
        <f t="shared" si="276"/>
        <v>2.1979564000224654E-2</v>
      </c>
      <c r="D294" s="3">
        <f t="shared" si="276"/>
        <v>2.1979261325503752E-2</v>
      </c>
      <c r="E294" s="3">
        <f t="shared" si="276"/>
        <v>2.197623480752816E-2</v>
      </c>
      <c r="F294" s="3">
        <f t="shared" si="276"/>
        <v>2.1945992539440858E-2</v>
      </c>
      <c r="G294" s="3">
        <f t="shared" si="276"/>
        <v>2.1645849394337516E-2</v>
      </c>
      <c r="H294" s="3">
        <f t="shared" si="276"/>
        <v>1.8861172385629302E-2</v>
      </c>
      <c r="I294" s="3">
        <f t="shared" si="276"/>
        <v>4.7589287681251121E-3</v>
      </c>
      <c r="J294" s="3">
        <f t="shared" si="276"/>
        <v>4.9763899374221079E-9</v>
      </c>
      <c r="K294" s="3">
        <f t="shared" si="276"/>
        <v>7.7797634584697129E-69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2.825091796999742E-2</v>
      </c>
      <c r="C295" s="3">
        <f t="shared" si="277"/>
        <v>2.8250914460546318E-2</v>
      </c>
      <c r="D295" s="3">
        <f t="shared" si="277"/>
        <v>2.8250879366059269E-2</v>
      </c>
      <c r="E295" s="3">
        <f t="shared" si="277"/>
        <v>2.8250528423586555E-2</v>
      </c>
      <c r="F295" s="3">
        <f t="shared" si="277"/>
        <v>2.8247019238624736E-2</v>
      </c>
      <c r="G295" s="3">
        <f t="shared" si="277"/>
        <v>2.8211951354523614E-2</v>
      </c>
      <c r="H295" s="3">
        <f t="shared" si="277"/>
        <v>2.7863658086453431E-2</v>
      </c>
      <c r="I295" s="3">
        <f t="shared" si="277"/>
        <v>2.4608672795513077E-2</v>
      </c>
      <c r="J295" s="3">
        <f t="shared" si="277"/>
        <v>7.1054041774380574E-3</v>
      </c>
      <c r="K295" s="3">
        <f t="shared" si="277"/>
        <v>2.8615065138682626E-8</v>
      </c>
      <c r="L295" s="3">
        <f t="shared" si="277"/>
        <v>3.2111031578698335E-62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3.4437902967596606E-2</v>
      </c>
      <c r="C296" s="3">
        <f t="shared" si="278"/>
        <v>3.4437902581683132E-2</v>
      </c>
      <c r="D296" s="3">
        <f t="shared" si="278"/>
        <v>3.4437898722548599E-2</v>
      </c>
      <c r="E296" s="3">
        <f t="shared" si="278"/>
        <v>3.4437860131227092E-2</v>
      </c>
      <c r="F296" s="3">
        <f t="shared" si="278"/>
        <v>3.44374742203905E-2</v>
      </c>
      <c r="G296" s="3">
        <f t="shared" si="278"/>
        <v>3.4433615349865075E-2</v>
      </c>
      <c r="H296" s="3">
        <f t="shared" si="278"/>
        <v>3.4395050418806201E-2</v>
      </c>
      <c r="I296" s="3">
        <f t="shared" si="278"/>
        <v>3.4011768699867356E-2</v>
      </c>
      <c r="J296" s="3">
        <f t="shared" si="278"/>
        <v>3.040618142167674E-2</v>
      </c>
      <c r="K296" s="3">
        <f t="shared" si="278"/>
        <v>9.9149045415137596E-3</v>
      </c>
      <c r="L296" s="3">
        <f t="shared" si="278"/>
        <v>1.3475816407822496E-7</v>
      </c>
      <c r="M296" s="3">
        <f t="shared" si="278"/>
        <v>2.8988154601148634E-56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2.9401070004149901E-2</v>
      </c>
      <c r="C297" s="3">
        <f t="shared" si="279"/>
        <v>2.9401069974428932E-2</v>
      </c>
      <c r="D297" s="3">
        <f t="shared" si="279"/>
        <v>2.9401069677219237E-2</v>
      </c>
      <c r="E297" s="3">
        <f t="shared" si="279"/>
        <v>2.9401066705122436E-2</v>
      </c>
      <c r="F297" s="3">
        <f t="shared" si="279"/>
        <v>2.9401036984170983E-2</v>
      </c>
      <c r="G297" s="3">
        <f t="shared" si="279"/>
        <v>2.9400739776308867E-2</v>
      </c>
      <c r="H297" s="3">
        <f t="shared" si="279"/>
        <v>2.9397767862924761E-2</v>
      </c>
      <c r="I297" s="3">
        <f t="shared" si="279"/>
        <v>2.9368065246611057E-2</v>
      </c>
      <c r="J297" s="3">
        <f t="shared" si="279"/>
        <v>2.9072684674896505E-2</v>
      </c>
      <c r="K297" s="3">
        <f t="shared" si="279"/>
        <v>2.627744607031765E-2</v>
      </c>
      <c r="L297" s="3">
        <f t="shared" si="279"/>
        <v>9.5623207850968391E-3</v>
      </c>
      <c r="M297" s="3">
        <f t="shared" si="279"/>
        <v>3.8937212933253295E-7</v>
      </c>
      <c r="N297" s="3">
        <f t="shared" si="279"/>
        <v>4.8795570034685942E-51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4.9041908611046951E-2</v>
      </c>
      <c r="C298" s="3">
        <f t="shared" si="280"/>
        <v>4.9041908606574827E-2</v>
      </c>
      <c r="D298" s="3">
        <f t="shared" si="280"/>
        <v>4.9041908561853594E-2</v>
      </c>
      <c r="E298" s="3">
        <f t="shared" si="280"/>
        <v>4.9041908114641236E-2</v>
      </c>
      <c r="F298" s="3">
        <f t="shared" si="280"/>
        <v>4.9041903642517919E-2</v>
      </c>
      <c r="G298" s="3">
        <f t="shared" si="280"/>
        <v>4.9041858921307135E-2</v>
      </c>
      <c r="H298" s="3">
        <f t="shared" si="280"/>
        <v>4.904141171144235E-2</v>
      </c>
      <c r="I298" s="3">
        <f t="shared" si="280"/>
        <v>4.9036939837082731E-2</v>
      </c>
      <c r="J298" s="3">
        <f t="shared" si="280"/>
        <v>4.8992243514751656E-2</v>
      </c>
      <c r="K298" s="3">
        <f t="shared" si="280"/>
        <v>4.8547514871380704E-2</v>
      </c>
      <c r="L298" s="3">
        <f t="shared" si="280"/>
        <v>4.4316327295299662E-2</v>
      </c>
      <c r="M298" s="3">
        <f t="shared" si="280"/>
        <v>1.7804563805356145E-2</v>
      </c>
      <c r="N298" s="3">
        <f t="shared" si="280"/>
        <v>1.9507746804767001E-6</v>
      </c>
      <c r="O298" s="3">
        <f t="shared" si="280"/>
        <v>4.8636781514598874E-46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4.1789859080308842E-2</v>
      </c>
      <c r="C299" s="3">
        <f t="shared" si="281"/>
        <v>4.1789859079965075E-2</v>
      </c>
      <c r="D299" s="3">
        <f t="shared" si="281"/>
        <v>4.1789859076527408E-2</v>
      </c>
      <c r="E299" s="3">
        <f t="shared" si="281"/>
        <v>4.1789859042150726E-2</v>
      </c>
      <c r="F299" s="3">
        <f t="shared" si="281"/>
        <v>4.1789858698383933E-2</v>
      </c>
      <c r="G299" s="3">
        <f t="shared" si="281"/>
        <v>4.1789855260716123E-2</v>
      </c>
      <c r="H299" s="3">
        <f t="shared" si="281"/>
        <v>4.1789820884053606E-2</v>
      </c>
      <c r="I299" s="3">
        <f t="shared" si="281"/>
        <v>4.1789477118983717E-2</v>
      </c>
      <c r="J299" s="3">
        <f t="shared" si="281"/>
        <v>4.1786039623811527E-2</v>
      </c>
      <c r="K299" s="3">
        <f t="shared" si="281"/>
        <v>4.1751680220026892E-2</v>
      </c>
      <c r="L299" s="3">
        <f t="shared" si="281"/>
        <v>4.1409636254050267E-2</v>
      </c>
      <c r="M299" s="3">
        <f t="shared" si="281"/>
        <v>3.8139587923131053E-2</v>
      </c>
      <c r="N299" s="3">
        <f t="shared" si="281"/>
        <v>1.6754127044479459E-2</v>
      </c>
      <c r="O299" s="3">
        <f t="shared" si="281"/>
        <v>4.483115039311955E-6</v>
      </c>
      <c r="P299" s="3">
        <f t="shared" si="281"/>
        <v>8.436468175859995E-42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4.6925793493943067E-2</v>
      </c>
      <c r="C300" s="3">
        <f t="shared" si="282"/>
        <v>4.6925793493908248E-2</v>
      </c>
      <c r="D300" s="3">
        <f t="shared" si="282"/>
        <v>4.6925793493560033E-2</v>
      </c>
      <c r="E300" s="3">
        <f t="shared" si="282"/>
        <v>4.6925793490077847E-2</v>
      </c>
      <c r="F300" s="3">
        <f t="shared" si="282"/>
        <v>4.6925793455256049E-2</v>
      </c>
      <c r="G300" s="3">
        <f t="shared" si="282"/>
        <v>4.6925793107038039E-2</v>
      </c>
      <c r="H300" s="3">
        <f t="shared" si="282"/>
        <v>4.6925789624858015E-2</v>
      </c>
      <c r="I300" s="3">
        <f t="shared" si="282"/>
        <v>4.6925754803072081E-2</v>
      </c>
      <c r="J300" s="3">
        <f t="shared" si="282"/>
        <v>4.6925406586633939E-2</v>
      </c>
      <c r="K300" s="3">
        <f t="shared" si="282"/>
        <v>4.6921924564367605E-2</v>
      </c>
      <c r="L300" s="3">
        <f t="shared" si="282"/>
        <v>4.6887118549315321E-2</v>
      </c>
      <c r="M300" s="3">
        <f t="shared" si="282"/>
        <v>4.6540475266747344E-2</v>
      </c>
      <c r="N300" s="3">
        <f t="shared" si="282"/>
        <v>4.3211915060541277E-2</v>
      </c>
      <c r="O300" s="3">
        <f t="shared" si="282"/>
        <v>2.0574557890044691E-2</v>
      </c>
      <c r="P300" s="3">
        <f t="shared" si="282"/>
        <v>1.231971020587679E-5</v>
      </c>
      <c r="Q300" s="3">
        <f t="shared" si="282"/>
        <v>7.2996207247069729E-38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4.7062467056074704E-2</v>
      </c>
      <c r="C301" s="3">
        <f t="shared" si="283"/>
        <v>4.7062467056071547E-2</v>
      </c>
      <c r="D301" s="3">
        <f t="shared" si="283"/>
        <v>4.7062467056040051E-2</v>
      </c>
      <c r="E301" s="3">
        <f t="shared" si="283"/>
        <v>4.7062467055725012E-2</v>
      </c>
      <c r="F301" s="3">
        <f t="shared" si="283"/>
        <v>4.706246705257465E-2</v>
      </c>
      <c r="G301" s="3">
        <f t="shared" si="283"/>
        <v>4.7062467021070996E-2</v>
      </c>
      <c r="H301" s="3">
        <f t="shared" si="283"/>
        <v>4.7062466706034478E-2</v>
      </c>
      <c r="I301" s="3">
        <f t="shared" si="283"/>
        <v>4.7062463555669468E-2</v>
      </c>
      <c r="J301" s="3">
        <f t="shared" si="283"/>
        <v>4.7062432052030916E-2</v>
      </c>
      <c r="K301" s="3">
        <f t="shared" si="283"/>
        <v>4.706211701680528E-2</v>
      </c>
      <c r="L301" s="3">
        <f t="shared" si="283"/>
        <v>4.7058966780532896E-2</v>
      </c>
      <c r="M301" s="3">
        <f t="shared" si="283"/>
        <v>4.7027476013330315E-2</v>
      </c>
      <c r="N301" s="3">
        <f t="shared" si="283"/>
        <v>4.6713725026606603E-2</v>
      </c>
      <c r="O301" s="3">
        <f t="shared" si="283"/>
        <v>4.368906940613751E-2</v>
      </c>
      <c r="P301" s="3">
        <f t="shared" si="283"/>
        <v>2.2369472131847042E-2</v>
      </c>
      <c r="Q301" s="3">
        <f t="shared" si="283"/>
        <v>2.7700343386870183E-5</v>
      </c>
      <c r="R301" s="3">
        <f t="shared" si="283"/>
        <v>2.3484392076273096E-34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5.1874996245126849E-2</v>
      </c>
      <c r="C302" s="3">
        <f t="shared" si="284"/>
        <v>5.1874996245126537E-2</v>
      </c>
      <c r="D302" s="3">
        <f t="shared" si="284"/>
        <v>5.1874996245123407E-2</v>
      </c>
      <c r="E302" s="3">
        <f t="shared" si="284"/>
        <v>5.1874996245092078E-2</v>
      </c>
      <c r="F302" s="3">
        <f t="shared" si="284"/>
        <v>5.1874996244778829E-2</v>
      </c>
      <c r="G302" s="3">
        <f t="shared" si="284"/>
        <v>5.1874996241646328E-2</v>
      </c>
      <c r="H302" s="3">
        <f t="shared" si="284"/>
        <v>5.1874996210321343E-2</v>
      </c>
      <c r="I302" s="3">
        <f t="shared" si="284"/>
        <v>5.1874995897071494E-2</v>
      </c>
      <c r="J302" s="3">
        <f t="shared" si="284"/>
        <v>5.1874992764573101E-2</v>
      </c>
      <c r="K302" s="3">
        <f t="shared" si="284"/>
        <v>5.1874961439599535E-2</v>
      </c>
      <c r="L302" s="3">
        <f t="shared" si="284"/>
        <v>5.1874648190904288E-2</v>
      </c>
      <c r="M302" s="3">
        <f t="shared" si="284"/>
        <v>5.1871515807985887E-2</v>
      </c>
      <c r="N302" s="3">
        <f t="shared" si="284"/>
        <v>5.1840202379884535E-2</v>
      </c>
      <c r="O302" s="3">
        <f t="shared" si="284"/>
        <v>5.1528105887011087E-2</v>
      </c>
      <c r="P302" s="3">
        <f t="shared" si="284"/>
        <v>4.8508638055753055E-2</v>
      </c>
      <c r="Q302" s="3">
        <f t="shared" si="284"/>
        <v>2.6519669627656162E-2</v>
      </c>
      <c r="R302" s="3">
        <f t="shared" si="284"/>
        <v>6.324968839806234E-5</v>
      </c>
      <c r="S302" s="3">
        <f t="shared" si="284"/>
        <v>3.7667014417421549E-31</v>
      </c>
      <c r="T302" s="3">
        <f t="shared" si="284"/>
        <v>2.1134368637043842E-293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9.371908513336058E-2</v>
      </c>
      <c r="C303" s="3">
        <f t="shared" si="285"/>
        <v>9.3719085133360538E-2</v>
      </c>
      <c r="D303" s="3">
        <f t="shared" si="285"/>
        <v>9.3719085133360025E-2</v>
      </c>
      <c r="E303" s="3">
        <f t="shared" si="285"/>
        <v>9.3719085133354918E-2</v>
      </c>
      <c r="F303" s="3">
        <f t="shared" si="285"/>
        <v>9.3719085133303862E-2</v>
      </c>
      <c r="G303" s="3">
        <f t="shared" si="285"/>
        <v>9.3719085132793353E-2</v>
      </c>
      <c r="H303" s="3">
        <f t="shared" si="285"/>
        <v>9.3719085127688229E-2</v>
      </c>
      <c r="I303" s="3">
        <f t="shared" si="285"/>
        <v>9.3719085076636857E-2</v>
      </c>
      <c r="J303" s="3">
        <f t="shared" si="285"/>
        <v>9.3719084566123115E-2</v>
      </c>
      <c r="K303" s="3">
        <f t="shared" si="285"/>
        <v>9.3719079460985996E-2</v>
      </c>
      <c r="L303" s="3">
        <f t="shared" si="285"/>
        <v>9.3719028409630006E-2</v>
      </c>
      <c r="M303" s="3">
        <f t="shared" si="285"/>
        <v>9.3718517897599732E-2</v>
      </c>
      <c r="N303" s="3">
        <f t="shared" si="285"/>
        <v>9.3713412930243434E-2</v>
      </c>
      <c r="O303" s="3">
        <f t="shared" si="285"/>
        <v>9.3662378548256514E-2</v>
      </c>
      <c r="P303" s="3">
        <f t="shared" si="285"/>
        <v>9.3153560808471314E-2</v>
      </c>
      <c r="Q303" s="3">
        <f t="shared" si="285"/>
        <v>8.8214959919210301E-2</v>
      </c>
      <c r="R303" s="3">
        <f t="shared" si="285"/>
        <v>5.1164654673720361E-2</v>
      </c>
      <c r="S303" s="3">
        <f t="shared" si="285"/>
        <v>2.2041853359142626E-4</v>
      </c>
      <c r="T303" s="3">
        <f t="shared" si="285"/>
        <v>4.8532059757638004E-28</v>
      </c>
      <c r="U303" s="3">
        <f t="shared" si="285"/>
        <v>1.2996753219195994E-264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0.10682658591512105</v>
      </c>
      <c r="C304" s="3">
        <f t="shared" si="286"/>
        <v>0.10682658591512105</v>
      </c>
      <c r="D304" s="3">
        <f t="shared" si="286"/>
        <v>0.10682658591512099</v>
      </c>
      <c r="E304" s="3">
        <f t="shared" si="286"/>
        <v>0.10682658591512047</v>
      </c>
      <c r="F304" s="3">
        <f t="shared" si="286"/>
        <v>0.10682658591511522</v>
      </c>
      <c r="G304" s="3">
        <f t="shared" si="286"/>
        <v>0.10682658591506272</v>
      </c>
      <c r="H304" s="3">
        <f t="shared" si="286"/>
        <v>0.10682658591453779</v>
      </c>
      <c r="I304" s="3">
        <f t="shared" si="286"/>
        <v>0.10682658590928844</v>
      </c>
      <c r="J304" s="3">
        <f t="shared" si="286"/>
        <v>0.10682658585679497</v>
      </c>
      <c r="K304" s="3">
        <f t="shared" si="286"/>
        <v>0.10682658533186021</v>
      </c>
      <c r="L304" s="3">
        <f t="shared" si="286"/>
        <v>0.10682658008251285</v>
      </c>
      <c r="M304" s="3">
        <f t="shared" si="286"/>
        <v>0.10682652758905331</v>
      </c>
      <c r="N304" s="3">
        <f t="shared" si="286"/>
        <v>0.10682600265587672</v>
      </c>
      <c r="O304" s="3">
        <f t="shared" si="286"/>
        <v>0.1068207534659789</v>
      </c>
      <c r="P304" s="3">
        <f t="shared" si="286"/>
        <v>0.10676827575124709</v>
      </c>
      <c r="Q304" s="3">
        <f t="shared" si="286"/>
        <v>0.10624491445303987</v>
      </c>
      <c r="R304" s="3">
        <f t="shared" si="286"/>
        <v>0.10115034565313036</v>
      </c>
      <c r="S304" s="3">
        <f t="shared" si="286"/>
        <v>6.1881320327247295E-2</v>
      </c>
      <c r="T304" s="3">
        <f t="shared" si="286"/>
        <v>4.5444525562784896E-4</v>
      </c>
      <c r="U304" s="3">
        <f t="shared" si="286"/>
        <v>2.0734883392910209E-25</v>
      </c>
      <c r="V304" s="3">
        <f t="shared" si="286"/>
        <v>8.1077777086354718E-239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0.11271230139024535</v>
      </c>
      <c r="C305" s="3">
        <f t="shared" si="287"/>
        <v>0.11271230139024535</v>
      </c>
      <c r="D305" s="3">
        <f t="shared" si="287"/>
        <v>0.11271230139024535</v>
      </c>
      <c r="E305" s="3">
        <f t="shared" si="287"/>
        <v>0.1127123013902453</v>
      </c>
      <c r="F305" s="3">
        <f t="shared" si="287"/>
        <v>0.1127123013902448</v>
      </c>
      <c r="G305" s="3">
        <f t="shared" si="287"/>
        <v>0.1127123013902398</v>
      </c>
      <c r="H305" s="3">
        <f t="shared" si="287"/>
        <v>0.11271230139018984</v>
      </c>
      <c r="I305" s="3">
        <f t="shared" si="287"/>
        <v>0.11271230138969021</v>
      </c>
      <c r="J305" s="3">
        <f t="shared" si="287"/>
        <v>0.11271230138469396</v>
      </c>
      <c r="K305" s="3">
        <f t="shared" si="287"/>
        <v>0.11271230133473149</v>
      </c>
      <c r="L305" s="3">
        <f t="shared" si="287"/>
        <v>0.11271230083510682</v>
      </c>
      <c r="M305" s="3">
        <f t="shared" si="287"/>
        <v>0.11271229583886012</v>
      </c>
      <c r="N305" s="3">
        <f t="shared" si="287"/>
        <v>0.11271224587640541</v>
      </c>
      <c r="O305" s="3">
        <f t="shared" si="287"/>
        <v>0.11271174625307633</v>
      </c>
      <c r="P305" s="3">
        <f t="shared" si="287"/>
        <v>0.11270675014159225</v>
      </c>
      <c r="Q305" s="3">
        <f t="shared" si="287"/>
        <v>0.11265680120542523</v>
      </c>
      <c r="R305" s="3">
        <f t="shared" si="287"/>
        <v>0.11215852771606843</v>
      </c>
      <c r="S305" s="3">
        <f t="shared" si="287"/>
        <v>0.10729540930742043</v>
      </c>
      <c r="T305" s="3">
        <f t="shared" si="287"/>
        <v>6.8876259184207728E-2</v>
      </c>
      <c r="U305" s="3">
        <f t="shared" si="287"/>
        <v>8.1837746032424477E-4</v>
      </c>
      <c r="V305" s="3">
        <f t="shared" si="287"/>
        <v>4.5898103290096024E-23</v>
      </c>
      <c r="W305" s="3">
        <f t="shared" si="287"/>
        <v>1.4132061961298189E-215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0.10920571405178373</v>
      </c>
      <c r="C306" s="3">
        <f t="shared" si="288"/>
        <v>0.10920571405178373</v>
      </c>
      <c r="D306" s="3">
        <f t="shared" si="288"/>
        <v>0.10920571405178373</v>
      </c>
      <c r="E306" s="3">
        <f t="shared" si="288"/>
        <v>0.10920571405178373</v>
      </c>
      <c r="F306" s="3">
        <f t="shared" si="288"/>
        <v>0.10920571405178368</v>
      </c>
      <c r="G306" s="3">
        <f t="shared" si="288"/>
        <v>0.10920571405178324</v>
      </c>
      <c r="H306" s="3">
        <f t="shared" si="288"/>
        <v>0.10920571405177888</v>
      </c>
      <c r="I306" s="3">
        <f t="shared" si="288"/>
        <v>0.10920571405173521</v>
      </c>
      <c r="J306" s="3">
        <f t="shared" si="288"/>
        <v>0.10920571405129853</v>
      </c>
      <c r="K306" s="3">
        <f t="shared" si="288"/>
        <v>0.10920571404693172</v>
      </c>
      <c r="L306" s="3">
        <f t="shared" si="288"/>
        <v>0.10920571400326358</v>
      </c>
      <c r="M306" s="3">
        <f t="shared" si="288"/>
        <v>0.10920571356658236</v>
      </c>
      <c r="N306" s="3">
        <f t="shared" si="288"/>
        <v>0.1092057091997702</v>
      </c>
      <c r="O306" s="3">
        <f t="shared" si="288"/>
        <v>0.1092056655316582</v>
      </c>
      <c r="P306" s="3">
        <f t="shared" si="288"/>
        <v>0.10920522885149854</v>
      </c>
      <c r="Q306" s="3">
        <f t="shared" si="288"/>
        <v>0.10920086214593912</v>
      </c>
      <c r="R306" s="3">
        <f t="shared" si="288"/>
        <v>0.10915720469263844</v>
      </c>
      <c r="S306" s="3">
        <f t="shared" si="288"/>
        <v>0.10872158896982498</v>
      </c>
      <c r="T306" s="3">
        <f t="shared" si="288"/>
        <v>0.1044599092272485</v>
      </c>
      <c r="U306" s="3">
        <f t="shared" si="288"/>
        <v>7.0030652884763442E-2</v>
      </c>
      <c r="V306" s="3">
        <f t="shared" si="288"/>
        <v>1.2843207119306698E-3</v>
      </c>
      <c r="W306" s="3">
        <f t="shared" si="288"/>
        <v>5.5274725924721169E-21</v>
      </c>
      <c r="X306" s="3">
        <f t="shared" si="288"/>
        <v>1.2051960858456143E-194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8.5595472993728092E-2</v>
      </c>
      <c r="C307" s="3">
        <f t="shared" si="289"/>
        <v>8.5595472993728092E-2</v>
      </c>
      <c r="D307" s="3">
        <f t="shared" si="289"/>
        <v>8.5595472993728092E-2</v>
      </c>
      <c r="E307" s="3">
        <f t="shared" si="289"/>
        <v>8.5595472993728092E-2</v>
      </c>
      <c r="F307" s="3">
        <f t="shared" si="289"/>
        <v>8.5595472993728092E-2</v>
      </c>
      <c r="G307" s="3">
        <f t="shared" si="289"/>
        <v>8.559547299372805E-2</v>
      </c>
      <c r="H307" s="3">
        <f t="shared" si="289"/>
        <v>8.5595472993727745E-2</v>
      </c>
      <c r="I307" s="3">
        <f t="shared" si="289"/>
        <v>8.5595472993724664E-2</v>
      </c>
      <c r="J307" s="3">
        <f t="shared" si="289"/>
        <v>8.5595472993693786E-2</v>
      </c>
      <c r="K307" s="3">
        <f t="shared" si="289"/>
        <v>8.5595472993385033E-2</v>
      </c>
      <c r="L307" s="3">
        <f t="shared" si="289"/>
        <v>8.5595472990297461E-2</v>
      </c>
      <c r="M307" s="3">
        <f t="shared" si="289"/>
        <v>8.5595472959421784E-2</v>
      </c>
      <c r="N307" s="3">
        <f t="shared" si="289"/>
        <v>8.5595472650664972E-2</v>
      </c>
      <c r="O307" s="3">
        <f t="shared" si="289"/>
        <v>8.5595469563096938E-2</v>
      </c>
      <c r="P307" s="3">
        <f t="shared" si="289"/>
        <v>8.5595438687422698E-2</v>
      </c>
      <c r="Q307" s="3">
        <f t="shared" si="289"/>
        <v>8.5595129931292868E-2</v>
      </c>
      <c r="R307" s="3">
        <f t="shared" si="289"/>
        <v>8.5592042431249127E-2</v>
      </c>
      <c r="S307" s="3">
        <f t="shared" si="289"/>
        <v>8.5561173555452008E-2</v>
      </c>
      <c r="T307" s="3">
        <f t="shared" si="289"/>
        <v>8.5253096444867518E-2</v>
      </c>
      <c r="U307" s="3">
        <f t="shared" si="289"/>
        <v>8.2232681559027784E-2</v>
      </c>
      <c r="V307" s="3">
        <f t="shared" si="289"/>
        <v>5.7330715301877312E-2</v>
      </c>
      <c r="W307" s="3">
        <f t="shared" si="289"/>
        <v>1.5553081173003244E-3</v>
      </c>
      <c r="X307" s="3">
        <f t="shared" si="289"/>
        <v>3.3582051315721419E-19</v>
      </c>
      <c r="Y307" s="3">
        <f t="shared" si="289"/>
        <v>7.3963089527810454E-176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3.0330599560697977E-2</v>
      </c>
      <c r="C308" s="3">
        <f t="shared" si="290"/>
        <v>3.0330599560697977E-2</v>
      </c>
      <c r="D308" s="3">
        <f t="shared" si="290"/>
        <v>3.0330599560697977E-2</v>
      </c>
      <c r="E308" s="3">
        <f t="shared" si="290"/>
        <v>3.0330599560697977E-2</v>
      </c>
      <c r="F308" s="3">
        <f t="shared" si="290"/>
        <v>3.0330599560697977E-2</v>
      </c>
      <c r="G308" s="3">
        <f t="shared" si="290"/>
        <v>3.0330599560697977E-2</v>
      </c>
      <c r="H308" s="3">
        <f t="shared" si="290"/>
        <v>3.0330599560697967E-2</v>
      </c>
      <c r="I308" s="3">
        <f t="shared" si="290"/>
        <v>3.0330599560697866E-2</v>
      </c>
      <c r="J308" s="3">
        <f t="shared" si="290"/>
        <v>3.0330599560696881E-2</v>
      </c>
      <c r="K308" s="3">
        <f t="shared" si="290"/>
        <v>3.033059956068701E-2</v>
      </c>
      <c r="L308" s="3">
        <f t="shared" si="290"/>
        <v>3.0330599560588315E-2</v>
      </c>
      <c r="M308" s="3">
        <f t="shared" si="290"/>
        <v>3.0330599559601372E-2</v>
      </c>
      <c r="N308" s="3">
        <f t="shared" si="290"/>
        <v>3.0330599549731913E-2</v>
      </c>
      <c r="O308" s="3">
        <f t="shared" si="290"/>
        <v>3.0330599451037325E-2</v>
      </c>
      <c r="P308" s="3">
        <f t="shared" si="290"/>
        <v>3.033059846409147E-2</v>
      </c>
      <c r="Q308" s="3">
        <f t="shared" si="290"/>
        <v>3.0330588594634687E-2</v>
      </c>
      <c r="R308" s="3">
        <f t="shared" si="290"/>
        <v>3.03304899002435E-2</v>
      </c>
      <c r="S308" s="3">
        <f t="shared" si="290"/>
        <v>3.0329502973994539E-2</v>
      </c>
      <c r="T308" s="3">
        <f t="shared" si="290"/>
        <v>3.0319635477584511E-2</v>
      </c>
      <c r="U308" s="3">
        <f t="shared" si="290"/>
        <v>3.0221136908997751E-2</v>
      </c>
      <c r="V308" s="3">
        <f t="shared" si="290"/>
        <v>2.9253580236166015E-2</v>
      </c>
      <c r="W308" s="3">
        <f t="shared" si="290"/>
        <v>2.1128141442118005E-2</v>
      </c>
      <c r="X308" s="3">
        <f t="shared" si="290"/>
        <v>8.1598842459307296E-4</v>
      </c>
      <c r="Y308" s="3">
        <f t="shared" si="290"/>
        <v>6.0243614690206006E-18</v>
      </c>
      <c r="Z308" s="3">
        <f t="shared" si="290"/>
        <v>2.898553120087606E-159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3.2127590787364095E-2</v>
      </c>
      <c r="C309" s="3">
        <f t="shared" si="291"/>
        <v>3.2127590787364095E-2</v>
      </c>
      <c r="D309" s="3">
        <f t="shared" si="291"/>
        <v>3.2127590787364095E-2</v>
      </c>
      <c r="E309" s="3">
        <f t="shared" si="291"/>
        <v>3.2127590787364095E-2</v>
      </c>
      <c r="F309" s="3">
        <f t="shared" si="291"/>
        <v>3.2127590787364095E-2</v>
      </c>
      <c r="G309" s="3">
        <f t="shared" si="291"/>
        <v>3.2127590787364095E-2</v>
      </c>
      <c r="H309" s="3">
        <f t="shared" si="291"/>
        <v>3.2127590787364088E-2</v>
      </c>
      <c r="I309" s="3">
        <f t="shared" si="291"/>
        <v>3.212759078736406E-2</v>
      </c>
      <c r="J309" s="3">
        <f t="shared" si="291"/>
        <v>3.2127590787363776E-2</v>
      </c>
      <c r="K309" s="3">
        <f t="shared" si="291"/>
        <v>3.2127590787360882E-2</v>
      </c>
      <c r="L309" s="3">
        <f t="shared" si="291"/>
        <v>3.2127590787331968E-2</v>
      </c>
      <c r="M309" s="3">
        <f t="shared" si="291"/>
        <v>3.2127590787042831E-2</v>
      </c>
      <c r="N309" s="3">
        <f t="shared" si="291"/>
        <v>3.2127590784151464E-2</v>
      </c>
      <c r="O309" s="3">
        <f t="shared" si="291"/>
        <v>3.2127590755237787E-2</v>
      </c>
      <c r="P309" s="3">
        <f t="shared" si="291"/>
        <v>3.2127590466100989E-2</v>
      </c>
      <c r="Q309" s="3">
        <f t="shared" si="291"/>
        <v>3.2127587574733205E-2</v>
      </c>
      <c r="R309" s="3">
        <f t="shared" si="291"/>
        <v>3.2127558661069658E-2</v>
      </c>
      <c r="S309" s="3">
        <f t="shared" si="291"/>
        <v>3.212726952586533E-2</v>
      </c>
      <c r="T309" s="3">
        <f t="shared" si="291"/>
        <v>3.2124378316933801E-2</v>
      </c>
      <c r="U309" s="3">
        <f t="shared" si="291"/>
        <v>3.2095480534025667E-2</v>
      </c>
      <c r="V309" s="3">
        <f t="shared" si="291"/>
        <v>3.180792859326724E-2</v>
      </c>
      <c r="W309" s="3">
        <f t="shared" si="291"/>
        <v>2.9070362141091252E-2</v>
      </c>
      <c r="X309" s="3">
        <f t="shared" si="291"/>
        <v>1.1819551145478295E-2</v>
      </c>
      <c r="Y309" s="3">
        <f t="shared" si="291"/>
        <v>1.4591717301498745E-6</v>
      </c>
      <c r="Z309" s="3">
        <f t="shared" si="291"/>
        <v>1.1999430517523667E-45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1.5939358035986794E-2</v>
      </c>
      <c r="C310" s="3">
        <f t="shared" si="292"/>
        <v>1.5939358035986794E-2</v>
      </c>
      <c r="D310" s="3">
        <f t="shared" si="292"/>
        <v>1.5939358035986794E-2</v>
      </c>
      <c r="E310" s="3">
        <f t="shared" si="292"/>
        <v>1.5939358035986794E-2</v>
      </c>
      <c r="F310" s="3">
        <f t="shared" si="292"/>
        <v>1.5939358035986794E-2</v>
      </c>
      <c r="G310" s="3">
        <f t="shared" si="292"/>
        <v>1.5939358035986794E-2</v>
      </c>
      <c r="H310" s="3">
        <f t="shared" si="292"/>
        <v>1.5939358035986794E-2</v>
      </c>
      <c r="I310" s="3">
        <f t="shared" si="292"/>
        <v>1.5939358035986791E-2</v>
      </c>
      <c r="J310" s="3">
        <f t="shared" si="292"/>
        <v>1.5939358035986777E-2</v>
      </c>
      <c r="K310" s="3">
        <f t="shared" si="292"/>
        <v>1.5939358035986635E-2</v>
      </c>
      <c r="L310" s="3">
        <f t="shared" si="292"/>
        <v>1.5939358035985198E-2</v>
      </c>
      <c r="M310" s="3">
        <f t="shared" si="292"/>
        <v>1.5939358035970855E-2</v>
      </c>
      <c r="N310" s="3">
        <f t="shared" si="292"/>
        <v>1.5939358035827408E-2</v>
      </c>
      <c r="O310" s="3">
        <f t="shared" si="292"/>
        <v>1.5939358034392923E-2</v>
      </c>
      <c r="P310" s="3">
        <f t="shared" si="292"/>
        <v>1.5939358020048072E-2</v>
      </c>
      <c r="Q310" s="3">
        <f t="shared" si="292"/>
        <v>1.5939357876599565E-2</v>
      </c>
      <c r="R310" s="3">
        <f t="shared" si="292"/>
        <v>1.593935644211459E-2</v>
      </c>
      <c r="S310" s="3">
        <f t="shared" si="292"/>
        <v>1.5939342097271911E-2</v>
      </c>
      <c r="T310" s="3">
        <f t="shared" si="292"/>
        <v>1.5939198649555179E-2</v>
      </c>
      <c r="U310" s="3">
        <f t="shared" si="292"/>
        <v>1.5937764243389416E-2</v>
      </c>
      <c r="V310" s="3">
        <f t="shared" si="292"/>
        <v>1.592342727952345E-2</v>
      </c>
      <c r="W310" s="3">
        <f t="shared" si="292"/>
        <v>1.5780765062240288E-2</v>
      </c>
      <c r="X310" s="3">
        <f t="shared" si="292"/>
        <v>1.4422585044406489E-2</v>
      </c>
      <c r="Y310" s="3">
        <f t="shared" si="292"/>
        <v>5.8639958028391366E-3</v>
      </c>
      <c r="Z310" s="3">
        <f t="shared" si="292"/>
        <v>7.2393416601896954E-7</v>
      </c>
      <c r="AA310" s="3">
        <f t="shared" si="292"/>
        <v>5.9532387757497398E-46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1.0098226932664881E-3</v>
      </c>
      <c r="C311" s="3">
        <f t="shared" si="293"/>
        <v>1.0098226932664881E-3</v>
      </c>
      <c r="D311" s="3">
        <f t="shared" si="293"/>
        <v>1.0098226932664881E-3</v>
      </c>
      <c r="E311" s="3">
        <f t="shared" si="293"/>
        <v>1.0098226932664881E-3</v>
      </c>
      <c r="F311" s="3">
        <f t="shared" si="293"/>
        <v>1.0098226932664881E-3</v>
      </c>
      <c r="G311" s="3">
        <f t="shared" si="293"/>
        <v>1.0098226932664881E-3</v>
      </c>
      <c r="H311" s="3">
        <f t="shared" si="293"/>
        <v>1.0098226932664881E-3</v>
      </c>
      <c r="I311" s="3">
        <f t="shared" si="293"/>
        <v>1.0098226932664881E-3</v>
      </c>
      <c r="J311" s="3">
        <f t="shared" si="293"/>
        <v>1.0098226932664879E-3</v>
      </c>
      <c r="K311" s="3">
        <f t="shared" si="293"/>
        <v>1.009822693266487E-3</v>
      </c>
      <c r="L311" s="3">
        <f t="shared" si="293"/>
        <v>1.0098226932664779E-3</v>
      </c>
      <c r="M311" s="3">
        <f t="shared" si="293"/>
        <v>1.0098226932663871E-3</v>
      </c>
      <c r="N311" s="3">
        <f t="shared" si="293"/>
        <v>1.0098226932654783E-3</v>
      </c>
      <c r="O311" s="3">
        <f t="shared" si="293"/>
        <v>1.0098226932563903E-3</v>
      </c>
      <c r="P311" s="3">
        <f t="shared" si="293"/>
        <v>1.0098226931655099E-3</v>
      </c>
      <c r="Q311" s="3">
        <f t="shared" si="293"/>
        <v>1.0098226922567058E-3</v>
      </c>
      <c r="R311" s="3">
        <f t="shared" si="293"/>
        <v>1.0098226831686636E-3</v>
      </c>
      <c r="S311" s="3">
        <f t="shared" si="293"/>
        <v>1.009822592288248E-3</v>
      </c>
      <c r="T311" s="3">
        <f t="shared" si="293"/>
        <v>1.0098216834845413E-3</v>
      </c>
      <c r="U311" s="3">
        <f t="shared" si="293"/>
        <v>1.0098125954924573E-3</v>
      </c>
      <c r="V311" s="3">
        <f t="shared" si="293"/>
        <v>1.0097217200698537E-3</v>
      </c>
      <c r="W311" s="3">
        <f t="shared" si="293"/>
        <v>1.008813415517581E-3</v>
      </c>
      <c r="X311" s="3">
        <f t="shared" si="293"/>
        <v>9.9977518799555689E-4</v>
      </c>
      <c r="Y311" s="3">
        <f t="shared" si="293"/>
        <v>9.1372899965766225E-4</v>
      </c>
      <c r="Z311" s="3">
        <f t="shared" si="293"/>
        <v>3.7150781239476673E-4</v>
      </c>
      <c r="AA311" s="3">
        <f t="shared" si="293"/>
        <v>4.5864152598015612E-8</v>
      </c>
      <c r="AB311" s="3">
        <f t="shared" si="293"/>
        <v>3.7716171508370989E-47</v>
      </c>
      <c r="AC311" s="3">
        <f t="shared" si="293"/>
        <v>0</v>
      </c>
      <c r="AD311" s="3">
        <f t="shared" si="293"/>
        <v>0</v>
      </c>
      <c r="AE311" s="3">
        <f t="shared" si="293"/>
        <v>0</v>
      </c>
      <c r="AF311" s="3">
        <f t="shared" si="293"/>
        <v>0</v>
      </c>
      <c r="AG311" s="3"/>
      <c r="AH311" s="3"/>
    </row>
    <row r="312" spans="1:34" x14ac:dyDescent="0.25">
      <c r="B312" s="3">
        <f t="shared" ref="B312:AF312" si="294">$C42*EXP(-B$285/$A42/EXP(-$F$126))</f>
        <v>3.5232790951536608E-3</v>
      </c>
      <c r="C312" s="3">
        <f t="shared" si="294"/>
        <v>3.5232790951536608E-3</v>
      </c>
      <c r="D312" s="3">
        <f t="shared" si="294"/>
        <v>3.5232790951536608E-3</v>
      </c>
      <c r="E312" s="3">
        <f t="shared" si="294"/>
        <v>3.5232790951536608E-3</v>
      </c>
      <c r="F312" s="3">
        <f t="shared" si="294"/>
        <v>3.5232790951536608E-3</v>
      </c>
      <c r="G312" s="3">
        <f t="shared" si="294"/>
        <v>3.5232790951536608E-3</v>
      </c>
      <c r="H312" s="3">
        <f t="shared" si="294"/>
        <v>3.5232790951536608E-3</v>
      </c>
      <c r="I312" s="3">
        <f t="shared" si="294"/>
        <v>3.5232790951536608E-3</v>
      </c>
      <c r="J312" s="3">
        <f t="shared" si="294"/>
        <v>3.5232790951536608E-3</v>
      </c>
      <c r="K312" s="3">
        <f t="shared" si="294"/>
        <v>3.5232790951536604E-3</v>
      </c>
      <c r="L312" s="3">
        <f t="shared" si="294"/>
        <v>3.5232790951536573E-3</v>
      </c>
      <c r="M312" s="3">
        <f t="shared" si="294"/>
        <v>3.5232790951536257E-3</v>
      </c>
      <c r="N312" s="3">
        <f t="shared" si="294"/>
        <v>3.5232790951533082E-3</v>
      </c>
      <c r="O312" s="3">
        <f t="shared" si="294"/>
        <v>3.5232790951501376E-3</v>
      </c>
      <c r="P312" s="3">
        <f t="shared" si="294"/>
        <v>3.5232790951184294E-3</v>
      </c>
      <c r="Q312" s="3">
        <f t="shared" si="294"/>
        <v>3.5232790948013471E-3</v>
      </c>
      <c r="R312" s="3">
        <f t="shared" si="294"/>
        <v>3.5232790916305224E-3</v>
      </c>
      <c r="S312" s="3">
        <f t="shared" si="294"/>
        <v>3.523279059922274E-3</v>
      </c>
      <c r="T312" s="3">
        <f t="shared" si="294"/>
        <v>3.5232787428398091E-3</v>
      </c>
      <c r="U312" s="3">
        <f t="shared" si="294"/>
        <v>3.5232755720167302E-3</v>
      </c>
      <c r="V312" s="3">
        <f t="shared" si="294"/>
        <v>3.5232438639428874E-3</v>
      </c>
      <c r="W312" s="3">
        <f t="shared" si="294"/>
        <v>3.5229267988988382E-3</v>
      </c>
      <c r="X312" s="3">
        <f t="shared" si="294"/>
        <v>3.5197577173735417E-3</v>
      </c>
      <c r="Y312" s="3">
        <f t="shared" si="294"/>
        <v>3.4882232724675923E-3</v>
      </c>
      <c r="Z312" s="3">
        <f t="shared" si="294"/>
        <v>3.1880074636824801E-3</v>
      </c>
      <c r="AA312" s="3">
        <f t="shared" si="294"/>
        <v>1.2961935969796328E-3</v>
      </c>
      <c r="AB312" s="3">
        <f t="shared" si="294"/>
        <v>1.6002037896655027E-7</v>
      </c>
      <c r="AC312" s="3">
        <f t="shared" si="294"/>
        <v>1.3159201066756569E-46</v>
      </c>
      <c r="AD312" s="3">
        <f t="shared" si="294"/>
        <v>0</v>
      </c>
      <c r="AE312" s="3">
        <f t="shared" si="294"/>
        <v>0</v>
      </c>
      <c r="AF312" s="3">
        <f t="shared" si="294"/>
        <v>0</v>
      </c>
      <c r="AG312" s="3"/>
      <c r="AH312" s="3"/>
    </row>
    <row r="313" spans="1:34" x14ac:dyDescent="0.25">
      <c r="B313" s="3">
        <f t="shared" ref="B313:AF313" si="295">$C43*EXP(-B$285/$A43/EXP(-$F$126))</f>
        <v>1.7526056431954549E-4</v>
      </c>
      <c r="C313" s="3">
        <f t="shared" si="295"/>
        <v>1.7526056431954549E-4</v>
      </c>
      <c r="D313" s="3">
        <f t="shared" si="295"/>
        <v>1.7526056431954549E-4</v>
      </c>
      <c r="E313" s="3">
        <f t="shared" si="295"/>
        <v>1.7526056431954549E-4</v>
      </c>
      <c r="F313" s="3">
        <f t="shared" si="295"/>
        <v>1.7526056431954549E-4</v>
      </c>
      <c r="G313" s="3">
        <f t="shared" si="295"/>
        <v>1.7526056431954549E-4</v>
      </c>
      <c r="H313" s="3">
        <f t="shared" si="295"/>
        <v>1.7526056431954549E-4</v>
      </c>
      <c r="I313" s="3">
        <f t="shared" si="295"/>
        <v>1.7526056431954549E-4</v>
      </c>
      <c r="J313" s="3">
        <f t="shared" si="295"/>
        <v>1.7526056431954549E-4</v>
      </c>
      <c r="K313" s="3">
        <f t="shared" si="295"/>
        <v>1.7526056431954549E-4</v>
      </c>
      <c r="L313" s="3">
        <f t="shared" si="295"/>
        <v>1.7526056431954546E-4</v>
      </c>
      <c r="M313" s="3">
        <f t="shared" si="295"/>
        <v>1.7526056431954533E-4</v>
      </c>
      <c r="N313" s="3">
        <f t="shared" si="295"/>
        <v>1.7526056431954373E-4</v>
      </c>
      <c r="O313" s="3">
        <f t="shared" si="295"/>
        <v>1.7526056431952796E-4</v>
      </c>
      <c r="P313" s="3">
        <f t="shared" si="295"/>
        <v>1.7526056431937023E-4</v>
      </c>
      <c r="Q313" s="3">
        <f t="shared" si="295"/>
        <v>1.7526056431779296E-4</v>
      </c>
      <c r="R313" s="3">
        <f t="shared" si="295"/>
        <v>1.7526056430202012E-4</v>
      </c>
      <c r="S313" s="3">
        <f t="shared" si="295"/>
        <v>1.7526056414429191E-4</v>
      </c>
      <c r="T313" s="3">
        <f t="shared" si="295"/>
        <v>1.7526056256700969E-4</v>
      </c>
      <c r="U313" s="3">
        <f t="shared" si="295"/>
        <v>1.7526054679418835E-4</v>
      </c>
      <c r="V313" s="3">
        <f t="shared" si="295"/>
        <v>1.7526038906605295E-4</v>
      </c>
      <c r="W313" s="3">
        <f t="shared" si="295"/>
        <v>1.7525881179250604E-4</v>
      </c>
      <c r="X313" s="3">
        <f t="shared" si="295"/>
        <v>1.7524303983773172E-4</v>
      </c>
      <c r="Y313" s="3">
        <f t="shared" si="295"/>
        <v>1.7508539833346881E-4</v>
      </c>
      <c r="Z313" s="3">
        <f t="shared" si="295"/>
        <v>1.7351676171387134E-4</v>
      </c>
      <c r="AA313" s="3">
        <f t="shared" si="295"/>
        <v>1.5858294845516528E-4</v>
      </c>
      <c r="AB313" s="3">
        <f t="shared" si="295"/>
        <v>6.4477327835456169E-5</v>
      </c>
      <c r="AC313" s="3">
        <f t="shared" si="295"/>
        <v>7.9599887385821732E-9</v>
      </c>
      <c r="AD313" s="3">
        <f t="shared" si="295"/>
        <v>6.5458595321797437E-48</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1.1765348907566872E-4</v>
      </c>
      <c r="C315" s="3">
        <f t="shared" si="297"/>
        <v>1.1765348907566872E-4</v>
      </c>
      <c r="D315" s="3">
        <f t="shared" si="297"/>
        <v>1.1765348907566872E-4</v>
      </c>
      <c r="E315" s="3">
        <f t="shared" si="297"/>
        <v>1.1765348907566872E-4</v>
      </c>
      <c r="F315" s="3">
        <f t="shared" si="297"/>
        <v>1.1765348907566872E-4</v>
      </c>
      <c r="G315" s="3">
        <f t="shared" si="297"/>
        <v>1.1765348907566872E-4</v>
      </c>
      <c r="H315" s="3">
        <f t="shared" si="297"/>
        <v>1.1765348907566872E-4</v>
      </c>
      <c r="I315" s="3">
        <f t="shared" si="297"/>
        <v>1.1765348907566872E-4</v>
      </c>
      <c r="J315" s="3">
        <f t="shared" si="297"/>
        <v>1.1765348907566872E-4</v>
      </c>
      <c r="K315" s="3">
        <f t="shared" si="297"/>
        <v>1.1765348907566872E-4</v>
      </c>
      <c r="L315" s="3">
        <f t="shared" si="297"/>
        <v>1.1765348907566872E-4</v>
      </c>
      <c r="M315" s="3">
        <f t="shared" si="297"/>
        <v>1.1765348907566872E-4</v>
      </c>
      <c r="N315" s="3">
        <f t="shared" si="297"/>
        <v>1.1765348907566871E-4</v>
      </c>
      <c r="O315" s="3">
        <f t="shared" si="297"/>
        <v>1.176534890756686E-4</v>
      </c>
      <c r="P315" s="3">
        <f t="shared" si="297"/>
        <v>1.1765348907566754E-4</v>
      </c>
      <c r="Q315" s="3">
        <f t="shared" si="297"/>
        <v>1.1765348907565696E-4</v>
      </c>
      <c r="R315" s="3">
        <f t="shared" si="297"/>
        <v>1.1765348907555107E-4</v>
      </c>
      <c r="S315" s="3">
        <f t="shared" si="297"/>
        <v>1.1765348907449224E-4</v>
      </c>
      <c r="T315" s="3">
        <f t="shared" si="297"/>
        <v>1.1765348906390384E-4</v>
      </c>
      <c r="U315" s="3">
        <f t="shared" si="297"/>
        <v>1.1765348895801993E-4</v>
      </c>
      <c r="V315" s="3">
        <f t="shared" si="297"/>
        <v>1.1765348789918073E-4</v>
      </c>
      <c r="W315" s="3">
        <f t="shared" si="297"/>
        <v>1.1765347731078925E-4</v>
      </c>
      <c r="X315" s="3">
        <f t="shared" si="297"/>
        <v>1.1765337142692697E-4</v>
      </c>
      <c r="Y315" s="3">
        <f t="shared" si="297"/>
        <v>1.1765231259354513E-4</v>
      </c>
      <c r="Z315" s="3">
        <f t="shared" si="297"/>
        <v>1.1764172478381197E-4</v>
      </c>
      <c r="AA315" s="3">
        <f t="shared" si="297"/>
        <v>1.1753589907754611E-4</v>
      </c>
      <c r="AB315" s="3">
        <f t="shared" si="297"/>
        <v>1.1648286371785726E-4</v>
      </c>
      <c r="AC315" s="3">
        <f t="shared" si="297"/>
        <v>1.0645770351189242E-4</v>
      </c>
      <c r="AD315" s="3">
        <f t="shared" si="297"/>
        <v>4.3284024649640742E-5</v>
      </c>
      <c r="AE315" s="3">
        <f t="shared" si="297"/>
        <v>5.3435891395950542E-9</v>
      </c>
      <c r="AF315" s="3">
        <f t="shared" si="297"/>
        <v>4.3942755516637528E-48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6.5987032321069097E-5</v>
      </c>
      <c r="C317" s="3">
        <f t="shared" si="299"/>
        <v>6.5987032321069097E-5</v>
      </c>
      <c r="D317" s="3">
        <f t="shared" si="299"/>
        <v>6.5987032321069097E-5</v>
      </c>
      <c r="E317" s="3">
        <f t="shared" si="299"/>
        <v>6.5987032321069097E-5</v>
      </c>
      <c r="F317" s="3">
        <f t="shared" si="299"/>
        <v>6.5987032321069097E-5</v>
      </c>
      <c r="G317" s="3">
        <f t="shared" si="299"/>
        <v>6.5987032321069097E-5</v>
      </c>
      <c r="H317" s="3">
        <f t="shared" si="299"/>
        <v>6.5987032321069097E-5</v>
      </c>
      <c r="I317" s="3">
        <f t="shared" si="299"/>
        <v>6.5987032321069097E-5</v>
      </c>
      <c r="J317" s="3">
        <f t="shared" si="299"/>
        <v>6.5987032321069097E-5</v>
      </c>
      <c r="K317" s="3">
        <f t="shared" si="299"/>
        <v>6.5987032321069097E-5</v>
      </c>
      <c r="L317" s="3">
        <f t="shared" si="299"/>
        <v>6.5987032321069097E-5</v>
      </c>
      <c r="M317" s="3">
        <f t="shared" si="299"/>
        <v>6.5987032321069097E-5</v>
      </c>
      <c r="N317" s="3">
        <f t="shared" si="299"/>
        <v>6.5987032321069097E-5</v>
      </c>
      <c r="O317" s="3">
        <f t="shared" si="299"/>
        <v>6.5987032321069097E-5</v>
      </c>
      <c r="P317" s="3">
        <f t="shared" si="299"/>
        <v>6.5987032321069083E-5</v>
      </c>
      <c r="Q317" s="3">
        <f t="shared" si="299"/>
        <v>6.5987032321069029E-5</v>
      </c>
      <c r="R317" s="3">
        <f t="shared" si="299"/>
        <v>6.5987032321068433E-5</v>
      </c>
      <c r="S317" s="3">
        <f t="shared" si="299"/>
        <v>6.5987032321062497E-5</v>
      </c>
      <c r="T317" s="3">
        <f t="shared" si="299"/>
        <v>6.598703232100311E-5</v>
      </c>
      <c r="U317" s="3">
        <f t="shared" si="299"/>
        <v>6.5987032320409251E-5</v>
      </c>
      <c r="V317" s="3">
        <f t="shared" si="299"/>
        <v>6.5987032314470656E-5</v>
      </c>
      <c r="W317" s="3">
        <f t="shared" si="299"/>
        <v>6.5987032255084702E-5</v>
      </c>
      <c r="X317" s="3">
        <f t="shared" si="299"/>
        <v>6.5987031661225064E-5</v>
      </c>
      <c r="Y317" s="3">
        <f t="shared" si="299"/>
        <v>6.5987025722629149E-5</v>
      </c>
      <c r="Z317" s="3">
        <f t="shared" si="299"/>
        <v>6.5986966336699355E-5</v>
      </c>
      <c r="AA317" s="3">
        <f t="shared" si="299"/>
        <v>6.598637248034083E-5</v>
      </c>
      <c r="AB317" s="3">
        <f t="shared" si="299"/>
        <v>6.598043421069358E-5</v>
      </c>
      <c r="AC317" s="3">
        <f t="shared" si="299"/>
        <v>6.5921080898228079E-5</v>
      </c>
      <c r="AD317" s="3">
        <f t="shared" si="299"/>
        <v>6.5330476413304328E-5</v>
      </c>
      <c r="AE317" s="3">
        <f t="shared" si="299"/>
        <v>5.9707773884614888E-5</v>
      </c>
      <c r="AF317" s="3">
        <f t="shared" si="299"/>
        <v>2.4276239965181507E-5</v>
      </c>
      <c r="AG317" s="3"/>
      <c r="AH317" s="3"/>
    </row>
    <row r="318" spans="1:34" x14ac:dyDescent="0.25">
      <c r="B318" s="3">
        <f t="shared" ref="B318:AF318" si="300">$C48*EXP(-B$285/$A48/EXP(-$F$126))</f>
        <v>6.9850122094838041E-5</v>
      </c>
      <c r="C318" s="3">
        <f t="shared" si="300"/>
        <v>6.9850122094838041E-5</v>
      </c>
      <c r="D318" s="3">
        <f t="shared" si="300"/>
        <v>6.9850122094838041E-5</v>
      </c>
      <c r="E318" s="3">
        <f t="shared" si="300"/>
        <v>6.9850122094838041E-5</v>
      </c>
      <c r="F318" s="3">
        <f t="shared" si="300"/>
        <v>6.9850122094838041E-5</v>
      </c>
      <c r="G318" s="3">
        <f t="shared" si="300"/>
        <v>6.9850122094838041E-5</v>
      </c>
      <c r="H318" s="3">
        <f t="shared" si="300"/>
        <v>6.9850122094838041E-5</v>
      </c>
      <c r="I318" s="3">
        <f t="shared" si="300"/>
        <v>6.9850122094838041E-5</v>
      </c>
      <c r="J318" s="3">
        <f t="shared" si="300"/>
        <v>6.9850122094838041E-5</v>
      </c>
      <c r="K318" s="3">
        <f t="shared" si="300"/>
        <v>6.9850122094838041E-5</v>
      </c>
      <c r="L318" s="3">
        <f t="shared" si="300"/>
        <v>6.9850122094838041E-5</v>
      </c>
      <c r="M318" s="3">
        <f t="shared" si="300"/>
        <v>6.9850122094838041E-5</v>
      </c>
      <c r="N318" s="3">
        <f t="shared" si="300"/>
        <v>6.9850122094838041E-5</v>
      </c>
      <c r="O318" s="3">
        <f t="shared" si="300"/>
        <v>6.9850122094838041E-5</v>
      </c>
      <c r="P318" s="3">
        <f t="shared" si="300"/>
        <v>6.9850122094838041E-5</v>
      </c>
      <c r="Q318" s="3">
        <f t="shared" si="300"/>
        <v>6.9850122094838028E-5</v>
      </c>
      <c r="R318" s="3">
        <f t="shared" si="300"/>
        <v>6.9850122094837974E-5</v>
      </c>
      <c r="S318" s="3">
        <f t="shared" si="300"/>
        <v>6.985012209483735E-5</v>
      </c>
      <c r="T318" s="3">
        <f t="shared" si="300"/>
        <v>6.9850122094831048E-5</v>
      </c>
      <c r="U318" s="3">
        <f t="shared" si="300"/>
        <v>6.9850122094768192E-5</v>
      </c>
      <c r="V318" s="3">
        <f t="shared" si="300"/>
        <v>6.9850122094139571E-5</v>
      </c>
      <c r="W318" s="3">
        <f t="shared" si="300"/>
        <v>6.9850122087853313E-5</v>
      </c>
      <c r="X318" s="3">
        <f t="shared" si="300"/>
        <v>6.9850122024990702E-5</v>
      </c>
      <c r="Y318" s="3">
        <f t="shared" si="300"/>
        <v>6.9850121396364658E-5</v>
      </c>
      <c r="Z318" s="3">
        <f t="shared" si="300"/>
        <v>6.985011511010453E-5</v>
      </c>
      <c r="AA318" s="3">
        <f t="shared" si="300"/>
        <v>6.9850052247534401E-5</v>
      </c>
      <c r="AB318" s="3">
        <f t="shared" si="300"/>
        <v>6.9849423624944627E-5</v>
      </c>
      <c r="AC318" s="3">
        <f t="shared" si="300"/>
        <v>6.9843137710192847E-5</v>
      </c>
      <c r="AD318" s="3">
        <f t="shared" si="300"/>
        <v>6.9780309666914953E-5</v>
      </c>
      <c r="AE318" s="3">
        <f t="shared" si="300"/>
        <v>6.915512932570856E-5</v>
      </c>
      <c r="AF318" s="3">
        <f t="shared" si="300"/>
        <v>6.3203255990642527E-5</v>
      </c>
      <c r="AG318" s="3"/>
      <c r="AH318" s="3"/>
    </row>
    <row r="319" spans="1:34" x14ac:dyDescent="0.25">
      <c r="A319" s="79">
        <f>AVERAGE(B319:AF319)</f>
        <v>2.4445407324106633E-4</v>
      </c>
      <c r="B319" s="80">
        <f>IF($A$64&lt;=B285,IF($B$64&gt;=B285,ABS((B287-B286)/B286),0),0)</f>
        <v>5.1071190989833987E-5</v>
      </c>
      <c r="C319" s="80">
        <f t="shared" ref="C319:AF319" si="301">IF($A$64&lt;=C285,IF($B$64&gt;=C285,ABS((C287-C286)/C286),0),0)</f>
        <v>4.2719705030424154E-5</v>
      </c>
      <c r="D319" s="80">
        <f t="shared" si="301"/>
        <v>4.5010162809669817E-5</v>
      </c>
      <c r="E319" s="80">
        <f t="shared" si="301"/>
        <v>1.9664985176614668E-5</v>
      </c>
      <c r="F319" s="80">
        <f t="shared" si="301"/>
        <v>1.9992421113350966E-4</v>
      </c>
      <c r="G319" s="80">
        <f t="shared" si="301"/>
        <v>4.6417015984965108E-5</v>
      </c>
      <c r="H319" s="80">
        <f t="shared" si="301"/>
        <v>1.02070608755905E-6</v>
      </c>
      <c r="I319" s="80">
        <f t="shared" si="301"/>
        <v>1.2554609712992336E-5</v>
      </c>
      <c r="J319" s="80">
        <f t="shared" si="301"/>
        <v>3.3700877937510484E-5</v>
      </c>
      <c r="K319" s="80">
        <f t="shared" si="301"/>
        <v>6.9717361979350679E-5</v>
      </c>
      <c r="L319" s="80">
        <f t="shared" si="301"/>
        <v>1.2559057284072952E-4</v>
      </c>
      <c r="M319" s="80">
        <f t="shared" si="301"/>
        <v>1.8541528392303832E-4</v>
      </c>
      <c r="N319" s="80">
        <f t="shared" si="301"/>
        <v>2.413563588270372E-4</v>
      </c>
      <c r="O319" s="80">
        <f t="shared" si="301"/>
        <v>2.6697980966966349E-4</v>
      </c>
      <c r="P319" s="80">
        <f t="shared" si="301"/>
        <v>2.5913082153669403E-4</v>
      </c>
      <c r="Q319" s="80">
        <f t="shared" si="301"/>
        <v>2.1275260933353385E-4</v>
      </c>
      <c r="R319" s="80">
        <f t="shared" si="301"/>
        <v>1.6391022838961223E-4</v>
      </c>
      <c r="S319" s="80">
        <f t="shared" si="301"/>
        <v>1.099528967711234E-4</v>
      </c>
      <c r="T319" s="80">
        <f t="shared" si="301"/>
        <v>7.6006267797448554E-5</v>
      </c>
      <c r="U319" s="80">
        <f t="shared" si="301"/>
        <v>3.5273074196558808E-5</v>
      </c>
      <c r="V319" s="80">
        <f t="shared" si="301"/>
        <v>3.5587136661408383E-5</v>
      </c>
      <c r="W319" s="80">
        <f t="shared" si="301"/>
        <v>1.6252575751111778E-5</v>
      </c>
      <c r="X319" s="80">
        <f t="shared" si="301"/>
        <v>5.0252856239655708E-5</v>
      </c>
      <c r="Y319" s="80">
        <f t="shared" si="301"/>
        <v>1.2681422957469231E-4</v>
      </c>
      <c r="Z319" s="80">
        <f t="shared" si="301"/>
        <v>2.7617918938355575E-4</v>
      </c>
      <c r="AA319" s="80">
        <f t="shared" si="301"/>
        <v>4.1639865775659876E-4</v>
      </c>
      <c r="AB319" s="80">
        <f t="shared" si="301"/>
        <v>6.9480889910878666E-4</v>
      </c>
      <c r="AC319" s="80">
        <f t="shared" si="301"/>
        <v>1.1128704228812491E-3</v>
      </c>
      <c r="AD319" s="80">
        <f t="shared" si="301"/>
        <v>1.5326647394006817E-3</v>
      </c>
      <c r="AE319" s="80">
        <f t="shared" si="301"/>
        <v>9.8012617607727581E-4</v>
      </c>
      <c r="AF319" s="80">
        <f t="shared" si="301"/>
        <v>1.3795263751017139E-4</v>
      </c>
    </row>
    <row r="320" spans="1:34" x14ac:dyDescent="0.25">
      <c r="B320" s="21">
        <f>(B287-B286)^2</f>
        <v>0.10949126004165909</v>
      </c>
      <c r="C320" s="21">
        <f t="shared" ref="C320:AF320" si="302">(C287-C286)^2</f>
        <v>7.6610837754829048E-2</v>
      </c>
      <c r="D320" s="21">
        <f t="shared" si="302"/>
        <v>8.5043819154412142E-2</v>
      </c>
      <c r="E320" s="21">
        <f t="shared" si="302"/>
        <v>1.6230429019486559E-2</v>
      </c>
      <c r="F320" s="21">
        <f t="shared" si="302"/>
        <v>1.6746015496745741</v>
      </c>
      <c r="G320" s="21">
        <f t="shared" si="302"/>
        <v>8.894965811213093E-2</v>
      </c>
      <c r="H320" s="21">
        <f t="shared" si="302"/>
        <v>4.1090334930424271E-5</v>
      </c>
      <c r="I320" s="21">
        <f t="shared" si="302"/>
        <v>5.9242442341868647E-3</v>
      </c>
      <c r="J320" s="21">
        <f t="shared" si="302"/>
        <v>4.0336316222226144E-2</v>
      </c>
      <c r="K320" s="21">
        <f t="shared" si="302"/>
        <v>0.16118348862919887</v>
      </c>
      <c r="L320" s="21">
        <f t="shared" si="302"/>
        <v>0.48649748551430932</v>
      </c>
      <c r="M320" s="21">
        <f t="shared" si="302"/>
        <v>0.96432282567826189</v>
      </c>
      <c r="N320" s="21">
        <f t="shared" si="302"/>
        <v>1.4646938751967564</v>
      </c>
      <c r="O320" s="21">
        <f t="shared" si="302"/>
        <v>1.5999024181445911</v>
      </c>
      <c r="P320" s="21">
        <f t="shared" si="302"/>
        <v>1.3229252364007824</v>
      </c>
      <c r="Q320" s="21">
        <f t="shared" si="302"/>
        <v>0.76659518023528261</v>
      </c>
      <c r="R320" s="21">
        <f t="shared" si="302"/>
        <v>0.3604029949915904</v>
      </c>
      <c r="S320" s="21">
        <f t="shared" si="302"/>
        <v>0.1117108277003295</v>
      </c>
      <c r="T320" s="21">
        <f t="shared" si="302"/>
        <v>3.2080438533256699E-2</v>
      </c>
      <c r="U320" s="21">
        <f t="shared" si="302"/>
        <v>3.4475553152063894E-3</v>
      </c>
      <c r="V320" s="21">
        <f t="shared" si="302"/>
        <v>1.3695792561840277E-3</v>
      </c>
      <c r="W320" s="21">
        <f t="shared" si="302"/>
        <v>9.3795975341836381E-5</v>
      </c>
      <c r="X320" s="21">
        <f t="shared" si="302"/>
        <v>2.7787980909916611E-4</v>
      </c>
      <c r="Y320" s="21">
        <f t="shared" si="302"/>
        <v>5.9733960550720764E-4</v>
      </c>
      <c r="Z320" s="21">
        <f t="shared" si="302"/>
        <v>1.6909487903212521E-3</v>
      </c>
      <c r="AA320" s="21">
        <f t="shared" si="302"/>
        <v>3.1189912213961937E-3</v>
      </c>
      <c r="AB320" s="21">
        <f t="shared" si="302"/>
        <v>7.5313000773184688E-3</v>
      </c>
      <c r="AC320" s="21">
        <f t="shared" si="302"/>
        <v>1.9239978095592157E-2</v>
      </c>
      <c r="AD320" s="21">
        <f t="shared" si="302"/>
        <v>3.6058025472017162E-2</v>
      </c>
      <c r="AE320" s="21">
        <f t="shared" si="302"/>
        <v>1.4743100243797288E-2</v>
      </c>
      <c r="AF320" s="21">
        <f t="shared" si="302"/>
        <v>2.9014569880134622E-4</v>
      </c>
      <c r="AG320" s="3"/>
      <c r="AH320" s="3"/>
    </row>
    <row r="321" spans="1:34" x14ac:dyDescent="0.25">
      <c r="A321" s="71">
        <f>SUM(B321:AF321)</f>
        <v>9.4560026151333787</v>
      </c>
      <c r="B321" s="60">
        <f>IF($A$64&lt;=B285,IF($B$64&gt;=B285,ABS(B320),0),0)</f>
        <v>0.10949126004165909</v>
      </c>
      <c r="C321" s="60">
        <f t="shared" ref="C321" si="303">IF($A$64&lt;=C285,IF($B$64&gt;=C285,ABS(C320),0),0)</f>
        <v>7.6610837754829048E-2</v>
      </c>
      <c r="D321" s="60">
        <f t="shared" ref="D321" si="304">IF($A$64&lt;=D285,IF($B$64&gt;=D285,ABS(D320),0),0)</f>
        <v>8.5043819154412142E-2</v>
      </c>
      <c r="E321" s="60">
        <f t="shared" ref="E321" si="305">IF($A$64&lt;=E285,IF($B$64&gt;=E285,ABS(E320),0),0)</f>
        <v>1.6230429019486559E-2</v>
      </c>
      <c r="F321" s="60">
        <f t="shared" ref="F321" si="306">IF($A$64&lt;=F285,IF($B$64&gt;=F285,ABS(F320),0),0)</f>
        <v>1.6746015496745741</v>
      </c>
      <c r="G321" s="60">
        <f t="shared" ref="G321" si="307">IF($A$64&lt;=G285,IF($B$64&gt;=G285,ABS(G320),0),0)</f>
        <v>8.894965811213093E-2</v>
      </c>
      <c r="H321" s="60">
        <f t="shared" ref="H321" si="308">IF($A$64&lt;=H285,IF($B$64&gt;=H285,ABS(H320),0),0)</f>
        <v>4.1090334930424271E-5</v>
      </c>
      <c r="I321" s="60">
        <f t="shared" ref="I321" si="309">IF($A$64&lt;=I285,IF($B$64&gt;=I285,ABS(I320),0),0)</f>
        <v>5.9242442341868647E-3</v>
      </c>
      <c r="J321" s="60">
        <f t="shared" ref="J321" si="310">IF($A$64&lt;=J285,IF($B$64&gt;=J285,ABS(J320),0),0)</f>
        <v>4.0336316222226144E-2</v>
      </c>
      <c r="K321" s="60">
        <f t="shared" ref="K321" si="311">IF($A$64&lt;=K285,IF($B$64&gt;=K285,ABS(K320),0),0)</f>
        <v>0.16118348862919887</v>
      </c>
      <c r="L321" s="60">
        <f t="shared" ref="L321" si="312">IF($A$64&lt;=L285,IF($B$64&gt;=L285,ABS(L320),0),0)</f>
        <v>0.48649748551430932</v>
      </c>
      <c r="M321" s="60">
        <f t="shared" ref="M321" si="313">IF($A$64&lt;=M285,IF($B$64&gt;=M285,ABS(M320),0),0)</f>
        <v>0.96432282567826189</v>
      </c>
      <c r="N321" s="60">
        <f t="shared" ref="N321" si="314">IF($A$64&lt;=N285,IF($B$64&gt;=N285,ABS(N320),0),0)</f>
        <v>1.4646938751967564</v>
      </c>
      <c r="O321" s="60">
        <f t="shared" ref="O321" si="315">IF($A$64&lt;=O285,IF($B$64&gt;=O285,ABS(O320),0),0)</f>
        <v>1.5999024181445911</v>
      </c>
      <c r="P321" s="60">
        <f t="shared" ref="P321" si="316">IF($A$64&lt;=P285,IF($B$64&gt;=P285,ABS(P320),0),0)</f>
        <v>1.3229252364007824</v>
      </c>
      <c r="Q321" s="60">
        <f t="shared" ref="Q321" si="317">IF($A$64&lt;=Q285,IF($B$64&gt;=Q285,ABS(Q320),0),0)</f>
        <v>0.76659518023528261</v>
      </c>
      <c r="R321" s="60">
        <f t="shared" ref="R321" si="318">IF($A$64&lt;=R285,IF($B$64&gt;=R285,ABS(R320),0),0)</f>
        <v>0.3604029949915904</v>
      </c>
      <c r="S321" s="60">
        <f t="shared" ref="S321" si="319">IF($A$64&lt;=S285,IF($B$64&gt;=S285,ABS(S320),0),0)</f>
        <v>0.1117108277003295</v>
      </c>
      <c r="T321" s="60">
        <f t="shared" ref="T321" si="320">IF($A$64&lt;=T285,IF($B$64&gt;=T285,ABS(T320),0),0)</f>
        <v>3.2080438533256699E-2</v>
      </c>
      <c r="U321" s="60">
        <f t="shared" ref="U321" si="321">IF($A$64&lt;=U285,IF($B$64&gt;=U285,ABS(U320),0),0)</f>
        <v>3.4475553152063894E-3</v>
      </c>
      <c r="V321" s="60">
        <f t="shared" ref="V321" si="322">IF($A$64&lt;=V285,IF($B$64&gt;=V285,ABS(V320),0),0)</f>
        <v>1.3695792561840277E-3</v>
      </c>
      <c r="W321" s="60">
        <f t="shared" ref="W321" si="323">IF($A$64&lt;=W285,IF($B$64&gt;=W285,ABS(W320),0),0)</f>
        <v>9.3795975341836381E-5</v>
      </c>
      <c r="X321" s="60">
        <f t="shared" ref="X321" si="324">IF($A$64&lt;=X285,IF($B$64&gt;=X285,ABS(X320),0),0)</f>
        <v>2.7787980909916611E-4</v>
      </c>
      <c r="Y321" s="60">
        <f t="shared" ref="Y321" si="325">IF($A$64&lt;=Y285,IF($B$64&gt;=Y285,ABS(Y320),0),0)</f>
        <v>5.9733960550720764E-4</v>
      </c>
      <c r="Z321" s="60">
        <f t="shared" ref="Z321" si="326">IF($A$64&lt;=Z285,IF($B$64&gt;=Z285,ABS(Z320),0),0)</f>
        <v>1.6909487903212521E-3</v>
      </c>
      <c r="AA321" s="60">
        <f t="shared" ref="AA321" si="327">IF($A$64&lt;=AA285,IF($B$64&gt;=AA285,ABS(AA320),0),0)</f>
        <v>3.1189912213961937E-3</v>
      </c>
      <c r="AB321" s="60">
        <f t="shared" ref="AB321" si="328">IF($A$64&lt;=AB285,IF($B$64&gt;=AB285,ABS(AB320),0),0)</f>
        <v>7.5313000773184688E-3</v>
      </c>
      <c r="AC321" s="60">
        <f t="shared" ref="AC321" si="329">IF($A$64&lt;=AC285,IF($B$64&gt;=AC285,ABS(AC320),0),0)</f>
        <v>1.9239978095592157E-2</v>
      </c>
      <c r="AD321" s="60">
        <f t="shared" ref="AD321" si="330">IF($A$64&lt;=AD285,IF($B$64&gt;=AD285,ABS(AD320),0),0)</f>
        <v>3.6058025472017162E-2</v>
      </c>
      <c r="AE321" s="60">
        <f t="shared" ref="AE321" si="331">IF($A$64&lt;=AE285,IF($B$64&gt;=AE285,ABS(AE320),0),0)</f>
        <v>1.4743100243797288E-2</v>
      </c>
      <c r="AF321" s="60">
        <f t="shared" ref="AF321" si="332">IF($A$64&lt;=AF285,IF($B$64&gt;=AF285,ABS(AF320),0),0)</f>
        <v>2.9014569880134622E-4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5878.2975220156104</v>
      </c>
      <c r="C326" s="27">
        <f t="shared" ref="C326:AF326" si="333">($C$17+SUM(C327:C357))*$B$51</f>
        <v>5668.2957703756883</v>
      </c>
      <c r="D326" s="27">
        <f t="shared" si="333"/>
        <v>5454.2952484463322</v>
      </c>
      <c r="E326" s="27">
        <f t="shared" si="333"/>
        <v>5163.2905913317445</v>
      </c>
      <c r="F326" s="27">
        <f t="shared" si="333"/>
        <v>4892.1816570703977</v>
      </c>
      <c r="G326" s="27">
        <f t="shared" si="333"/>
        <v>4601.2787172006801</v>
      </c>
      <c r="H326" s="27">
        <f t="shared" si="333"/>
        <v>4298.7893559538888</v>
      </c>
      <c r="I326" s="27">
        <f t="shared" si="333"/>
        <v>3939.812322870921</v>
      </c>
      <c r="J326" s="27">
        <f t="shared" si="333"/>
        <v>3392.970624874029</v>
      </c>
      <c r="K326" s="27">
        <f t="shared" si="333"/>
        <v>2742.9666789335438</v>
      </c>
      <c r="L326" s="27">
        <f t="shared" si="333"/>
        <v>2056.7967932068977</v>
      </c>
      <c r="M326" s="27">
        <f t="shared" si="333"/>
        <v>1390.608312650018</v>
      </c>
      <c r="N326" s="27">
        <f t="shared" si="333"/>
        <v>839.37215101390279</v>
      </c>
      <c r="O326" s="27">
        <f t="shared" si="333"/>
        <v>495.01940882014731</v>
      </c>
      <c r="P326" s="27">
        <f t="shared" si="333"/>
        <v>250.57036853455608</v>
      </c>
      <c r="Q326" s="27">
        <f t="shared" si="333"/>
        <v>160.82283425586178</v>
      </c>
      <c r="R326" s="27">
        <f t="shared" si="333"/>
        <v>143.87670416261676</v>
      </c>
      <c r="S326" s="27">
        <f t="shared" si="333"/>
        <v>127.14214341581666</v>
      </c>
      <c r="T326" s="27">
        <f t="shared" si="333"/>
        <v>124.63892256258886</v>
      </c>
      <c r="U326" s="27">
        <f t="shared" si="333"/>
        <v>124.39720219327121</v>
      </c>
      <c r="V326" s="27">
        <f t="shared" si="333"/>
        <v>123.85135305748474</v>
      </c>
      <c r="W326" s="27">
        <f t="shared" si="333"/>
        <v>123.69657495560368</v>
      </c>
      <c r="X326" s="27">
        <f t="shared" si="333"/>
        <v>123.30364905348321</v>
      </c>
      <c r="Y326" s="27">
        <f t="shared" si="333"/>
        <v>122.95451052678408</v>
      </c>
      <c r="Z326" s="27">
        <f t="shared" si="333"/>
        <v>122.92103227920869</v>
      </c>
      <c r="AA326" s="27">
        <f t="shared" si="333"/>
        <v>122.9210322792066</v>
      </c>
      <c r="AB326" s="27">
        <f t="shared" si="333"/>
        <v>122.9210322792066</v>
      </c>
      <c r="AC326" s="27">
        <f t="shared" si="333"/>
        <v>122.9210322792066</v>
      </c>
      <c r="AD326" s="27">
        <f t="shared" si="333"/>
        <v>122.9210322792066</v>
      </c>
      <c r="AE326" s="27">
        <f t="shared" si="333"/>
        <v>122.9210322792066</v>
      </c>
      <c r="AF326" s="27">
        <f t="shared" si="333"/>
        <v>122.9210322792066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1.2760582766623161E-194</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9.8002903061868237E-20</v>
      </c>
      <c r="C333" s="3">
        <f t="shared" si="340"/>
        <v>6.8267149085912587E-176</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7.688609388766224E-4</v>
      </c>
      <c r="C334" s="3">
        <f t="shared" si="341"/>
        <v>6.297741714330343E-18</v>
      </c>
      <c r="D334" s="3">
        <f t="shared" si="341"/>
        <v>8.5616076360790828E-159</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2.4879635361837349E-2</v>
      </c>
      <c r="C335" s="3">
        <f t="shared" si="342"/>
        <v>1.333858691290709E-3</v>
      </c>
      <c r="D335" s="3">
        <f t="shared" si="342"/>
        <v>2.6167844019713962E-16</v>
      </c>
      <c r="E335" s="3">
        <f t="shared" si="342"/>
        <v>2.2097805000359312E-143</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2.8551332463329509E-2</v>
      </c>
      <c r="C336" s="3">
        <f t="shared" si="343"/>
        <v>2.192782648191308E-2</v>
      </c>
      <c r="D336" s="3">
        <f t="shared" si="343"/>
        <v>1.5656245884385685E-3</v>
      </c>
      <c r="E336" s="3">
        <f t="shared" si="343"/>
        <v>5.3902400691525029E-15</v>
      </c>
      <c r="F336" s="3">
        <f t="shared" si="343"/>
        <v>1.2612839097176722E-129</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4.8912335739489533E-2</v>
      </c>
      <c r="C337" s="3">
        <f t="shared" si="344"/>
        <v>4.7761477263631953E-2</v>
      </c>
      <c r="D337" s="3">
        <f t="shared" si="344"/>
        <v>3.7641874065016491E-2</v>
      </c>
      <c r="E337" s="3">
        <f t="shared" si="344"/>
        <v>3.4802152086894694E-3</v>
      </c>
      <c r="F337" s="3">
        <f t="shared" si="344"/>
        <v>1.5883811791315308E-13</v>
      </c>
      <c r="G337" s="3">
        <f t="shared" si="344"/>
        <v>6.2293258787534918E-117</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4.1779886977447694E-2</v>
      </c>
      <c r="C338" s="3">
        <f t="shared" si="345"/>
        <v>4.1690245064905984E-2</v>
      </c>
      <c r="D338" s="3">
        <f t="shared" si="345"/>
        <v>4.0804336484166141E-2</v>
      </c>
      <c r="E338" s="3">
        <f t="shared" si="345"/>
        <v>3.2917363421110561E-2</v>
      </c>
      <c r="F338" s="3">
        <f t="shared" si="345"/>
        <v>3.8424857267597961E-3</v>
      </c>
      <c r="G338" s="3">
        <f t="shared" si="345"/>
        <v>1.805030187814394E-12</v>
      </c>
      <c r="H338" s="3">
        <f t="shared" si="345"/>
        <v>9.445099462545795E-106</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4.6924783261745602E-2</v>
      </c>
      <c r="C339" s="3">
        <f t="shared" si="346"/>
        <v>4.6915692150563189E-2</v>
      </c>
      <c r="D339" s="3">
        <f t="shared" si="346"/>
        <v>4.6824877853585099E-2</v>
      </c>
      <c r="E339" s="3">
        <f t="shared" si="346"/>
        <v>4.5926347320103617E-2</v>
      </c>
      <c r="F339" s="3">
        <f t="shared" si="346"/>
        <v>3.7836802922101231E-2</v>
      </c>
      <c r="G339" s="3">
        <f t="shared" si="346"/>
        <v>5.4505421616878194E-3</v>
      </c>
      <c r="H339" s="3">
        <f t="shared" si="346"/>
        <v>2.097453822966204E-11</v>
      </c>
      <c r="I339" s="3">
        <f t="shared" si="346"/>
        <v>1.4935489371660254E-95</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4.7062375658406791E-2</v>
      </c>
      <c r="C340" s="3">
        <f t="shared" si="347"/>
        <v>4.7061553087379859E-2</v>
      </c>
      <c r="D340" s="3">
        <f t="shared" si="347"/>
        <v>4.7053328167812623E-2</v>
      </c>
      <c r="E340" s="3">
        <f t="shared" si="347"/>
        <v>4.6971157991238535E-2</v>
      </c>
      <c r="F340" s="3">
        <f t="shared" si="347"/>
        <v>4.6157307271445118E-2</v>
      </c>
      <c r="G340" s="3">
        <f t="shared" si="347"/>
        <v>3.8755419660930143E-2</v>
      </c>
      <c r="H340" s="3">
        <f t="shared" si="347"/>
        <v>6.7491990080269819E-3</v>
      </c>
      <c r="I340" s="3">
        <f t="shared" si="347"/>
        <v>1.7316101957319848E-10</v>
      </c>
      <c r="J340" s="3">
        <f t="shared" si="347"/>
        <v>2.1400757059323243E-86</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5.1874987157186289E-2</v>
      </c>
      <c r="C341" s="3">
        <f t="shared" si="348"/>
        <v>5.1874905365792583E-2</v>
      </c>
      <c r="D341" s="3">
        <f t="shared" si="348"/>
        <v>5.1874087458948372E-2</v>
      </c>
      <c r="E341" s="3">
        <f t="shared" si="348"/>
        <v>5.1865909099745054E-2</v>
      </c>
      <c r="F341" s="3">
        <f t="shared" si="348"/>
        <v>5.1784196390238332E-2</v>
      </c>
      <c r="G341" s="3">
        <f t="shared" si="348"/>
        <v>5.097411637017725E-2</v>
      </c>
      <c r="H341" s="3">
        <f t="shared" si="348"/>
        <v>4.3538589590849663E-2</v>
      </c>
      <c r="I341" s="3">
        <f t="shared" si="348"/>
        <v>8.9974793257318608E-3</v>
      </c>
      <c r="J341" s="3">
        <f t="shared" si="348"/>
        <v>1.2781619052389232E-9</v>
      </c>
      <c r="K341" s="3">
        <f t="shared" si="348"/>
        <v>4.2779528233654474E-78</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9.3719083652268484E-2</v>
      </c>
      <c r="C342" s="3">
        <f t="shared" si="349"/>
        <v>9.371907032244059E-2</v>
      </c>
      <c r="D342" s="3">
        <f t="shared" si="349"/>
        <v>9.3718937024265869E-2</v>
      </c>
      <c r="E342" s="3">
        <f t="shared" si="349"/>
        <v>9.3717604052946171E-2</v>
      </c>
      <c r="F342" s="3">
        <f t="shared" si="349"/>
        <v>9.3704275382446883E-2</v>
      </c>
      <c r="G342" s="3">
        <f t="shared" si="349"/>
        <v>9.3571092892372046E-2</v>
      </c>
      <c r="H342" s="3">
        <f t="shared" si="349"/>
        <v>9.2249634847575146E-2</v>
      </c>
      <c r="I342" s="3">
        <f t="shared" si="349"/>
        <v>8.0019197864639083E-2</v>
      </c>
      <c r="J342" s="3">
        <f t="shared" si="349"/>
        <v>1.9296989994472123E-2</v>
      </c>
      <c r="K342" s="3">
        <f t="shared" si="349"/>
        <v>1.2836403272684381E-8</v>
      </c>
      <c r="L342" s="3">
        <f t="shared" si="349"/>
        <v>2.1776153123717197E-70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0.10682658576282804</v>
      </c>
      <c r="C343" s="3">
        <f t="shared" si="350"/>
        <v>0.10682658439219096</v>
      </c>
      <c r="D343" s="3">
        <f t="shared" si="350"/>
        <v>0.10682657068582115</v>
      </c>
      <c r="E343" s="3">
        <f t="shared" si="350"/>
        <v>0.10682643362221972</v>
      </c>
      <c r="F343" s="3">
        <f t="shared" si="350"/>
        <v>0.10682506299587773</v>
      </c>
      <c r="G343" s="3">
        <f t="shared" si="350"/>
        <v>0.1068113576996335</v>
      </c>
      <c r="H343" s="3">
        <f t="shared" si="350"/>
        <v>0.1066744014088658</v>
      </c>
      <c r="I343" s="3">
        <f t="shared" si="350"/>
        <v>0.10531445993297972</v>
      </c>
      <c r="J343" s="3">
        <f t="shared" si="350"/>
        <v>9.2633038390681197E-2</v>
      </c>
      <c r="K343" s="3">
        <f t="shared" si="350"/>
        <v>2.5677039680062966E-2</v>
      </c>
      <c r="L343" s="3">
        <f t="shared" si="350"/>
        <v>6.8759923031582788E-8</v>
      </c>
      <c r="M343" s="3">
        <f t="shared" si="350"/>
        <v>1.3038861681454635E-63</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0.11271230137575035</v>
      </c>
      <c r="C344" s="3">
        <f t="shared" si="351"/>
        <v>0.11271230124529524</v>
      </c>
      <c r="D344" s="3">
        <f t="shared" si="351"/>
        <v>0.11271229994074433</v>
      </c>
      <c r="E344" s="3">
        <f t="shared" si="351"/>
        <v>0.11271228689523595</v>
      </c>
      <c r="F344" s="3">
        <f t="shared" si="351"/>
        <v>0.11271215644023518</v>
      </c>
      <c r="G344" s="3">
        <f t="shared" si="351"/>
        <v>0.11271085189853192</v>
      </c>
      <c r="H344" s="3">
        <f t="shared" si="351"/>
        <v>0.11269780731190965</v>
      </c>
      <c r="I344" s="3">
        <f t="shared" si="351"/>
        <v>0.11256744445117726</v>
      </c>
      <c r="J344" s="3">
        <f t="shared" si="351"/>
        <v>0.11127208095604356</v>
      </c>
      <c r="K344" s="3">
        <f t="shared" si="351"/>
        <v>9.9110631683619041E-2</v>
      </c>
      <c r="L344" s="3">
        <f t="shared" si="351"/>
        <v>3.1150181722246928E-2</v>
      </c>
      <c r="M344" s="3">
        <f t="shared" si="351"/>
        <v>2.9299755003689056E-7</v>
      </c>
      <c r="N344" s="3">
        <f t="shared" si="351"/>
        <v>1.5881738192057623E-57</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0.10920571405051684</v>
      </c>
      <c r="C345" s="3">
        <f t="shared" si="352"/>
        <v>0.10920571403911482</v>
      </c>
      <c r="D345" s="3">
        <f t="shared" si="352"/>
        <v>0.10920571392509465</v>
      </c>
      <c r="E345" s="3">
        <f t="shared" si="352"/>
        <v>0.10920571278489298</v>
      </c>
      <c r="F345" s="3">
        <f t="shared" si="352"/>
        <v>0.10920570138287694</v>
      </c>
      <c r="G345" s="3">
        <f t="shared" si="352"/>
        <v>0.10920558736278203</v>
      </c>
      <c r="H345" s="3">
        <f t="shared" si="352"/>
        <v>0.1092044471683805</v>
      </c>
      <c r="I345" s="3">
        <f t="shared" si="352"/>
        <v>0.10919304587909479</v>
      </c>
      <c r="J345" s="3">
        <f t="shared" si="352"/>
        <v>0.1090790984339209</v>
      </c>
      <c r="K345" s="3">
        <f t="shared" si="352"/>
        <v>0.10794614353773938</v>
      </c>
      <c r="L345" s="3">
        <f t="shared" si="352"/>
        <v>9.7244052341517687E-2</v>
      </c>
      <c r="M345" s="3">
        <f t="shared" si="352"/>
        <v>3.4231207433574135E-2</v>
      </c>
      <c r="N345" s="3">
        <f t="shared" si="352"/>
        <v>1.0000320442155336E-6</v>
      </c>
      <c r="O345" s="3">
        <f t="shared" si="352"/>
        <v>4.5282552378617509E-52</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8.5595472993638511E-2</v>
      </c>
      <c r="C346" s="3">
        <f t="shared" si="353"/>
        <v>8.5595472992832322E-2</v>
      </c>
      <c r="D346" s="3">
        <f t="shared" si="353"/>
        <v>8.5595472984770507E-2</v>
      </c>
      <c r="E346" s="3">
        <f t="shared" si="353"/>
        <v>8.5595472904152189E-2</v>
      </c>
      <c r="F346" s="3">
        <f t="shared" si="353"/>
        <v>8.5595472097969069E-2</v>
      </c>
      <c r="G346" s="3">
        <f t="shared" si="353"/>
        <v>8.5595464036138366E-2</v>
      </c>
      <c r="H346" s="3">
        <f t="shared" si="353"/>
        <v>8.5595383417872969E-2</v>
      </c>
      <c r="I346" s="3">
        <f t="shared" si="353"/>
        <v>8.5594577239395203E-2</v>
      </c>
      <c r="J346" s="3">
        <f t="shared" si="353"/>
        <v>8.5586515872219465E-2</v>
      </c>
      <c r="K346" s="3">
        <f t="shared" si="353"/>
        <v>8.5505943946103932E-2</v>
      </c>
      <c r="L346" s="3">
        <f t="shared" si="353"/>
        <v>8.4704384737963434E-2</v>
      </c>
      <c r="M346" s="3">
        <f t="shared" si="353"/>
        <v>7.7090658804605708E-2</v>
      </c>
      <c r="N346" s="3">
        <f t="shared" si="353"/>
        <v>3.005802252937469E-2</v>
      </c>
      <c r="O346" s="3">
        <f t="shared" si="353"/>
        <v>2.4408825969014334E-6</v>
      </c>
      <c r="P346" s="3">
        <f t="shared" si="353"/>
        <v>3.0437693827476488E-47</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3.0330599560695115E-2</v>
      </c>
      <c r="C347" s="3">
        <f t="shared" si="354"/>
        <v>3.0330599560669344E-2</v>
      </c>
      <c r="D347" s="3">
        <f t="shared" si="354"/>
        <v>3.0330599560411647E-2</v>
      </c>
      <c r="E347" s="3">
        <f t="shared" si="354"/>
        <v>3.0330599557834671E-2</v>
      </c>
      <c r="F347" s="3">
        <f t="shared" si="354"/>
        <v>3.0330599532064902E-2</v>
      </c>
      <c r="G347" s="3">
        <f t="shared" si="354"/>
        <v>3.0330599274367234E-2</v>
      </c>
      <c r="H347" s="3">
        <f t="shared" si="354"/>
        <v>3.0330596697390685E-2</v>
      </c>
      <c r="I347" s="3">
        <f t="shared" si="354"/>
        <v>3.0330570927637201E-2</v>
      </c>
      <c r="J347" s="3">
        <f t="shared" si="354"/>
        <v>3.0330313231306558E-2</v>
      </c>
      <c r="K347" s="3">
        <f t="shared" si="354"/>
        <v>3.0327736388417077E-2</v>
      </c>
      <c r="L347" s="3">
        <f t="shared" si="354"/>
        <v>3.0301979997429333E-2</v>
      </c>
      <c r="M347" s="3">
        <f t="shared" si="354"/>
        <v>3.0045616102576153E-2</v>
      </c>
      <c r="N347" s="3">
        <f t="shared" si="354"/>
        <v>2.7598290460274746E-2</v>
      </c>
      <c r="O347" s="3">
        <f t="shared" si="354"/>
        <v>1.1800294689710276E-2</v>
      </c>
      <c r="P347" s="3">
        <f t="shared" si="354"/>
        <v>2.4099030606340093E-6</v>
      </c>
      <c r="Q347" s="3">
        <f t="shared" si="354"/>
        <v>3.0413526104496353E-43</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3.2127590787363255E-2</v>
      </c>
      <c r="C348" s="3">
        <f t="shared" si="355"/>
        <v>3.2127590787355706E-2</v>
      </c>
      <c r="D348" s="3">
        <f t="shared" si="355"/>
        <v>3.2127590787280211E-2</v>
      </c>
      <c r="E348" s="3">
        <f t="shared" si="355"/>
        <v>3.2127590786525259E-2</v>
      </c>
      <c r="F348" s="3">
        <f t="shared" si="355"/>
        <v>3.2127590778975715E-2</v>
      </c>
      <c r="G348" s="3">
        <f t="shared" si="355"/>
        <v>3.2127590703480313E-2</v>
      </c>
      <c r="H348" s="3">
        <f t="shared" si="355"/>
        <v>3.2127589948526283E-2</v>
      </c>
      <c r="I348" s="3">
        <f t="shared" si="355"/>
        <v>3.2127582398986929E-2</v>
      </c>
      <c r="J348" s="3">
        <f t="shared" si="355"/>
        <v>3.212750690369099E-2</v>
      </c>
      <c r="K348" s="3">
        <f t="shared" si="355"/>
        <v>3.2126751960488718E-2</v>
      </c>
      <c r="L348" s="3">
        <f t="shared" si="355"/>
        <v>3.2119203504092551E-2</v>
      </c>
      <c r="M348" s="3">
        <f t="shared" si="355"/>
        <v>3.2043816418012537E-2</v>
      </c>
      <c r="N348" s="3">
        <f t="shared" si="355"/>
        <v>3.129960912342053E-2</v>
      </c>
      <c r="O348" s="3">
        <f t="shared" si="355"/>
        <v>2.4744900085126829E-2</v>
      </c>
      <c r="P348" s="3">
        <f t="shared" si="355"/>
        <v>2.3602261076737701E-3</v>
      </c>
      <c r="Q348" s="3">
        <f t="shared" si="355"/>
        <v>1.4710677158028613E-13</v>
      </c>
      <c r="R348" s="3">
        <f t="shared" si="355"/>
        <v>1.3014371797626274E-115</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1.5939358035986752E-2</v>
      </c>
      <c r="C349" s="3">
        <f t="shared" si="356"/>
        <v>1.5939358035986378E-2</v>
      </c>
      <c r="D349" s="3">
        <f t="shared" si="356"/>
        <v>1.5939358035982631E-2</v>
      </c>
      <c r="E349" s="3">
        <f t="shared" si="356"/>
        <v>1.5939358035945178E-2</v>
      </c>
      <c r="F349" s="3">
        <f t="shared" si="356"/>
        <v>1.5939358035570624E-2</v>
      </c>
      <c r="G349" s="3">
        <f t="shared" si="356"/>
        <v>1.5939358031825095E-2</v>
      </c>
      <c r="H349" s="3">
        <f t="shared" si="356"/>
        <v>1.5939357994369803E-2</v>
      </c>
      <c r="I349" s="3">
        <f t="shared" si="356"/>
        <v>1.5939357619816893E-2</v>
      </c>
      <c r="J349" s="3">
        <f t="shared" si="356"/>
        <v>1.5939353874288274E-2</v>
      </c>
      <c r="K349" s="3">
        <f t="shared" si="356"/>
        <v>1.5939316419050501E-2</v>
      </c>
      <c r="L349" s="3">
        <f t="shared" si="356"/>
        <v>1.5938941871513543E-2</v>
      </c>
      <c r="M349" s="3">
        <f t="shared" si="356"/>
        <v>1.5935196880178405E-2</v>
      </c>
      <c r="N349" s="3">
        <f t="shared" si="356"/>
        <v>1.5897795328214177E-2</v>
      </c>
      <c r="O349" s="3">
        <f t="shared" si="356"/>
        <v>1.5528574162518785E-2</v>
      </c>
      <c r="P349" s="3">
        <f t="shared" si="356"/>
        <v>1.2276607500139185E-2</v>
      </c>
      <c r="Q349" s="3">
        <f t="shared" si="356"/>
        <v>1.170971369284622E-3</v>
      </c>
      <c r="R349" s="3">
        <f t="shared" si="356"/>
        <v>7.2983608302758923E-14</v>
      </c>
      <c r="S349" s="3">
        <f t="shared" si="356"/>
        <v>6.4567783208133206E-116</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1.0098226932664879E-3</v>
      </c>
      <c r="C350" s="3">
        <f t="shared" si="357"/>
        <v>1.0098226932664855E-3</v>
      </c>
      <c r="D350" s="3">
        <f t="shared" si="357"/>
        <v>1.0098226932664617E-3</v>
      </c>
      <c r="E350" s="3">
        <f t="shared" si="357"/>
        <v>1.0098226932662244E-3</v>
      </c>
      <c r="F350" s="3">
        <f t="shared" si="357"/>
        <v>1.0098226932638516E-3</v>
      </c>
      <c r="G350" s="3">
        <f t="shared" si="357"/>
        <v>1.0098226932401221E-3</v>
      </c>
      <c r="H350" s="3">
        <f t="shared" si="357"/>
        <v>1.0098226930028277E-3</v>
      </c>
      <c r="I350" s="3">
        <f t="shared" si="357"/>
        <v>1.0098226906298836E-3</v>
      </c>
      <c r="J350" s="3">
        <f t="shared" si="357"/>
        <v>1.0098226669004444E-3</v>
      </c>
      <c r="K350" s="3">
        <f t="shared" si="357"/>
        <v>1.0098224296060823E-3</v>
      </c>
      <c r="L350" s="3">
        <f t="shared" si="357"/>
        <v>1.0098200566655286E-3</v>
      </c>
      <c r="M350" s="3">
        <f t="shared" si="357"/>
        <v>1.0097963275666733E-3</v>
      </c>
      <c r="N350" s="3">
        <f t="shared" si="357"/>
        <v>1.0095590672436557E-3</v>
      </c>
      <c r="O350" s="3">
        <f t="shared" si="357"/>
        <v>1.0071895279026364E-3</v>
      </c>
      <c r="P350" s="3">
        <f t="shared" si="357"/>
        <v>9.8379787617414627E-4</v>
      </c>
      <c r="Q350" s="3">
        <f t="shared" si="357"/>
        <v>7.7777265696501552E-4</v>
      </c>
      <c r="R350" s="3">
        <f t="shared" si="357"/>
        <v>7.4185764520706327E-5</v>
      </c>
      <c r="S350" s="3">
        <f t="shared" si="357"/>
        <v>4.6238062871918977E-15</v>
      </c>
      <c r="T350" s="3">
        <f t="shared" si="357"/>
        <v>4.0906297851064734E-117</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3.5232790951536608E-3</v>
      </c>
      <c r="C351" s="3">
        <f t="shared" si="358"/>
        <v>3.5232790951536599E-3</v>
      </c>
      <c r="D351" s="3">
        <f t="shared" si="358"/>
        <v>3.5232790951536513E-3</v>
      </c>
      <c r="E351" s="3">
        <f t="shared" si="358"/>
        <v>3.5232790951535689E-3</v>
      </c>
      <c r="F351" s="3">
        <f t="shared" si="358"/>
        <v>3.523279095152741E-3</v>
      </c>
      <c r="G351" s="3">
        <f t="shared" si="358"/>
        <v>3.523279095144462E-3</v>
      </c>
      <c r="H351" s="3">
        <f t="shared" si="358"/>
        <v>3.5232790950616697E-3</v>
      </c>
      <c r="I351" s="3">
        <f t="shared" si="358"/>
        <v>3.5232790942337474E-3</v>
      </c>
      <c r="J351" s="3">
        <f t="shared" si="358"/>
        <v>3.523279085954528E-3</v>
      </c>
      <c r="K351" s="3">
        <f t="shared" si="358"/>
        <v>3.5232790031623331E-3</v>
      </c>
      <c r="L351" s="3">
        <f t="shared" si="358"/>
        <v>3.52327817524049E-3</v>
      </c>
      <c r="M351" s="3">
        <f t="shared" si="358"/>
        <v>3.5232698960327609E-3</v>
      </c>
      <c r="N351" s="3">
        <f t="shared" si="358"/>
        <v>3.5231871050254867E-3</v>
      </c>
      <c r="O351" s="3">
        <f t="shared" si="358"/>
        <v>3.5223593019450337E-3</v>
      </c>
      <c r="P351" s="3">
        <f t="shared" si="358"/>
        <v>3.5140919610731898E-3</v>
      </c>
      <c r="Q351" s="3">
        <f t="shared" si="358"/>
        <v>3.4324783094037922E-3</v>
      </c>
      <c r="R351" s="3">
        <f t="shared" si="358"/>
        <v>2.7136547448768826E-3</v>
      </c>
      <c r="S351" s="3">
        <f t="shared" si="358"/>
        <v>2.5883469943452771E-4</v>
      </c>
      <c r="T351" s="3">
        <f t="shared" si="358"/>
        <v>1.6132495477009607E-14</v>
      </c>
      <c r="U351" s="3">
        <f t="shared" si="358"/>
        <v>1.427223858602192E-116</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1.7526056431954549E-4</v>
      </c>
      <c r="C352" s="3">
        <f t="shared" si="359"/>
        <v>1.7526056431954549E-4</v>
      </c>
      <c r="D352" s="3">
        <f t="shared" si="359"/>
        <v>1.7526056431954546E-4</v>
      </c>
      <c r="E352" s="3">
        <f t="shared" si="359"/>
        <v>1.7526056431954503E-4</v>
      </c>
      <c r="F352" s="3">
        <f t="shared" si="359"/>
        <v>1.7526056431954091E-4</v>
      </c>
      <c r="G352" s="3">
        <f t="shared" si="359"/>
        <v>1.7526056431949974E-4</v>
      </c>
      <c r="H352" s="3">
        <f t="shared" si="359"/>
        <v>1.752605643190879E-4</v>
      </c>
      <c r="I352" s="3">
        <f t="shared" si="359"/>
        <v>1.7526056431496951E-4</v>
      </c>
      <c r="J352" s="3">
        <f t="shared" si="359"/>
        <v>1.7526056427378568E-4</v>
      </c>
      <c r="K352" s="3">
        <f t="shared" si="359"/>
        <v>1.7526056386194756E-4</v>
      </c>
      <c r="L352" s="3">
        <f t="shared" si="359"/>
        <v>1.7526055974356625E-4</v>
      </c>
      <c r="M352" s="3">
        <f t="shared" si="359"/>
        <v>1.7526051855975834E-4</v>
      </c>
      <c r="N352" s="3">
        <f t="shared" si="359"/>
        <v>1.7526010672221169E-4</v>
      </c>
      <c r="O352" s="3">
        <f t="shared" si="359"/>
        <v>1.7525598839997165E-4</v>
      </c>
      <c r="P352" s="3">
        <f t="shared" si="359"/>
        <v>1.7521481049975217E-4</v>
      </c>
      <c r="Q352" s="3">
        <f t="shared" si="359"/>
        <v>1.7480356325322706E-4</v>
      </c>
      <c r="R352" s="3">
        <f t="shared" si="359"/>
        <v>1.707438069122002E-4</v>
      </c>
      <c r="S352" s="3">
        <f t="shared" si="359"/>
        <v>1.3498693947059919E-4</v>
      </c>
      <c r="T352" s="3">
        <f t="shared" si="359"/>
        <v>1.2875368162225261E-5</v>
      </c>
      <c r="U352" s="3">
        <f t="shared" si="359"/>
        <v>8.0248830274965994E-16</v>
      </c>
      <c r="V352" s="3">
        <f t="shared" si="359"/>
        <v>7.0995243951297074E-118</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1.1765348907566872E-4</v>
      </c>
      <c r="C354" s="3">
        <f t="shared" si="361"/>
        <v>1.1765348907566872E-4</v>
      </c>
      <c r="D354" s="3">
        <f t="shared" si="361"/>
        <v>1.1765348907566872E-4</v>
      </c>
      <c r="E354" s="3">
        <f t="shared" si="361"/>
        <v>1.1765348907566872E-4</v>
      </c>
      <c r="F354" s="3">
        <f t="shared" si="361"/>
        <v>1.176534890756687E-4</v>
      </c>
      <c r="G354" s="3">
        <f t="shared" si="361"/>
        <v>1.1765348907566841E-4</v>
      </c>
      <c r="H354" s="3">
        <f t="shared" si="361"/>
        <v>1.1765348907566566E-4</v>
      </c>
      <c r="I354" s="3">
        <f t="shared" si="361"/>
        <v>1.17653489075638E-4</v>
      </c>
      <c r="J354" s="3">
        <f t="shared" si="361"/>
        <v>1.1765348907536154E-4</v>
      </c>
      <c r="K354" s="3">
        <f t="shared" si="361"/>
        <v>1.1765348907259684E-4</v>
      </c>
      <c r="L354" s="3">
        <f t="shared" si="361"/>
        <v>1.1765348904494989E-4</v>
      </c>
      <c r="M354" s="3">
        <f t="shared" si="361"/>
        <v>1.1765348876848043E-4</v>
      </c>
      <c r="N354" s="3">
        <f t="shared" si="361"/>
        <v>1.1765348600378586E-4</v>
      </c>
      <c r="O354" s="3">
        <f t="shared" si="361"/>
        <v>1.1765345835684366E-4</v>
      </c>
      <c r="P354" s="3">
        <f t="shared" si="361"/>
        <v>1.1765318188777896E-4</v>
      </c>
      <c r="Q354" s="3">
        <f t="shared" si="361"/>
        <v>1.1765041723286322E-4</v>
      </c>
      <c r="R354" s="3">
        <f t="shared" si="361"/>
        <v>1.1762277425651859E-4</v>
      </c>
      <c r="S354" s="3">
        <f t="shared" si="361"/>
        <v>1.1734670146390667E-4</v>
      </c>
      <c r="T354" s="3">
        <f t="shared" si="361"/>
        <v>1.1462136219449743E-4</v>
      </c>
      <c r="U354" s="3">
        <f t="shared" si="361"/>
        <v>9.0617558319655214E-5</v>
      </c>
      <c r="V354" s="3">
        <f t="shared" si="361"/>
        <v>8.6433134190852593E-6</v>
      </c>
      <c r="W354" s="3">
        <f t="shared" si="361"/>
        <v>5.3871530727679847E-16</v>
      </c>
      <c r="X354" s="3">
        <f t="shared" si="361"/>
        <v>4.7659541614957795E-118</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6.5987032321069097E-5</v>
      </c>
      <c r="C356" s="3">
        <f t="shared" si="363"/>
        <v>6.5987032321069097E-5</v>
      </c>
      <c r="D356" s="3">
        <f t="shared" si="363"/>
        <v>6.5987032321069097E-5</v>
      </c>
      <c r="E356" s="3">
        <f t="shared" si="363"/>
        <v>6.5987032321069097E-5</v>
      </c>
      <c r="F356" s="3">
        <f t="shared" si="363"/>
        <v>6.5987032321069097E-5</v>
      </c>
      <c r="G356" s="3">
        <f t="shared" si="363"/>
        <v>6.5987032321069097E-5</v>
      </c>
      <c r="H356" s="3">
        <f t="shared" si="363"/>
        <v>6.5987032321069083E-5</v>
      </c>
      <c r="I356" s="3">
        <f t="shared" si="363"/>
        <v>6.5987032321068921E-5</v>
      </c>
      <c r="J356" s="3">
        <f t="shared" si="363"/>
        <v>6.5987032321067376E-5</v>
      </c>
      <c r="K356" s="3">
        <f t="shared" si="363"/>
        <v>6.5987032321051872E-5</v>
      </c>
      <c r="L356" s="3">
        <f t="shared" si="363"/>
        <v>6.5987032320896817E-5</v>
      </c>
      <c r="M356" s="3">
        <f t="shared" si="363"/>
        <v>6.5987032319346205E-5</v>
      </c>
      <c r="N356" s="3">
        <f t="shared" si="363"/>
        <v>6.5987032303840162E-5</v>
      </c>
      <c r="O356" s="3">
        <f t="shared" si="363"/>
        <v>6.5987032148779736E-5</v>
      </c>
      <c r="P356" s="3">
        <f t="shared" si="363"/>
        <v>6.5987030598175581E-5</v>
      </c>
      <c r="Q356" s="3">
        <f t="shared" si="363"/>
        <v>6.5987015092135905E-5</v>
      </c>
      <c r="R356" s="3">
        <f t="shared" si="363"/>
        <v>6.5986860031939641E-5</v>
      </c>
      <c r="S356" s="3">
        <f t="shared" si="363"/>
        <v>6.5985309450017124E-5</v>
      </c>
      <c r="T356" s="3">
        <f t="shared" si="363"/>
        <v>6.5969805634636603E-5</v>
      </c>
      <c r="U356" s="3">
        <f t="shared" si="363"/>
        <v>6.5814967691179307E-5</v>
      </c>
      <c r="V356" s="3">
        <f t="shared" si="363"/>
        <v>6.4286436307458737E-5</v>
      </c>
      <c r="W356" s="3">
        <f t="shared" si="363"/>
        <v>5.0823683995038083E-5</v>
      </c>
      <c r="X356" s="3">
        <f t="shared" si="363"/>
        <v>4.847681156140566E-6</v>
      </c>
      <c r="Y356" s="3">
        <f t="shared" si="363"/>
        <v>3.0214339304689862E-16</v>
      </c>
      <c r="Z356" s="3">
        <f t="shared" si="363"/>
        <v>2.6730288558896126E-118</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6.9850122094838041E-5</v>
      </c>
      <c r="C357" s="3">
        <f t="shared" si="364"/>
        <v>6.9850122094838041E-5</v>
      </c>
      <c r="D357" s="3">
        <f t="shared" si="364"/>
        <v>6.9850122094838041E-5</v>
      </c>
      <c r="E357" s="3">
        <f t="shared" si="364"/>
        <v>6.9850122094838041E-5</v>
      </c>
      <c r="F357" s="3">
        <f t="shared" si="364"/>
        <v>6.9850122094838041E-5</v>
      </c>
      <c r="G357" s="3">
        <f t="shared" si="364"/>
        <v>6.9850122094838041E-5</v>
      </c>
      <c r="H357" s="3">
        <f t="shared" si="364"/>
        <v>6.9850122094838041E-5</v>
      </c>
      <c r="I357" s="3">
        <f t="shared" si="364"/>
        <v>6.9850122094838028E-5</v>
      </c>
      <c r="J357" s="3">
        <f t="shared" si="364"/>
        <v>6.9850122094837852E-5</v>
      </c>
      <c r="K357" s="3">
        <f t="shared" si="364"/>
        <v>6.9850122094836225E-5</v>
      </c>
      <c r="L357" s="3">
        <f t="shared" si="364"/>
        <v>6.98501220948198E-5</v>
      </c>
      <c r="M357" s="3">
        <f t="shared" si="364"/>
        <v>6.9850122094655665E-5</v>
      </c>
      <c r="N357" s="3">
        <f t="shared" si="364"/>
        <v>6.9850122093014291E-5</v>
      </c>
      <c r="O357" s="3">
        <f t="shared" si="364"/>
        <v>6.9850122076600473E-5</v>
      </c>
      <c r="P357" s="3">
        <f t="shared" si="364"/>
        <v>6.985012191246232E-5</v>
      </c>
      <c r="Q357" s="3">
        <f t="shared" si="364"/>
        <v>6.9850120271080886E-5</v>
      </c>
      <c r="R357" s="3">
        <f t="shared" si="364"/>
        <v>6.985010385726856E-5</v>
      </c>
      <c r="S357" s="3">
        <f t="shared" si="364"/>
        <v>6.9849939719357506E-5</v>
      </c>
      <c r="T357" s="3">
        <f t="shared" si="364"/>
        <v>6.9848298361460429E-5</v>
      </c>
      <c r="U357" s="3">
        <f t="shared" si="364"/>
        <v>6.9831886903645553E-5</v>
      </c>
      <c r="V357" s="3">
        <f t="shared" si="364"/>
        <v>6.9667984256792438E-5</v>
      </c>
      <c r="W357" s="3">
        <f t="shared" si="364"/>
        <v>6.8049967806845446E-5</v>
      </c>
      <c r="X357" s="3">
        <f t="shared" si="364"/>
        <v>5.3799063353685306E-5</v>
      </c>
      <c r="Y357" s="3">
        <f t="shared" si="364"/>
        <v>5.1314797578061188E-6</v>
      </c>
      <c r="Z357" s="3">
        <f t="shared" si="364"/>
        <v>3.1983182380117344E-16</v>
      </c>
      <c r="AA357" s="3">
        <f t="shared" si="364"/>
        <v>2.8295164273859809E-118</v>
      </c>
      <c r="AB357" s="3">
        <f t="shared" si="364"/>
        <v>0</v>
      </c>
      <c r="AC357" s="3">
        <f t="shared" si="364"/>
        <v>0</v>
      </c>
      <c r="AD357" s="3">
        <f t="shared" si="364"/>
        <v>0</v>
      </c>
      <c r="AE357" s="3">
        <f t="shared" si="364"/>
        <v>0</v>
      </c>
      <c r="AF357" s="3">
        <f t="shared" si="364"/>
        <v>0</v>
      </c>
      <c r="AG357" s="3"/>
      <c r="AH357" s="3"/>
    </row>
    <row r="358" spans="1:34" x14ac:dyDescent="0.25">
      <c r="A358" s="79">
        <f>AVERAGE(B358:AF358)</f>
        <v>3.3741382682234838E-2</v>
      </c>
      <c r="B358" s="80">
        <f>IF($A$64&lt;=B324,IF($B$64&gt;=B324,ABS((B326-B325)/B325),0),0)</f>
        <v>2.4923869843975254E-3</v>
      </c>
      <c r="C358" s="80">
        <f t="shared" ref="C358:AF358" si="365">IF($A$64&lt;=C324,IF($B$64&gt;=C324,ABS((C326-C325)/C325),0),0)</f>
        <v>1.0536812514397965E-2</v>
      </c>
      <c r="D358" s="80">
        <f t="shared" si="365"/>
        <v>1.5558526824043782E-2</v>
      </c>
      <c r="E358" s="80">
        <f t="shared" si="365"/>
        <v>1.2816338988158113E-2</v>
      </c>
      <c r="F358" s="80">
        <f t="shared" si="365"/>
        <v>1.4755161197752716E-2</v>
      </c>
      <c r="G358" s="80">
        <f t="shared" si="365"/>
        <v>1.4537705988001005E-2</v>
      </c>
      <c r="H358" s="80">
        <f t="shared" si="365"/>
        <v>1.6624453159657767E-2</v>
      </c>
      <c r="I358" s="80">
        <f t="shared" si="365"/>
        <v>1.7774846703890037E-2</v>
      </c>
      <c r="J358" s="80">
        <f t="shared" si="365"/>
        <v>2.5826371055990426E-3</v>
      </c>
      <c r="K358" s="80">
        <f t="shared" si="365"/>
        <v>2.9743421834038587E-2</v>
      </c>
      <c r="L358" s="80">
        <f t="shared" si="365"/>
        <v>4.3704001851113554E-2</v>
      </c>
      <c r="M358" s="80">
        <f t="shared" si="365"/>
        <v>1.4116492066277598E-2</v>
      </c>
      <c r="N358" s="80">
        <f t="shared" si="365"/>
        <v>1.5353486864614851E-2</v>
      </c>
      <c r="O358" s="80">
        <f t="shared" si="365"/>
        <v>6.8904404675173017E-2</v>
      </c>
      <c r="P358" s="80">
        <f t="shared" si="365"/>
        <v>2.6055199518292684E-2</v>
      </c>
      <c r="Q358" s="80">
        <f t="shared" si="365"/>
        <v>0.10644434729743722</v>
      </c>
      <c r="R358" s="80">
        <f t="shared" si="365"/>
        <v>8.6836271729911027E-2</v>
      </c>
      <c r="S358" s="80">
        <f t="shared" si="365"/>
        <v>0.11170399291911624</v>
      </c>
      <c r="T358" s="80">
        <f t="shared" si="365"/>
        <v>0.10357050957829475</v>
      </c>
      <c r="U358" s="80">
        <f t="shared" si="365"/>
        <v>8.2659247283055695E-2</v>
      </c>
      <c r="V358" s="80">
        <f t="shared" si="365"/>
        <v>6.3359761591376587E-2</v>
      </c>
      <c r="W358" s="80">
        <f t="shared" si="365"/>
        <v>4.5461302715777779E-2</v>
      </c>
      <c r="X358" s="80">
        <f t="shared" si="365"/>
        <v>3.4529757506484071E-2</v>
      </c>
      <c r="Y358" s="80">
        <f t="shared" si="365"/>
        <v>2.7541211493703179E-2</v>
      </c>
      <c r="Z358" s="80">
        <f t="shared" si="365"/>
        <v>2.0780530303464419E-2</v>
      </c>
      <c r="AA358" s="80">
        <f t="shared" si="365"/>
        <v>1.5365725374461261E-2</v>
      </c>
      <c r="AB358" s="80">
        <f t="shared" si="365"/>
        <v>1.4299016656342195E-2</v>
      </c>
      <c r="AC358" s="80">
        <f t="shared" si="365"/>
        <v>8.1097249352557847E-3</v>
      </c>
      <c r="AD358" s="80">
        <f t="shared" si="365"/>
        <v>8.0100394901067903E-3</v>
      </c>
      <c r="AE358" s="80">
        <f t="shared" si="365"/>
        <v>5.932955006947389E-3</v>
      </c>
      <c r="AF358" s="80">
        <f t="shared" si="365"/>
        <v>5.8225929921377128E-3</v>
      </c>
    </row>
    <row r="359" spans="1:34" x14ac:dyDescent="0.25">
      <c r="B359" s="21">
        <f>(B326-B325)^2</f>
        <v>213.5855708633699</v>
      </c>
      <c r="C359" s="21">
        <f t="shared" ref="C359:AF359" si="366">(C326-C325)^2</f>
        <v>3493.1660803585983</v>
      </c>
      <c r="D359" s="21">
        <f t="shared" si="366"/>
        <v>6982.3934703683526</v>
      </c>
      <c r="E359" s="21">
        <f t="shared" si="366"/>
        <v>4268.9366481214356</v>
      </c>
      <c r="F359" s="21">
        <f t="shared" si="366"/>
        <v>5060.2331690066867</v>
      </c>
      <c r="G359" s="21">
        <f t="shared" si="366"/>
        <v>4347.2284137318675</v>
      </c>
      <c r="H359" s="21">
        <f t="shared" si="366"/>
        <v>4941.581513334163</v>
      </c>
      <c r="I359" s="21">
        <f t="shared" si="366"/>
        <v>4734.3391869472671</v>
      </c>
      <c r="J359" s="21">
        <f t="shared" si="366"/>
        <v>77.185038300723932</v>
      </c>
      <c r="K359" s="21">
        <f t="shared" si="366"/>
        <v>7070.4935933379948</v>
      </c>
      <c r="L359" s="21">
        <f t="shared" si="366"/>
        <v>8835.6907699532385</v>
      </c>
      <c r="M359" s="21">
        <f t="shared" si="366"/>
        <v>396.47153811764804</v>
      </c>
      <c r="N359" s="21">
        <f t="shared" si="366"/>
        <v>161.09743523698089</v>
      </c>
      <c r="O359" s="21">
        <f t="shared" si="366"/>
        <v>1018.264705153868</v>
      </c>
      <c r="P359" s="21">
        <f t="shared" si="366"/>
        <v>44.934461657539174</v>
      </c>
      <c r="Q359" s="21">
        <f t="shared" si="366"/>
        <v>367.0264953130249</v>
      </c>
      <c r="R359" s="21">
        <f t="shared" si="366"/>
        <v>187.19144390201114</v>
      </c>
      <c r="S359" s="21">
        <f t="shared" si="366"/>
        <v>255.62365039032301</v>
      </c>
      <c r="T359" s="21">
        <f t="shared" si="366"/>
        <v>207.37066841353257</v>
      </c>
      <c r="U359" s="21">
        <f t="shared" si="366"/>
        <v>125.64428611252826</v>
      </c>
      <c r="V359" s="21">
        <f t="shared" si="366"/>
        <v>70.191246890287303</v>
      </c>
      <c r="W359" s="21">
        <f t="shared" si="366"/>
        <v>34.706596212753915</v>
      </c>
      <c r="X359" s="21">
        <f t="shared" si="366"/>
        <v>19.447381340252736</v>
      </c>
      <c r="Y359" s="21">
        <f t="shared" si="366"/>
        <v>12.125861399473392</v>
      </c>
      <c r="Z359" s="21">
        <f t="shared" si="366"/>
        <v>6.804646524341261</v>
      </c>
      <c r="AA359" s="21">
        <f t="shared" si="366"/>
        <v>3.6796679736145004</v>
      </c>
      <c r="AB359" s="21">
        <f t="shared" si="366"/>
        <v>3.1796137179360886</v>
      </c>
      <c r="AC359" s="21">
        <f t="shared" si="366"/>
        <v>1.0100372277453697</v>
      </c>
      <c r="AD359" s="21">
        <f t="shared" si="366"/>
        <v>0.98516088037584792</v>
      </c>
      <c r="AE359" s="21">
        <f t="shared" si="366"/>
        <v>0.53822411749490984</v>
      </c>
      <c r="AF359" s="21">
        <f t="shared" si="366"/>
        <v>0.51827168843748506</v>
      </c>
      <c r="AG359" s="3"/>
      <c r="AH359" s="3"/>
    </row>
    <row r="360" spans="1:34" x14ac:dyDescent="0.25">
      <c r="A360" s="71">
        <f>SUM(B360:AF360)</f>
        <v>52941.644846593852</v>
      </c>
      <c r="B360" s="60">
        <f>IF($A$64&lt;=B324,IF($B$64&gt;=B324,ABS(B359),0),0)</f>
        <v>213.5855708633699</v>
      </c>
      <c r="C360" s="60">
        <f t="shared" ref="C360:AF360" si="367">IF($A$64&lt;=C324,IF($B$64&gt;=C324,ABS(C359),0),0)</f>
        <v>3493.1660803585983</v>
      </c>
      <c r="D360" s="60">
        <f t="shared" si="367"/>
        <v>6982.3934703683526</v>
      </c>
      <c r="E360" s="60">
        <f t="shared" si="367"/>
        <v>4268.9366481214356</v>
      </c>
      <c r="F360" s="60">
        <f t="shared" si="367"/>
        <v>5060.2331690066867</v>
      </c>
      <c r="G360" s="60">
        <f t="shared" si="367"/>
        <v>4347.2284137318675</v>
      </c>
      <c r="H360" s="60">
        <f t="shared" si="367"/>
        <v>4941.581513334163</v>
      </c>
      <c r="I360" s="60">
        <f t="shared" si="367"/>
        <v>4734.3391869472671</v>
      </c>
      <c r="J360" s="60">
        <f t="shared" si="367"/>
        <v>77.185038300723932</v>
      </c>
      <c r="K360" s="60">
        <f t="shared" si="367"/>
        <v>7070.4935933379948</v>
      </c>
      <c r="L360" s="60">
        <f t="shared" si="367"/>
        <v>8835.6907699532385</v>
      </c>
      <c r="M360" s="60">
        <f t="shared" si="367"/>
        <v>396.47153811764804</v>
      </c>
      <c r="N360" s="60">
        <f t="shared" si="367"/>
        <v>161.09743523698089</v>
      </c>
      <c r="O360" s="60">
        <f t="shared" si="367"/>
        <v>1018.264705153868</v>
      </c>
      <c r="P360" s="60">
        <f t="shared" si="367"/>
        <v>44.934461657539174</v>
      </c>
      <c r="Q360" s="60">
        <f t="shared" si="367"/>
        <v>367.0264953130249</v>
      </c>
      <c r="R360" s="60">
        <f t="shared" si="367"/>
        <v>187.19144390201114</v>
      </c>
      <c r="S360" s="60">
        <f t="shared" si="367"/>
        <v>255.62365039032301</v>
      </c>
      <c r="T360" s="60">
        <f t="shared" si="367"/>
        <v>207.37066841353257</v>
      </c>
      <c r="U360" s="60">
        <f t="shared" si="367"/>
        <v>125.64428611252826</v>
      </c>
      <c r="V360" s="60">
        <f t="shared" si="367"/>
        <v>70.191246890287303</v>
      </c>
      <c r="W360" s="60">
        <f t="shared" si="367"/>
        <v>34.706596212753915</v>
      </c>
      <c r="X360" s="60">
        <f t="shared" si="367"/>
        <v>19.447381340252736</v>
      </c>
      <c r="Y360" s="60">
        <f t="shared" si="367"/>
        <v>12.125861399473392</v>
      </c>
      <c r="Z360" s="60">
        <f t="shared" si="367"/>
        <v>6.804646524341261</v>
      </c>
      <c r="AA360" s="60">
        <f t="shared" si="367"/>
        <v>3.6796679736145004</v>
      </c>
      <c r="AB360" s="60">
        <f t="shared" si="367"/>
        <v>3.1796137179360886</v>
      </c>
      <c r="AC360" s="60">
        <f t="shared" si="367"/>
        <v>1.0100372277453697</v>
      </c>
      <c r="AD360" s="60">
        <f t="shared" si="367"/>
        <v>0.98516088037584792</v>
      </c>
      <c r="AE360" s="60">
        <f t="shared" si="367"/>
        <v>0.53822411749490984</v>
      </c>
      <c r="AF360" s="60">
        <f t="shared" si="367"/>
        <v>0.51827168843748506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5495.9775588520233</v>
      </c>
      <c r="C365" s="27">
        <f t="shared" ref="C365:AF365" si="368">($C$17+SUM(C366:C396))*$B$51</f>
        <v>5215.2451473921592</v>
      </c>
      <c r="D365" s="27">
        <f t="shared" si="368"/>
        <v>4942.8841201779596</v>
      </c>
      <c r="E365" s="27">
        <f t="shared" si="368"/>
        <v>4657.4575795628098</v>
      </c>
      <c r="F365" s="27">
        <f t="shared" si="368"/>
        <v>4359.1297171454453</v>
      </c>
      <c r="G365" s="27">
        <f t="shared" si="368"/>
        <v>4017.7581539803277</v>
      </c>
      <c r="H365" s="27">
        <f t="shared" si="368"/>
        <v>3512.3805369677184</v>
      </c>
      <c r="I365" s="27">
        <f t="shared" si="368"/>
        <v>2875.3490955690327</v>
      </c>
      <c r="J365" s="27">
        <f t="shared" si="368"/>
        <v>2191.8426858630073</v>
      </c>
      <c r="K365" s="27">
        <f t="shared" si="368"/>
        <v>1514.115191528276</v>
      </c>
      <c r="L365" s="27">
        <f t="shared" si="368"/>
        <v>928.63873525900806</v>
      </c>
      <c r="M365" s="27">
        <f t="shared" si="368"/>
        <v>539.3140907967537</v>
      </c>
      <c r="N365" s="27">
        <f t="shared" si="368"/>
        <v>279.44473673882874</v>
      </c>
      <c r="O365" s="27">
        <f t="shared" si="368"/>
        <v>171.99999131875052</v>
      </c>
      <c r="P365" s="27">
        <f t="shared" si="368"/>
        <v>146.15460174322982</v>
      </c>
      <c r="Q365" s="27">
        <f t="shared" si="368"/>
        <v>129.54836935994109</v>
      </c>
      <c r="R365" s="27">
        <f t="shared" si="368"/>
        <v>124.76116670493656</v>
      </c>
      <c r="S365" s="27">
        <f t="shared" si="368"/>
        <v>124.45109301183744</v>
      </c>
      <c r="T365" s="27">
        <f t="shared" si="368"/>
        <v>123.93306365321916</v>
      </c>
      <c r="U365" s="27">
        <f t="shared" si="368"/>
        <v>123.73043072946895</v>
      </c>
      <c r="V365" s="27">
        <f t="shared" si="368"/>
        <v>123.37896074880358</v>
      </c>
      <c r="W365" s="27">
        <f t="shared" si="368"/>
        <v>123.00062211774964</v>
      </c>
      <c r="X365" s="27">
        <f t="shared" si="368"/>
        <v>122.92103229124004</v>
      </c>
      <c r="Y365" s="27">
        <f t="shared" si="368"/>
        <v>122.9210322792066</v>
      </c>
      <c r="Z365" s="27">
        <f t="shared" si="368"/>
        <v>122.9210322792066</v>
      </c>
      <c r="AA365" s="27">
        <f t="shared" si="368"/>
        <v>122.9210322792066</v>
      </c>
      <c r="AB365" s="27">
        <f t="shared" si="368"/>
        <v>122.9210322792066</v>
      </c>
      <c r="AC365" s="27">
        <f t="shared" si="368"/>
        <v>122.9210322792066</v>
      </c>
      <c r="AD365" s="27">
        <f t="shared" si="368"/>
        <v>122.9210322792066</v>
      </c>
      <c r="AE365" s="27">
        <f t="shared" si="368"/>
        <v>122.9210322792066</v>
      </c>
      <c r="AF365" s="27">
        <f t="shared" si="368"/>
        <v>122.9210322792066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7.0126027334302461E-107</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1.2611932474989139E-11</v>
      </c>
      <c r="C374" s="3">
        <f t="shared" si="377"/>
        <v>1.4944661455699795E-96</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4.1412784032808549E-3</v>
      </c>
      <c r="C375" s="3">
        <f t="shared" si="378"/>
        <v>9.0380772648816376E-11</v>
      </c>
      <c r="D375" s="3">
        <f t="shared" si="378"/>
        <v>2.2156046678246686E-87</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4.1094098033194325E-2</v>
      </c>
      <c r="C376" s="3">
        <f t="shared" si="379"/>
        <v>8.3692829941501238E-3</v>
      </c>
      <c r="D376" s="3">
        <f t="shared" si="379"/>
        <v>1.0274868150838272E-9</v>
      </c>
      <c r="E376" s="3">
        <f t="shared" si="379"/>
        <v>7.9920152332878629E-79</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4.1128606790854352E-2</v>
      </c>
      <c r="C377" s="3">
        <f t="shared" si="380"/>
        <v>3.5628851475370094E-2</v>
      </c>
      <c r="D377" s="3">
        <f t="shared" si="380"/>
        <v>8.4796917937820897E-3</v>
      </c>
      <c r="E377" s="3">
        <f t="shared" si="380"/>
        <v>4.944956950596686E-9</v>
      </c>
      <c r="F377" s="3">
        <f t="shared" si="380"/>
        <v>2.248987238402803E-71</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4.6858325009615322E-2</v>
      </c>
      <c r="C378" s="3">
        <f t="shared" si="381"/>
        <v>4.6255457142745031E-2</v>
      </c>
      <c r="D378" s="3">
        <f t="shared" si="381"/>
        <v>4.0637328413994665E-2</v>
      </c>
      <c r="E378" s="3">
        <f t="shared" si="381"/>
        <v>1.1131324970580706E-2</v>
      </c>
      <c r="F378" s="3">
        <f t="shared" si="381"/>
        <v>2.6470612629698499E-8</v>
      </c>
      <c r="G378" s="3">
        <f t="shared" si="381"/>
        <v>1.5308593834798962E-64</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4.7056359115254923E-2</v>
      </c>
      <c r="C379" s="3">
        <f t="shared" si="382"/>
        <v>4.7001423307531369E-2</v>
      </c>
      <c r="D379" s="3">
        <f t="shared" si="382"/>
        <v>4.6455580310489131E-2</v>
      </c>
      <c r="E379" s="3">
        <f t="shared" si="382"/>
        <v>4.1333929035862423E-2</v>
      </c>
      <c r="F379" s="3">
        <f t="shared" si="382"/>
        <v>1.2852709432647297E-2</v>
      </c>
      <c r="G379" s="3">
        <f t="shared" si="382"/>
        <v>1.0861121890612886E-7</v>
      </c>
      <c r="H379" s="3">
        <f t="shared" si="382"/>
        <v>2.0168549751312066E-58</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5.187438887917617E-2</v>
      </c>
      <c r="C380" s="3">
        <f t="shared" si="383"/>
        <v>5.1868922905613686E-2</v>
      </c>
      <c r="D380" s="3">
        <f t="shared" si="383"/>
        <v>5.1814294837029005E-2</v>
      </c>
      <c r="E380" s="3">
        <f t="shared" si="383"/>
        <v>5.1271168543344084E-2</v>
      </c>
      <c r="F380" s="3">
        <f t="shared" si="383"/>
        <v>4.6143385259864882E-2</v>
      </c>
      <c r="G380" s="3">
        <f t="shared" si="383"/>
        <v>1.6086880083166628E-2</v>
      </c>
      <c r="H380" s="3">
        <f t="shared" si="383"/>
        <v>4.2667337192160429E-7</v>
      </c>
      <c r="I380" s="3">
        <f t="shared" si="383"/>
        <v>7.3507676517277328E-53</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9.3718986148378786E-2</v>
      </c>
      <c r="C381" s="3">
        <f t="shared" si="384"/>
        <v>9.3718095288247011E-2</v>
      </c>
      <c r="D381" s="3">
        <f t="shared" si="384"/>
        <v>9.3709187152667489E-2</v>
      </c>
      <c r="E381" s="3">
        <f t="shared" si="384"/>
        <v>9.3620152354306235E-2</v>
      </c>
      <c r="F381" s="3">
        <f t="shared" si="384"/>
        <v>9.2734443780891823E-2</v>
      </c>
      <c r="G381" s="3">
        <f t="shared" si="384"/>
        <v>8.4325388389457773E-2</v>
      </c>
      <c r="H381" s="3">
        <f t="shared" si="384"/>
        <v>3.2593510397403019E-2</v>
      </c>
      <c r="I381" s="3">
        <f t="shared" si="384"/>
        <v>2.4258224508601684E-6</v>
      </c>
      <c r="J381" s="3">
        <f t="shared" si="384"/>
        <v>1.265137552893152E-47</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0.10682657573700459</v>
      </c>
      <c r="C382" s="3">
        <f t="shared" si="385"/>
        <v>0.10682648413400012</v>
      </c>
      <c r="D382" s="3">
        <f t="shared" si="385"/>
        <v>0.10682556810827555</v>
      </c>
      <c r="E382" s="3">
        <f t="shared" si="385"/>
        <v>0.10681640828303406</v>
      </c>
      <c r="F382" s="3">
        <f t="shared" si="385"/>
        <v>0.10672485321733136</v>
      </c>
      <c r="G382" s="3">
        <f t="shared" si="385"/>
        <v>0.10581360756094316</v>
      </c>
      <c r="H382" s="3">
        <f t="shared" si="385"/>
        <v>9.7118300130490887E-2</v>
      </c>
      <c r="I382" s="3">
        <f t="shared" si="385"/>
        <v>4.1199939907345821E-2</v>
      </c>
      <c r="J382" s="3">
        <f t="shared" si="385"/>
        <v>7.7777089150563255E-6</v>
      </c>
      <c r="K382" s="3">
        <f t="shared" si="385"/>
        <v>4.4709798609094963E-43</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0.11271230042150812</v>
      </c>
      <c r="C383" s="3">
        <f t="shared" si="386"/>
        <v>0.11271229170287335</v>
      </c>
      <c r="D383" s="3">
        <f t="shared" si="386"/>
        <v>0.11271220451656283</v>
      </c>
      <c r="E383" s="3">
        <f t="shared" si="386"/>
        <v>0.11271133265716683</v>
      </c>
      <c r="F383" s="3">
        <f t="shared" si="386"/>
        <v>0.11270261443412208</v>
      </c>
      <c r="G383" s="3">
        <f t="shared" si="386"/>
        <v>0.1126154692845758</v>
      </c>
      <c r="H383" s="3">
        <f t="shared" si="386"/>
        <v>0.11174771528838849</v>
      </c>
      <c r="I383" s="3">
        <f t="shared" si="386"/>
        <v>0.10342955818886833</v>
      </c>
      <c r="J383" s="3">
        <f t="shared" si="386"/>
        <v>4.7720483884439335E-2</v>
      </c>
      <c r="K383" s="3">
        <f t="shared" si="386"/>
        <v>2.0859626637706065E-5</v>
      </c>
      <c r="L383" s="3">
        <f t="shared" si="386"/>
        <v>5.3127998058085316E-39</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0.1092057139671143</v>
      </c>
      <c r="C384" s="3">
        <f t="shared" si="387"/>
        <v>0.10920571320508944</v>
      </c>
      <c r="D384" s="3">
        <f t="shared" si="387"/>
        <v>0.10920570558484113</v>
      </c>
      <c r="E384" s="3">
        <f t="shared" si="387"/>
        <v>0.10920562938238731</v>
      </c>
      <c r="F384" s="3">
        <f t="shared" si="387"/>
        <v>0.10920486736077359</v>
      </c>
      <c r="G384" s="3">
        <f t="shared" si="387"/>
        <v>0.1091972474370807</v>
      </c>
      <c r="H384" s="3">
        <f t="shared" si="387"/>
        <v>0.10912107743703217</v>
      </c>
      <c r="I384" s="3">
        <f t="shared" si="387"/>
        <v>0.10836229359022612</v>
      </c>
      <c r="J384" s="3">
        <f t="shared" si="387"/>
        <v>0.10105867998047477</v>
      </c>
      <c r="K384" s="3">
        <f t="shared" si="387"/>
        <v>5.0295362929026068E-2</v>
      </c>
      <c r="L384" s="3">
        <f t="shared" si="387"/>
        <v>4.6889024498111559E-5</v>
      </c>
      <c r="M384" s="3">
        <f t="shared" si="387"/>
        <v>2.3254323495150725E-35</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8.5595472987741505E-2</v>
      </c>
      <c r="C385" s="3">
        <f t="shared" si="388"/>
        <v>8.5595472933862313E-2</v>
      </c>
      <c r="D385" s="3">
        <f t="shared" si="388"/>
        <v>8.5595472395070274E-2</v>
      </c>
      <c r="E385" s="3">
        <f t="shared" si="388"/>
        <v>8.559546700715015E-2</v>
      </c>
      <c r="F385" s="3">
        <f t="shared" si="388"/>
        <v>8.5595413127967507E-2</v>
      </c>
      <c r="G385" s="3">
        <f t="shared" si="388"/>
        <v>8.5594874338006388E-2</v>
      </c>
      <c r="H385" s="3">
        <f t="shared" si="388"/>
        <v>8.5589486624922759E-2</v>
      </c>
      <c r="I385" s="3">
        <f t="shared" si="388"/>
        <v>8.553562814249796E-2</v>
      </c>
      <c r="J385" s="3">
        <f t="shared" si="388"/>
        <v>8.499890382346241E-2</v>
      </c>
      <c r="K385" s="3">
        <f t="shared" si="388"/>
        <v>7.981345000394463E-2</v>
      </c>
      <c r="L385" s="3">
        <f t="shared" si="388"/>
        <v>4.2530811989013977E-2</v>
      </c>
      <c r="M385" s="3">
        <f t="shared" si="388"/>
        <v>7.8519870946205657E-5</v>
      </c>
      <c r="N385" s="3">
        <f t="shared" si="388"/>
        <v>3.6119240197666503E-32</v>
      </c>
      <c r="O385" s="3">
        <f t="shared" si="388"/>
        <v>1.5322474034547338E-305</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3.0330599560506617E-2</v>
      </c>
      <c r="C386" s="3">
        <f t="shared" si="389"/>
        <v>3.0330599558784359E-2</v>
      </c>
      <c r="D386" s="3">
        <f t="shared" si="389"/>
        <v>3.0330599541561788E-2</v>
      </c>
      <c r="E386" s="3">
        <f t="shared" si="389"/>
        <v>3.0330599369336089E-2</v>
      </c>
      <c r="F386" s="3">
        <f t="shared" si="389"/>
        <v>3.0330597647079162E-2</v>
      </c>
      <c r="G386" s="3">
        <f t="shared" si="389"/>
        <v>3.0330580424515242E-2</v>
      </c>
      <c r="H386" s="3">
        <f t="shared" si="389"/>
        <v>3.0330408199413923E-2</v>
      </c>
      <c r="I386" s="3">
        <f t="shared" si="389"/>
        <v>3.0328686002186543E-2</v>
      </c>
      <c r="J386" s="3">
        <f t="shared" si="389"/>
        <v>3.0311469407360819E-2</v>
      </c>
      <c r="K386" s="3">
        <f t="shared" si="389"/>
        <v>3.0139840075846032E-2</v>
      </c>
      <c r="L386" s="3">
        <f t="shared" si="389"/>
        <v>2.8476097941457772E-2</v>
      </c>
      <c r="M386" s="3">
        <f t="shared" si="389"/>
        <v>1.613897028746019E-2</v>
      </c>
      <c r="N386" s="3">
        <f t="shared" si="389"/>
        <v>5.5186043952677411E-5</v>
      </c>
      <c r="O386" s="3">
        <f t="shared" si="389"/>
        <v>1.2060454293238823E-29</v>
      </c>
      <c r="P386" s="3">
        <f t="shared" si="389"/>
        <v>2.9971447167523663E-276</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3.2127590787308036E-2</v>
      </c>
      <c r="C387" s="3">
        <f t="shared" si="390"/>
        <v>3.2127590786803481E-2</v>
      </c>
      <c r="D387" s="3">
        <f t="shared" si="390"/>
        <v>3.2127590781757934E-2</v>
      </c>
      <c r="E387" s="3">
        <f t="shared" si="390"/>
        <v>3.2127590731302495E-2</v>
      </c>
      <c r="F387" s="3">
        <f t="shared" si="390"/>
        <v>3.2127590226748118E-2</v>
      </c>
      <c r="G387" s="3">
        <f t="shared" si="390"/>
        <v>3.2127585181204787E-2</v>
      </c>
      <c r="H387" s="3">
        <f t="shared" si="390"/>
        <v>3.212753472581506E-2</v>
      </c>
      <c r="I387" s="3">
        <f t="shared" si="390"/>
        <v>3.2127030176275904E-2</v>
      </c>
      <c r="J387" s="3">
        <f t="shared" si="390"/>
        <v>3.2121985116669485E-2</v>
      </c>
      <c r="K387" s="3">
        <f t="shared" si="390"/>
        <v>3.207157807381137E-2</v>
      </c>
      <c r="L387" s="3">
        <f t="shared" si="390"/>
        <v>3.1571837764154544E-2</v>
      </c>
      <c r="M387" s="3">
        <f t="shared" si="390"/>
        <v>2.6983307901961226E-2</v>
      </c>
      <c r="N387" s="3">
        <f t="shared" si="390"/>
        <v>5.6111057659227227E-3</v>
      </c>
      <c r="O387" s="3">
        <f t="shared" si="390"/>
        <v>8.4836181798463947E-10</v>
      </c>
      <c r="P387" s="3">
        <f t="shared" si="390"/>
        <v>5.2955089381091145E-78</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1.5939358035984012E-2</v>
      </c>
      <c r="C388" s="3">
        <f t="shared" si="391"/>
        <v>1.593935803595898E-2</v>
      </c>
      <c r="D388" s="3">
        <f t="shared" si="391"/>
        <v>1.5939358035708655E-2</v>
      </c>
      <c r="E388" s="3">
        <f t="shared" si="391"/>
        <v>1.5939358033205429E-2</v>
      </c>
      <c r="F388" s="3">
        <f t="shared" si="391"/>
        <v>1.5939358008173133E-2</v>
      </c>
      <c r="G388" s="3">
        <f t="shared" si="391"/>
        <v>1.5939357757850197E-2</v>
      </c>
      <c r="H388" s="3">
        <f t="shared" si="391"/>
        <v>1.5939355254621052E-2</v>
      </c>
      <c r="I388" s="3">
        <f t="shared" si="391"/>
        <v>1.5939330222351219E-2</v>
      </c>
      <c r="J388" s="3">
        <f t="shared" si="391"/>
        <v>1.5939079901815055E-2</v>
      </c>
      <c r="K388" s="3">
        <f t="shared" si="391"/>
        <v>1.593657691265811E-2</v>
      </c>
      <c r="L388" s="3">
        <f t="shared" si="391"/>
        <v>1.5911568629000349E-2</v>
      </c>
      <c r="M388" s="3">
        <f t="shared" si="391"/>
        <v>1.5663634080364103E-2</v>
      </c>
      <c r="N388" s="3">
        <f t="shared" si="391"/>
        <v>1.3387141553539405E-2</v>
      </c>
      <c r="O388" s="3">
        <f t="shared" si="391"/>
        <v>2.7838198130937433E-3</v>
      </c>
      <c r="P388" s="3">
        <f t="shared" si="391"/>
        <v>4.2089501358552595E-10</v>
      </c>
      <c r="Q388" s="3">
        <f t="shared" si="391"/>
        <v>2.6272437764143526E-78</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1.0098226932664706E-3</v>
      </c>
      <c r="C389" s="3">
        <f t="shared" si="392"/>
        <v>1.0098226932663118E-3</v>
      </c>
      <c r="D389" s="3">
        <f t="shared" si="392"/>
        <v>1.0098226932647261E-3</v>
      </c>
      <c r="E389" s="3">
        <f t="shared" si="392"/>
        <v>1.009822693248867E-3</v>
      </c>
      <c r="F389" s="3">
        <f t="shared" si="392"/>
        <v>1.0098226930902773E-3</v>
      </c>
      <c r="G389" s="3">
        <f t="shared" si="392"/>
        <v>1.0098226915043805E-3</v>
      </c>
      <c r="H389" s="3">
        <f t="shared" si="392"/>
        <v>1.0098226756454116E-3</v>
      </c>
      <c r="I389" s="3">
        <f t="shared" si="392"/>
        <v>1.0098225170557375E-3</v>
      </c>
      <c r="J389" s="3">
        <f t="shared" si="392"/>
        <v>1.0098209311603654E-3</v>
      </c>
      <c r="K389" s="3">
        <f t="shared" si="392"/>
        <v>1.0098050723436277E-3</v>
      </c>
      <c r="L389" s="3">
        <f t="shared" si="392"/>
        <v>1.0096464978736914E-3</v>
      </c>
      <c r="M389" s="3">
        <f t="shared" si="392"/>
        <v>1.0080621221227836E-3</v>
      </c>
      <c r="N389" s="3">
        <f t="shared" si="392"/>
        <v>9.9235446732938524E-4</v>
      </c>
      <c r="O389" s="3">
        <f t="shared" si="392"/>
        <v>8.4812947348402736E-4</v>
      </c>
      <c r="P389" s="3">
        <f t="shared" si="392"/>
        <v>1.7636622597221797E-4</v>
      </c>
      <c r="Q389" s="3">
        <f t="shared" si="392"/>
        <v>2.6665398646656201E-11</v>
      </c>
      <c r="R389" s="3">
        <f t="shared" si="392"/>
        <v>1.66446501808698E-79</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3.5232790951536547E-3</v>
      </c>
      <c r="C390" s="3">
        <f t="shared" si="393"/>
        <v>3.5232790951535992E-3</v>
      </c>
      <c r="D390" s="3">
        <f t="shared" si="393"/>
        <v>3.5232790951530459E-3</v>
      </c>
      <c r="E390" s="3">
        <f t="shared" si="393"/>
        <v>3.523279095147513E-3</v>
      </c>
      <c r="F390" s="3">
        <f t="shared" si="393"/>
        <v>3.5232790950921805E-3</v>
      </c>
      <c r="G390" s="3">
        <f t="shared" si="393"/>
        <v>3.5232790945388601E-3</v>
      </c>
      <c r="H390" s="3">
        <f t="shared" si="393"/>
        <v>3.5232790890056538E-3</v>
      </c>
      <c r="I390" s="3">
        <f t="shared" si="393"/>
        <v>3.5232790336735902E-3</v>
      </c>
      <c r="J390" s="3">
        <f t="shared" si="393"/>
        <v>3.5232784803530051E-3</v>
      </c>
      <c r="K390" s="3">
        <f t="shared" si="393"/>
        <v>3.5232729471519307E-3</v>
      </c>
      <c r="L390" s="3">
        <f t="shared" si="393"/>
        <v>3.5232176156191198E-3</v>
      </c>
      <c r="M390" s="3">
        <f t="shared" si="393"/>
        <v>3.5226643480814842E-3</v>
      </c>
      <c r="N390" s="3">
        <f t="shared" si="393"/>
        <v>3.5171364489767565E-3</v>
      </c>
      <c r="O390" s="3">
        <f t="shared" si="393"/>
        <v>3.4623323213447523E-3</v>
      </c>
      <c r="P390" s="3">
        <f t="shared" si="393"/>
        <v>2.9591302154678176E-3</v>
      </c>
      <c r="Q390" s="3">
        <f t="shared" si="393"/>
        <v>6.1534311043164546E-4</v>
      </c>
      <c r="R390" s="3">
        <f t="shared" si="393"/>
        <v>9.3035779689008824E-11</v>
      </c>
      <c r="S390" s="3">
        <f t="shared" si="393"/>
        <v>5.8073311700600018E-79</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1.7526056431954546E-4</v>
      </c>
      <c r="C391" s="3">
        <f t="shared" si="394"/>
        <v>1.7526056431954519E-4</v>
      </c>
      <c r="D391" s="3">
        <f t="shared" si="394"/>
        <v>1.7526056431954243E-4</v>
      </c>
      <c r="E391" s="3">
        <f t="shared" si="394"/>
        <v>1.7526056431951492E-4</v>
      </c>
      <c r="F391" s="3">
        <f t="shared" si="394"/>
        <v>1.7526056431923967E-4</v>
      </c>
      <c r="G391" s="3">
        <f t="shared" si="394"/>
        <v>1.7526056431648726E-4</v>
      </c>
      <c r="H391" s="3">
        <f t="shared" si="394"/>
        <v>1.752605642889631E-4</v>
      </c>
      <c r="I391" s="3">
        <f t="shared" si="394"/>
        <v>1.7526056401372152E-4</v>
      </c>
      <c r="J391" s="3">
        <f t="shared" si="394"/>
        <v>1.7526056126130582E-4</v>
      </c>
      <c r="K391" s="3">
        <f t="shared" si="394"/>
        <v>1.7526053373715137E-4</v>
      </c>
      <c r="L391" s="3">
        <f t="shared" si="394"/>
        <v>1.7526025849584447E-4</v>
      </c>
      <c r="M391" s="3">
        <f t="shared" si="394"/>
        <v>1.7525750610654936E-4</v>
      </c>
      <c r="N391" s="3">
        <f t="shared" si="394"/>
        <v>1.7522998459086839E-4</v>
      </c>
      <c r="O391" s="3">
        <f t="shared" si="394"/>
        <v>1.749550070229747E-4</v>
      </c>
      <c r="P391" s="3">
        <f t="shared" si="394"/>
        <v>1.7222885275689983E-4</v>
      </c>
      <c r="Q391" s="3">
        <f t="shared" si="394"/>
        <v>1.4719777157911736E-4</v>
      </c>
      <c r="R391" s="3">
        <f t="shared" si="394"/>
        <v>3.0609377761965553E-5</v>
      </c>
      <c r="S391" s="3">
        <f t="shared" si="394"/>
        <v>4.6279340381047679E-12</v>
      </c>
      <c r="T391" s="3">
        <f t="shared" si="394"/>
        <v>2.8887752305947056E-80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1.1765348907566872E-4</v>
      </c>
      <c r="C393" s="3">
        <f t="shared" si="396"/>
        <v>1.1765348907566872E-4</v>
      </c>
      <c r="D393" s="3">
        <f t="shared" si="396"/>
        <v>1.176534890756687E-4</v>
      </c>
      <c r="E393" s="3">
        <f t="shared" si="396"/>
        <v>1.1765348907566852E-4</v>
      </c>
      <c r="F393" s="3">
        <f t="shared" si="396"/>
        <v>1.1765348907566668E-4</v>
      </c>
      <c r="G393" s="3">
        <f t="shared" si="396"/>
        <v>1.1765348907564819E-4</v>
      </c>
      <c r="H393" s="3">
        <f t="shared" si="396"/>
        <v>1.1765348907546343E-4</v>
      </c>
      <c r="I393" s="3">
        <f t="shared" si="396"/>
        <v>1.1765348907361571E-4</v>
      </c>
      <c r="J393" s="3">
        <f t="shared" si="396"/>
        <v>1.1765348905513857E-4</v>
      </c>
      <c r="K393" s="3">
        <f t="shared" si="396"/>
        <v>1.1765348887036722E-4</v>
      </c>
      <c r="L393" s="3">
        <f t="shared" si="396"/>
        <v>1.1765348702265373E-4</v>
      </c>
      <c r="M393" s="3">
        <f t="shared" si="396"/>
        <v>1.1765346854552045E-4</v>
      </c>
      <c r="N393" s="3">
        <f t="shared" si="396"/>
        <v>1.1765328377434718E-4</v>
      </c>
      <c r="O393" s="3">
        <f t="shared" si="396"/>
        <v>1.1765143607857421E-4</v>
      </c>
      <c r="P393" s="3">
        <f t="shared" si="396"/>
        <v>1.1763296071672034E-4</v>
      </c>
      <c r="Q393" s="3">
        <f t="shared" si="396"/>
        <v>1.1744836659307453E-4</v>
      </c>
      <c r="R393" s="3">
        <f t="shared" si="396"/>
        <v>1.1561828255558719E-4</v>
      </c>
      <c r="S393" s="3">
        <f t="shared" si="396"/>
        <v>9.8814764620240827E-5</v>
      </c>
      <c r="T393" s="3">
        <f t="shared" si="396"/>
        <v>2.0548262560448718E-5</v>
      </c>
      <c r="U393" s="3">
        <f t="shared" si="396"/>
        <v>3.1067604335811877E-12</v>
      </c>
      <c r="V393" s="3">
        <f t="shared" si="396"/>
        <v>1.9392524858881386E-80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6.5987032321069097E-5</v>
      </c>
      <c r="C395" s="3">
        <f t="shared" si="398"/>
        <v>6.5987032321069097E-5</v>
      </c>
      <c r="D395" s="3">
        <f t="shared" si="398"/>
        <v>6.5987032321069097E-5</v>
      </c>
      <c r="E395" s="3">
        <f t="shared" si="398"/>
        <v>6.5987032321069097E-5</v>
      </c>
      <c r="F395" s="3">
        <f t="shared" si="398"/>
        <v>6.5987032321069083E-5</v>
      </c>
      <c r="G395" s="3">
        <f t="shared" si="398"/>
        <v>6.5987032321068975E-5</v>
      </c>
      <c r="H395" s="3">
        <f t="shared" si="398"/>
        <v>6.5987032321067945E-5</v>
      </c>
      <c r="I395" s="3">
        <f t="shared" si="398"/>
        <v>6.5987032321057577E-5</v>
      </c>
      <c r="J395" s="3">
        <f t="shared" si="398"/>
        <v>6.5987032320953955E-5</v>
      </c>
      <c r="K395" s="3">
        <f t="shared" si="398"/>
        <v>6.5987032319917647E-5</v>
      </c>
      <c r="L395" s="3">
        <f t="shared" si="398"/>
        <v>6.5987032309554572E-5</v>
      </c>
      <c r="M395" s="3">
        <f t="shared" si="398"/>
        <v>6.5987032205923872E-5</v>
      </c>
      <c r="N395" s="3">
        <f t="shared" si="398"/>
        <v>6.5987031169616913E-5</v>
      </c>
      <c r="O395" s="3">
        <f t="shared" si="398"/>
        <v>6.5987020806548206E-5</v>
      </c>
      <c r="P395" s="3">
        <f t="shared" si="398"/>
        <v>6.5986917175950613E-5</v>
      </c>
      <c r="Q395" s="3">
        <f t="shared" si="398"/>
        <v>6.5985880878925777E-5</v>
      </c>
      <c r="R395" s="3">
        <f t="shared" si="398"/>
        <v>6.5975518803738947E-5</v>
      </c>
      <c r="S395" s="3">
        <f t="shared" si="398"/>
        <v>6.5871987506035894E-5</v>
      </c>
      <c r="T395" s="3">
        <f t="shared" si="398"/>
        <v>6.4845568183662195E-5</v>
      </c>
      <c r="U395" s="3">
        <f t="shared" si="398"/>
        <v>5.5421161905372976E-5</v>
      </c>
      <c r="V395" s="3">
        <f t="shared" si="398"/>
        <v>1.1524680452494577E-5</v>
      </c>
      <c r="W395" s="3">
        <f t="shared" si="398"/>
        <v>1.7424549221204237E-12</v>
      </c>
      <c r="X395" s="3">
        <f t="shared" si="398"/>
        <v>1.0876474422506356E-80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6.9850122094838041E-5</v>
      </c>
      <c r="C396" s="3">
        <f t="shared" si="399"/>
        <v>6.9850122094838041E-5</v>
      </c>
      <c r="D396" s="3">
        <f t="shared" si="399"/>
        <v>6.9850122094838041E-5</v>
      </c>
      <c r="E396" s="3">
        <f t="shared" si="399"/>
        <v>6.9850122094838041E-5</v>
      </c>
      <c r="F396" s="3">
        <f t="shared" si="399"/>
        <v>6.9850122094838041E-5</v>
      </c>
      <c r="G396" s="3">
        <f t="shared" si="399"/>
        <v>6.9850122094838028E-5</v>
      </c>
      <c r="H396" s="3">
        <f t="shared" si="399"/>
        <v>6.9850122094837919E-5</v>
      </c>
      <c r="I396" s="3">
        <f t="shared" si="399"/>
        <v>6.9850122094836822E-5</v>
      </c>
      <c r="J396" s="3">
        <f t="shared" si="399"/>
        <v>6.9850122094825844E-5</v>
      </c>
      <c r="K396" s="3">
        <f t="shared" si="399"/>
        <v>6.9850122094716163E-5</v>
      </c>
      <c r="L396" s="3">
        <f t="shared" si="399"/>
        <v>6.9850122093619181E-5</v>
      </c>
      <c r="M396" s="3">
        <f t="shared" si="399"/>
        <v>6.9850122082649427E-5</v>
      </c>
      <c r="N396" s="3">
        <f t="shared" si="399"/>
        <v>6.9850121972951857E-5</v>
      </c>
      <c r="O396" s="3">
        <f t="shared" si="399"/>
        <v>6.9850120875976197E-5</v>
      </c>
      <c r="P396" s="3">
        <f t="shared" si="399"/>
        <v>6.9850109906220644E-5</v>
      </c>
      <c r="Q396" s="3">
        <f t="shared" si="399"/>
        <v>6.9850000208759785E-5</v>
      </c>
      <c r="R396" s="3">
        <f t="shared" si="399"/>
        <v>6.9848903243626418E-5</v>
      </c>
      <c r="S396" s="3">
        <f t="shared" si="399"/>
        <v>6.9837934539753894E-5</v>
      </c>
      <c r="T396" s="3">
        <f t="shared" si="399"/>
        <v>6.9728342192124023E-5</v>
      </c>
      <c r="U396" s="3">
        <f t="shared" si="399"/>
        <v>6.86418330331811E-5</v>
      </c>
      <c r="V396" s="3">
        <f t="shared" si="399"/>
        <v>5.8665692175583046E-5</v>
      </c>
      <c r="W396" s="3">
        <f t="shared" si="399"/>
        <v>1.2199371731007666E-5</v>
      </c>
      <c r="X396" s="3">
        <f t="shared" si="399"/>
        <v>1.8444637495237368E-12</v>
      </c>
      <c r="Y396" s="3">
        <f t="shared" si="399"/>
        <v>1.151321766793381E-80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3.9424374416833739E-2</v>
      </c>
      <c r="B397" s="80">
        <f>IF($A$64&lt;=B363,IF($B$64&gt;=B363,ABS((B365-B364)/B364),0),0)</f>
        <v>4.9259200012427987E-3</v>
      </c>
      <c r="C397" s="80">
        <f t="shared" ref="C397:AF397" si="400">IF($A$64&lt;=C363,IF($B$64&gt;=C363,ABS((C365-C364)/C364),0),0)</f>
        <v>1.3766301156869562E-2</v>
      </c>
      <c r="D397" s="80">
        <f t="shared" si="400"/>
        <v>1.7163245850760137E-2</v>
      </c>
      <c r="E397" s="80">
        <f t="shared" si="400"/>
        <v>1.7114828178240955E-2</v>
      </c>
      <c r="F397" s="80">
        <f t="shared" si="400"/>
        <v>1.9768030695959414E-2</v>
      </c>
      <c r="G397" s="80">
        <f t="shared" si="400"/>
        <v>2.0213050380046681E-2</v>
      </c>
      <c r="H397" s="80">
        <f t="shared" si="400"/>
        <v>5.9537338029411425E-3</v>
      </c>
      <c r="I397" s="80">
        <f t="shared" si="400"/>
        <v>2.1839509584092531E-2</v>
      </c>
      <c r="J397" s="80">
        <f t="shared" si="400"/>
        <v>4.2997621448863065E-2</v>
      </c>
      <c r="K397" s="80">
        <f t="shared" si="400"/>
        <v>2.746348872947459E-2</v>
      </c>
      <c r="L397" s="80">
        <f t="shared" si="400"/>
        <v>1.1684710880283368E-2</v>
      </c>
      <c r="M397" s="80">
        <f t="shared" si="400"/>
        <v>1.3320296174877256E-2</v>
      </c>
      <c r="N397" s="80">
        <f t="shared" si="400"/>
        <v>5.1489113429495637E-2</v>
      </c>
      <c r="O397" s="80">
        <f t="shared" si="400"/>
        <v>0.103495620334427</v>
      </c>
      <c r="P397" s="80">
        <f t="shared" si="400"/>
        <v>9.935908101360251E-2</v>
      </c>
      <c r="Q397" s="80">
        <f t="shared" si="400"/>
        <v>0.12057086612309853</v>
      </c>
      <c r="R397" s="80">
        <f t="shared" si="400"/>
        <v>0.12180790134949487</v>
      </c>
      <c r="S397" s="80">
        <f t="shared" si="400"/>
        <v>0.11258773476693348</v>
      </c>
      <c r="T397" s="80">
        <f t="shared" si="400"/>
        <v>9.6247792261503595E-2</v>
      </c>
      <c r="U397" s="80">
        <f t="shared" si="400"/>
        <v>7.381479315770062E-2</v>
      </c>
      <c r="V397" s="80">
        <f t="shared" si="400"/>
        <v>5.5334456510322434E-2</v>
      </c>
      <c r="W397" s="80">
        <f t="shared" si="400"/>
        <v>4.2224125549238198E-2</v>
      </c>
      <c r="X397" s="80">
        <f t="shared" si="400"/>
        <v>3.155139083734311E-2</v>
      </c>
      <c r="Y397" s="80">
        <f t="shared" si="400"/>
        <v>2.3497822643045098E-2</v>
      </c>
      <c r="Z397" s="80">
        <f t="shared" si="400"/>
        <v>1.7504438951175646E-2</v>
      </c>
      <c r="AA397" s="80">
        <f t="shared" si="400"/>
        <v>1.639453227028418E-2</v>
      </c>
      <c r="AB397" s="80">
        <f t="shared" si="400"/>
        <v>1.482758411920169E-2</v>
      </c>
      <c r="AC397" s="80">
        <f t="shared" si="400"/>
        <v>8.1905999504363301E-3</v>
      </c>
      <c r="AD397" s="80">
        <f t="shared" si="400"/>
        <v>8.0842486733084685E-3</v>
      </c>
      <c r="AE397" s="80">
        <f t="shared" si="400"/>
        <v>4.5274759238669903E-3</v>
      </c>
      <c r="AF397" s="80">
        <f t="shared" si="400"/>
        <v>4.4352921737165927E-3</v>
      </c>
    </row>
    <row r="398" spans="1:34" x14ac:dyDescent="0.25">
      <c r="B398" s="21">
        <f>(B365-B364)^2</f>
        <v>725.76582499139306</v>
      </c>
      <c r="C398" s="21">
        <f t="shared" ref="C398:AF398" si="401">(C365-C364)^2</f>
        <v>5015.4313035547602</v>
      </c>
      <c r="D398" s="21">
        <f t="shared" si="401"/>
        <v>6956.3013427452779</v>
      </c>
      <c r="E398" s="21">
        <f t="shared" si="401"/>
        <v>6141.9026897096419</v>
      </c>
      <c r="F398" s="21">
        <f t="shared" si="401"/>
        <v>7140.4176245403251</v>
      </c>
      <c r="G398" s="21">
        <f t="shared" si="401"/>
        <v>6336.5016156262182</v>
      </c>
      <c r="H398" s="21">
        <f t="shared" si="401"/>
        <v>432.14146117985769</v>
      </c>
      <c r="I398" s="21">
        <f t="shared" si="401"/>
        <v>4121.4182468309882</v>
      </c>
      <c r="J398" s="21">
        <f t="shared" si="401"/>
        <v>9697.9868380432363</v>
      </c>
      <c r="K398" s="21">
        <f t="shared" si="401"/>
        <v>1828.1735248273551</v>
      </c>
      <c r="L398" s="21">
        <f t="shared" si="401"/>
        <v>120.54203082509407</v>
      </c>
      <c r="M398" s="21">
        <f t="shared" si="401"/>
        <v>50.2594596139621</v>
      </c>
      <c r="N398" s="21">
        <f t="shared" si="401"/>
        <v>230.1113586080489</v>
      </c>
      <c r="O398" s="21">
        <f t="shared" si="401"/>
        <v>394.27202444008248</v>
      </c>
      <c r="P398" s="21">
        <f t="shared" si="401"/>
        <v>259.97810319837583</v>
      </c>
      <c r="Q398" s="21">
        <f t="shared" si="401"/>
        <v>315.46193671173415</v>
      </c>
      <c r="R398" s="21">
        <f t="shared" si="401"/>
        <v>299.45441855865215</v>
      </c>
      <c r="S398" s="21">
        <f t="shared" si="401"/>
        <v>249.30370869641206</v>
      </c>
      <c r="T398" s="21">
        <f t="shared" si="401"/>
        <v>174.20362250087527</v>
      </c>
      <c r="U398" s="21">
        <f t="shared" si="401"/>
        <v>97.239828366628004</v>
      </c>
      <c r="V398" s="21">
        <f t="shared" si="401"/>
        <v>52.229679788713817</v>
      </c>
      <c r="W398" s="21">
        <f t="shared" si="401"/>
        <v>29.404118060259048</v>
      </c>
      <c r="X398" s="21">
        <f t="shared" si="401"/>
        <v>16.037484693774406</v>
      </c>
      <c r="Y398" s="21">
        <f t="shared" si="401"/>
        <v>8.7490562464611514</v>
      </c>
      <c r="Z398" s="21">
        <f t="shared" si="401"/>
        <v>4.7960929859522761</v>
      </c>
      <c r="AA398" s="21">
        <f t="shared" si="401"/>
        <v>4.1976728740987204</v>
      </c>
      <c r="AB398" s="21">
        <f t="shared" si="401"/>
        <v>3.4226989670599877</v>
      </c>
      <c r="AC398" s="21">
        <f t="shared" si="401"/>
        <v>1.0304510976596089</v>
      </c>
      <c r="AD398" s="21">
        <f t="shared" si="401"/>
        <v>1.0036496836594662</v>
      </c>
      <c r="AE398" s="21">
        <f t="shared" si="401"/>
        <v>0.31254038393027972</v>
      </c>
      <c r="AF398" s="21">
        <f t="shared" si="401"/>
        <v>0.29988716621478978</v>
      </c>
      <c r="AG398" s="3"/>
      <c r="AH398" s="3"/>
    </row>
    <row r="399" spans="1:34" x14ac:dyDescent="0.25">
      <c r="A399" s="71">
        <f>SUM(B399:AF399)</f>
        <v>50708.350295516677</v>
      </c>
      <c r="B399" s="60">
        <f>IF($A$64&lt;=B363,IF($B$64&gt;=B363,ABS(B398),0),0)</f>
        <v>725.76582499139306</v>
      </c>
      <c r="C399" s="60">
        <f t="shared" ref="C399" si="402">IF($A$64&lt;=C363,IF($B$64&gt;=C363,ABS(C398),0),0)</f>
        <v>5015.4313035547602</v>
      </c>
      <c r="D399" s="60">
        <f t="shared" ref="D399" si="403">IF($A$64&lt;=D363,IF($B$64&gt;=D363,ABS(D398),0),0)</f>
        <v>6956.3013427452779</v>
      </c>
      <c r="E399" s="60">
        <f t="shared" ref="E399" si="404">IF($A$64&lt;=E363,IF($B$64&gt;=E363,ABS(E398),0),0)</f>
        <v>6141.9026897096419</v>
      </c>
      <c r="F399" s="60">
        <f t="shared" ref="F399" si="405">IF($A$64&lt;=F363,IF($B$64&gt;=F363,ABS(F398),0),0)</f>
        <v>7140.4176245403251</v>
      </c>
      <c r="G399" s="60">
        <f t="shared" ref="G399" si="406">IF($A$64&lt;=G363,IF($B$64&gt;=G363,ABS(G398),0),0)</f>
        <v>6336.5016156262182</v>
      </c>
      <c r="H399" s="60">
        <f t="shared" ref="H399" si="407">IF($A$64&lt;=H363,IF($B$64&gt;=H363,ABS(H398),0),0)</f>
        <v>432.14146117985769</v>
      </c>
      <c r="I399" s="60">
        <f t="shared" ref="I399" si="408">IF($A$64&lt;=I363,IF($B$64&gt;=I363,ABS(I398),0),0)</f>
        <v>4121.4182468309882</v>
      </c>
      <c r="J399" s="60">
        <f t="shared" ref="J399" si="409">IF($A$64&lt;=J363,IF($B$64&gt;=J363,ABS(J398),0),0)</f>
        <v>9697.9868380432363</v>
      </c>
      <c r="K399" s="60">
        <f t="shared" ref="K399" si="410">IF($A$64&lt;=K363,IF($B$64&gt;=K363,ABS(K398),0),0)</f>
        <v>1828.1735248273551</v>
      </c>
      <c r="L399" s="60">
        <f t="shared" ref="L399" si="411">IF($A$64&lt;=L363,IF($B$64&gt;=L363,ABS(L398),0),0)</f>
        <v>120.54203082509407</v>
      </c>
      <c r="M399" s="60">
        <f t="shared" ref="M399" si="412">IF($A$64&lt;=M363,IF($B$64&gt;=M363,ABS(M398),0),0)</f>
        <v>50.2594596139621</v>
      </c>
      <c r="N399" s="60">
        <f t="shared" ref="N399" si="413">IF($A$64&lt;=N363,IF($B$64&gt;=N363,ABS(N398),0),0)</f>
        <v>230.1113586080489</v>
      </c>
      <c r="O399" s="60">
        <f t="shared" ref="O399" si="414">IF($A$64&lt;=O363,IF($B$64&gt;=O363,ABS(O398),0),0)</f>
        <v>394.27202444008248</v>
      </c>
      <c r="P399" s="60">
        <f t="shared" ref="P399" si="415">IF($A$64&lt;=P363,IF($B$64&gt;=P363,ABS(P398),0),0)</f>
        <v>259.97810319837583</v>
      </c>
      <c r="Q399" s="60">
        <f t="shared" ref="Q399" si="416">IF($A$64&lt;=Q363,IF($B$64&gt;=Q363,ABS(Q398),0),0)</f>
        <v>315.46193671173415</v>
      </c>
      <c r="R399" s="60">
        <f t="shared" ref="R399" si="417">IF($A$64&lt;=R363,IF($B$64&gt;=R363,ABS(R398),0),0)</f>
        <v>299.45441855865215</v>
      </c>
      <c r="S399" s="60">
        <f t="shared" ref="S399" si="418">IF($A$64&lt;=S363,IF($B$64&gt;=S363,ABS(S398),0),0)</f>
        <v>249.30370869641206</v>
      </c>
      <c r="T399" s="60">
        <f t="shared" ref="T399" si="419">IF($A$64&lt;=T363,IF($B$64&gt;=T363,ABS(T398),0),0)</f>
        <v>174.20362250087527</v>
      </c>
      <c r="U399" s="60">
        <f t="shared" ref="U399" si="420">IF($A$64&lt;=U363,IF($B$64&gt;=U363,ABS(U398),0),0)</f>
        <v>97.239828366628004</v>
      </c>
      <c r="V399" s="60">
        <f t="shared" ref="V399" si="421">IF($A$64&lt;=V363,IF($B$64&gt;=V363,ABS(V398),0),0)</f>
        <v>52.229679788713817</v>
      </c>
      <c r="W399" s="60">
        <f t="shared" ref="W399" si="422">IF($A$64&lt;=W363,IF($B$64&gt;=W363,ABS(W398),0),0)</f>
        <v>29.404118060259048</v>
      </c>
      <c r="X399" s="60">
        <f t="shared" ref="X399" si="423">IF($A$64&lt;=X363,IF($B$64&gt;=X363,ABS(X398),0),0)</f>
        <v>16.037484693774406</v>
      </c>
      <c r="Y399" s="60">
        <f t="shared" ref="Y399" si="424">IF($A$64&lt;=Y363,IF($B$64&gt;=Y363,ABS(Y398),0),0)</f>
        <v>8.7490562464611514</v>
      </c>
      <c r="Z399" s="60">
        <f t="shared" ref="Z399" si="425">IF($A$64&lt;=Z363,IF($B$64&gt;=Z363,ABS(Z398),0),0)</f>
        <v>4.7960929859522761</v>
      </c>
      <c r="AA399" s="60">
        <f t="shared" ref="AA399" si="426">IF($A$64&lt;=AA363,IF($B$64&gt;=AA363,ABS(AA398),0),0)</f>
        <v>4.1976728740987204</v>
      </c>
      <c r="AB399" s="60">
        <f t="shared" ref="AB399" si="427">IF($A$64&lt;=AB363,IF($B$64&gt;=AB363,ABS(AB398),0),0)</f>
        <v>3.4226989670599877</v>
      </c>
      <c r="AC399" s="60">
        <f t="shared" ref="AC399" si="428">IF($A$64&lt;=AC363,IF($B$64&gt;=AC363,ABS(AC398),0),0)</f>
        <v>1.0304510976596089</v>
      </c>
      <c r="AD399" s="60">
        <f t="shared" ref="AD399" si="429">IF($A$64&lt;=AD363,IF($B$64&gt;=AD363,ABS(AD398),0),0)</f>
        <v>1.0036496836594662</v>
      </c>
      <c r="AE399" s="60">
        <f t="shared" ref="AE399" si="430">IF($A$64&lt;=AE363,IF($B$64&gt;=AE363,ABS(AE398),0),0)</f>
        <v>0.31254038393027972</v>
      </c>
      <c r="AF399" s="60">
        <f t="shared" ref="AF399" si="431">IF($A$64&lt;=AF363,IF($B$64&gt;=AF363,ABS(AF398),0),0)</f>
        <v>0.29988716621478978</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-24.635274013105377</v>
      </c>
      <c r="C403" s="107">
        <f t="shared" ref="C403:H403" si="432">IF(C125=$B$2,0,C126)</f>
        <v>-21.515325644798491</v>
      </c>
      <c r="D403" s="107">
        <f t="shared" si="432"/>
        <v>-17.307978877914891</v>
      </c>
      <c r="E403" s="107">
        <f t="shared" si="432"/>
        <v>-10.743893827874675</v>
      </c>
      <c r="F403" s="107">
        <f t="shared" si="432"/>
        <v>0</v>
      </c>
      <c r="G403" s="107">
        <f t="shared" si="432"/>
        <v>19.380397857459062</v>
      </c>
      <c r="H403" s="107">
        <f t="shared" si="432"/>
        <v>23.582586792413974</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2.0000296587582687E-26</v>
      </c>
      <c r="C404" s="3">
        <f t="shared" ref="C404:H419" si="433">$A404/EXP(-C$403)</f>
        <v>4.5291092433694712E-25</v>
      </c>
      <c r="D404" s="3">
        <f t="shared" si="433"/>
        <v>3.0425679098383752E-23</v>
      </c>
      <c r="E404" s="3">
        <f t="shared" si="433"/>
        <v>2.1576758285709431E-20</v>
      </c>
      <c r="F404" s="3">
        <f t="shared" si="433"/>
        <v>1.0000000000000001E-15</v>
      </c>
      <c r="G404" s="3">
        <f t="shared" si="433"/>
        <v>2.6109577642565286E-7</v>
      </c>
      <c r="H404" s="3">
        <f t="shared" si="433"/>
        <v>1.7449673807042556E-5</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2.0000296587582685E-25</v>
      </c>
      <c r="C405" s="3">
        <f t="shared" si="433"/>
        <v>4.5291092433694708E-24</v>
      </c>
      <c r="D405" s="3">
        <f t="shared" si="433"/>
        <v>3.0425679098383754E-22</v>
      </c>
      <c r="E405" s="3">
        <f t="shared" si="433"/>
        <v>2.157675828570943E-19</v>
      </c>
      <c r="F405" s="3">
        <f t="shared" si="433"/>
        <v>1E-14</v>
      </c>
      <c r="G405" s="3">
        <f t="shared" si="433"/>
        <v>2.6109577642565279E-6</v>
      </c>
      <c r="H405" s="3">
        <f t="shared" si="433"/>
        <v>1.7449673807042555E-4</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2.0000296587582686E-24</v>
      </c>
      <c r="C406" s="3">
        <f t="shared" si="433"/>
        <v>4.5291092433694713E-23</v>
      </c>
      <c r="D406" s="3">
        <f t="shared" si="433"/>
        <v>3.0425679098383751E-21</v>
      </c>
      <c r="E406" s="3">
        <f t="shared" si="433"/>
        <v>2.1576758285709429E-18</v>
      </c>
      <c r="F406" s="3">
        <f t="shared" si="433"/>
        <v>1E-13</v>
      </c>
      <c r="G406" s="3">
        <f t="shared" si="433"/>
        <v>2.6109577642565281E-5</v>
      </c>
      <c r="H406" s="3">
        <f t="shared" si="433"/>
        <v>1.7449673807042555E-3</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2.0000296587582683E-23</v>
      </c>
      <c r="C407" s="3">
        <f t="shared" si="433"/>
        <v>4.529109243369471E-22</v>
      </c>
      <c r="D407" s="3">
        <f t="shared" si="433"/>
        <v>3.0425679098383751E-20</v>
      </c>
      <c r="E407" s="3">
        <f t="shared" si="433"/>
        <v>2.157675828570943E-17</v>
      </c>
      <c r="F407" s="3">
        <f t="shared" si="433"/>
        <v>9.9999999999999998E-13</v>
      </c>
      <c r="G407" s="3">
        <f t="shared" si="433"/>
        <v>2.6109577642565281E-4</v>
      </c>
      <c r="H407" s="3">
        <f t="shared" si="433"/>
        <v>1.7449673807042553E-2</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2.0000296587582683E-22</v>
      </c>
      <c r="C408" s="3">
        <f t="shared" si="433"/>
        <v>4.5291092433694705E-21</v>
      </c>
      <c r="D408" s="3">
        <f t="shared" si="433"/>
        <v>3.0425679098383748E-19</v>
      </c>
      <c r="E408" s="3">
        <f t="shared" si="433"/>
        <v>2.1576758285709428E-16</v>
      </c>
      <c r="F408" s="3">
        <f t="shared" si="433"/>
        <v>9.9999999999999994E-12</v>
      </c>
      <c r="G408" s="3">
        <f t="shared" si="433"/>
        <v>2.610957764256528E-3</v>
      </c>
      <c r="H408" s="3">
        <f t="shared" si="433"/>
        <v>0.17449673807042554</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2.0000296587582685E-21</v>
      </c>
      <c r="C409" s="3">
        <f t="shared" si="433"/>
        <v>4.5291092433694714E-20</v>
      </c>
      <c r="D409" s="3">
        <f t="shared" si="433"/>
        <v>3.0425679098383752E-18</v>
      </c>
      <c r="E409" s="3">
        <f t="shared" si="433"/>
        <v>2.1576758285709429E-15</v>
      </c>
      <c r="F409" s="3">
        <f t="shared" si="433"/>
        <v>1E-10</v>
      </c>
      <c r="G409" s="3">
        <f t="shared" si="433"/>
        <v>2.6109577642565281E-2</v>
      </c>
      <c r="H409" s="3">
        <f t="shared" si="433"/>
        <v>1.7449673807042554</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2.0000296587582685E-20</v>
      </c>
      <c r="C410" s="3">
        <f t="shared" si="433"/>
        <v>4.5291092433694711E-19</v>
      </c>
      <c r="D410" s="3">
        <f t="shared" si="433"/>
        <v>3.0425679098383752E-17</v>
      </c>
      <c r="E410" s="3">
        <f t="shared" si="433"/>
        <v>2.1576758285709432E-14</v>
      </c>
      <c r="F410" s="3">
        <f t="shared" si="433"/>
        <v>1.0000000000000001E-9</v>
      </c>
      <c r="G410" s="3">
        <f t="shared" si="433"/>
        <v>0.26109577642565285</v>
      </c>
      <c r="H410" s="3">
        <f t="shared" si="433"/>
        <v>17.449673807042554</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2.0000296587582686E-19</v>
      </c>
      <c r="C411" s="3">
        <f t="shared" si="433"/>
        <v>4.5291092433694713E-18</v>
      </c>
      <c r="D411" s="3">
        <f t="shared" si="433"/>
        <v>3.0425679098383752E-16</v>
      </c>
      <c r="E411" s="3">
        <f t="shared" si="433"/>
        <v>2.1576758285709431E-13</v>
      </c>
      <c r="F411" s="3">
        <f t="shared" si="433"/>
        <v>1E-8</v>
      </c>
      <c r="G411" s="3">
        <f t="shared" si="433"/>
        <v>2.6109577642565283</v>
      </c>
      <c r="H411" s="3">
        <f t="shared" si="433"/>
        <v>174.49673807042555</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2.0000296587582683E-18</v>
      </c>
      <c r="C412" s="3">
        <f t="shared" si="433"/>
        <v>4.5291092433694712E-17</v>
      </c>
      <c r="D412" s="3">
        <f t="shared" si="433"/>
        <v>3.0425679098383751E-15</v>
      </c>
      <c r="E412" s="3">
        <f t="shared" si="433"/>
        <v>2.1576758285709429E-12</v>
      </c>
      <c r="F412" s="3">
        <f t="shared" si="433"/>
        <v>9.9999999999999995E-8</v>
      </c>
      <c r="G412" s="3">
        <f t="shared" si="433"/>
        <v>26.109577642565281</v>
      </c>
      <c r="H412" s="3">
        <f t="shared" si="433"/>
        <v>1744.9673807042554</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2.0000296587582683E-17</v>
      </c>
      <c r="C413" s="3">
        <f t="shared" si="433"/>
        <v>4.5291092433694705E-16</v>
      </c>
      <c r="D413" s="3">
        <f t="shared" si="433"/>
        <v>3.0425679098383751E-14</v>
      </c>
      <c r="E413" s="3">
        <f t="shared" si="433"/>
        <v>2.1576758285709428E-11</v>
      </c>
      <c r="F413" s="3">
        <f t="shared" si="433"/>
        <v>9.9999999999999995E-7</v>
      </c>
      <c r="G413" s="3">
        <f t="shared" si="433"/>
        <v>261.09577642565279</v>
      </c>
      <c r="H413" s="3">
        <f t="shared" si="433"/>
        <v>17449.673807042553</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2.0000296587582686E-16</v>
      </c>
      <c r="C414" s="3">
        <f t="shared" si="433"/>
        <v>4.5291092433694711E-15</v>
      </c>
      <c r="D414" s="3">
        <f t="shared" si="433"/>
        <v>3.0425679098383753E-13</v>
      </c>
      <c r="E414" s="3">
        <f t="shared" si="433"/>
        <v>2.1576758285709432E-10</v>
      </c>
      <c r="F414" s="3">
        <f t="shared" si="433"/>
        <v>1.0000000000000001E-5</v>
      </c>
      <c r="G414" s="3">
        <f t="shared" si="433"/>
        <v>2610.9577642565282</v>
      </c>
      <c r="H414" s="3">
        <f t="shared" si="433"/>
        <v>174496.73807042555</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2.0000296587582686E-15</v>
      </c>
      <c r="C415" s="3">
        <f t="shared" si="433"/>
        <v>4.5291092433694711E-14</v>
      </c>
      <c r="D415" s="3">
        <f t="shared" si="433"/>
        <v>3.0425679098383752E-12</v>
      </c>
      <c r="E415" s="3">
        <f t="shared" si="433"/>
        <v>2.1576758285709431E-9</v>
      </c>
      <c r="F415" s="3">
        <f t="shared" si="433"/>
        <v>1E-4</v>
      </c>
      <c r="G415" s="3">
        <f t="shared" si="433"/>
        <v>26109.577642565284</v>
      </c>
      <c r="H415" s="3">
        <f t="shared" si="433"/>
        <v>1744967.3807042555</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2.0000296587582686E-14</v>
      </c>
      <c r="C416" s="3">
        <f t="shared" si="433"/>
        <v>4.529109243369471E-13</v>
      </c>
      <c r="D416" s="3">
        <f t="shared" si="433"/>
        <v>3.0425679098383756E-11</v>
      </c>
      <c r="E416" s="3">
        <f t="shared" si="433"/>
        <v>2.1576758285709429E-8</v>
      </c>
      <c r="F416" s="3">
        <f t="shared" si="433"/>
        <v>1E-3</v>
      </c>
      <c r="G416" s="3">
        <f t="shared" si="433"/>
        <v>261095.77642565282</v>
      </c>
      <c r="H416" s="3">
        <f t="shared" si="433"/>
        <v>17449673.807042554</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2.0000296587582685E-13</v>
      </c>
      <c r="C417" s="3">
        <f t="shared" si="433"/>
        <v>4.5291092433694711E-12</v>
      </c>
      <c r="D417" s="3">
        <f t="shared" si="433"/>
        <v>3.0425679098383752E-10</v>
      </c>
      <c r="E417" s="3">
        <f t="shared" si="433"/>
        <v>2.1576758285709429E-7</v>
      </c>
      <c r="F417" s="3">
        <f t="shared" si="433"/>
        <v>0.01</v>
      </c>
      <c r="G417" s="3">
        <f t="shared" si="433"/>
        <v>2610957.7642565281</v>
      </c>
      <c r="H417" s="3">
        <f t="shared" si="433"/>
        <v>174496738.07042554</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2.0000296587582684E-12</v>
      </c>
      <c r="C418" s="3">
        <f t="shared" si="433"/>
        <v>4.5291092433694714E-11</v>
      </c>
      <c r="D418" s="3">
        <f t="shared" si="433"/>
        <v>3.0425679098383753E-9</v>
      </c>
      <c r="E418" s="3">
        <f t="shared" si="433"/>
        <v>2.1576758285709431E-6</v>
      </c>
      <c r="F418" s="3">
        <f t="shared" si="433"/>
        <v>0.1</v>
      </c>
      <c r="G418" s="3">
        <f t="shared" si="433"/>
        <v>26109577.642565284</v>
      </c>
      <c r="H418" s="3">
        <f t="shared" si="433"/>
        <v>1744967380.7042556</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2.0000296587582683E-11</v>
      </c>
      <c r="C419" s="3">
        <f t="shared" si="433"/>
        <v>4.5291092433694709E-10</v>
      </c>
      <c r="D419" s="3">
        <f t="shared" si="433"/>
        <v>3.0425679098383754E-8</v>
      </c>
      <c r="E419" s="3">
        <f t="shared" si="433"/>
        <v>2.1576758285709429E-5</v>
      </c>
      <c r="F419" s="3">
        <f t="shared" si="433"/>
        <v>1</v>
      </c>
      <c r="G419" s="3">
        <f t="shared" si="433"/>
        <v>261095776.4256528</v>
      </c>
      <c r="H419" s="3">
        <f t="shared" si="433"/>
        <v>17449673807.042553</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2.0000296587582685E-10</v>
      </c>
      <c r="C420" s="3">
        <f t="shared" si="434"/>
        <v>4.5291092433694712E-9</v>
      </c>
      <c r="D420" s="3">
        <f t="shared" si="434"/>
        <v>3.0425679098383751E-7</v>
      </c>
      <c r="E420" s="3">
        <f t="shared" si="434"/>
        <v>2.157675828570943E-4</v>
      </c>
      <c r="F420" s="3">
        <f t="shared" si="434"/>
        <v>10</v>
      </c>
      <c r="G420" s="3">
        <f t="shared" si="434"/>
        <v>2610957764.2565279</v>
      </c>
      <c r="H420" s="3">
        <f t="shared" si="434"/>
        <v>174496738070.42554</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2.0000296587582686E-9</v>
      </c>
      <c r="C421" s="3">
        <f t="shared" si="434"/>
        <v>4.5291092433694714E-8</v>
      </c>
      <c r="D421" s="3">
        <f t="shared" si="434"/>
        <v>3.0425679098383753E-6</v>
      </c>
      <c r="E421" s="3">
        <f t="shared" si="434"/>
        <v>2.1576758285709432E-3</v>
      </c>
      <c r="F421" s="3">
        <f t="shared" si="434"/>
        <v>100</v>
      </c>
      <c r="G421" s="3">
        <f t="shared" si="434"/>
        <v>26109577642.565281</v>
      </c>
      <c r="H421" s="3">
        <f t="shared" si="434"/>
        <v>1744967380704.2554</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2.0000296587582685E-8</v>
      </c>
      <c r="C422" s="3">
        <f t="shared" si="434"/>
        <v>4.5291092433694713E-7</v>
      </c>
      <c r="D422" s="3">
        <f t="shared" si="434"/>
        <v>3.0425679098383753E-5</v>
      </c>
      <c r="E422" s="3">
        <f t="shared" si="434"/>
        <v>2.157675828570943E-2</v>
      </c>
      <c r="F422" s="3">
        <f t="shared" si="434"/>
        <v>1000</v>
      </c>
      <c r="G422" s="3">
        <f t="shared" si="434"/>
        <v>261095776425.6528</v>
      </c>
      <c r="H422" s="3">
        <f t="shared" si="434"/>
        <v>17449673807042.555</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2.0000296587582685E-7</v>
      </c>
      <c r="C423" s="3">
        <f t="shared" si="434"/>
        <v>4.5291092433694708E-6</v>
      </c>
      <c r="D423" s="3">
        <f t="shared" si="434"/>
        <v>3.0425679098383749E-4</v>
      </c>
      <c r="E423" s="3">
        <f t="shared" si="434"/>
        <v>0.2157675828570943</v>
      </c>
      <c r="F423" s="3">
        <f t="shared" si="434"/>
        <v>10000</v>
      </c>
      <c r="G423" s="3">
        <f t="shared" si="434"/>
        <v>2610957764256.5283</v>
      </c>
      <c r="H423" s="3">
        <f t="shared" si="434"/>
        <v>174496738070425.53</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2.0000296587582683E-6</v>
      </c>
      <c r="C424" s="3">
        <f t="shared" si="434"/>
        <v>4.5291092433694708E-5</v>
      </c>
      <c r="D424" s="3">
        <f t="shared" si="434"/>
        <v>3.0425679098383751E-3</v>
      </c>
      <c r="E424" s="3">
        <f t="shared" si="434"/>
        <v>2.1576758285709428</v>
      </c>
      <c r="F424" s="3">
        <f t="shared" si="434"/>
        <v>100000</v>
      </c>
      <c r="G424" s="3">
        <f t="shared" si="434"/>
        <v>26109577642565.281</v>
      </c>
      <c r="H424" s="3">
        <f t="shared" si="434"/>
        <v>1744967380704255.5</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2.0000296587582684E-5</v>
      </c>
      <c r="C425" s="3">
        <f t="shared" si="434"/>
        <v>4.529109243369471E-4</v>
      </c>
      <c r="D425" s="3">
        <f t="shared" si="434"/>
        <v>3.0425679098383753E-2</v>
      </c>
      <c r="E425" s="3">
        <f t="shared" si="434"/>
        <v>21.576758285709431</v>
      </c>
      <c r="F425" s="3">
        <f t="shared" si="434"/>
        <v>1000000</v>
      </c>
      <c r="G425" s="3">
        <f t="shared" si="434"/>
        <v>261095776425652.81</v>
      </c>
      <c r="H425" s="3">
        <f t="shared" si="434"/>
        <v>1.7449673807042554E+16</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2.0000296587582684E-4</v>
      </c>
      <c r="C426" s="3">
        <f t="shared" si="434"/>
        <v>4.5291092433694712E-3</v>
      </c>
      <c r="D426" s="3">
        <f t="shared" si="434"/>
        <v>0.30425679098383751</v>
      </c>
      <c r="E426" s="3">
        <f t="shared" si="434"/>
        <v>215.76758285709428</v>
      </c>
      <c r="F426" s="3">
        <f t="shared" si="434"/>
        <v>10000000</v>
      </c>
      <c r="G426" s="3">
        <f t="shared" si="434"/>
        <v>2610957764256528</v>
      </c>
      <c r="H426" s="3">
        <f t="shared" si="434"/>
        <v>1.7449673807042554E+17</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2.0000296587582684E-3</v>
      </c>
      <c r="C427" s="3">
        <f t="shared" si="434"/>
        <v>4.529109243369471E-2</v>
      </c>
      <c r="D427" s="3">
        <f t="shared" si="434"/>
        <v>3.0425679098383753</v>
      </c>
      <c r="E427" s="3">
        <f t="shared" si="434"/>
        <v>2157.6758285709429</v>
      </c>
      <c r="F427" s="3">
        <f t="shared" si="434"/>
        <v>100000000</v>
      </c>
      <c r="G427" s="3">
        <f t="shared" si="434"/>
        <v>2.610957764256528E+16</v>
      </c>
      <c r="H427" s="3">
        <f t="shared" si="434"/>
        <v>1.7449673807042555E+18</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2.0000296587582685E-2</v>
      </c>
      <c r="C428" s="3">
        <f t="shared" si="434"/>
        <v>0.45291092433694713</v>
      </c>
      <c r="D428" s="3">
        <f t="shared" si="434"/>
        <v>30.425679098383753</v>
      </c>
      <c r="E428" s="3">
        <f t="shared" si="434"/>
        <v>21576.758285709431</v>
      </c>
      <c r="F428" s="3">
        <f t="shared" si="434"/>
        <v>1000000000</v>
      </c>
      <c r="G428" s="3">
        <f t="shared" si="434"/>
        <v>2.610957764256528E+17</v>
      </c>
      <c r="H428" s="3">
        <f t="shared" si="434"/>
        <v>1.7449673807042554E+19</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0.20000296587582683</v>
      </c>
      <c r="C429" s="3">
        <f t="shared" si="434"/>
        <v>4.5291092433694713</v>
      </c>
      <c r="D429" s="3">
        <f t="shared" si="434"/>
        <v>304.2567909838375</v>
      </c>
      <c r="E429" s="3">
        <f t="shared" si="434"/>
        <v>215767.5828570943</v>
      </c>
      <c r="F429" s="3">
        <f t="shared" si="434"/>
        <v>10000000000</v>
      </c>
      <c r="G429" s="3">
        <f t="shared" si="434"/>
        <v>2.6109577642565279E+18</v>
      </c>
      <c r="H429" s="3">
        <f t="shared" si="434"/>
        <v>1.7449673807042553E+20</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2.0000296587582684</v>
      </c>
      <c r="C430" s="3">
        <f t="shared" si="434"/>
        <v>45.291092433694708</v>
      </c>
      <c r="D430" s="3">
        <f t="shared" si="434"/>
        <v>3042.5679098383753</v>
      </c>
      <c r="E430" s="3">
        <f t="shared" si="434"/>
        <v>2157675.8285709429</v>
      </c>
      <c r="F430" s="3">
        <f t="shared" si="434"/>
        <v>100000000000</v>
      </c>
      <c r="G430" s="3">
        <f t="shared" si="434"/>
        <v>2.610957764256528E+19</v>
      </c>
      <c r="H430" s="3">
        <f t="shared" si="434"/>
        <v>1.7449673807042555E+21</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20.000296587582685</v>
      </c>
      <c r="C431" s="3">
        <f t="shared" si="434"/>
        <v>452.91092433694712</v>
      </c>
      <c r="D431" s="3">
        <f t="shared" si="434"/>
        <v>30425.679098383753</v>
      </c>
      <c r="E431" s="3">
        <f t="shared" si="434"/>
        <v>21576758.28570943</v>
      </c>
      <c r="F431" s="3">
        <f t="shared" si="434"/>
        <v>1000000000000</v>
      </c>
      <c r="G431" s="3">
        <f t="shared" si="434"/>
        <v>2.6109577642565281E+20</v>
      </c>
      <c r="H431" s="3">
        <f t="shared" si="434"/>
        <v>1.7449673807042554E+22</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200.00296587582685</v>
      </c>
      <c r="C432" s="3">
        <f t="shared" si="434"/>
        <v>4529.1092433694712</v>
      </c>
      <c r="D432" s="3">
        <f t="shared" si="434"/>
        <v>304256.79098383751</v>
      </c>
      <c r="E432" s="3">
        <f t="shared" si="434"/>
        <v>215767582.85709429</v>
      </c>
      <c r="F432" s="3">
        <f t="shared" si="434"/>
        <v>10000000000000</v>
      </c>
      <c r="G432" s="3">
        <f t="shared" si="434"/>
        <v>2.6109577642565283E+21</v>
      </c>
      <c r="H432" s="3">
        <f t="shared" si="434"/>
        <v>1.7449673807042554E+23</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2000.0296587582684</v>
      </c>
      <c r="C433" s="3">
        <f t="shared" si="434"/>
        <v>45291.092433694714</v>
      </c>
      <c r="D433" s="3">
        <f t="shared" si="434"/>
        <v>3042567.9098383752</v>
      </c>
      <c r="E433" s="3">
        <f t="shared" si="434"/>
        <v>2157675828.5709429</v>
      </c>
      <c r="F433" s="3">
        <f t="shared" si="434"/>
        <v>100000000000000</v>
      </c>
      <c r="G433" s="3">
        <f t="shared" si="434"/>
        <v>2.610957764256528E+22</v>
      </c>
      <c r="H433" s="3">
        <f t="shared" si="434"/>
        <v>1.7449673807042554E+24</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20000.296587582685</v>
      </c>
      <c r="C434" s="3">
        <f t="shared" si="434"/>
        <v>452910.92433694709</v>
      </c>
      <c r="D434" s="3">
        <f t="shared" si="434"/>
        <v>30425679.098383751</v>
      </c>
      <c r="E434" s="3">
        <f t="shared" si="434"/>
        <v>21576758285.709431</v>
      </c>
      <c r="F434" s="3">
        <f t="shared" si="434"/>
        <v>1000000000000000</v>
      </c>
      <c r="G434" s="3">
        <f t="shared" si="434"/>
        <v>2.6109577642565282E+23</v>
      </c>
      <c r="H434" s="3">
        <f t="shared" si="434"/>
        <v>1.7449673807042554E+25</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-24.635274013105377</v>
      </c>
      <c r="M1" s="54">
        <v>1</v>
      </c>
      <c r="N1" s="56">
        <f>INDEX($H$217:$P$217,1,Q1)</f>
        <v>0.43306067793707154</v>
      </c>
      <c r="O1" s="11"/>
      <c r="P1" s="55">
        <v>1</v>
      </c>
      <c r="Q1" s="11">
        <v>2</v>
      </c>
    </row>
    <row r="2" spans="1:17" x14ac:dyDescent="0.25">
      <c r="A2" s="11">
        <f>'Mastercurve bestimmen'!M119</f>
        <v>0</v>
      </c>
      <c r="B2" s="11">
        <f>'Mastercurve bestimmen'!N119</f>
        <v>-21.515325644798491</v>
      </c>
      <c r="M2" s="54">
        <v>2</v>
      </c>
      <c r="N2" s="56">
        <f t="shared" ref="N2:N9" si="0">INDEX($H$217:$P$217,1,Q2)</f>
        <v>2.1310918604379061E-3</v>
      </c>
      <c r="O2" s="11"/>
      <c r="P2" s="55">
        <v>2</v>
      </c>
      <c r="Q2" s="11">
        <f>Q1+1</f>
        <v>3</v>
      </c>
    </row>
    <row r="3" spans="1:17" x14ac:dyDescent="0.25">
      <c r="A3" s="11">
        <f>'Mastercurve bestimmen'!M120</f>
        <v>25</v>
      </c>
      <c r="B3" s="11">
        <f>'Mastercurve bestimmen'!N120</f>
        <v>-17.307978877914891</v>
      </c>
      <c r="M3" s="54">
        <v>3</v>
      </c>
      <c r="N3" s="56">
        <f t="shared" si="0"/>
        <v>-2.1107863771088323E-5</v>
      </c>
      <c r="O3" s="11"/>
      <c r="P3" s="55">
        <v>3</v>
      </c>
      <c r="Q3" s="11">
        <f t="shared" ref="Q3:Q8" si="1">Q2+1</f>
        <v>4</v>
      </c>
    </row>
    <row r="4" spans="1:17" x14ac:dyDescent="0.25">
      <c r="A4" s="11">
        <f>'Mastercurve bestimmen'!M121</f>
        <v>50</v>
      </c>
      <c r="B4" s="11">
        <f>'Mastercurve bestimmen'!N121</f>
        <v>-10.743893827874675</v>
      </c>
      <c r="M4" s="54">
        <v>4</v>
      </c>
      <c r="N4" s="56">
        <f t="shared" si="0"/>
        <v>-5.794831457264906E-7</v>
      </c>
      <c r="O4" s="11"/>
      <c r="P4" s="55">
        <v>4</v>
      </c>
      <c r="Q4" s="11">
        <f t="shared" si="1"/>
        <v>5</v>
      </c>
    </row>
    <row r="5" spans="1:17" x14ac:dyDescent="0.25">
      <c r="A5" s="11">
        <f>'Mastercurve bestimmen'!M122</f>
        <v>80</v>
      </c>
      <c r="B5" s="11">
        <f>'Mastercurve bestimmen'!N122</f>
        <v>0</v>
      </c>
      <c r="M5" s="54">
        <v>5</v>
      </c>
      <c r="N5" s="56">
        <f t="shared" si="0"/>
        <v>-2.9092311182928795E-9</v>
      </c>
      <c r="O5" s="11"/>
      <c r="P5" s="55">
        <v>5</v>
      </c>
      <c r="Q5" s="11">
        <f t="shared" si="1"/>
        <v>6</v>
      </c>
    </row>
    <row r="6" spans="1:17" x14ac:dyDescent="0.25">
      <c r="A6" s="11">
        <f>'Mastercurve bestimmen'!M123</f>
        <v>125</v>
      </c>
      <c r="B6" s="11">
        <f>'Mastercurve bestimmen'!N123</f>
        <v>19.380397857459062</v>
      </c>
      <c r="M6" s="54">
        <v>6</v>
      </c>
      <c r="N6" s="56">
        <f t="shared" si="0"/>
        <v>3.6922766244928238E-11</v>
      </c>
      <c r="O6" s="11"/>
      <c r="P6" s="55">
        <v>6</v>
      </c>
      <c r="Q6" s="11">
        <f t="shared" si="1"/>
        <v>7</v>
      </c>
    </row>
    <row r="7" spans="1:17" x14ac:dyDescent="0.25">
      <c r="A7" s="11">
        <f>'Mastercurve bestimmen'!M124</f>
        <v>160</v>
      </c>
      <c r="B7" s="11">
        <f>'Mastercurve bestimmen'!N124</f>
        <v>23.582586792413974</v>
      </c>
      <c r="M7" s="54">
        <v>7</v>
      </c>
      <c r="N7" s="56">
        <f t="shared" si="0"/>
        <v>4.0209767423575872E-13</v>
      </c>
      <c r="O7" s="11"/>
      <c r="P7" s="55">
        <v>7</v>
      </c>
      <c r="Q7" s="11">
        <f t="shared" si="1"/>
        <v>8</v>
      </c>
    </row>
    <row r="8" spans="1:17" x14ac:dyDescent="0.25">
      <c r="A8" s="11"/>
      <c r="B8" s="11"/>
      <c r="M8" s="54">
        <v>8</v>
      </c>
      <c r="N8" s="56">
        <f t="shared" si="0"/>
        <v>9.6801343722952336E-16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-24.635274013105377</v>
      </c>
      <c r="E15" s="11">
        <f>A15-'Mastercurve bestimmen'!$B$2</f>
        <v>-120</v>
      </c>
      <c r="F15" s="11">
        <f>B15</f>
        <v>-24.635274013105377</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-24.575047308083978</v>
      </c>
      <c r="E16" s="11">
        <f>A16-'Mastercurve bestimmen'!$B$2</f>
        <v>-119</v>
      </c>
      <c r="F16" s="11">
        <f t="shared" ref="F16:F79" si="4">B16</f>
        <v>-24.575047308083978</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-24.514753916367695</v>
      </c>
      <c r="E17" s="11">
        <f>A17-'Mastercurve bestimmen'!$B$2</f>
        <v>-118</v>
      </c>
      <c r="F17" s="11">
        <f t="shared" si="4"/>
        <v>-24.514753916367695</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-24.454327151261648</v>
      </c>
      <c r="E18" s="11">
        <f>A18-'Mastercurve bestimmen'!$B$2</f>
        <v>-117</v>
      </c>
      <c r="F18" s="11">
        <f t="shared" si="4"/>
        <v>-24.454327151261648</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-24.393700326070952</v>
      </c>
      <c r="E19" s="11">
        <f>A19-'Mastercurve bestimmen'!$B$2</f>
        <v>-116</v>
      </c>
      <c r="F19" s="11">
        <f t="shared" si="4"/>
        <v>-24.393700326070952</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-24.33280675410073</v>
      </c>
      <c r="E20" s="11">
        <f>A20-'Mastercurve bestimmen'!$B$2</f>
        <v>-115</v>
      </c>
      <c r="F20" s="11">
        <f t="shared" si="4"/>
        <v>-24.33280675410073</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-24.271579748656084</v>
      </c>
      <c r="E21" s="11">
        <f>A21-'Mastercurve bestimmen'!$B$2</f>
        <v>-114</v>
      </c>
      <c r="F21" s="11">
        <f t="shared" si="4"/>
        <v>-24.271579748656084</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-24.209952623042149</v>
      </c>
      <c r="E22" s="11">
        <f>A22-'Mastercurve bestimmen'!$B$2</f>
        <v>-113</v>
      </c>
      <c r="F22" s="11">
        <f t="shared" si="4"/>
        <v>-24.209952623042149</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-24.147858690564028</v>
      </c>
      <c r="E23" s="11">
        <f>A23-'Mastercurve bestimmen'!$B$2</f>
        <v>-112</v>
      </c>
      <c r="F23" s="11">
        <f t="shared" si="4"/>
        <v>-24.147858690564028</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-24.085231264526847</v>
      </c>
      <c r="E24" s="11">
        <f>A24-'Mastercurve bestimmen'!$B$2</f>
        <v>-111</v>
      </c>
      <c r="F24" s="11">
        <f t="shared" si="4"/>
        <v>-24.085231264526847</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-24.022003658235725</v>
      </c>
      <c r="E25" s="11">
        <f>A25-'Mastercurve bestimmen'!$B$2</f>
        <v>-110</v>
      </c>
      <c r="F25" s="11">
        <f t="shared" si="4"/>
        <v>-24.022003658235725</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-23.95810918499577</v>
      </c>
      <c r="E26" s="11">
        <f>A26-'Mastercurve bestimmen'!$B$2</f>
        <v>-109</v>
      </c>
      <c r="F26" s="11">
        <f t="shared" si="4"/>
        <v>-23.95810918499577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-23.893481158112102</v>
      </c>
      <c r="E27" s="11">
        <f>A27-'Mastercurve bestimmen'!$B$2</f>
        <v>-108</v>
      </c>
      <c r="F27" s="11">
        <f t="shared" si="4"/>
        <v>-23.893481158112102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-23.828052890889843</v>
      </c>
      <c r="E28" s="11">
        <f>A28-'Mastercurve bestimmen'!$B$2</f>
        <v>-107</v>
      </c>
      <c r="F28" s="11">
        <f t="shared" si="4"/>
        <v>-23.828052890889843</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-23.761757696634106</v>
      </c>
      <c r="E29" s="11">
        <f>A29-'Mastercurve bestimmen'!$B$2</f>
        <v>-106</v>
      </c>
      <c r="F29" s="11">
        <f t="shared" si="4"/>
        <v>-23.761757696634106</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-23.694528888650012</v>
      </c>
      <c r="E30" s="11">
        <f>A30-'Mastercurve bestimmen'!$B$2</f>
        <v>-105</v>
      </c>
      <c r="F30" s="11">
        <f t="shared" si="4"/>
        <v>-23.694528888650012</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-23.626299780242675</v>
      </c>
      <c r="E31" s="11">
        <f>A31-'Mastercurve bestimmen'!$B$2</f>
        <v>-104</v>
      </c>
      <c r="F31" s="11">
        <f t="shared" si="4"/>
        <v>-23.626299780242675</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-23.557003684717209</v>
      </c>
      <c r="E32" s="11">
        <f>A32-'Mastercurve bestimmen'!$B$2</f>
        <v>-103</v>
      </c>
      <c r="F32" s="11">
        <f t="shared" si="4"/>
        <v>-23.557003684717209</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-23.486573915378742</v>
      </c>
      <c r="E33" s="11">
        <f>A33-'Mastercurve bestimmen'!$B$2</f>
        <v>-102</v>
      </c>
      <c r="F33" s="11">
        <f t="shared" si="4"/>
        <v>-23.486573915378742</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-23.414943785532376</v>
      </c>
      <c r="E34" s="11">
        <f>A34-'Mastercurve bestimmen'!$B$2</f>
        <v>-101</v>
      </c>
      <c r="F34" s="11">
        <f t="shared" si="4"/>
        <v>-23.414943785532376</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-23.342046608483244</v>
      </c>
      <c r="E35" s="11">
        <f>A35-'Mastercurve bestimmen'!$B$2</f>
        <v>-100</v>
      </c>
      <c r="F35" s="11">
        <f t="shared" si="4"/>
        <v>-23.342046608483244</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-23.267815697536449</v>
      </c>
      <c r="E36" s="11">
        <f>A36-'Mastercurve bestimmen'!$B$2</f>
        <v>-99</v>
      </c>
      <c r="F36" s="11">
        <f t="shared" si="4"/>
        <v>-23.267815697536449</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-23.192184365997115</v>
      </c>
      <c r="E37" s="11">
        <f>A37-'Mastercurve bestimmen'!$B$2</f>
        <v>-98</v>
      </c>
      <c r="F37" s="11">
        <f t="shared" si="4"/>
        <v>-23.192184365997115</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-23.115085927170362</v>
      </c>
      <c r="E38" s="11">
        <f>A38-'Mastercurve bestimmen'!$B$2</f>
        <v>-97</v>
      </c>
      <c r="F38" s="11">
        <f t="shared" si="4"/>
        <v>-23.115085927170362</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-23.036453694361306</v>
      </c>
      <c r="E39" s="11">
        <f>A39-'Mastercurve bestimmen'!$B$2</f>
        <v>-96</v>
      </c>
      <c r="F39" s="11">
        <f t="shared" si="4"/>
        <v>-23.036453694361306</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-22.956220980875059</v>
      </c>
      <c r="E40" s="11">
        <f>A40-'Mastercurve bestimmen'!$B$2</f>
        <v>-95</v>
      </c>
      <c r="F40" s="11">
        <f t="shared" si="4"/>
        <v>-22.956220980875059</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-22.874321100016743</v>
      </c>
      <c r="E41" s="11">
        <f>A41-'Mastercurve bestimmen'!$B$2</f>
        <v>-94</v>
      </c>
      <c r="F41" s="11">
        <f t="shared" si="4"/>
        <v>-22.874321100016743</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-22.790687365091468</v>
      </c>
      <c r="E42" s="11">
        <f>A42-'Mastercurve bestimmen'!$B$2</f>
        <v>-93</v>
      </c>
      <c r="F42" s="11">
        <f t="shared" si="4"/>
        <v>-22.790687365091468</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-22.705253089404362</v>
      </c>
      <c r="E43" s="11">
        <f>A43-'Mastercurve bestimmen'!$B$2</f>
        <v>-92</v>
      </c>
      <c r="F43" s="11">
        <f t="shared" si="4"/>
        <v>-22.705253089404362</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-22.617951586260535</v>
      </c>
      <c r="E44" s="11">
        <f>A44-'Mastercurve bestimmen'!$B$2</f>
        <v>-91</v>
      </c>
      <c r="F44" s="11">
        <f t="shared" si="4"/>
        <v>-22.617951586260535</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-22.528716168965108</v>
      </c>
      <c r="E45" s="11">
        <f>A45-'Mastercurve bestimmen'!$B$2</f>
        <v>-90</v>
      </c>
      <c r="F45" s="11">
        <f t="shared" si="4"/>
        <v>-22.528716168965108</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-22.437480150823191</v>
      </c>
      <c r="E46" s="11">
        <f>A46-'Mastercurve bestimmen'!$B$2</f>
        <v>-89</v>
      </c>
      <c r="F46" s="11">
        <f t="shared" si="4"/>
        <v>-22.437480150823191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-22.344176845139913</v>
      </c>
      <c r="E47" s="11">
        <f>A47-'Mastercurve bestimmen'!$B$2</f>
        <v>-88</v>
      </c>
      <c r="F47" s="11">
        <f t="shared" si="4"/>
        <v>-22.344176845139913</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-22.248739565220383</v>
      </c>
      <c r="E48" s="11">
        <f>A48-'Mastercurve bestimmen'!$B$2</f>
        <v>-87</v>
      </c>
      <c r="F48" s="11">
        <f t="shared" si="4"/>
        <v>-22.248739565220383</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-22.151101624369716</v>
      </c>
      <c r="E49" s="11">
        <f>A49-'Mastercurve bestimmen'!$B$2</f>
        <v>-86</v>
      </c>
      <c r="F49" s="11">
        <f t="shared" si="4"/>
        <v>-22.151101624369716</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-22.051196335893035</v>
      </c>
      <c r="E50" s="11">
        <f>A50-'Mastercurve bestimmen'!$B$2</f>
        <v>-85</v>
      </c>
      <c r="F50" s="11">
        <f t="shared" si="4"/>
        <v>-22.051196335893035</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-21.948957013095459</v>
      </c>
      <c r="E51" s="11">
        <f>A51-'Mastercurve bestimmen'!$B$2</f>
        <v>-84</v>
      </c>
      <c r="F51" s="11">
        <f t="shared" si="4"/>
        <v>-21.948957013095459</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-21.844316969282094</v>
      </c>
      <c r="E52" s="11">
        <f>A52-'Mastercurve bestimmen'!$B$2</f>
        <v>-83</v>
      </c>
      <c r="F52" s="11">
        <f t="shared" si="4"/>
        <v>-21.844316969282094</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-21.737209517758068</v>
      </c>
      <c r="E53" s="11">
        <f>A53-'Mastercurve bestimmen'!$B$2</f>
        <v>-82</v>
      </c>
      <c r="F53" s="11">
        <f t="shared" si="4"/>
        <v>-21.737209517758068</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-21.627567971828498</v>
      </c>
      <c r="E54" s="11">
        <f>A54-'Mastercurve bestimmen'!$B$2</f>
        <v>-81</v>
      </c>
      <c r="F54" s="11">
        <f t="shared" si="4"/>
        <v>-21.627567971828498</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-21.515325644798494</v>
      </c>
      <c r="E55" s="11">
        <f>A55-'Mastercurve bestimmen'!$B$2</f>
        <v>-80</v>
      </c>
      <c r="F55" s="11">
        <f t="shared" si="4"/>
        <v>-21.515325644798494</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-21.386141918543483</v>
      </c>
      <c r="E56" s="11">
        <f>A56-'Mastercurve bestimmen'!$B$2</f>
        <v>-79</v>
      </c>
      <c r="F56" s="11">
        <f t="shared" si="4"/>
        <v>-21.386141918543483</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-21.254222450157805</v>
      </c>
      <c r="E57" s="11">
        <f>A57-'Mastercurve bestimmen'!$B$2</f>
        <v>-78</v>
      </c>
      <c r="F57" s="11">
        <f t="shared" si="4"/>
        <v>-21.254222450157805</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-21.119498965306111</v>
      </c>
      <c r="E58" s="11">
        <f>A58-'Mastercurve bestimmen'!$B$2</f>
        <v>-77</v>
      </c>
      <c r="F58" s="11">
        <f t="shared" si="4"/>
        <v>-21.119498965306111</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-20.98190318965305</v>
      </c>
      <c r="E59" s="11">
        <f>A59-'Mastercurve bestimmen'!$B$2</f>
        <v>-76</v>
      </c>
      <c r="F59" s="11">
        <f t="shared" si="4"/>
        <v>-20.98190318965305</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-20.84136684886327</v>
      </c>
      <c r="E60" s="11">
        <f>A60-'Mastercurve bestimmen'!$B$2</f>
        <v>-75</v>
      </c>
      <c r="F60" s="11">
        <f t="shared" si="4"/>
        <v>-20.84136684886327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-20.697821668601414</v>
      </c>
      <c r="E61" s="11">
        <f>A61-'Mastercurve bestimmen'!$B$2</f>
        <v>-74</v>
      </c>
      <c r="F61" s="11">
        <f t="shared" si="4"/>
        <v>-20.697821668601414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-20.551199374532139</v>
      </c>
      <c r="E62" s="11">
        <f>A62-'Mastercurve bestimmen'!$B$2</f>
        <v>-73</v>
      </c>
      <c r="F62" s="11">
        <f t="shared" si="4"/>
        <v>-20.551199374532139</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-20.401431692320092</v>
      </c>
      <c r="E63" s="11">
        <f>A63-'Mastercurve bestimmen'!$B$2</f>
        <v>-72</v>
      </c>
      <c r="F63" s="11">
        <f t="shared" si="4"/>
        <v>-20.401431692320092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-20.248450347629912</v>
      </c>
      <c r="E64" s="11">
        <f>A64-'Mastercurve bestimmen'!$B$2</f>
        <v>-71</v>
      </c>
      <c r="F64" s="11">
        <f t="shared" si="4"/>
        <v>-20.248450347629912</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-20.092187066126257</v>
      </c>
      <c r="E65" s="11">
        <f>A65-'Mastercurve bestimmen'!$B$2</f>
        <v>-70</v>
      </c>
      <c r="F65" s="11">
        <f t="shared" si="4"/>
        <v>-20.092187066126257</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-19.932573573473775</v>
      </c>
      <c r="E66" s="11">
        <f>A66-'Mastercurve bestimmen'!$B$2</f>
        <v>-69</v>
      </c>
      <c r="F66" s="11">
        <f t="shared" si="4"/>
        <v>-19.932573573473775</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-19.769541595337106</v>
      </c>
      <c r="E67" s="11">
        <f>A67-'Mastercurve bestimmen'!$B$2</f>
        <v>-68</v>
      </c>
      <c r="F67" s="11">
        <f t="shared" si="4"/>
        <v>-19.769541595337106</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-19.603022857380907</v>
      </c>
      <c r="E68" s="11">
        <f>A68-'Mastercurve bestimmen'!$B$2</f>
        <v>-67</v>
      </c>
      <c r="F68" s="11">
        <f t="shared" si="4"/>
        <v>-19.603022857380907</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-19.432949085269819</v>
      </c>
      <c r="E69" s="11">
        <f>A69-'Mastercurve bestimmen'!$B$2</f>
        <v>-66</v>
      </c>
      <c r="F69" s="11">
        <f t="shared" si="4"/>
        <v>-19.432949085269819</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-19.2592520046685</v>
      </c>
      <c r="E70" s="11">
        <f>A70-'Mastercurve bestimmen'!$B$2</f>
        <v>-65</v>
      </c>
      <c r="F70" s="11">
        <f t="shared" si="4"/>
        <v>-19.2592520046685</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-19.08186334124159</v>
      </c>
      <c r="E71" s="11">
        <f>A71-'Mastercurve bestimmen'!$B$2</f>
        <v>-64</v>
      </c>
      <c r="F71" s="11">
        <f t="shared" si="4"/>
        <v>-19.08186334124159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-18.900714820653739</v>
      </c>
      <c r="E72" s="11">
        <f>A72-'Mastercurve bestimmen'!$B$2</f>
        <v>-63</v>
      </c>
      <c r="F72" s="11">
        <f t="shared" si="4"/>
        <v>-18.900714820653739</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-18.715738168569597</v>
      </c>
      <c r="E73" s="11">
        <f>A73-'Mastercurve bestimmen'!$B$2</f>
        <v>-62</v>
      </c>
      <c r="F73" s="11">
        <f t="shared" si="4"/>
        <v>-18.715738168569597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-18.526865110653812</v>
      </c>
      <c r="E74" s="11">
        <f>A74-'Mastercurve bestimmen'!$B$2</f>
        <v>-61</v>
      </c>
      <c r="F74" s="11">
        <f t="shared" si="4"/>
        <v>-18.526865110653812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-18.334027372571033</v>
      </c>
      <c r="E75" s="11">
        <f>A75-'Mastercurve bestimmen'!$B$2</f>
        <v>-60</v>
      </c>
      <c r="F75" s="11">
        <f t="shared" si="4"/>
        <v>-18.334027372571033</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-18.137156679985907</v>
      </c>
      <c r="E76" s="11">
        <f>A76-'Mastercurve bestimmen'!$B$2</f>
        <v>-59</v>
      </c>
      <c r="F76" s="11">
        <f t="shared" si="4"/>
        <v>-18.137156679985907</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-17.93618475856308</v>
      </c>
      <c r="E77" s="11">
        <f>A77-'Mastercurve bestimmen'!$B$2</f>
        <v>-58</v>
      </c>
      <c r="F77" s="11">
        <f t="shared" si="4"/>
        <v>-17.93618475856308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-17.7310433339672</v>
      </c>
      <c r="E78" s="11">
        <f>A78-'Mastercurve bestimmen'!$B$2</f>
        <v>-57</v>
      </c>
      <c r="F78" s="11">
        <f t="shared" si="4"/>
        <v>-17.7310433339672</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-17.521664131862924</v>
      </c>
      <c r="E79" s="11">
        <f>A79-'Mastercurve bestimmen'!$B$2</f>
        <v>-56</v>
      </c>
      <c r="F79" s="11">
        <f t="shared" si="4"/>
        <v>-17.521664131862924</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-17.307978877914895</v>
      </c>
      <c r="E80" s="11">
        <f>A80-'Mastercurve bestimmen'!$B$2</f>
        <v>-55</v>
      </c>
      <c r="F80" s="11">
        <f t="shared" ref="F80:F143" si="10">B80</f>
        <v>-17.307978877914895</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-17.089943439584797</v>
      </c>
      <c r="E81" s="11">
        <f>A81-'Mastercurve bestimmen'!$B$2</f>
        <v>-54</v>
      </c>
      <c r="F81" s="11">
        <f t="shared" si="10"/>
        <v>-17.089943439584797</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-16.8676102515225</v>
      </c>
      <c r="E82" s="11">
        <f>A82-'Mastercurve bestimmen'!$B$2</f>
        <v>-53</v>
      </c>
      <c r="F82" s="11">
        <f t="shared" si="10"/>
        <v>-16.8676102515225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-16.641055890174897</v>
      </c>
      <c r="E83" s="11">
        <f>A83-'Mastercurve bestimmen'!$B$2</f>
        <v>-52</v>
      </c>
      <c r="F83" s="11">
        <f t="shared" si="10"/>
        <v>-16.641055890174897</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-16.410356931988897</v>
      </c>
      <c r="E84" s="11">
        <f>A84-'Mastercurve bestimmen'!$B$2</f>
        <v>-51</v>
      </c>
      <c r="F84" s="11">
        <f t="shared" si="10"/>
        <v>-16.410356931988897</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-16.175589953411396</v>
      </c>
      <c r="E85" s="11">
        <f>A85-'Mastercurve bestimmen'!$B$2</f>
        <v>-50</v>
      </c>
      <c r="F85" s="11">
        <f t="shared" si="10"/>
        <v>-16.175589953411396</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-15.936831530889295</v>
      </c>
      <c r="E86" s="11">
        <f>A86-'Mastercurve bestimmen'!$B$2</f>
        <v>-49</v>
      </c>
      <c r="F86" s="11">
        <f t="shared" si="10"/>
        <v>-15.936831530889295</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-15.6941582408695</v>
      </c>
      <c r="E87" s="11">
        <f>A87-'Mastercurve bestimmen'!$B$2</f>
        <v>-48</v>
      </c>
      <c r="F87" s="11">
        <f t="shared" si="10"/>
        <v>-15.6941582408695</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-15.447646659798909</v>
      </c>
      <c r="E88" s="11">
        <f>A88-'Mastercurve bestimmen'!$B$2</f>
        <v>-47</v>
      </c>
      <c r="F88" s="11">
        <f t="shared" si="10"/>
        <v>-15.447646659798909</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-15.197373364124424</v>
      </c>
      <c r="E89" s="11">
        <f>A89-'Mastercurve bestimmen'!$B$2</f>
        <v>-46</v>
      </c>
      <c r="F89" s="11">
        <f t="shared" si="10"/>
        <v>-15.197373364124424</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-14.943414930292946</v>
      </c>
      <c r="E90" s="11">
        <f>A90-'Mastercurve bestimmen'!$B$2</f>
        <v>-45</v>
      </c>
      <c r="F90" s="11">
        <f t="shared" si="10"/>
        <v>-14.943414930292946</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-14.685847934751378</v>
      </c>
      <c r="E91" s="11">
        <f>A91-'Mastercurve bestimmen'!$B$2</f>
        <v>-44</v>
      </c>
      <c r="F91" s="11">
        <f t="shared" si="10"/>
        <v>-14.685847934751378</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-14.42474895394662</v>
      </c>
      <c r="E92" s="11">
        <f>A92-'Mastercurve bestimmen'!$B$2</f>
        <v>-43</v>
      </c>
      <c r="F92" s="11">
        <f t="shared" si="10"/>
        <v>-14.42474895394662</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-14.160194564325575</v>
      </c>
      <c r="E93" s="11">
        <f>A93-'Mastercurve bestimmen'!$B$2</f>
        <v>-42</v>
      </c>
      <c r="F93" s="11">
        <f t="shared" si="10"/>
        <v>-14.160194564325575</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-13.892261342335141</v>
      </c>
      <c r="E94" s="11">
        <f>A94-'Mastercurve bestimmen'!$B$2</f>
        <v>-41</v>
      </c>
      <c r="F94" s="11">
        <f t="shared" si="10"/>
        <v>-13.892261342335141</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-13.621025864422224</v>
      </c>
      <c r="E95" s="11">
        <f>A95-'Mastercurve bestimmen'!$B$2</f>
        <v>-40</v>
      </c>
      <c r="F95" s="11">
        <f t="shared" si="10"/>
        <v>-13.621025864422224</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-13.346564707033721</v>
      </c>
      <c r="E96" s="11">
        <f>A96-'Mastercurve bestimmen'!$B$2</f>
        <v>-39</v>
      </c>
      <c r="F96" s="11">
        <f t="shared" si="10"/>
        <v>-13.346564707033721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-13.068954446616537</v>
      </c>
      <c r="E97" s="11">
        <f>A97-'Mastercurve bestimmen'!$B$2</f>
        <v>-38</v>
      </c>
      <c r="F97" s="11">
        <f t="shared" si="10"/>
        <v>-13.068954446616537</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-12.788271659617575</v>
      </c>
      <c r="E98" s="11">
        <f>A98-'Mastercurve bestimmen'!$B$2</f>
        <v>-37</v>
      </c>
      <c r="F98" s="11">
        <f t="shared" si="10"/>
        <v>-12.788271659617575</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-12.504592922483731</v>
      </c>
      <c r="E99" s="11">
        <f>A99-'Mastercurve bestimmen'!$B$2</f>
        <v>-36</v>
      </c>
      <c r="F99" s="11">
        <f t="shared" si="10"/>
        <v>-12.504592922483731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-12.217994811661908</v>
      </c>
      <c r="E100" s="11">
        <f>A100-'Mastercurve bestimmen'!$B$2</f>
        <v>-35</v>
      </c>
      <c r="F100" s="11">
        <f t="shared" si="10"/>
        <v>-12.217994811661908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-11.928553903599008</v>
      </c>
      <c r="E101" s="11">
        <f>A101-'Mastercurve bestimmen'!$B$2</f>
        <v>-34</v>
      </c>
      <c r="F101" s="11">
        <f t="shared" si="10"/>
        <v>-11.928553903599008</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-11.636346774741934</v>
      </c>
      <c r="E102" s="11">
        <f>A102-'Mastercurve bestimmen'!$B$2</f>
        <v>-33</v>
      </c>
      <c r="F102" s="11">
        <f t="shared" si="10"/>
        <v>-11.636346774741934</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-11.341450001537586</v>
      </c>
      <c r="E103" s="11">
        <f>A103-'Mastercurve bestimmen'!$B$2</f>
        <v>-32</v>
      </c>
      <c r="F103" s="11">
        <f t="shared" si="10"/>
        <v>-11.341450001537586</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-11.043940160432866</v>
      </c>
      <c r="E104" s="11">
        <f>A104-'Mastercurve bestimmen'!$B$2</f>
        <v>-31</v>
      </c>
      <c r="F104" s="11">
        <f t="shared" si="10"/>
        <v>-11.043940160432866</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-10.743893827874675</v>
      </c>
      <c r="E105" s="11">
        <f>A105-'Mastercurve bestimmen'!$B$2</f>
        <v>-30</v>
      </c>
      <c r="F105" s="11">
        <f t="shared" si="10"/>
        <v>-10.743893827874675</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-10.441352659772807</v>
      </c>
      <c r="E106" s="11">
        <f>A106-'Mastercurve bestimmen'!$B$2</f>
        <v>-29</v>
      </c>
      <c r="F106" s="11">
        <f t="shared" si="10"/>
        <v>-10.441352659772807</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-10.13621862988863</v>
      </c>
      <c r="E107" s="11">
        <f>A107-'Mastercurve bestimmen'!$B$2</f>
        <v>-28</v>
      </c>
      <c r="F107" s="11">
        <f t="shared" si="10"/>
        <v>-10.13621862988863</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-9.8283587914463961</v>
      </c>
      <c r="E108" s="11">
        <f>A108-'Mastercurve bestimmen'!$B$2</f>
        <v>-27</v>
      </c>
      <c r="F108" s="11">
        <f t="shared" si="10"/>
        <v>-9.8283587914463961</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-9.5176401976703673</v>
      </c>
      <c r="E109" s="11">
        <f>A109-'Mastercurve bestimmen'!$B$2</f>
        <v>-26</v>
      </c>
      <c r="F109" s="11">
        <f t="shared" si="10"/>
        <v>-9.5176401976703673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-9.2039299017848002</v>
      </c>
      <c r="E110" s="11">
        <f>A110-'Mastercurve bestimmen'!$B$2</f>
        <v>-25</v>
      </c>
      <c r="F110" s="11">
        <f t="shared" si="10"/>
        <v>-9.2039299017848002</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-8.8870949570139519</v>
      </c>
      <c r="E111" s="11">
        <f>A111-'Mastercurve bestimmen'!$B$2</f>
        <v>-24</v>
      </c>
      <c r="F111" s="11">
        <f t="shared" si="10"/>
        <v>-8.8870949570139519</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-8.5670024165820848</v>
      </c>
      <c r="E112" s="11">
        <f>A112-'Mastercurve bestimmen'!$B$2</f>
        <v>-23</v>
      </c>
      <c r="F112" s="11">
        <f t="shared" si="10"/>
        <v>-8.5670024165820848</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-8.2435193337134507</v>
      </c>
      <c r="E113" s="11">
        <f>A113-'Mastercurve bestimmen'!$B$2</f>
        <v>-22</v>
      </c>
      <c r="F113" s="11">
        <f t="shared" si="10"/>
        <v>-8.2435193337134507</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-7.9165127616323101</v>
      </c>
      <c r="E114" s="11">
        <f>A114-'Mastercurve bestimmen'!$B$2</f>
        <v>-21</v>
      </c>
      <c r="F114" s="11">
        <f t="shared" si="10"/>
        <v>-7.9165127616323101</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-7.585849753562921</v>
      </c>
      <c r="E115" s="11">
        <f>A115-'Mastercurve bestimmen'!$B$2</f>
        <v>-20</v>
      </c>
      <c r="F115" s="11">
        <f t="shared" si="10"/>
        <v>-7.585849753562921</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-7.2513973627295423</v>
      </c>
      <c r="E116" s="11">
        <f>A116-'Mastercurve bestimmen'!$B$2</f>
        <v>-19</v>
      </c>
      <c r="F116" s="11">
        <f t="shared" si="10"/>
        <v>-7.2513973627295423</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-6.9130226423564274</v>
      </c>
      <c r="E117" s="11">
        <f>A117-'Mastercurve bestimmen'!$B$2</f>
        <v>-18</v>
      </c>
      <c r="F117" s="11">
        <f t="shared" si="10"/>
        <v>-6.9130226423564274</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-6.5705926456678396</v>
      </c>
      <c r="E118" s="11">
        <f>A118-'Mastercurve bestimmen'!$B$2</f>
        <v>-17</v>
      </c>
      <c r="F118" s="11">
        <f t="shared" si="10"/>
        <v>-6.5705926456678396</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-6.2239744258880343</v>
      </c>
      <c r="E119" s="11">
        <f>A119-'Mastercurve bestimmen'!$B$2</f>
        <v>-16</v>
      </c>
      <c r="F119" s="11">
        <f t="shared" si="10"/>
        <v>-6.2239744258880343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-5.8730350362412702</v>
      </c>
      <c r="E120" s="11">
        <f>A120-'Mastercurve bestimmen'!$B$2</f>
        <v>-15</v>
      </c>
      <c r="F120" s="11">
        <f t="shared" si="10"/>
        <v>-5.8730350362412702</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-5.5176415299518036</v>
      </c>
      <c r="E121" s="11">
        <f>A121-'Mastercurve bestimmen'!$B$2</f>
        <v>-14</v>
      </c>
      <c r="F121" s="11">
        <f t="shared" si="10"/>
        <v>-5.5176415299518036</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-5.1576609602438923</v>
      </c>
      <c r="E122" s="11">
        <f>A122-'Mastercurve bestimmen'!$B$2</f>
        <v>-13</v>
      </c>
      <c r="F122" s="11">
        <f t="shared" si="10"/>
        <v>-5.1576609602438923</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-4.7929603803417962</v>
      </c>
      <c r="E123" s="11">
        <f>A123-'Mastercurve bestimmen'!$B$2</f>
        <v>-12</v>
      </c>
      <c r="F123" s="11">
        <f t="shared" si="10"/>
        <v>-4.7929603803417962</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-4.4234068434697722</v>
      </c>
      <c r="E124" s="11">
        <f>A124-'Mastercurve bestimmen'!$B$2</f>
        <v>-11</v>
      </c>
      <c r="F124" s="11">
        <f t="shared" si="10"/>
        <v>-4.4234068434697722</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-4.0488674028520775</v>
      </c>
      <c r="E125" s="11">
        <f>A125-'Mastercurve bestimmen'!$B$2</f>
        <v>-10</v>
      </c>
      <c r="F125" s="11">
        <f t="shared" si="10"/>
        <v>-4.0488674028520775</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-3.6692091117129704</v>
      </c>
      <c r="E126" s="11">
        <f>A126-'Mastercurve bestimmen'!$B$2</f>
        <v>-9</v>
      </c>
      <c r="F126" s="11">
        <f t="shared" si="10"/>
        <v>-3.6692091117129704</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-3.2842990232767098</v>
      </c>
      <c r="E127" s="11">
        <f>A127-'Mastercurve bestimmen'!$B$2</f>
        <v>-8</v>
      </c>
      <c r="F127" s="11">
        <f t="shared" si="10"/>
        <v>-3.2842990232767098</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-2.8940041907675518</v>
      </c>
      <c r="E128" s="11">
        <f>A128-'Mastercurve bestimmen'!$B$2</f>
        <v>-7</v>
      </c>
      <c r="F128" s="11">
        <f t="shared" si="10"/>
        <v>-2.8940041907675518</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-2.4981916674097548</v>
      </c>
      <c r="E129" s="11">
        <f>A129-'Mastercurve bestimmen'!$B$2</f>
        <v>-6</v>
      </c>
      <c r="F129" s="11">
        <f t="shared" si="10"/>
        <v>-2.4981916674097548</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-2.0967285064275769</v>
      </c>
      <c r="E130" s="11">
        <f>A130-'Mastercurve bestimmen'!$B$2</f>
        <v>-5</v>
      </c>
      <c r="F130" s="11">
        <f t="shared" si="10"/>
        <v>-2.0967285064275769</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-1.6894817610452764</v>
      </c>
      <c r="E131" s="11">
        <f>A131-'Mastercurve bestimmen'!$B$2</f>
        <v>-4</v>
      </c>
      <c r="F131" s="11">
        <f t="shared" si="10"/>
        <v>-1.6894817610452764</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-1.2763184844871103</v>
      </c>
      <c r="E132" s="11">
        <f>A132-'Mastercurve bestimmen'!$B$2</f>
        <v>-3</v>
      </c>
      <c r="F132" s="11">
        <f t="shared" si="10"/>
        <v>-1.2763184844871103</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-0.85710572997733725</v>
      </c>
      <c r="E133" s="11">
        <f>A133-'Mastercurve bestimmen'!$B$2</f>
        <v>-2</v>
      </c>
      <c r="F133" s="11">
        <f t="shared" si="10"/>
        <v>-0.85710572997733725</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-0.43171055074021447</v>
      </c>
      <c r="E134" s="11">
        <f>A134-'Mastercurve bestimmen'!$B$2</f>
        <v>-1</v>
      </c>
      <c r="F134" s="11">
        <f t="shared" si="10"/>
        <v>-0.43171055074021447</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0.43806297087473844</v>
      </c>
      <c r="E136" s="11">
        <f>A136-'Mastercurve bestimmen'!$B$2</f>
        <v>1</v>
      </c>
      <c r="F136" s="11">
        <f t="shared" si="10"/>
        <v>0.43806297087473844</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0.88213181793819606</v>
      </c>
      <c r="E137" s="11">
        <f>A137-'Mastercurve bestimmen'!$B$2</f>
        <v>2</v>
      </c>
      <c r="F137" s="11">
        <f t="shared" si="10"/>
        <v>0.88213181793819606</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1.3317640991002566</v>
      </c>
      <c r="E138" s="11">
        <f>A138-'Mastercurve bestimmen'!$B$2</f>
        <v>3</v>
      </c>
      <c r="F138" s="11">
        <f t="shared" si="10"/>
        <v>1.3317640991002566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1.786517372270805</v>
      </c>
      <c r="E139" s="11">
        <f>A139-'Mastercurve bestimmen'!$B$2</f>
        <v>4</v>
      </c>
      <c r="F139" s="11">
        <f t="shared" si="10"/>
        <v>1.786517372270805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2.2459491953597261</v>
      </c>
      <c r="E140" s="11">
        <f>A140-'Mastercurve bestimmen'!$B$2</f>
        <v>5</v>
      </c>
      <c r="F140" s="11">
        <f t="shared" si="10"/>
        <v>2.2459491953597261</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2.7096171262769051</v>
      </c>
      <c r="E141" s="11">
        <f>A141-'Mastercurve bestimmen'!$B$2</f>
        <v>6</v>
      </c>
      <c r="F141" s="11">
        <f t="shared" si="10"/>
        <v>2.7096171262769051</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3.1770787229322259</v>
      </c>
      <c r="E142" s="11">
        <f>A142-'Mastercurve bestimmen'!$B$2</f>
        <v>7</v>
      </c>
      <c r="F142" s="11">
        <f t="shared" si="10"/>
        <v>3.1770787229322259</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3.6478915432355734</v>
      </c>
      <c r="E143" s="11">
        <f>A143-'Mastercurve bestimmen'!$B$2</f>
        <v>8</v>
      </c>
      <c r="F143" s="11">
        <f t="shared" si="10"/>
        <v>3.6478915432355734</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4.1216131450968332</v>
      </c>
      <c r="E144" s="11">
        <f>A144-'Mastercurve bestimmen'!$B$2</f>
        <v>9</v>
      </c>
      <c r="F144" s="11">
        <f t="shared" ref="F144:F207" si="15">B144</f>
        <v>4.1216131450968332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4.5978010864258891</v>
      </c>
      <c r="E145" s="11">
        <f>A145-'Mastercurve bestimmen'!$B$2</f>
        <v>10</v>
      </c>
      <c r="F145" s="11">
        <f t="shared" si="15"/>
        <v>4.5978010864258891</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5.0760129251326269</v>
      </c>
      <c r="E146" s="11">
        <f>A146-'Mastercurve bestimmen'!$B$2</f>
        <v>11</v>
      </c>
      <c r="F146" s="11">
        <f t="shared" si="15"/>
        <v>5.0760129251326269</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5.5558062191269304</v>
      </c>
      <c r="E147" s="11">
        <f>A147-'Mastercurve bestimmen'!$B$2</f>
        <v>12</v>
      </c>
      <c r="F147" s="11">
        <f t="shared" si="15"/>
        <v>5.5558062191269304</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6.0367385263186844</v>
      </c>
      <c r="E148" s="11">
        <f>A148-'Mastercurve bestimmen'!$B$2</f>
        <v>13</v>
      </c>
      <c r="F148" s="11">
        <f t="shared" si="15"/>
        <v>6.0367385263186844</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6.5183674046177735</v>
      </c>
      <c r="E149" s="11">
        <f>A149-'Mastercurve bestimmen'!$B$2</f>
        <v>14</v>
      </c>
      <c r="F149" s="11">
        <f t="shared" si="15"/>
        <v>6.5183674046177735</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7.0002504119340827</v>
      </c>
      <c r="E150" s="11">
        <f>A150-'Mastercurve bestimmen'!$B$2</f>
        <v>15</v>
      </c>
      <c r="F150" s="11">
        <f t="shared" si="15"/>
        <v>7.0002504119340827</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7.4819451061774975</v>
      </c>
      <c r="E151" s="11">
        <f>A151-'Mastercurve bestimmen'!$B$2</f>
        <v>16</v>
      </c>
      <c r="F151" s="11">
        <f t="shared" si="15"/>
        <v>7.4819451061774975</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7.9630090452579028</v>
      </c>
      <c r="E152" s="11">
        <f>A152-'Mastercurve bestimmen'!$B$2</f>
        <v>17</v>
      </c>
      <c r="F152" s="11">
        <f t="shared" si="15"/>
        <v>7.9630090452579028</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8.4429997870851796</v>
      </c>
      <c r="E153" s="11">
        <f>A153-'Mastercurve bestimmen'!$B$2</f>
        <v>18</v>
      </c>
      <c r="F153" s="11">
        <f t="shared" si="15"/>
        <v>8.4429997870851796</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8.9214748895692182</v>
      </c>
      <c r="E154" s="11">
        <f>A154-'Mastercurve bestimmen'!$B$2</f>
        <v>19</v>
      </c>
      <c r="F154" s="11">
        <f t="shared" si="15"/>
        <v>8.9214748895692182</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9.3979919106198988</v>
      </c>
      <c r="E155" s="11">
        <f>A155-'Mastercurve bestimmen'!$B$2</f>
        <v>20</v>
      </c>
      <c r="F155" s="11">
        <f t="shared" si="15"/>
        <v>9.3979919106198988</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9.8721084081471098</v>
      </c>
      <c r="E156" s="11">
        <f>A156-'Mastercurve bestimmen'!$B$2</f>
        <v>21</v>
      </c>
      <c r="F156" s="11">
        <f t="shared" si="15"/>
        <v>9.8721084081471098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10.343381940060732</v>
      </c>
      <c r="E157" s="11">
        <f>A157-'Mastercurve bestimmen'!$B$2</f>
        <v>22</v>
      </c>
      <c r="F157" s="11">
        <f t="shared" si="15"/>
        <v>10.343381940060732</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10.811370064270655</v>
      </c>
      <c r="E158" s="11">
        <f>A158-'Mastercurve bestimmen'!$B$2</f>
        <v>23</v>
      </c>
      <c r="F158" s="11">
        <f t="shared" si="15"/>
        <v>10.811370064270655</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11.27563033868676</v>
      </c>
      <c r="E159" s="11">
        <f>A159-'Mastercurve bestimmen'!$B$2</f>
        <v>24</v>
      </c>
      <c r="F159" s="11">
        <f t="shared" si="15"/>
        <v>11.27563033868676</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11.735720321218931</v>
      </c>
      <c r="E160" s="11">
        <f>A160-'Mastercurve bestimmen'!$B$2</f>
        <v>25</v>
      </c>
      <c r="F160" s="11">
        <f t="shared" si="15"/>
        <v>11.735720321218931</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12.191197569777056</v>
      </c>
      <c r="E161" s="11">
        <f>A161-'Mastercurve bestimmen'!$B$2</f>
        <v>26</v>
      </c>
      <c r="F161" s="11">
        <f t="shared" si="15"/>
        <v>12.191197569777056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12.641619642271017</v>
      </c>
      <c r="E162" s="11">
        <f>A162-'Mastercurve bestimmen'!$B$2</f>
        <v>27</v>
      </c>
      <c r="F162" s="11">
        <f t="shared" si="15"/>
        <v>12.641619642271017</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13.0865440966107</v>
      </c>
      <c r="E163" s="11">
        <f>A163-'Mastercurve bestimmen'!$B$2</f>
        <v>28</v>
      </c>
      <c r="F163" s="11">
        <f t="shared" si="15"/>
        <v>13.0865440966107</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13.525528490705989</v>
      </c>
      <c r="E164" s="11">
        <f>A164-'Mastercurve bestimmen'!$B$2</f>
        <v>29</v>
      </c>
      <c r="F164" s="11">
        <f t="shared" si="15"/>
        <v>13.525528490705989</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13.95813038246677</v>
      </c>
      <c r="E165" s="11">
        <f>A165-'Mastercurve bestimmen'!$B$2</f>
        <v>30</v>
      </c>
      <c r="F165" s="11">
        <f t="shared" si="15"/>
        <v>13.95813038246677</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14.383907329802927</v>
      </c>
      <c r="E166" s="11">
        <f>A166-'Mastercurve bestimmen'!$B$2</f>
        <v>31</v>
      </c>
      <c r="F166" s="11">
        <f t="shared" si="15"/>
        <v>14.383907329802927</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14.802416890624345</v>
      </c>
      <c r="E167" s="11">
        <f>A167-'Mastercurve bestimmen'!$B$2</f>
        <v>32</v>
      </c>
      <c r="F167" s="11">
        <f t="shared" si="15"/>
        <v>14.802416890624345</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15.213216622840909</v>
      </c>
      <c r="E168" s="11">
        <f>A168-'Mastercurve bestimmen'!$B$2</f>
        <v>33</v>
      </c>
      <c r="F168" s="11">
        <f t="shared" si="15"/>
        <v>15.213216622840909</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15.615864084362503</v>
      </c>
      <c r="E169" s="11">
        <f>A169-'Mastercurve bestimmen'!$B$2</f>
        <v>34</v>
      </c>
      <c r="F169" s="11">
        <f t="shared" si="15"/>
        <v>15.615864084362503</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16.009916833099009</v>
      </c>
      <c r="E170" s="11">
        <f>A170-'Mastercurve bestimmen'!$B$2</f>
        <v>35</v>
      </c>
      <c r="F170" s="11">
        <f t="shared" si="15"/>
        <v>16.009916833099009</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16.394932426960317</v>
      </c>
      <c r="E171" s="11">
        <f>A171-'Mastercurve bestimmen'!$B$2</f>
        <v>36</v>
      </c>
      <c r="F171" s="11">
        <f t="shared" si="15"/>
        <v>16.394932426960317</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16.770468423856311</v>
      </c>
      <c r="E172" s="11">
        <f>A172-'Mastercurve bestimmen'!$B$2</f>
        <v>37</v>
      </c>
      <c r="F172" s="11">
        <f t="shared" si="15"/>
        <v>16.770468423856311</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17.136082381696873</v>
      </c>
      <c r="E173" s="11">
        <f>A173-'Mastercurve bestimmen'!$B$2</f>
        <v>38</v>
      </c>
      <c r="F173" s="11">
        <f t="shared" si="15"/>
        <v>17.136082381696873</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17.491331858391888</v>
      </c>
      <c r="E174" s="11">
        <f>A174-'Mastercurve bestimmen'!$B$2</f>
        <v>39</v>
      </c>
      <c r="F174" s="11">
        <f t="shared" si="15"/>
        <v>17.491331858391888</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17.835774411851244</v>
      </c>
      <c r="E175" s="11">
        <f>A175-'Mastercurve bestimmen'!$B$2</f>
        <v>40</v>
      </c>
      <c r="F175" s="11">
        <f t="shared" si="15"/>
        <v>17.835774411851244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18.168967599984821</v>
      </c>
      <c r="E176" s="11">
        <f>A176-'Mastercurve bestimmen'!$B$2</f>
        <v>41</v>
      </c>
      <c r="F176" s="11">
        <f t="shared" si="15"/>
        <v>18.168967599984821</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18.490468980702509</v>
      </c>
      <c r="E177" s="11">
        <f>A177-'Mastercurve bestimmen'!$B$2</f>
        <v>42</v>
      </c>
      <c r="F177" s="11">
        <f t="shared" si="15"/>
        <v>18.490468980702509</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18.799836111914189</v>
      </c>
      <c r="E178" s="11">
        <f>A178-'Mastercurve bestimmen'!$B$2</f>
        <v>43</v>
      </c>
      <c r="F178" s="11">
        <f t="shared" si="15"/>
        <v>18.799836111914189</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19.096626551529742</v>
      </c>
      <c r="E179" s="11">
        <f>A179-'Mastercurve bestimmen'!$B$2</f>
        <v>44</v>
      </c>
      <c r="F179" s="11">
        <f t="shared" si="15"/>
        <v>19.096626551529742</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19.380397857459062</v>
      </c>
      <c r="E180" s="11">
        <f>A180-'Mastercurve bestimmen'!$B$2</f>
        <v>45</v>
      </c>
      <c r="F180" s="11">
        <f t="shared" si="15"/>
        <v>19.380397857459062</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19.650845430702169</v>
      </c>
      <c r="E181" s="11">
        <f>A181-'Mastercurve bestimmen'!$B$2</f>
        <v>46</v>
      </c>
      <c r="F181" s="11">
        <f t="shared" si="15"/>
        <v>19.650845430702169</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19.908216044619685</v>
      </c>
      <c r="E182" s="11">
        <f>A182-'Mastercurve bestimmen'!$B$2</f>
        <v>47</v>
      </c>
      <c r="F182" s="11">
        <f t="shared" si="15"/>
        <v>19.908216044619685</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20.152894315662351</v>
      </c>
      <c r="E183" s="11">
        <f>A183-'Mastercurve bestimmen'!$B$2</f>
        <v>48</v>
      </c>
      <c r="F183" s="11">
        <f t="shared" si="15"/>
        <v>20.152894315662351</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20.385264860280916</v>
      </c>
      <c r="E184" s="11">
        <f>A184-'Mastercurve bestimmen'!$B$2</f>
        <v>49</v>
      </c>
      <c r="F184" s="11">
        <f t="shared" si="15"/>
        <v>20.385264860280916</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20.60571229492615</v>
      </c>
      <c r="E185" s="11">
        <f>A185-'Mastercurve bestimmen'!$B$2</f>
        <v>50</v>
      </c>
      <c r="F185" s="11">
        <f t="shared" si="15"/>
        <v>20.60571229492615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20.814621236048787</v>
      </c>
      <c r="E186" s="11">
        <f>A186-'Mastercurve bestimmen'!$B$2</f>
        <v>51</v>
      </c>
      <c r="F186" s="11">
        <f t="shared" si="15"/>
        <v>20.814621236048787</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21.012376300099596</v>
      </c>
      <c r="E187" s="11">
        <f>A187-'Mastercurve bestimmen'!$B$2</f>
        <v>52</v>
      </c>
      <c r="F187" s="11">
        <f t="shared" si="15"/>
        <v>21.012376300099596</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21.199362103529317</v>
      </c>
      <c r="E188" s="11">
        <f>A188-'Mastercurve bestimmen'!$B$2</f>
        <v>53</v>
      </c>
      <c r="F188" s="11">
        <f t="shared" si="15"/>
        <v>21.199362103529317</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21.375963262788712</v>
      </c>
      <c r="E189" s="11">
        <f>A189-'Mastercurve bestimmen'!$B$2</f>
        <v>54</v>
      </c>
      <c r="F189" s="11">
        <f t="shared" si="15"/>
        <v>21.375963262788712</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21.542564394328529</v>
      </c>
      <c r="E190" s="11">
        <f>A190-'Mastercurve bestimmen'!$B$2</f>
        <v>55</v>
      </c>
      <c r="F190" s="11">
        <f t="shared" si="15"/>
        <v>21.542564394328529</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21.699550114599521</v>
      </c>
      <c r="E191" s="11">
        <f>A191-'Mastercurve bestimmen'!$B$2</f>
        <v>56</v>
      </c>
      <c r="F191" s="11">
        <f t="shared" si="15"/>
        <v>21.699550114599521</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21.847305040052447</v>
      </c>
      <c r="E192" s="11">
        <f>A192-'Mastercurve bestimmen'!$B$2</f>
        <v>57</v>
      </c>
      <c r="F192" s="11">
        <f t="shared" si="15"/>
        <v>21.847305040052447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21.986213787138052</v>
      </c>
      <c r="E193" s="11">
        <f>A193-'Mastercurve bestimmen'!$B$2</f>
        <v>58</v>
      </c>
      <c r="F193" s="11">
        <f t="shared" si="15"/>
        <v>21.986213787138052</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22.116660972307095</v>
      </c>
      <c r="E194" s="11">
        <f>A194-'Mastercurve bestimmen'!$B$2</f>
        <v>59</v>
      </c>
      <c r="F194" s="11">
        <f t="shared" si="15"/>
        <v>22.116660972307095</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22.239031212010321</v>
      </c>
      <c r="E195" s="11">
        <f>A195-'Mastercurve bestimmen'!$B$2</f>
        <v>60</v>
      </c>
      <c r="F195" s="11">
        <f t="shared" si="15"/>
        <v>22.239031212010321</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22.35370912269849</v>
      </c>
      <c r="E196" s="11">
        <f>A196-'Mastercurve bestimmen'!$B$2</f>
        <v>61</v>
      </c>
      <c r="F196" s="11">
        <f t="shared" si="15"/>
        <v>22.35370912269849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22.461079320822357</v>
      </c>
      <c r="E197" s="11">
        <f>A197-'Mastercurve bestimmen'!$B$2</f>
        <v>62</v>
      </c>
      <c r="F197" s="11">
        <f t="shared" si="15"/>
        <v>22.461079320822357</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22.561526422832671</v>
      </c>
      <c r="E198" s="11">
        <f>A198-'Mastercurve bestimmen'!$B$2</f>
        <v>63</v>
      </c>
      <c r="F198" s="11">
        <f t="shared" si="15"/>
        <v>22.561526422832671</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22.65543504518018</v>
      </c>
      <c r="E199" s="11">
        <f>A199-'Mastercurve bestimmen'!$B$2</f>
        <v>64</v>
      </c>
      <c r="F199" s="11">
        <f t="shared" si="15"/>
        <v>22.65543504518018</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22.743189804315648</v>
      </c>
      <c r="E200" s="11">
        <f>A200-'Mastercurve bestimmen'!$B$2</f>
        <v>65</v>
      </c>
      <c r="F200" s="11">
        <f t="shared" si="15"/>
        <v>22.743189804315648</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22.825175316689815</v>
      </c>
      <c r="E201" s="11">
        <f>A201-'Mastercurve bestimmen'!$B$2</f>
        <v>66</v>
      </c>
      <c r="F201" s="11">
        <f t="shared" si="15"/>
        <v>22.825175316689815</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22.901776198753446</v>
      </c>
      <c r="E202" s="11">
        <f>A202-'Mastercurve bestimmen'!$B$2</f>
        <v>67</v>
      </c>
      <c r="F202" s="11">
        <f t="shared" si="15"/>
        <v>22.901776198753446</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22.973377066957287</v>
      </c>
      <c r="E203" s="11">
        <f>A203-'Mastercurve bestimmen'!$B$2</f>
        <v>68</v>
      </c>
      <c r="F203" s="11">
        <f t="shared" si="15"/>
        <v>22.973377066957287</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23.040362537752095</v>
      </c>
      <c r="E204" s="11">
        <f>A204-'Mastercurve bestimmen'!$B$2</f>
        <v>69</v>
      </c>
      <c r="F204" s="11">
        <f t="shared" si="15"/>
        <v>23.040362537752095</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23.103117227588616</v>
      </c>
      <c r="E205" s="11">
        <f>A205-'Mastercurve bestimmen'!$B$2</f>
        <v>70</v>
      </c>
      <c r="F205" s="11">
        <f t="shared" si="15"/>
        <v>23.103117227588616</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23.162025752917614</v>
      </c>
      <c r="E206" s="11">
        <f>A206-'Mastercurve bestimmen'!$B$2</f>
        <v>71</v>
      </c>
      <c r="F206" s="11">
        <f t="shared" si="15"/>
        <v>23.162025752917614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23.217472730189833</v>
      </c>
      <c r="E207" s="11">
        <f>A207-'Mastercurve bestimmen'!$B$2</f>
        <v>72</v>
      </c>
      <c r="F207" s="11">
        <f t="shared" si="15"/>
        <v>23.217472730189833</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23.269842775856027</v>
      </c>
      <c r="E208" s="11">
        <f>A208-'Mastercurve bestimmen'!$B$2</f>
        <v>73</v>
      </c>
      <c r="F208" s="11">
        <f t="shared" ref="F208:F215" si="21">B208</f>
        <v>23.269842775856027</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23.319520506366949</v>
      </c>
      <c r="E209" s="11">
        <f>A209-'Mastercurve bestimmen'!$B$2</f>
        <v>74</v>
      </c>
      <c r="F209" s="11">
        <f t="shared" si="21"/>
        <v>23.319520506366949</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23.366890538173354</v>
      </c>
      <c r="E210" s="11">
        <f>A210-'Mastercurve bestimmen'!$B$2</f>
        <v>75</v>
      </c>
      <c r="F210" s="11">
        <f t="shared" si="21"/>
        <v>23.366890538173354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23.412337487725999</v>
      </c>
      <c r="E211" s="11">
        <f>A211-'Mastercurve bestimmen'!$B$2</f>
        <v>76</v>
      </c>
      <c r="F211" s="11">
        <f t="shared" si="21"/>
        <v>23.412337487725999</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23.456245971475628</v>
      </c>
      <c r="E212" s="11">
        <f>A212-'Mastercurve bestimmen'!$B$2</f>
        <v>77</v>
      </c>
      <c r="F212" s="11">
        <f t="shared" si="21"/>
        <v>23.456245971475628</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23.499000605872997</v>
      </c>
      <c r="E213" s="11">
        <f>A213-'Mastercurve bestimmen'!$B$2</f>
        <v>78</v>
      </c>
      <c r="F213" s="11">
        <f t="shared" si="21"/>
        <v>23.499000605872997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23.540986007368865</v>
      </c>
      <c r="E214" s="11">
        <f>A214-'Mastercurve bestimmen'!$B$2</f>
        <v>79</v>
      </c>
      <c r="F214" s="11">
        <f t="shared" si="21"/>
        <v>23.540986007368865</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23.582586792413977</v>
      </c>
      <c r="E215" s="11">
        <f>A215-'Mastercurve bestimmen'!$B$2</f>
        <v>80</v>
      </c>
      <c r="F215" s="11">
        <f t="shared" si="21"/>
        <v>23.582586792413977</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0.43306067793707154</v>
      </c>
      <c r="J217" s="98">
        <v>2.1310918604379061E-3</v>
      </c>
      <c r="K217" s="98">
        <v>-2.1107863771088323E-5</v>
      </c>
      <c r="L217" s="98">
        <v>-5.794831457264906E-7</v>
      </c>
      <c r="M217" s="98">
        <v>-2.9092311182928795E-9</v>
      </c>
      <c r="N217" s="98">
        <v>3.6922766244928238E-11</v>
      </c>
      <c r="O217" s="98">
        <v>4.0209767423575872E-13</v>
      </c>
      <c r="P217" s="98">
        <v>9.6801343722952336E-16</v>
      </c>
    </row>
    <row r="218" spans="1:16" x14ac:dyDescent="0.25">
      <c r="G218" s="11"/>
      <c r="H218" s="11">
        <v>0</v>
      </c>
      <c r="I218" s="11">
        <v>9.594223882706586E-4</v>
      </c>
      <c r="J218" s="11">
        <v>1.7870724247990482E-5</v>
      </c>
      <c r="K218" s="3">
        <v>9.0800423990133089E-7</v>
      </c>
      <c r="L218" s="3">
        <v>8.2676486895464724E-9</v>
      </c>
      <c r="M218" s="3">
        <v>2.596057169463219E-10</v>
      </c>
      <c r="N218" s="3">
        <v>1.4265606944233655E-12</v>
      </c>
      <c r="O218" s="11">
        <v>2.2939926761290272E-14</v>
      </c>
      <c r="P218" s="11">
        <v>1.394973866478708E-16</v>
      </c>
    </row>
    <row r="219" spans="1:16" x14ac:dyDescent="0.25">
      <c r="G219" s="11"/>
      <c r="H219" s="11">
        <v>0.999969388431596</v>
      </c>
      <c r="I219" s="11">
        <v>9.9256789443066026E-2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-24.781086713294563</v>
      </c>
      <c r="G222">
        <f>F15</f>
        <v>-24.635274013105377</v>
      </c>
    </row>
    <row r="223" spans="1:16" x14ac:dyDescent="0.25">
      <c r="E223" s="11">
        <f t="shared" ref="E223:E286" si="25">E16</f>
        <v>-119</v>
      </c>
      <c r="F223" s="11">
        <f t="shared" ref="F223:F286" si="26">$H$217*0+E223*$I$217+E223^2*$J$217+E223^3*$K$217+E223^4*$L$217+E223^5*$M$217+E223^6*$N$217+E223^7*$O$217+E223^8*$P$217</f>
        <v>-24.669316559498171</v>
      </c>
      <c r="G223" s="11">
        <f t="shared" ref="G223:G286" si="27">F16</f>
        <v>-24.575047308083978</v>
      </c>
    </row>
    <row r="224" spans="1:16" x14ac:dyDescent="0.25">
      <c r="E224" s="11">
        <f t="shared" si="25"/>
        <v>-118</v>
      </c>
      <c r="F224" s="11">
        <f t="shared" si="26"/>
        <v>-24.565579804952108</v>
      </c>
      <c r="G224" s="11">
        <f t="shared" si="27"/>
        <v>-24.514753916367695</v>
      </c>
    </row>
    <row r="225" spans="5:7" x14ac:dyDescent="0.25">
      <c r="E225" s="11">
        <f t="shared" si="25"/>
        <v>-117</v>
      </c>
      <c r="F225" s="11">
        <f t="shared" si="26"/>
        <v>-24.469128550291316</v>
      </c>
      <c r="G225" s="11">
        <f t="shared" si="27"/>
        <v>-24.454327151261648</v>
      </c>
    </row>
    <row r="226" spans="5:7" x14ac:dyDescent="0.25">
      <c r="E226" s="11">
        <f t="shared" si="25"/>
        <v>-116</v>
      </c>
      <c r="F226" s="11">
        <f t="shared" si="26"/>
        <v>-24.379242176314399</v>
      </c>
      <c r="G226" s="11">
        <f t="shared" si="27"/>
        <v>-24.393700326070952</v>
      </c>
    </row>
    <row r="227" spans="5:7" x14ac:dyDescent="0.25">
      <c r="E227" s="11">
        <f t="shared" si="25"/>
        <v>-115</v>
      </c>
      <c r="F227" s="11">
        <f t="shared" si="26"/>
        <v>-24.295227380325358</v>
      </c>
      <c r="G227" s="11">
        <f t="shared" si="27"/>
        <v>-24.33280675410073</v>
      </c>
    </row>
    <row r="228" spans="5:7" x14ac:dyDescent="0.25">
      <c r="E228" s="11">
        <f t="shared" si="25"/>
        <v>-114</v>
      </c>
      <c r="F228" s="11">
        <f t="shared" si="26"/>
        <v>-24.216418155846718</v>
      </c>
      <c r="G228" s="11">
        <f t="shared" si="27"/>
        <v>-24.271579748656084</v>
      </c>
    </row>
    <row r="229" spans="5:7" x14ac:dyDescent="0.25">
      <c r="E229" s="11">
        <f t="shared" si="25"/>
        <v>-113</v>
      </c>
      <c r="F229" s="11">
        <f t="shared" si="26"/>
        <v>-24.142175718225264</v>
      </c>
      <c r="G229" s="11">
        <f t="shared" si="27"/>
        <v>-24.209952623042149</v>
      </c>
    </row>
    <row r="230" spans="5:7" x14ac:dyDescent="0.25">
      <c r="E230" s="11">
        <f t="shared" si="25"/>
        <v>-112</v>
      </c>
      <c r="F230" s="11">
        <f t="shared" si="26"/>
        <v>-24.071888378611622</v>
      </c>
      <c r="G230" s="11">
        <f t="shared" si="27"/>
        <v>-24.147858690564028</v>
      </c>
    </row>
    <row r="231" spans="5:7" x14ac:dyDescent="0.25">
      <c r="E231" s="11">
        <f t="shared" si="25"/>
        <v>-111</v>
      </c>
      <c r="F231" s="11">
        <f t="shared" si="26"/>
        <v>-24.004971368755928</v>
      </c>
      <c r="G231" s="11">
        <f t="shared" si="27"/>
        <v>-24.085231264526847</v>
      </c>
    </row>
    <row r="232" spans="5:7" x14ac:dyDescent="0.25">
      <c r="E232" s="11">
        <f t="shared" si="25"/>
        <v>-110</v>
      </c>
      <c r="F232" s="11">
        <f t="shared" si="26"/>
        <v>-23.94086661902297</v>
      </c>
      <c r="G232" s="11">
        <f t="shared" si="27"/>
        <v>-24.022003658235725</v>
      </c>
    </row>
    <row r="233" spans="5:7" x14ac:dyDescent="0.25">
      <c r="E233" s="11">
        <f t="shared" si="25"/>
        <v>-109</v>
      </c>
      <c r="F233" s="11">
        <f t="shared" si="26"/>
        <v>-23.879042491991427</v>
      </c>
      <c r="G233" s="11">
        <f t="shared" si="27"/>
        <v>-23.95810918499577</v>
      </c>
    </row>
    <row r="234" spans="5:7" x14ac:dyDescent="0.25">
      <c r="E234" s="11">
        <f t="shared" si="25"/>
        <v>-108</v>
      </c>
      <c r="F234" s="11">
        <f t="shared" si="26"/>
        <v>-23.818993473962159</v>
      </c>
      <c r="G234" s="11">
        <f t="shared" si="27"/>
        <v>-23.893481158112102</v>
      </c>
    </row>
    <row r="235" spans="5:7" x14ac:dyDescent="0.25">
      <c r="E235" s="11">
        <f t="shared" si="25"/>
        <v>-107</v>
      </c>
      <c r="F235" s="11">
        <f t="shared" si="26"/>
        <v>-23.760239826662009</v>
      </c>
      <c r="G235" s="11">
        <f t="shared" si="27"/>
        <v>-23.828052890889843</v>
      </c>
    </row>
    <row r="236" spans="5:7" x14ac:dyDescent="0.25">
      <c r="E236" s="11">
        <f t="shared" si="25"/>
        <v>-106</v>
      </c>
      <c r="F236" s="11">
        <f t="shared" si="26"/>
        <v>-23.702327201390354</v>
      </c>
      <c r="G236" s="11">
        <f t="shared" si="27"/>
        <v>-23.761757696634106</v>
      </c>
    </row>
    <row r="237" spans="5:7" x14ac:dyDescent="0.25">
      <c r="E237" s="11">
        <f t="shared" si="25"/>
        <v>-105</v>
      </c>
      <c r="F237" s="11">
        <f t="shared" si="26"/>
        <v>-23.644826217816586</v>
      </c>
      <c r="G237" s="11">
        <f t="shared" si="27"/>
        <v>-23.694528888650012</v>
      </c>
    </row>
    <row r="238" spans="5:7" x14ac:dyDescent="0.25">
      <c r="E238" s="11">
        <f t="shared" si="25"/>
        <v>-104</v>
      </c>
      <c r="F238" s="11">
        <f t="shared" si="26"/>
        <v>-23.587332009597645</v>
      </c>
      <c r="G238" s="11">
        <f t="shared" si="27"/>
        <v>-23.626299780242675</v>
      </c>
    </row>
    <row r="239" spans="5:7" x14ac:dyDescent="0.25">
      <c r="E239" s="11">
        <f t="shared" si="25"/>
        <v>-103</v>
      </c>
      <c r="F239" s="11">
        <f t="shared" si="26"/>
        <v>-23.52946373894596</v>
      </c>
      <c r="G239" s="11">
        <f t="shared" si="27"/>
        <v>-23.557003684717209</v>
      </c>
    </row>
    <row r="240" spans="5:7" x14ac:dyDescent="0.25">
      <c r="E240" s="11">
        <f t="shared" si="25"/>
        <v>-102</v>
      </c>
      <c r="F240" s="11">
        <f t="shared" si="26"/>
        <v>-23.470864082238656</v>
      </c>
      <c r="G240" s="11">
        <f t="shared" si="27"/>
        <v>-23.486573915378742</v>
      </c>
    </row>
    <row r="241" spans="5:7" x14ac:dyDescent="0.25">
      <c r="E241" s="11">
        <f t="shared" si="25"/>
        <v>-101</v>
      </c>
      <c r="F241" s="11">
        <f t="shared" si="26"/>
        <v>-23.411198688720347</v>
      </c>
      <c r="G241" s="11">
        <f t="shared" si="27"/>
        <v>-23.414943785532376</v>
      </c>
    </row>
    <row r="242" spans="5:7" x14ac:dyDescent="0.25">
      <c r="E242" s="11">
        <f t="shared" si="25"/>
        <v>-100</v>
      </c>
      <c r="F242" s="11">
        <f t="shared" si="26"/>
        <v>-23.35015561431242</v>
      </c>
      <c r="G242" s="11">
        <f t="shared" si="27"/>
        <v>-23.342046608483244</v>
      </c>
    </row>
    <row r="243" spans="5:7" x14ac:dyDescent="0.25">
      <c r="E243" s="11">
        <f t="shared" si="25"/>
        <v>-99</v>
      </c>
      <c r="F243" s="11">
        <f t="shared" si="26"/>
        <v>-23.28744473250309</v>
      </c>
      <c r="G243" s="11">
        <f t="shared" si="27"/>
        <v>-23.267815697536449</v>
      </c>
    </row>
    <row r="244" spans="5:7" x14ac:dyDescent="0.25">
      <c r="E244" s="11">
        <f t="shared" si="25"/>
        <v>-98</v>
      </c>
      <c r="F244" s="11">
        <f t="shared" si="26"/>
        <v>-23.222797124252647</v>
      </c>
      <c r="G244" s="11">
        <f t="shared" si="27"/>
        <v>-23.192184365997115</v>
      </c>
    </row>
    <row r="245" spans="5:7" x14ac:dyDescent="0.25">
      <c r="E245" s="11">
        <f t="shared" si="25"/>
        <v>-97</v>
      </c>
      <c r="F245" s="11">
        <f t="shared" si="26"/>
        <v>-23.155964448810835</v>
      </c>
      <c r="G245" s="11">
        <f t="shared" si="27"/>
        <v>-23.115085927170362</v>
      </c>
    </row>
    <row r="246" spans="5:7" x14ac:dyDescent="0.25">
      <c r="E246" s="11">
        <f t="shared" si="25"/>
        <v>-96</v>
      </c>
      <c r="F246" s="11">
        <f t="shared" si="26"/>
        <v>-23.086718297302209</v>
      </c>
      <c r="G246" s="11">
        <f t="shared" si="27"/>
        <v>-23.036453694361306</v>
      </c>
    </row>
    <row r="247" spans="5:7" x14ac:dyDescent="0.25">
      <c r="E247" s="11">
        <f t="shared" si="25"/>
        <v>-95</v>
      </c>
      <c r="F247" s="11">
        <f t="shared" si="26"/>
        <v>-23.014849530898328</v>
      </c>
      <c r="G247" s="11">
        <f t="shared" si="27"/>
        <v>-22.956220980875059</v>
      </c>
    </row>
    <row r="248" spans="5:7" x14ac:dyDescent="0.25">
      <c r="E248" s="11">
        <f t="shared" si="25"/>
        <v>-94</v>
      </c>
      <c r="F248" s="11">
        <f t="shared" si="26"/>
        <v>-22.940167605354929</v>
      </c>
      <c r="G248" s="11">
        <f t="shared" si="27"/>
        <v>-22.874321100016743</v>
      </c>
    </row>
    <row r="249" spans="5:7" x14ac:dyDescent="0.25">
      <c r="E249" s="11">
        <f t="shared" si="25"/>
        <v>-93</v>
      </c>
      <c r="F249" s="11">
        <f t="shared" si="26"/>
        <v>-22.862499883654564</v>
      </c>
      <c r="G249" s="11">
        <f t="shared" si="27"/>
        <v>-22.790687365091468</v>
      </c>
    </row>
    <row r="250" spans="5:7" x14ac:dyDescent="0.25">
      <c r="E250" s="11">
        <f t="shared" si="25"/>
        <v>-92</v>
      </c>
      <c r="F250" s="11">
        <f t="shared" si="26"/>
        <v>-22.781690938454943</v>
      </c>
      <c r="G250" s="11">
        <f t="shared" si="27"/>
        <v>-22.705253089404362</v>
      </c>
    </row>
    <row r="251" spans="5:7" x14ac:dyDescent="0.25">
      <c r="E251" s="11">
        <f t="shared" si="25"/>
        <v>-91</v>
      </c>
      <c r="F251" s="11">
        <f t="shared" si="26"/>
        <v>-22.697601846005238</v>
      </c>
      <c r="G251" s="11">
        <f t="shared" si="27"/>
        <v>-22.617951586260535</v>
      </c>
    </row>
    <row r="252" spans="5:7" x14ac:dyDescent="0.25">
      <c r="E252" s="11">
        <f t="shared" si="25"/>
        <v>-90</v>
      </c>
      <c r="F252" s="11">
        <f t="shared" si="26"/>
        <v>-22.610109473152825</v>
      </c>
      <c r="G252" s="11">
        <f t="shared" si="27"/>
        <v>-22.528716168965108</v>
      </c>
    </row>
    <row r="253" spans="5:7" x14ac:dyDescent="0.25">
      <c r="E253" s="11">
        <f t="shared" si="25"/>
        <v>-89</v>
      </c>
      <c r="F253" s="11">
        <f t="shared" si="26"/>
        <v>-22.519105759024313</v>
      </c>
      <c r="G253" s="11">
        <f t="shared" si="27"/>
        <v>-22.437480150823191</v>
      </c>
    </row>
    <row r="254" spans="5:7" x14ac:dyDescent="0.25">
      <c r="E254" s="11">
        <f t="shared" si="25"/>
        <v>-88</v>
      </c>
      <c r="F254" s="11">
        <f t="shared" si="26"/>
        <v>-22.424496992925569</v>
      </c>
      <c r="G254" s="11">
        <f t="shared" si="27"/>
        <v>-22.344176845139913</v>
      </c>
    </row>
    <row r="255" spans="5:7" x14ac:dyDescent="0.25">
      <c r="E255" s="11">
        <f t="shared" si="25"/>
        <v>-87</v>
      </c>
      <c r="F255" s="11">
        <f t="shared" si="26"/>
        <v>-22.326203089966313</v>
      </c>
      <c r="G255" s="11">
        <f t="shared" si="27"/>
        <v>-22.248739565220383</v>
      </c>
    </row>
    <row r="256" spans="5:7" x14ac:dyDescent="0.25">
      <c r="E256" s="11">
        <f t="shared" si="25"/>
        <v>-86</v>
      </c>
      <c r="F256" s="11">
        <f t="shared" si="26"/>
        <v>-22.224156865876058</v>
      </c>
      <c r="G256" s="11">
        <f t="shared" si="27"/>
        <v>-22.151101624369716</v>
      </c>
    </row>
    <row r="257" spans="5:7" x14ac:dyDescent="0.25">
      <c r="E257" s="11">
        <f t="shared" si="25"/>
        <v>-85</v>
      </c>
      <c r="F257" s="11">
        <f t="shared" si="26"/>
        <v>-22.118303312438844</v>
      </c>
      <c r="G257" s="11">
        <f t="shared" si="27"/>
        <v>-22.051196335893035</v>
      </c>
    </row>
    <row r="258" spans="5:7" x14ac:dyDescent="0.25">
      <c r="E258" s="11">
        <f t="shared" si="25"/>
        <v>-84</v>
      </c>
      <c r="F258" s="11">
        <f t="shared" si="26"/>
        <v>-22.008598874935537</v>
      </c>
      <c r="G258" s="11">
        <f t="shared" si="27"/>
        <v>-21.948957013095459</v>
      </c>
    </row>
    <row r="259" spans="5:7" x14ac:dyDescent="0.25">
      <c r="E259" s="11">
        <f t="shared" si="25"/>
        <v>-83</v>
      </c>
      <c r="F259" s="11">
        <f t="shared" si="26"/>
        <v>-21.89501073294306</v>
      </c>
      <c r="G259" s="11">
        <f t="shared" si="27"/>
        <v>-21.844316969282094</v>
      </c>
    </row>
    <row r="260" spans="5:7" x14ac:dyDescent="0.25">
      <c r="E260" s="11">
        <f t="shared" si="25"/>
        <v>-82</v>
      </c>
      <c r="F260" s="11">
        <f t="shared" si="26"/>
        <v>-21.777516085801182</v>
      </c>
      <c r="G260" s="11">
        <f t="shared" si="27"/>
        <v>-21.737209517758068</v>
      </c>
    </row>
    <row r="261" spans="5:7" x14ac:dyDescent="0.25">
      <c r="E261" s="11">
        <f t="shared" si="25"/>
        <v>-81</v>
      </c>
      <c r="F261" s="11">
        <f t="shared" si="26"/>
        <v>-21.656101444018326</v>
      </c>
      <c r="G261" s="11">
        <f t="shared" si="27"/>
        <v>-21.627567971828498</v>
      </c>
    </row>
    <row r="262" spans="5:7" x14ac:dyDescent="0.25">
      <c r="E262" s="11">
        <f t="shared" si="25"/>
        <v>-80</v>
      </c>
      <c r="F262" s="11">
        <f t="shared" si="26"/>
        <v>-21.530761927848857</v>
      </c>
      <c r="G262" s="11">
        <f t="shared" si="27"/>
        <v>-21.515325644798494</v>
      </c>
    </row>
    <row r="263" spans="5:7" x14ac:dyDescent="0.25">
      <c r="E263" s="11">
        <f t="shared" si="25"/>
        <v>-79</v>
      </c>
      <c r="F263" s="11">
        <f t="shared" si="26"/>
        <v>-21.401500574235246</v>
      </c>
      <c r="G263" s="11">
        <f t="shared" si="27"/>
        <v>-21.386141918543483</v>
      </c>
    </row>
    <row r="264" spans="5:7" x14ac:dyDescent="0.25">
      <c r="E264" s="11">
        <f t="shared" si="25"/>
        <v>-78</v>
      </c>
      <c r="F264" s="11">
        <f t="shared" si="26"/>
        <v>-21.268327653269559</v>
      </c>
      <c r="G264" s="11">
        <f t="shared" si="27"/>
        <v>-21.254222450157805</v>
      </c>
    </row>
    <row r="265" spans="5:7" x14ac:dyDescent="0.25">
      <c r="E265" s="11">
        <f t="shared" si="25"/>
        <v>-77</v>
      </c>
      <c r="F265" s="11">
        <f t="shared" si="26"/>
        <v>-21.131259995289625</v>
      </c>
      <c r="G265" s="11">
        <f t="shared" si="27"/>
        <v>-21.119498965306111</v>
      </c>
    </row>
    <row r="266" spans="5:7" x14ac:dyDescent="0.25">
      <c r="E266" s="11">
        <f t="shared" si="25"/>
        <v>-76</v>
      </c>
      <c r="F266" s="11">
        <f t="shared" si="26"/>
        <v>-20.990320329686146</v>
      </c>
      <c r="G266" s="11">
        <f t="shared" si="27"/>
        <v>-20.98190318965305</v>
      </c>
    </row>
    <row r="267" spans="5:7" x14ac:dyDescent="0.25">
      <c r="E267" s="11">
        <f t="shared" si="25"/>
        <v>-75</v>
      </c>
      <c r="F267" s="11">
        <f t="shared" si="26"/>
        <v>-20.845536636458228</v>
      </c>
      <c r="G267" s="11">
        <f t="shared" si="27"/>
        <v>-20.84136684886327</v>
      </c>
    </row>
    <row r="268" spans="5:7" x14ac:dyDescent="0.25">
      <c r="E268" s="11">
        <f t="shared" si="25"/>
        <v>-74</v>
      </c>
      <c r="F268" s="11">
        <f t="shared" si="26"/>
        <v>-20.696941511515373</v>
      </c>
      <c r="G268" s="11">
        <f t="shared" si="27"/>
        <v>-20.697821668601414</v>
      </c>
    </row>
    <row r="269" spans="5:7" x14ac:dyDescent="0.25">
      <c r="E269" s="11">
        <f t="shared" si="25"/>
        <v>-73</v>
      </c>
      <c r="F269" s="11">
        <f t="shared" si="26"/>
        <v>-20.544571546685383</v>
      </c>
      <c r="G269" s="11">
        <f t="shared" si="27"/>
        <v>-20.551199374532139</v>
      </c>
    </row>
    <row r="270" spans="5:7" x14ac:dyDescent="0.25">
      <c r="E270" s="11">
        <f t="shared" si="25"/>
        <v>-72</v>
      </c>
      <c r="F270" s="11">
        <f t="shared" si="26"/>
        <v>-20.388466725348312</v>
      </c>
      <c r="G270" s="11">
        <f t="shared" si="27"/>
        <v>-20.401431692320092</v>
      </c>
    </row>
    <row r="271" spans="5:7" x14ac:dyDescent="0.25">
      <c r="E271" s="11">
        <f t="shared" si="25"/>
        <v>-71</v>
      </c>
      <c r="F271" s="11">
        <f t="shared" si="26"/>
        <v>-20.22866983457758</v>
      </c>
      <c r="G271" s="11">
        <f t="shared" si="27"/>
        <v>-20.248450347629912</v>
      </c>
    </row>
    <row r="272" spans="5:7" x14ac:dyDescent="0.25">
      <c r="E272" s="11">
        <f t="shared" si="25"/>
        <v>-70</v>
      </c>
      <c r="F272" s="11">
        <f t="shared" si="26"/>
        <v>-20.065225894630586</v>
      </c>
      <c r="G272" s="11">
        <f t="shared" si="27"/>
        <v>-20.092187066126257</v>
      </c>
    </row>
    <row r="273" spans="5:7" x14ac:dyDescent="0.25">
      <c r="E273" s="11">
        <f t="shared" si="25"/>
        <v>-69</v>
      </c>
      <c r="F273" s="11">
        <f t="shared" si="26"/>
        <v>-19.898181606591713</v>
      </c>
      <c r="G273" s="11">
        <f t="shared" si="27"/>
        <v>-19.932573573473775</v>
      </c>
    </row>
    <row r="274" spans="5:7" x14ac:dyDescent="0.25">
      <c r="E274" s="11">
        <f t="shared" si="25"/>
        <v>-68</v>
      </c>
      <c r="F274" s="11">
        <f t="shared" si="26"/>
        <v>-19.727584818932044</v>
      </c>
      <c r="G274" s="11">
        <f t="shared" si="27"/>
        <v>-19.769541595337106</v>
      </c>
    </row>
    <row r="275" spans="5:7" x14ac:dyDescent="0.25">
      <c r="E275" s="11">
        <f t="shared" si="25"/>
        <v>-67</v>
      </c>
      <c r="F275" s="11">
        <f t="shared" si="26"/>
        <v>-19.553484013710701</v>
      </c>
      <c r="G275" s="11">
        <f t="shared" si="27"/>
        <v>-19.603022857380907</v>
      </c>
    </row>
    <row r="276" spans="5:7" x14ac:dyDescent="0.25">
      <c r="E276" s="11">
        <f t="shared" si="25"/>
        <v>-66</v>
      </c>
      <c r="F276" s="11">
        <f t="shared" si="26"/>
        <v>-19.375927813103846</v>
      </c>
      <c r="G276" s="11">
        <f t="shared" si="27"/>
        <v>-19.432949085269819</v>
      </c>
    </row>
    <row r="277" spans="5:7" x14ac:dyDescent="0.25">
      <c r="E277" s="11">
        <f t="shared" si="25"/>
        <v>-65</v>
      </c>
      <c r="F277" s="11">
        <f t="shared" si="26"/>
        <v>-19.194964506908491</v>
      </c>
      <c r="G277" s="11">
        <f t="shared" si="27"/>
        <v>-19.2592520046685</v>
      </c>
    </row>
    <row r="278" spans="5:7" x14ac:dyDescent="0.25">
      <c r="E278" s="11">
        <f t="shared" si="25"/>
        <v>-64</v>
      </c>
      <c r="F278" s="11">
        <f t="shared" si="26"/>
        <v>-19.010641601628912</v>
      </c>
      <c r="G278" s="11">
        <f t="shared" si="27"/>
        <v>-19.08186334124159</v>
      </c>
    </row>
    <row r="279" spans="5:7" x14ac:dyDescent="0.25">
      <c r="E279" s="11">
        <f t="shared" si="25"/>
        <v>-63</v>
      </c>
      <c r="F279" s="11">
        <f t="shared" si="26"/>
        <v>-18.823005391714684</v>
      </c>
      <c r="G279" s="11">
        <f t="shared" si="27"/>
        <v>-18.900714820653739</v>
      </c>
    </row>
    <row r="280" spans="5:7" x14ac:dyDescent="0.25">
      <c r="E280" s="11">
        <f t="shared" si="25"/>
        <v>-62</v>
      </c>
      <c r="F280" s="11">
        <f t="shared" si="26"/>
        <v>-18.632100553480328</v>
      </c>
      <c r="G280" s="11">
        <f t="shared" si="27"/>
        <v>-18.715738168569597</v>
      </c>
    </row>
    <row r="281" spans="5:7" x14ac:dyDescent="0.25">
      <c r="E281" s="11">
        <f t="shared" si="25"/>
        <v>-61</v>
      </c>
      <c r="F281" s="11">
        <f t="shared" si="26"/>
        <v>-18.437969762197287</v>
      </c>
      <c r="G281" s="11">
        <f t="shared" si="27"/>
        <v>-18.526865110653812</v>
      </c>
    </row>
    <row r="282" spans="5:7" x14ac:dyDescent="0.25">
      <c r="E282" s="11">
        <f t="shared" si="25"/>
        <v>-60</v>
      </c>
      <c r="F282" s="11">
        <f t="shared" si="26"/>
        <v>-18.240653332810201</v>
      </c>
      <c r="G282" s="11">
        <f t="shared" si="27"/>
        <v>-18.334027372571033</v>
      </c>
    </row>
    <row r="283" spans="5:7" x14ac:dyDescent="0.25">
      <c r="E283" s="11">
        <f t="shared" si="25"/>
        <v>-59</v>
      </c>
      <c r="F283" s="11">
        <f t="shared" si="26"/>
        <v>-18.04018888469033</v>
      </c>
      <c r="G283" s="11">
        <f t="shared" si="27"/>
        <v>-18.137156679985907</v>
      </c>
    </row>
    <row r="284" spans="5:7" x14ac:dyDescent="0.25">
      <c r="E284" s="11">
        <f t="shared" si="25"/>
        <v>-58</v>
      </c>
      <c r="F284" s="11">
        <f t="shared" si="26"/>
        <v>-17.836611030799777</v>
      </c>
      <c r="G284" s="11">
        <f t="shared" si="27"/>
        <v>-17.93618475856308</v>
      </c>
    </row>
    <row r="285" spans="5:7" x14ac:dyDescent="0.25">
      <c r="E285" s="11">
        <f t="shared" si="25"/>
        <v>-57</v>
      </c>
      <c r="F285" s="11">
        <f t="shared" si="26"/>
        <v>-17.629951091601395</v>
      </c>
      <c r="G285" s="11">
        <f t="shared" si="27"/>
        <v>-17.7310433339672</v>
      </c>
    </row>
    <row r="286" spans="5:7" x14ac:dyDescent="0.25">
      <c r="E286" s="11">
        <f t="shared" si="25"/>
        <v>-56</v>
      </c>
      <c r="F286" s="11">
        <f t="shared" si="26"/>
        <v>-17.420236834010073</v>
      </c>
      <c r="G286" s="11">
        <f t="shared" si="27"/>
        <v>-17.521664131862924</v>
      </c>
    </row>
    <row r="287" spans="5:7" x14ac:dyDescent="0.25">
      <c r="E287" s="11">
        <f t="shared" ref="E287:E350" si="28">E80</f>
        <v>-55</v>
      </c>
      <c r="F287" s="11">
        <f t="shared" ref="F287:F350" si="29">$H$217*0+E287*$I$217+E287^2*$J$217+E287^3*$K$217+E287^4*$L$217+E287^5*$M$217+E287^6*$N$217+E287^7*$O$217+E287^8*$P$217</f>
        <v>-17.207492235642086</v>
      </c>
      <c r="G287" s="11">
        <f t="shared" ref="G287:G350" si="30">F80</f>
        <v>-17.307978877914895</v>
      </c>
    </row>
    <row r="288" spans="5:7" x14ac:dyDescent="0.25">
      <c r="E288" s="11">
        <f t="shared" si="28"/>
        <v>-54</v>
      </c>
      <c r="F288" s="11">
        <f t="shared" si="29"/>
        <v>-16.991737274580206</v>
      </c>
      <c r="G288" s="11">
        <f t="shared" si="30"/>
        <v>-17.089943439584797</v>
      </c>
    </row>
    <row r="289" spans="5:7" x14ac:dyDescent="0.25">
      <c r="E289" s="11">
        <f t="shared" si="28"/>
        <v>-53</v>
      </c>
      <c r="F289" s="11">
        <f t="shared" si="29"/>
        <v>-16.772987744833177</v>
      </c>
      <c r="G289" s="11">
        <f t="shared" si="30"/>
        <v>-16.8676102515225</v>
      </c>
    </row>
    <row r="290" spans="5:7" x14ac:dyDescent="0.25">
      <c r="E290" s="11">
        <f t="shared" si="28"/>
        <v>-52</v>
      </c>
      <c r="F290" s="11">
        <f t="shared" si="29"/>
        <v>-16.551255097629177</v>
      </c>
      <c r="G290" s="11">
        <f t="shared" si="30"/>
        <v>-16.641055890174897</v>
      </c>
    </row>
    <row r="291" spans="5:7" x14ac:dyDescent="0.25">
      <c r="E291" s="11">
        <f t="shared" si="28"/>
        <v>-51</v>
      </c>
      <c r="F291" s="11">
        <f t="shared" si="29"/>
        <v>-16.326546308643906</v>
      </c>
      <c r="G291" s="11">
        <f t="shared" si="30"/>
        <v>-16.410356931988897</v>
      </c>
    </row>
    <row r="292" spans="5:7" x14ac:dyDescent="0.25">
      <c r="E292" s="11">
        <f t="shared" si="28"/>
        <v>-50</v>
      </c>
      <c r="F292" s="11">
        <f t="shared" si="29"/>
        <v>-16.098863771224714</v>
      </c>
      <c r="G292" s="11">
        <f t="shared" si="30"/>
        <v>-16.175589953411396</v>
      </c>
    </row>
    <row r="293" spans="5:7" x14ac:dyDescent="0.25">
      <c r="E293" s="11">
        <f t="shared" si="28"/>
        <v>-49</v>
      </c>
      <c r="F293" s="11">
        <f t="shared" si="29"/>
        <v>-15.868205215633489</v>
      </c>
      <c r="G293" s="11">
        <f t="shared" si="30"/>
        <v>-15.936831530889295</v>
      </c>
    </row>
    <row r="294" spans="5:7" x14ac:dyDescent="0.25">
      <c r="E294" s="11">
        <f t="shared" si="28"/>
        <v>-48</v>
      </c>
      <c r="F294" s="11">
        <f t="shared" si="29"/>
        <v>-15.634563654291536</v>
      </c>
      <c r="G294" s="11">
        <f t="shared" si="30"/>
        <v>-15.6941582408695</v>
      </c>
    </row>
    <row r="295" spans="5:7" x14ac:dyDescent="0.25">
      <c r="E295" s="11">
        <f t="shared" si="28"/>
        <v>-47</v>
      </c>
      <c r="F295" s="11">
        <f t="shared" si="29"/>
        <v>-15.397927352971125</v>
      </c>
      <c r="G295" s="11">
        <f t="shared" si="30"/>
        <v>-15.447646659798909</v>
      </c>
    </row>
    <row r="296" spans="5:7" x14ac:dyDescent="0.25">
      <c r="E296" s="11">
        <f t="shared" si="28"/>
        <v>-46</v>
      </c>
      <c r="F296" s="11">
        <f t="shared" si="29"/>
        <v>-15.15827982783906</v>
      </c>
      <c r="G296" s="11">
        <f t="shared" si="30"/>
        <v>-15.197373364124424</v>
      </c>
    </row>
    <row r="297" spans="5:7" x14ac:dyDescent="0.25">
      <c r="E297" s="11">
        <f t="shared" si="28"/>
        <v>-45</v>
      </c>
      <c r="F297" s="11">
        <f t="shared" si="29"/>
        <v>-14.91559986821863</v>
      </c>
      <c r="G297" s="11">
        <f t="shared" si="30"/>
        <v>-14.943414930292946</v>
      </c>
    </row>
    <row r="298" spans="5:7" x14ac:dyDescent="0.25">
      <c r="E298" s="11">
        <f t="shared" si="28"/>
        <v>-44</v>
      </c>
      <c r="F298" s="11">
        <f t="shared" si="29"/>
        <v>-14.669861584897337</v>
      </c>
      <c r="G298" s="11">
        <f t="shared" si="30"/>
        <v>-14.685847934751378</v>
      </c>
    </row>
    <row r="299" spans="5:7" x14ac:dyDescent="0.25">
      <c r="E299" s="11">
        <f t="shared" si="28"/>
        <v>-43</v>
      </c>
      <c r="F299" s="11">
        <f t="shared" si="29"/>
        <v>-14.421034483768773</v>
      </c>
      <c r="G299" s="11">
        <f t="shared" si="30"/>
        <v>-14.42474895394662</v>
      </c>
    </row>
    <row r="300" spans="5:7" x14ac:dyDescent="0.25">
      <c r="E300" s="11">
        <f t="shared" si="28"/>
        <v>-42</v>
      </c>
      <c r="F300" s="11">
        <f t="shared" si="29"/>
        <v>-14.169083564557884</v>
      </c>
      <c r="G300" s="11">
        <f t="shared" si="30"/>
        <v>-14.160194564325575</v>
      </c>
    </row>
    <row r="301" spans="5:7" x14ac:dyDescent="0.25">
      <c r="E301" s="11">
        <f t="shared" si="28"/>
        <v>-41</v>
      </c>
      <c r="F301" s="11">
        <f t="shared" si="29"/>
        <v>-13.913969444339948</v>
      </c>
      <c r="G301" s="11">
        <f t="shared" si="30"/>
        <v>-13.892261342335141</v>
      </c>
    </row>
    <row r="302" spans="5:7" x14ac:dyDescent="0.25">
      <c r="E302" s="11">
        <f t="shared" si="28"/>
        <v>-40</v>
      </c>
      <c r="F302" s="11">
        <f t="shared" si="29"/>
        <v>-13.655648505524518</v>
      </c>
      <c r="G302" s="11">
        <f t="shared" si="30"/>
        <v>-13.621025864422224</v>
      </c>
    </row>
    <row r="303" spans="5:7" x14ac:dyDescent="0.25">
      <c r="E303" s="11">
        <f t="shared" si="28"/>
        <v>-39</v>
      </c>
      <c r="F303" s="11">
        <f t="shared" si="29"/>
        <v>-13.394073067936466</v>
      </c>
      <c r="G303" s="11">
        <f t="shared" si="30"/>
        <v>-13.346564707033721</v>
      </c>
    </row>
    <row r="304" spans="5:7" x14ac:dyDescent="0.25">
      <c r="E304" s="11">
        <f t="shared" si="28"/>
        <v>-38</v>
      </c>
      <c r="F304" s="11">
        <f t="shared" si="29"/>
        <v>-13.129191584587456</v>
      </c>
      <c r="G304" s="11">
        <f t="shared" si="30"/>
        <v>-13.068954446616537</v>
      </c>
    </row>
    <row r="305" spans="5:7" x14ac:dyDescent="0.25">
      <c r="E305" s="11">
        <f t="shared" si="28"/>
        <v>-37</v>
      </c>
      <c r="F305" s="11">
        <f t="shared" si="29"/>
        <v>-12.860948860691838</v>
      </c>
      <c r="G305" s="11">
        <f t="shared" si="30"/>
        <v>-12.788271659617575</v>
      </c>
    </row>
    <row r="306" spans="5:7" x14ac:dyDescent="0.25">
      <c r="E306" s="11">
        <f t="shared" si="28"/>
        <v>-36</v>
      </c>
      <c r="F306" s="11">
        <f t="shared" si="29"/>
        <v>-12.58928629544222</v>
      </c>
      <c r="G306" s="11">
        <f t="shared" si="30"/>
        <v>-12.504592922483731</v>
      </c>
    </row>
    <row r="307" spans="5:7" x14ac:dyDescent="0.25">
      <c r="E307" s="11">
        <f t="shared" si="28"/>
        <v>-35</v>
      </c>
      <c r="F307" s="11">
        <f t="shared" si="29"/>
        <v>-12.314142146020732</v>
      </c>
      <c r="G307" s="11">
        <f t="shared" si="30"/>
        <v>-12.217994811661908</v>
      </c>
    </row>
    <row r="308" spans="5:7" x14ac:dyDescent="0.25">
      <c r="E308" s="11">
        <f t="shared" si="28"/>
        <v>-34</v>
      </c>
      <c r="F308" s="11">
        <f t="shared" si="29"/>
        <v>-12.035451813283091</v>
      </c>
      <c r="G308" s="11">
        <f t="shared" si="30"/>
        <v>-11.928553903599008</v>
      </c>
    </row>
    <row r="309" spans="5:7" x14ac:dyDescent="0.25">
      <c r="E309" s="11">
        <f t="shared" si="28"/>
        <v>-33</v>
      </c>
      <c r="F309" s="11">
        <f t="shared" si="29"/>
        <v>-11.753148148513473</v>
      </c>
      <c r="G309" s="11">
        <f t="shared" si="30"/>
        <v>-11.636346774741934</v>
      </c>
    </row>
    <row r="310" spans="5:7" x14ac:dyDescent="0.25">
      <c r="E310" s="11">
        <f t="shared" si="28"/>
        <v>-32</v>
      </c>
      <c r="F310" s="11">
        <f t="shared" si="29"/>
        <v>-11.467161780609199</v>
      </c>
      <c r="G310" s="11">
        <f t="shared" si="30"/>
        <v>-11.341450001537586</v>
      </c>
    </row>
    <row r="311" spans="5:7" x14ac:dyDescent="0.25">
      <c r="E311" s="11">
        <f t="shared" si="28"/>
        <v>-31</v>
      </c>
      <c r="F311" s="11">
        <f t="shared" si="29"/>
        <v>-11.177421463015234</v>
      </c>
      <c r="G311" s="11">
        <f t="shared" si="30"/>
        <v>-11.043940160432866</v>
      </c>
    </row>
    <row r="312" spans="5:7" x14ac:dyDescent="0.25">
      <c r="E312" s="11">
        <f t="shared" si="28"/>
        <v>-30</v>
      </c>
      <c r="F312" s="11">
        <f t="shared" si="29"/>
        <v>-10.883854439689404</v>
      </c>
      <c r="G312" s="11">
        <f t="shared" si="30"/>
        <v>-10.743893827874675</v>
      </c>
    </row>
    <row r="313" spans="5:7" x14ac:dyDescent="0.25">
      <c r="E313" s="11">
        <f t="shared" si="28"/>
        <v>-29</v>
      </c>
      <c r="F313" s="11">
        <f t="shared" si="29"/>
        <v>-10.586386829340277</v>
      </c>
      <c r="G313" s="11">
        <f t="shared" si="30"/>
        <v>-10.441352659772807</v>
      </c>
    </row>
    <row r="314" spans="5:7" x14ac:dyDescent="0.25">
      <c r="E314" s="11">
        <f t="shared" si="28"/>
        <v>-28</v>
      </c>
      <c r="F314" s="11">
        <f t="shared" si="29"/>
        <v>-10.284944027140556</v>
      </c>
      <c r="G314" s="11">
        <f t="shared" si="30"/>
        <v>-10.13621862988863</v>
      </c>
    </row>
    <row r="315" spans="5:7" x14ac:dyDescent="0.25">
      <c r="E315" s="11">
        <f t="shared" si="28"/>
        <v>-27</v>
      </c>
      <c r="F315" s="11">
        <f t="shared" si="29"/>
        <v>-9.9794511230798904</v>
      </c>
      <c r="G315" s="11">
        <f t="shared" si="30"/>
        <v>-9.8283587914463961</v>
      </c>
    </row>
    <row r="316" spans="5:7" x14ac:dyDescent="0.25">
      <c r="E316" s="11">
        <f t="shared" si="28"/>
        <v>-26</v>
      </c>
      <c r="F316" s="11">
        <f t="shared" si="29"/>
        <v>-9.6698333360818456</v>
      </c>
      <c r="G316" s="11">
        <f t="shared" si="30"/>
        <v>-9.5176401976703673</v>
      </c>
    </row>
    <row r="317" spans="5:7" x14ac:dyDescent="0.25">
      <c r="E317" s="11">
        <f t="shared" si="28"/>
        <v>-25</v>
      </c>
      <c r="F317" s="11">
        <f t="shared" si="29"/>
        <v>-9.3560164629708975</v>
      </c>
      <c r="G317" s="11">
        <f t="shared" si="30"/>
        <v>-9.2039299017848002</v>
      </c>
    </row>
    <row r="318" spans="5:7" x14ac:dyDescent="0.25">
      <c r="E318" s="11">
        <f t="shared" si="28"/>
        <v>-24</v>
      </c>
      <c r="F318" s="11">
        <f t="shared" si="29"/>
        <v>-9.0379273413361947</v>
      </c>
      <c r="G318" s="11">
        <f t="shared" si="30"/>
        <v>-8.8870949570139519</v>
      </c>
    </row>
    <row r="319" spans="5:7" x14ac:dyDescent="0.25">
      <c r="E319" s="11">
        <f t="shared" si="28"/>
        <v>-23</v>
      </c>
      <c r="F319" s="11">
        <f t="shared" si="29"/>
        <v>-8.7154943252997779</v>
      </c>
      <c r="G319" s="11">
        <f t="shared" si="30"/>
        <v>-8.5670024165820848</v>
      </c>
    </row>
    <row r="320" spans="5:7" x14ac:dyDescent="0.25">
      <c r="E320" s="11">
        <f t="shared" si="28"/>
        <v>-22</v>
      </c>
      <c r="F320" s="11">
        <f t="shared" si="29"/>
        <v>-8.388647773158004</v>
      </c>
      <c r="G320" s="11">
        <f t="shared" si="30"/>
        <v>-8.2435193337134507</v>
      </c>
    </row>
    <row r="321" spans="5:7" x14ac:dyDescent="0.25">
      <c r="E321" s="11">
        <f t="shared" si="28"/>
        <v>-21</v>
      </c>
      <c r="F321" s="11">
        <f t="shared" si="29"/>
        <v>-8.057320545825835</v>
      </c>
      <c r="G321" s="11">
        <f t="shared" si="30"/>
        <v>-7.9165127616323101</v>
      </c>
    </row>
    <row r="322" spans="5:7" x14ac:dyDescent="0.25">
      <c r="E322" s="11">
        <f t="shared" si="28"/>
        <v>-20</v>
      </c>
      <c r="F322" s="11">
        <f t="shared" si="29"/>
        <v>-7.7214485149746164</v>
      </c>
      <c r="G322" s="11">
        <f t="shared" si="30"/>
        <v>-7.585849753562921</v>
      </c>
    </row>
    <row r="323" spans="5:7" x14ac:dyDescent="0.25">
      <c r="E323" s="11">
        <f t="shared" si="28"/>
        <v>-19</v>
      </c>
      <c r="F323" s="11">
        <f t="shared" si="29"/>
        <v>-7.3809710797149597</v>
      </c>
      <c r="G323" s="11">
        <f t="shared" si="30"/>
        <v>-7.2513973627295423</v>
      </c>
    </row>
    <row r="324" spans="5:7" x14ac:dyDescent="0.25">
      <c r="E324" s="11">
        <f t="shared" si="28"/>
        <v>-18</v>
      </c>
      <c r="F324" s="11">
        <f t="shared" si="29"/>
        <v>-7.0358316906373233</v>
      </c>
      <c r="G324" s="11">
        <f t="shared" si="30"/>
        <v>-6.9130226423564274</v>
      </c>
    </row>
    <row r="325" spans="5:7" x14ac:dyDescent="0.25">
      <c r="E325" s="11">
        <f t="shared" si="28"/>
        <v>-17</v>
      </c>
      <c r="F325" s="11">
        <f t="shared" si="29"/>
        <v>-6.6859783799838173</v>
      </c>
      <c r="G325" s="11">
        <f t="shared" si="30"/>
        <v>-6.5705926456678396</v>
      </c>
    </row>
    <row r="326" spans="5:7" x14ac:dyDescent="0.25">
      <c r="E326" s="11">
        <f t="shared" si="28"/>
        <v>-16</v>
      </c>
      <c r="F326" s="11">
        <f t="shared" si="29"/>
        <v>-6.3313642966857753</v>
      </c>
      <c r="G326" s="11">
        <f t="shared" si="30"/>
        <v>-6.2239744258880343</v>
      </c>
    </row>
    <row r="327" spans="5:7" x14ac:dyDescent="0.25">
      <c r="E327" s="11">
        <f t="shared" si="28"/>
        <v>-15</v>
      </c>
      <c r="F327" s="11">
        <f t="shared" si="29"/>
        <v>-5.9719482449625581</v>
      </c>
      <c r="G327" s="11">
        <f t="shared" si="30"/>
        <v>-5.8730350362412702</v>
      </c>
    </row>
    <row r="328" spans="5:7" x14ac:dyDescent="0.25">
      <c r="E328" s="11">
        <f t="shared" si="28"/>
        <v>-14</v>
      </c>
      <c r="F328" s="11">
        <f t="shared" si="29"/>
        <v>-5.6076952251380625</v>
      </c>
      <c r="G328" s="11">
        <f t="shared" si="30"/>
        <v>-5.5176415299518036</v>
      </c>
    </row>
    <row r="329" spans="5:7" x14ac:dyDescent="0.25">
      <c r="E329" s="11">
        <f t="shared" si="28"/>
        <v>-13</v>
      </c>
      <c r="F329" s="11">
        <f t="shared" si="29"/>
        <v>-5.2385769752923661</v>
      </c>
      <c r="G329" s="11">
        <f t="shared" si="30"/>
        <v>-5.1576609602438923</v>
      </c>
    </row>
    <row r="330" spans="5:7" x14ac:dyDescent="0.25">
      <c r="E330" s="11">
        <f t="shared" si="28"/>
        <v>-12</v>
      </c>
      <c r="F330" s="11">
        <f t="shared" si="29"/>
        <v>-4.864572512326875</v>
      </c>
      <c r="G330" s="11">
        <f t="shared" si="30"/>
        <v>-4.7929603803417962</v>
      </c>
    </row>
    <row r="331" spans="5:7" x14ac:dyDescent="0.25">
      <c r="E331" s="11">
        <f t="shared" si="28"/>
        <v>-11</v>
      </c>
      <c r="F331" s="11">
        <f t="shared" si="29"/>
        <v>-4.4856686709823972</v>
      </c>
      <c r="G331" s="11">
        <f t="shared" si="30"/>
        <v>-4.4234068434697722</v>
      </c>
    </row>
    <row r="332" spans="5:7" x14ac:dyDescent="0.25">
      <c r="E332" s="11">
        <f t="shared" si="28"/>
        <v>-10</v>
      </c>
      <c r="F332" s="11">
        <f t="shared" si="29"/>
        <v>-4.1018606393104253</v>
      </c>
      <c r="G332" s="11">
        <f t="shared" si="30"/>
        <v>-4.0488674028520775</v>
      </c>
    </row>
    <row r="333" spans="5:7" x14ac:dyDescent="0.25">
      <c r="E333" s="11">
        <f t="shared" si="28"/>
        <v>-9</v>
      </c>
      <c r="F333" s="11">
        <f t="shared" si="29"/>
        <v>-3.713152489058948</v>
      </c>
      <c r="G333" s="11">
        <f t="shared" si="30"/>
        <v>-3.6692091117129704</v>
      </c>
    </row>
    <row r="334" spans="5:7" x14ac:dyDescent="0.25">
      <c r="E334" s="11">
        <f t="shared" si="28"/>
        <v>-8</v>
      </c>
      <c r="F334" s="11">
        <f t="shared" si="29"/>
        <v>-3.319557699395097</v>
      </c>
      <c r="G334" s="11">
        <f t="shared" si="30"/>
        <v>-3.2842990232767098</v>
      </c>
    </row>
    <row r="335" spans="5:7" x14ac:dyDescent="0.25">
      <c r="E335" s="11">
        <f t="shared" si="28"/>
        <v>-7</v>
      </c>
      <c r="F335" s="11">
        <f t="shared" si="29"/>
        <v>-2.9210996723478382</v>
      </c>
      <c r="G335" s="11">
        <f t="shared" si="30"/>
        <v>-2.8940041907675518</v>
      </c>
    </row>
    <row r="336" spans="5:7" x14ac:dyDescent="0.25">
      <c r="E336" s="11">
        <f t="shared" si="28"/>
        <v>-6</v>
      </c>
      <c r="F336" s="11">
        <f t="shared" si="29"/>
        <v>-2.5178122383149368</v>
      </c>
      <c r="G336" s="11">
        <f t="shared" si="30"/>
        <v>-2.4981916674097548</v>
      </c>
    </row>
    <row r="337" spans="5:7" x14ac:dyDescent="0.25">
      <c r="E337" s="11">
        <f t="shared" si="28"/>
        <v>-5</v>
      </c>
      <c r="F337" s="11">
        <f t="shared" si="29"/>
        <v>-2.1097401499393857</v>
      </c>
      <c r="G337" s="11">
        <f t="shared" si="30"/>
        <v>-2.0967285064275769</v>
      </c>
    </row>
    <row r="338" spans="5:7" x14ac:dyDescent="0.25">
      <c r="E338" s="11">
        <f t="shared" si="28"/>
        <v>-4</v>
      </c>
      <c r="F338" s="11">
        <f t="shared" si="29"/>
        <v>-1.696939562621449</v>
      </c>
      <c r="G338" s="11">
        <f t="shared" si="30"/>
        <v>-1.6894817610452764</v>
      </c>
    </row>
    <row r="339" spans="5:7" x14ac:dyDescent="0.25">
      <c r="E339" s="11">
        <f t="shared" si="28"/>
        <v>-3</v>
      </c>
      <c r="F339" s="11">
        <f t="shared" si="29"/>
        <v>-1.2794784998934359</v>
      </c>
      <c r="G339" s="11">
        <f t="shared" si="30"/>
        <v>-1.2763184844871103</v>
      </c>
    </row>
    <row r="340" spans="5:7" x14ac:dyDescent="0.25">
      <c r="E340" s="11">
        <f t="shared" si="28"/>
        <v>-2</v>
      </c>
      <c r="F340" s="11">
        <f t="shared" si="29"/>
        <v>-0.85743730184532208</v>
      </c>
      <c r="G340" s="11">
        <f t="shared" si="30"/>
        <v>-0.85710572997733725</v>
      </c>
    </row>
    <row r="341" spans="5:7" x14ac:dyDescent="0.25">
      <c r="E341" s="11">
        <f t="shared" si="28"/>
        <v>-1</v>
      </c>
      <c r="F341" s="11">
        <f t="shared" si="29"/>
        <v>-0.43090905475025559</v>
      </c>
      <c r="G341" s="11">
        <f t="shared" si="30"/>
        <v>-0.43171055074021447</v>
      </c>
    </row>
    <row r="342" spans="5:7" x14ac:dyDescent="0.25">
      <c r="E342" s="11">
        <f t="shared" si="28"/>
        <v>0</v>
      </c>
      <c r="F342" s="11">
        <f t="shared" si="29"/>
        <v>0</v>
      </c>
      <c r="G342" s="11">
        <f t="shared" si="30"/>
        <v>1.1102230246251565E-16</v>
      </c>
    </row>
    <row r="343" spans="5:7" x14ac:dyDescent="0.25">
      <c r="E343" s="11">
        <f t="shared" si="28"/>
        <v>1</v>
      </c>
      <c r="F343" s="11">
        <f t="shared" si="29"/>
        <v>0.43517007957868731</v>
      </c>
      <c r="G343" s="11">
        <f t="shared" si="30"/>
        <v>0.43806297087473844</v>
      </c>
    </row>
    <row r="344" spans="5:7" x14ac:dyDescent="0.25">
      <c r="E344" s="11">
        <f t="shared" si="28"/>
        <v>2</v>
      </c>
      <c r="F344" s="11">
        <f t="shared" si="29"/>
        <v>0.87446749799477197</v>
      </c>
      <c r="G344" s="11">
        <f t="shared" si="30"/>
        <v>0.88213181793819606</v>
      </c>
    </row>
    <row r="345" spans="5:7" x14ac:dyDescent="0.25">
      <c r="E345" s="11">
        <f t="shared" si="28"/>
        <v>3</v>
      </c>
      <c r="F345" s="11">
        <f t="shared" si="29"/>
        <v>1.3177443309578061</v>
      </c>
      <c r="G345" s="11">
        <f t="shared" si="30"/>
        <v>1.3317640991002566</v>
      </c>
    </row>
    <row r="346" spans="5:7" x14ac:dyDescent="0.25">
      <c r="E346" s="11">
        <f t="shared" si="28"/>
        <v>4</v>
      </c>
      <c r="F346" s="11">
        <f t="shared" si="29"/>
        <v>1.7648381093830303</v>
      </c>
      <c r="G346" s="11">
        <f t="shared" si="30"/>
        <v>1.786517372270805</v>
      </c>
    </row>
    <row r="347" spans="5:7" x14ac:dyDescent="0.25">
      <c r="E347" s="11">
        <f t="shared" si="28"/>
        <v>5</v>
      </c>
      <c r="F347" s="11">
        <f t="shared" si="29"/>
        <v>2.2155715436218291</v>
      </c>
      <c r="G347" s="11">
        <f t="shared" si="30"/>
        <v>2.2459491953597261</v>
      </c>
    </row>
    <row r="348" spans="5:7" x14ac:dyDescent="0.25">
      <c r="E348" s="11">
        <f t="shared" si="28"/>
        <v>6</v>
      </c>
      <c r="F348" s="11">
        <f t="shared" si="29"/>
        <v>2.6697522805416884</v>
      </c>
      <c r="G348" s="11">
        <f t="shared" si="30"/>
        <v>2.7096171262769051</v>
      </c>
    </row>
    <row r="349" spans="5:7" x14ac:dyDescent="0.25">
      <c r="E349" s="11">
        <f t="shared" si="28"/>
        <v>7</v>
      </c>
      <c r="F349" s="11">
        <f t="shared" si="29"/>
        <v>3.1271726956188366</v>
      </c>
      <c r="G349" s="11">
        <f t="shared" si="30"/>
        <v>3.1770787229322259</v>
      </c>
    </row>
    <row r="350" spans="5:7" x14ac:dyDescent="0.25">
      <c r="E350" s="11">
        <f t="shared" si="28"/>
        <v>8</v>
      </c>
      <c r="F350" s="11">
        <f t="shared" si="29"/>
        <v>3.5876097222457677</v>
      </c>
      <c r="G350" s="11">
        <f t="shared" si="30"/>
        <v>3.6478915432355734</v>
      </c>
    </row>
    <row r="351" spans="5:7" x14ac:dyDescent="0.25">
      <c r="E351" s="11">
        <f t="shared" ref="E351:E414" si="31">E144</f>
        <v>9</v>
      </c>
      <c r="F351" s="11">
        <f t="shared" ref="F351:F414" si="32">$H$217*0+E351*$I$217+E351^2*$J$217+E351^3*$K$217+E351^4*$L$217+E351^5*$M$217+E351^6*$N$217+E351^7*$O$217+E351^8*$P$217</f>
        <v>4.0508247204949068</v>
      </c>
      <c r="G351" s="11">
        <f t="shared" ref="G351:G414" si="33">F144</f>
        <v>4.1216131450968332</v>
      </c>
    </row>
    <row r="352" spans="5:7" x14ac:dyDescent="0.25">
      <c r="E352" s="11">
        <f t="shared" si="31"/>
        <v>10</v>
      </c>
      <c r="F352" s="11">
        <f t="shared" si="32"/>
        <v>4.5165633876186551</v>
      </c>
      <c r="G352" s="11">
        <f t="shared" si="33"/>
        <v>4.5978010864258891</v>
      </c>
    </row>
    <row r="353" spans="5:7" x14ac:dyDescent="0.25">
      <c r="E353" s="11">
        <f t="shared" si="31"/>
        <v>11</v>
      </c>
      <c r="F353" s="11">
        <f t="shared" si="32"/>
        <v>4.9845557126051467</v>
      </c>
      <c r="G353" s="11">
        <f t="shared" si="33"/>
        <v>5.0760129251326269</v>
      </c>
    </row>
    <row r="354" spans="5:7" x14ac:dyDescent="0.25">
      <c r="E354" s="11">
        <f t="shared" si="31"/>
        <v>12</v>
      </c>
      <c r="F354" s="11">
        <f t="shared" si="32"/>
        <v>5.4545159771480272</v>
      </c>
      <c r="G354" s="11">
        <f t="shared" si="33"/>
        <v>5.5558062191269304</v>
      </c>
    </row>
    <row r="355" spans="5:7" x14ac:dyDescent="0.25">
      <c r="E355" s="11">
        <f t="shared" si="31"/>
        <v>13</v>
      </c>
      <c r="F355" s="11">
        <f t="shared" si="32"/>
        <v>5.9261428054276184</v>
      </c>
      <c r="G355" s="11">
        <f t="shared" si="33"/>
        <v>6.0367385263186844</v>
      </c>
    </row>
    <row r="356" spans="5:7" x14ac:dyDescent="0.25">
      <c r="E356" s="11">
        <f t="shared" si="31"/>
        <v>14</v>
      </c>
      <c r="F356" s="11">
        <f t="shared" si="32"/>
        <v>6.3991192651398592</v>
      </c>
      <c r="G356" s="11">
        <f t="shared" si="33"/>
        <v>6.5183674046177735</v>
      </c>
    </row>
    <row r="357" spans="5:7" x14ac:dyDescent="0.25">
      <c r="E357" s="11">
        <f t="shared" si="31"/>
        <v>15</v>
      </c>
      <c r="F357" s="11">
        <f t="shared" si="32"/>
        <v>6.873113022248452</v>
      </c>
      <c r="G357" s="11">
        <f t="shared" si="33"/>
        <v>7.0002504119340827</v>
      </c>
    </row>
    <row r="358" spans="5:7" x14ac:dyDescent="0.25">
      <c r="E358" s="11">
        <f t="shared" si="31"/>
        <v>16</v>
      </c>
      <c r="F358" s="11">
        <f t="shared" si="32"/>
        <v>7.3477765519746487</v>
      </c>
      <c r="G358" s="11">
        <f t="shared" si="33"/>
        <v>7.4819451061774975</v>
      </c>
    </row>
    <row r="359" spans="5:7" x14ac:dyDescent="0.25">
      <c r="E359" s="11">
        <f t="shared" si="31"/>
        <v>17</v>
      </c>
      <c r="F359" s="11">
        <f t="shared" si="32"/>
        <v>7.8227474085781736</v>
      </c>
      <c r="G359" s="11">
        <f t="shared" si="33"/>
        <v>7.9630090452579028</v>
      </c>
    </row>
    <row r="360" spans="5:7" x14ac:dyDescent="0.25">
      <c r="E360" s="11">
        <f t="shared" si="31"/>
        <v>18</v>
      </c>
      <c r="F360" s="11">
        <f t="shared" si="32"/>
        <v>8.2976485565217928</v>
      </c>
      <c r="G360" s="11">
        <f t="shared" si="33"/>
        <v>8.4429997870851796</v>
      </c>
    </row>
    <row r="361" spans="5:7" x14ac:dyDescent="0.25">
      <c r="E361" s="11">
        <f t="shared" si="31"/>
        <v>19</v>
      </c>
      <c r="F361" s="11">
        <f t="shared" si="32"/>
        <v>8.7720887656510538</v>
      </c>
      <c r="G361" s="11">
        <f t="shared" si="33"/>
        <v>8.9214748895692182</v>
      </c>
    </row>
    <row r="362" spans="5:7" x14ac:dyDescent="0.25">
      <c r="E362" s="11">
        <f t="shared" si="31"/>
        <v>20</v>
      </c>
      <c r="F362" s="11">
        <f t="shared" si="32"/>
        <v>9.2456630730598022</v>
      </c>
      <c r="G362" s="11">
        <f t="shared" si="33"/>
        <v>9.3979919106198988</v>
      </c>
    </row>
    <row r="363" spans="5:7" x14ac:dyDescent="0.25">
      <c r="E363" s="11">
        <f t="shared" si="31"/>
        <v>21</v>
      </c>
      <c r="F363" s="11">
        <f t="shared" si="32"/>
        <v>9.7179533143510284</v>
      </c>
      <c r="G363" s="11">
        <f t="shared" si="33"/>
        <v>9.8721084081471098</v>
      </c>
    </row>
    <row r="364" spans="5:7" x14ac:dyDescent="0.25">
      <c r="E364" s="11">
        <f t="shared" si="31"/>
        <v>22</v>
      </c>
      <c r="F364" s="11">
        <f t="shared" si="32"/>
        <v>10.18852872704174</v>
      </c>
      <c r="G364" s="11">
        <f t="shared" si="33"/>
        <v>10.343381940060732</v>
      </c>
    </row>
    <row r="365" spans="5:7" x14ac:dyDescent="0.25">
      <c r="E365" s="11">
        <f t="shared" si="31"/>
        <v>23</v>
      </c>
      <c r="F365" s="11">
        <f t="shared" si="32"/>
        <v>10.656946628899474</v>
      </c>
      <c r="G365" s="11">
        <f t="shared" si="33"/>
        <v>10.811370064270655</v>
      </c>
    </row>
    <row r="366" spans="5:7" x14ac:dyDescent="0.25">
      <c r="E366" s="11">
        <f t="shared" si="31"/>
        <v>24</v>
      </c>
      <c r="F366" s="11">
        <f t="shared" si="32"/>
        <v>11.122753174037134</v>
      </c>
      <c r="G366" s="11">
        <f t="shared" si="33"/>
        <v>11.27563033868676</v>
      </c>
    </row>
    <row r="367" spans="5:7" x14ac:dyDescent="0.25">
      <c r="E367" s="11">
        <f t="shared" si="31"/>
        <v>25</v>
      </c>
      <c r="F367" s="11">
        <f t="shared" si="32"/>
        <v>11.585484189631957</v>
      </c>
      <c r="G367" s="11">
        <f t="shared" si="33"/>
        <v>11.735720321218931</v>
      </c>
    </row>
    <row r="368" spans="5:7" x14ac:dyDescent="0.25">
      <c r="E368" s="11">
        <f t="shared" si="31"/>
        <v>26</v>
      </c>
      <c r="F368" s="11">
        <f t="shared" si="32"/>
        <v>12.044666096173247</v>
      </c>
      <c r="G368" s="11">
        <f t="shared" si="33"/>
        <v>12.191197569777056</v>
      </c>
    </row>
    <row r="369" spans="5:7" x14ac:dyDescent="0.25">
      <c r="E369" s="11">
        <f t="shared" si="31"/>
        <v>27</v>
      </c>
      <c r="F369" s="11">
        <f t="shared" si="32"/>
        <v>12.499816914182752</v>
      </c>
      <c r="G369" s="11">
        <f t="shared" si="33"/>
        <v>12.641619642271017</v>
      </c>
    </row>
    <row r="370" spans="5:7" x14ac:dyDescent="0.25">
      <c r="E370" s="11">
        <f t="shared" si="31"/>
        <v>28</v>
      </c>
      <c r="F370" s="11">
        <f t="shared" si="32"/>
        <v>12.950447360390454</v>
      </c>
      <c r="G370" s="11">
        <f t="shared" si="33"/>
        <v>13.0865440966107</v>
      </c>
    </row>
    <row r="371" spans="5:7" x14ac:dyDescent="0.25">
      <c r="E371" s="11">
        <f t="shared" si="31"/>
        <v>29</v>
      </c>
      <c r="F371" s="11">
        <f t="shared" si="32"/>
        <v>13.396062036387651</v>
      </c>
      <c r="G371" s="11">
        <f t="shared" si="33"/>
        <v>13.525528490705989</v>
      </c>
    </row>
    <row r="372" spans="5:7" x14ac:dyDescent="0.25">
      <c r="E372" s="11">
        <f t="shared" si="31"/>
        <v>30</v>
      </c>
      <c r="F372" s="11">
        <f t="shared" si="32"/>
        <v>13.83616071281816</v>
      </c>
      <c r="G372" s="11">
        <f t="shared" si="33"/>
        <v>13.95813038246677</v>
      </c>
    </row>
    <row r="373" spans="5:7" x14ac:dyDescent="0.25">
      <c r="E373" s="11">
        <f t="shared" si="31"/>
        <v>31</v>
      </c>
      <c r="F373" s="11">
        <f t="shared" si="32"/>
        <v>14.270239712207564</v>
      </c>
      <c r="G373" s="11">
        <f t="shared" si="33"/>
        <v>14.383907329802927</v>
      </c>
    </row>
    <row r="374" spans="5:7" x14ac:dyDescent="0.25">
      <c r="E374" s="11">
        <f t="shared" si="31"/>
        <v>32</v>
      </c>
      <c r="F374" s="11">
        <f t="shared" si="32"/>
        <v>14.697793393569492</v>
      </c>
      <c r="G374" s="11">
        <f t="shared" si="33"/>
        <v>14.802416890624345</v>
      </c>
    </row>
    <row r="375" spans="5:7" x14ac:dyDescent="0.25">
      <c r="E375" s="11">
        <f t="shared" si="31"/>
        <v>33</v>
      </c>
      <c r="F375" s="11">
        <f t="shared" si="32"/>
        <v>15.118315741966805</v>
      </c>
      <c r="G375" s="11">
        <f t="shared" si="33"/>
        <v>15.213216622840909</v>
      </c>
    </row>
    <row r="376" spans="5:7" x14ac:dyDescent="0.25">
      <c r="E376" s="11">
        <f t="shared" si="31"/>
        <v>34</v>
      </c>
      <c r="F376" s="11">
        <f t="shared" si="32"/>
        <v>15.531302066244743</v>
      </c>
      <c r="G376" s="11">
        <f t="shared" si="33"/>
        <v>15.615864084362503</v>
      </c>
    </row>
    <row r="377" spans="5:7" x14ac:dyDescent="0.25">
      <c r="E377" s="11">
        <f t="shared" si="31"/>
        <v>35</v>
      </c>
      <c r="F377" s="11">
        <f t="shared" si="32"/>
        <v>15.936250808192082</v>
      </c>
      <c r="G377" s="11">
        <f t="shared" si="33"/>
        <v>16.009916833099009</v>
      </c>
    </row>
    <row r="378" spans="5:7" x14ac:dyDescent="0.25">
      <c r="E378" s="11">
        <f t="shared" si="31"/>
        <v>36</v>
      </c>
      <c r="F378" s="11">
        <f t="shared" si="32"/>
        <v>16.332665466425251</v>
      </c>
      <c r="G378" s="11">
        <f t="shared" si="33"/>
        <v>16.394932426960317</v>
      </c>
    </row>
    <row r="379" spans="5:7" x14ac:dyDescent="0.25">
      <c r="E379" s="11">
        <f t="shared" si="31"/>
        <v>37</v>
      </c>
      <c r="F379" s="11">
        <f t="shared" si="32"/>
        <v>16.720056638329687</v>
      </c>
      <c r="G379" s="11">
        <f t="shared" si="33"/>
        <v>16.770468423856311</v>
      </c>
    </row>
    <row r="380" spans="5:7" x14ac:dyDescent="0.25">
      <c r="E380" s="11">
        <f t="shared" si="31"/>
        <v>38</v>
      </c>
      <c r="F380" s="11">
        <f t="shared" si="32"/>
        <v>17.097944183431277</v>
      </c>
      <c r="G380" s="11">
        <f t="shared" si="33"/>
        <v>17.136082381696873</v>
      </c>
    </row>
    <row r="381" spans="5:7" x14ac:dyDescent="0.25">
      <c r="E381" s="11">
        <f t="shared" si="31"/>
        <v>39</v>
      </c>
      <c r="F381" s="11">
        <f t="shared" si="32"/>
        <v>17.465859511610351</v>
      </c>
      <c r="G381" s="11">
        <f t="shared" si="33"/>
        <v>17.491331858391888</v>
      </c>
    </row>
    <row r="382" spans="5:7" x14ac:dyDescent="0.25">
      <c r="E382" s="11">
        <f t="shared" si="31"/>
        <v>40</v>
      </c>
      <c r="F382" s="11">
        <f t="shared" si="32"/>
        <v>17.823347999609091</v>
      </c>
      <c r="G382" s="11">
        <f t="shared" si="33"/>
        <v>17.835774411851244</v>
      </c>
    </row>
    <row r="383" spans="5:7" x14ac:dyDescent="0.25">
      <c r="E383" s="11">
        <f t="shared" si="31"/>
        <v>41</v>
      </c>
      <c r="F383" s="11">
        <f t="shared" si="32"/>
        <v>18.16997153932282</v>
      </c>
      <c r="G383" s="11">
        <f t="shared" si="33"/>
        <v>18.168967599984821</v>
      </c>
    </row>
    <row r="384" spans="5:7" x14ac:dyDescent="0.25">
      <c r="E384" s="11">
        <f t="shared" si="31"/>
        <v>42</v>
      </c>
      <c r="F384" s="11">
        <f t="shared" si="32"/>
        <v>18.505311221404245</v>
      </c>
      <c r="G384" s="11">
        <f t="shared" si="33"/>
        <v>18.490468980702509</v>
      </c>
    </row>
    <row r="385" spans="5:7" x14ac:dyDescent="0.25">
      <c r="E385" s="11">
        <f t="shared" si="31"/>
        <v>43</v>
      </c>
      <c r="F385" s="11">
        <f t="shared" si="32"/>
        <v>18.828970157749009</v>
      </c>
      <c r="G385" s="11">
        <f t="shared" si="33"/>
        <v>18.799836111914189</v>
      </c>
    </row>
    <row r="386" spans="5:7" x14ac:dyDescent="0.25">
      <c r="E386" s="11">
        <f t="shared" si="31"/>
        <v>44</v>
      </c>
      <c r="F386" s="11">
        <f t="shared" si="32"/>
        <v>19.140576446469833</v>
      </c>
      <c r="G386" s="11">
        <f t="shared" si="33"/>
        <v>19.096626551529742</v>
      </c>
    </row>
    <row r="387" spans="5:7" x14ac:dyDescent="0.25">
      <c r="E387" s="11">
        <f t="shared" si="31"/>
        <v>45</v>
      </c>
      <c r="F387" s="11">
        <f t="shared" si="32"/>
        <v>19.439786283005503</v>
      </c>
      <c r="G387" s="11">
        <f t="shared" si="33"/>
        <v>19.380397857459062</v>
      </c>
    </row>
    <row r="388" spans="5:7" x14ac:dyDescent="0.25">
      <c r="E388" s="11">
        <f t="shared" si="31"/>
        <v>46</v>
      </c>
      <c r="F388" s="11">
        <f t="shared" si="32"/>
        <v>19.72628722105026</v>
      </c>
      <c r="G388" s="11">
        <f t="shared" si="33"/>
        <v>19.650845430702169</v>
      </c>
    </row>
    <row r="389" spans="5:7" x14ac:dyDescent="0.25">
      <c r="E389" s="11">
        <f t="shared" si="31"/>
        <v>47</v>
      </c>
      <c r="F389" s="11">
        <f t="shared" si="32"/>
        <v>19.999801587027662</v>
      </c>
      <c r="G389" s="11">
        <f t="shared" si="33"/>
        <v>19.908216044619685</v>
      </c>
    </row>
    <row r="390" spans="5:7" x14ac:dyDescent="0.25">
      <c r="E390" s="11">
        <f t="shared" si="31"/>
        <v>48</v>
      </c>
      <c r="F390" s="11">
        <f t="shared" si="32"/>
        <v>20.260090051872748</v>
      </c>
      <c r="G390" s="11">
        <f t="shared" si="33"/>
        <v>20.152894315662351</v>
      </c>
    </row>
    <row r="391" spans="5:7" x14ac:dyDescent="0.25">
      <c r="E391" s="11">
        <f t="shared" si="31"/>
        <v>49</v>
      </c>
      <c r="F391" s="11">
        <f t="shared" si="32"/>
        <v>20.506955363924543</v>
      </c>
      <c r="G391" s="11">
        <f t="shared" si="33"/>
        <v>20.385264860280916</v>
      </c>
    </row>
    <row r="392" spans="5:7" x14ac:dyDescent="0.25">
      <c r="E392" s="11">
        <f t="shared" si="31"/>
        <v>50</v>
      </c>
      <c r="F392" s="11">
        <f t="shared" si="32"/>
        <v>20.740246246770681</v>
      </c>
      <c r="G392" s="11">
        <f t="shared" si="33"/>
        <v>20.60571229492615</v>
      </c>
    </row>
    <row r="393" spans="5:7" x14ac:dyDescent="0.25">
      <c r="E393" s="11">
        <f t="shared" si="31"/>
        <v>51</v>
      </c>
      <c r="F393" s="11">
        <f t="shared" si="32"/>
        <v>20.959861465924547</v>
      </c>
      <c r="G393" s="11">
        <f t="shared" si="33"/>
        <v>20.814621236048787</v>
      </c>
    </row>
    <row r="394" spans="5:7" x14ac:dyDescent="0.25">
      <c r="E394" s="11">
        <f t="shared" si="31"/>
        <v>52</v>
      </c>
      <c r="F394" s="11">
        <f t="shared" si="32"/>
        <v>21.165754068254461</v>
      </c>
      <c r="G394" s="11">
        <f t="shared" si="33"/>
        <v>21.012376300099596</v>
      </c>
    </row>
    <row r="395" spans="5:7" x14ac:dyDescent="0.25">
      <c r="E395" s="11">
        <f t="shared" si="31"/>
        <v>53</v>
      </c>
      <c r="F395" s="11">
        <f t="shared" si="32"/>
        <v>21.357935798123499</v>
      </c>
      <c r="G395" s="11">
        <f t="shared" si="33"/>
        <v>21.199362103529317</v>
      </c>
    </row>
    <row r="396" spans="5:7" x14ac:dyDescent="0.25">
      <c r="E396" s="11">
        <f t="shared" si="31"/>
        <v>54</v>
      </c>
      <c r="F396" s="11">
        <f t="shared" si="32"/>
        <v>21.536481694237605</v>
      </c>
      <c r="G396" s="11">
        <f t="shared" si="33"/>
        <v>21.375963262788712</v>
      </c>
    </row>
    <row r="397" spans="5:7" x14ac:dyDescent="0.25">
      <c r="E397" s="11">
        <f t="shared" si="31"/>
        <v>55</v>
      </c>
      <c r="F397" s="11">
        <f t="shared" si="32"/>
        <v>21.701534871238497</v>
      </c>
      <c r="G397" s="11">
        <f t="shared" si="33"/>
        <v>21.542564394328529</v>
      </c>
    </row>
    <row r="398" spans="5:7" x14ac:dyDescent="0.25">
      <c r="E398" s="11">
        <f t="shared" si="31"/>
        <v>56</v>
      </c>
      <c r="F398" s="11">
        <f t="shared" si="32"/>
        <v>21.853311490117203</v>
      </c>
      <c r="G398" s="11">
        <f t="shared" si="33"/>
        <v>21.699550114599521</v>
      </c>
    </row>
    <row r="399" spans="5:7" x14ac:dyDescent="0.25">
      <c r="E399" s="11">
        <f t="shared" si="31"/>
        <v>57</v>
      </c>
      <c r="F399" s="11">
        <f t="shared" si="32"/>
        <v>21.992105921562775</v>
      </c>
      <c r="G399" s="11">
        <f t="shared" si="33"/>
        <v>21.847305040052447</v>
      </c>
    </row>
    <row r="400" spans="5:7" x14ac:dyDescent="0.25">
      <c r="E400" s="11">
        <f t="shared" si="31"/>
        <v>58</v>
      </c>
      <c r="F400" s="11">
        <f t="shared" si="32"/>
        <v>22.118296106399939</v>
      </c>
      <c r="G400" s="11">
        <f t="shared" si="33"/>
        <v>21.986213787138052</v>
      </c>
    </row>
    <row r="401" spans="5:7" x14ac:dyDescent="0.25">
      <c r="E401" s="11">
        <f t="shared" si="31"/>
        <v>59</v>
      </c>
      <c r="F401" s="11">
        <f t="shared" si="32"/>
        <v>22.232349117308544</v>
      </c>
      <c r="G401" s="11">
        <f t="shared" si="33"/>
        <v>22.116660972307095</v>
      </c>
    </row>
    <row r="402" spans="5:7" x14ac:dyDescent="0.25">
      <c r="E402" s="11">
        <f t="shared" si="31"/>
        <v>60</v>
      </c>
      <c r="F402" s="11">
        <f t="shared" si="32"/>
        <v>22.334826926056369</v>
      </c>
      <c r="G402" s="11">
        <f t="shared" si="33"/>
        <v>22.239031212010321</v>
      </c>
    </row>
    <row r="403" spans="5:7" x14ac:dyDescent="0.25">
      <c r="E403" s="11">
        <f t="shared" si="31"/>
        <v>61</v>
      </c>
      <c r="F403" s="11">
        <f t="shared" si="32"/>
        <v>22.426392380516408</v>
      </c>
      <c r="G403" s="11">
        <f t="shared" si="33"/>
        <v>22.35370912269849</v>
      </c>
    </row>
    <row r="404" spans="5:7" x14ac:dyDescent="0.25">
      <c r="E404" s="11">
        <f t="shared" si="31"/>
        <v>62</v>
      </c>
      <c r="F404" s="11">
        <f t="shared" si="32"/>
        <v>22.507815395778131</v>
      </c>
      <c r="G404" s="11">
        <f t="shared" si="33"/>
        <v>22.461079320822357</v>
      </c>
    </row>
    <row r="405" spans="5:7" x14ac:dyDescent="0.25">
      <c r="E405" s="11">
        <f t="shared" si="31"/>
        <v>63</v>
      </c>
      <c r="F405" s="11">
        <f t="shared" si="32"/>
        <v>22.579979363701934</v>
      </c>
      <c r="G405" s="11">
        <f t="shared" si="33"/>
        <v>22.561526422832671</v>
      </c>
    </row>
    <row r="406" spans="5:7" x14ac:dyDescent="0.25">
      <c r="E406" s="11">
        <f t="shared" si="31"/>
        <v>64</v>
      </c>
      <c r="F406" s="11">
        <f t="shared" si="32"/>
        <v>22.6438877853044</v>
      </c>
      <c r="G406" s="11">
        <f t="shared" si="33"/>
        <v>22.65543504518018</v>
      </c>
    </row>
    <row r="407" spans="5:7" x14ac:dyDescent="0.25">
      <c r="E407" s="11">
        <f t="shared" si="31"/>
        <v>65</v>
      </c>
      <c r="F407" s="11">
        <f t="shared" si="32"/>
        <v>22.700671130401517</v>
      </c>
      <c r="G407" s="11">
        <f t="shared" si="33"/>
        <v>22.743189804315648</v>
      </c>
    </row>
    <row r="408" spans="5:7" x14ac:dyDescent="0.25">
      <c r="E408" s="11">
        <f t="shared" si="31"/>
        <v>66</v>
      </c>
      <c r="F408" s="11">
        <f t="shared" si="32"/>
        <v>22.751593928975669</v>
      </c>
      <c r="G408" s="11">
        <f t="shared" si="33"/>
        <v>22.825175316689815</v>
      </c>
    </row>
    <row r="409" spans="5:7" x14ac:dyDescent="0.25">
      <c r="E409" s="11">
        <f t="shared" si="31"/>
        <v>67</v>
      </c>
      <c r="F409" s="11">
        <f t="shared" si="32"/>
        <v>22.798062098771496</v>
      </c>
      <c r="G409" s="11">
        <f t="shared" si="33"/>
        <v>22.901776198753446</v>
      </c>
    </row>
    <row r="410" spans="5:7" x14ac:dyDescent="0.25">
      <c r="E410" s="11">
        <f t="shared" si="31"/>
        <v>68</v>
      </c>
      <c r="F410" s="11">
        <f t="shared" si="32"/>
        <v>22.84163051366464</v>
      </c>
      <c r="G410" s="11">
        <f t="shared" si="33"/>
        <v>22.973377066957287</v>
      </c>
    </row>
    <row r="411" spans="5:7" x14ac:dyDescent="0.25">
      <c r="E411" s="11">
        <f t="shared" si="31"/>
        <v>69</v>
      </c>
      <c r="F411" s="11">
        <f t="shared" si="32"/>
        <v>22.884010817386301</v>
      </c>
      <c r="G411" s="11">
        <f t="shared" si="33"/>
        <v>23.040362537752095</v>
      </c>
    </row>
    <row r="412" spans="5:7" x14ac:dyDescent="0.25">
      <c r="E412" s="11">
        <f t="shared" si="31"/>
        <v>70</v>
      </c>
      <c r="F412" s="11">
        <f t="shared" si="32"/>
        <v>22.927079487225946</v>
      </c>
      <c r="G412" s="11">
        <f t="shared" si="33"/>
        <v>23.103117227588616</v>
      </c>
    </row>
    <row r="413" spans="5:7" x14ac:dyDescent="0.25">
      <c r="E413" s="11">
        <f t="shared" si="31"/>
        <v>71</v>
      </c>
      <c r="F413" s="11">
        <f t="shared" si="32"/>
        <v>22.972886152373029</v>
      </c>
      <c r="G413" s="11">
        <f t="shared" si="33"/>
        <v>23.162025752917614</v>
      </c>
    </row>
    <row r="414" spans="5:7" x14ac:dyDescent="0.25">
      <c r="E414" s="11">
        <f t="shared" si="31"/>
        <v>72</v>
      </c>
      <c r="F414" s="11">
        <f t="shared" si="32"/>
        <v>23.02366217159803</v>
      </c>
      <c r="G414" s="11">
        <f t="shared" si="33"/>
        <v>23.217472730189833</v>
      </c>
    </row>
    <row r="415" spans="5:7" x14ac:dyDescent="0.25">
      <c r="E415" s="11">
        <f t="shared" ref="E415:E422" si="34">E208</f>
        <v>73</v>
      </c>
      <c r="F415" s="11">
        <f t="shared" ref="F415:F422" si="35">$H$217*0+E415*$I$217+E415^2*$J$217+E415^3*$K$217+E415^4*$L$217+E415^5*$M$217+E415^6*$N$217+E415^7*$O$217+E415^8*$P$217</f>
        <v>23.08182947501188</v>
      </c>
      <c r="G415" s="11">
        <f t="shared" ref="G415:G422" si="36">F208</f>
        <v>23.269842775856027</v>
      </c>
    </row>
    <row r="416" spans="5:7" x14ac:dyDescent="0.25">
      <c r="E416" s="11">
        <f t="shared" si="34"/>
        <v>74</v>
      </c>
      <c r="F416" s="11">
        <f t="shared" si="35"/>
        <v>23.150009674682178</v>
      </c>
      <c r="G416" s="11">
        <f t="shared" si="36"/>
        <v>23.319520506366949</v>
      </c>
    </row>
    <row r="417" spans="5:7" x14ac:dyDescent="0.25">
      <c r="E417" s="11">
        <f t="shared" si="34"/>
        <v>75</v>
      </c>
      <c r="F417" s="11">
        <f t="shared" si="35"/>
        <v>23.231033448923153</v>
      </c>
      <c r="G417" s="11">
        <f t="shared" si="36"/>
        <v>23.366890538173354</v>
      </c>
    </row>
    <row r="418" spans="5:7" x14ac:dyDescent="0.25">
      <c r="E418" s="11">
        <f t="shared" si="34"/>
        <v>76</v>
      </c>
      <c r="F418" s="11">
        <f t="shared" si="35"/>
        <v>23.327950205115858</v>
      </c>
      <c r="G418" s="11">
        <f t="shared" si="36"/>
        <v>23.412337487725999</v>
      </c>
    </row>
    <row r="419" spans="5:7" x14ac:dyDescent="0.25">
      <c r="E419" s="11">
        <f t="shared" si="34"/>
        <v>77</v>
      </c>
      <c r="F419" s="11">
        <f t="shared" si="35"/>
        <v>23.444038025953848</v>
      </c>
      <c r="G419" s="11">
        <f t="shared" si="36"/>
        <v>23.456245971475628</v>
      </c>
    </row>
    <row r="420" spans="5:7" x14ac:dyDescent="0.25">
      <c r="E420" s="11">
        <f t="shared" si="34"/>
        <v>78</v>
      </c>
      <c r="F420" s="11">
        <f t="shared" si="35"/>
        <v>23.582813904048621</v>
      </c>
      <c r="G420" s="11">
        <f t="shared" si="36"/>
        <v>23.499000605872997</v>
      </c>
    </row>
    <row r="421" spans="5:7" x14ac:dyDescent="0.25">
      <c r="E421" s="11">
        <f t="shared" si="34"/>
        <v>79</v>
      </c>
      <c r="F421" s="11">
        <f t="shared" si="35"/>
        <v>23.748044269868206</v>
      </c>
      <c r="G421" s="11">
        <f t="shared" si="36"/>
        <v>23.540986007368865</v>
      </c>
    </row>
    <row r="422" spans="5:7" x14ac:dyDescent="0.25">
      <c r="E422" s="11">
        <f t="shared" si="34"/>
        <v>80</v>
      </c>
      <c r="F422" s="11">
        <f t="shared" si="35"/>
        <v>23.943755818021316</v>
      </c>
      <c r="G422" s="11">
        <f t="shared" si="36"/>
        <v>23.582586792413977</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2022-01-08T09:19:32Z</dcterms:modified>
</cp:coreProperties>
</file>