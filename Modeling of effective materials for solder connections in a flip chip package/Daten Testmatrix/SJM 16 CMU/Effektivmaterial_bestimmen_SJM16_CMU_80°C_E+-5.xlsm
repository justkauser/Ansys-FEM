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bestimmen'!$E$126:$H$126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N122" i="43" l="1"/>
  <c r="O33" i="11"/>
  <c r="N33" i="11"/>
  <c r="P33" i="11" s="1"/>
  <c r="O32" i="11"/>
  <c r="N32" i="11"/>
  <c r="O31" i="11"/>
  <c r="N31" i="11"/>
  <c r="P31" i="11" s="1"/>
  <c r="O30" i="11"/>
  <c r="N30" i="11"/>
  <c r="P30" i="11" s="1"/>
  <c r="O29" i="11"/>
  <c r="N29" i="11"/>
  <c r="P29" i="11" s="1"/>
  <c r="O28" i="11"/>
  <c r="N28" i="11"/>
  <c r="P27" i="11"/>
  <c r="O27" i="11"/>
  <c r="N27" i="11"/>
  <c r="O26" i="11"/>
  <c r="N26" i="11"/>
  <c r="P26" i="11" s="1"/>
  <c r="O25" i="11"/>
  <c r="P25" i="11" s="1"/>
  <c r="N25" i="11"/>
  <c r="O24" i="11"/>
  <c r="N24" i="11"/>
  <c r="P24" i="11" s="1"/>
  <c r="O23" i="11"/>
  <c r="N23" i="11"/>
  <c r="P23" i="11" s="1"/>
  <c r="O22" i="11"/>
  <c r="N22" i="11"/>
  <c r="P22" i="11" s="1"/>
  <c r="O21" i="11"/>
  <c r="N21" i="11"/>
  <c r="P21" i="11" s="1"/>
  <c r="O20" i="11"/>
  <c r="N20" i="11"/>
  <c r="O19" i="11"/>
  <c r="N19" i="11"/>
  <c r="P19" i="11" s="1"/>
  <c r="O18" i="11"/>
  <c r="N18" i="11"/>
  <c r="P18" i="11" s="1"/>
  <c r="O17" i="11"/>
  <c r="N17" i="11"/>
  <c r="P17" i="11" s="1"/>
  <c r="O16" i="11"/>
  <c r="N16" i="11"/>
  <c r="P15" i="11"/>
  <c r="O15" i="11"/>
  <c r="N15" i="11"/>
  <c r="O14" i="11"/>
  <c r="N14" i="11"/>
  <c r="P14" i="11" s="1"/>
  <c r="O13" i="11"/>
  <c r="P13" i="11" s="1"/>
  <c r="N13" i="11"/>
  <c r="O12" i="11"/>
  <c r="N12" i="11"/>
  <c r="P12" i="11" s="1"/>
  <c r="O11" i="11"/>
  <c r="N11" i="11"/>
  <c r="P11" i="11" s="1"/>
  <c r="O10" i="11"/>
  <c r="N10" i="11"/>
  <c r="P10" i="11" s="1"/>
  <c r="O9" i="11"/>
  <c r="N9" i="11"/>
  <c r="P9" i="11" s="1"/>
  <c r="O8" i="11"/>
  <c r="N8" i="11"/>
  <c r="O7" i="11"/>
  <c r="N7" i="11"/>
  <c r="P7" i="11" s="1"/>
  <c r="O6" i="11"/>
  <c r="N6" i="11"/>
  <c r="P6" i="11" s="1"/>
  <c r="O5" i="11"/>
  <c r="N5" i="11"/>
  <c r="P5" i="11" s="1"/>
  <c r="O4" i="11"/>
  <c r="N4" i="11"/>
  <c r="P4" i="11" s="1"/>
  <c r="P3" i="11"/>
  <c r="O3" i="11"/>
  <c r="N3" i="11"/>
  <c r="P16" i="11" l="1"/>
  <c r="P28"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P6" i="37" s="1"/>
  <c r="B31" i="39" s="1"/>
  <c r="R8" i="37"/>
  <c r="R9" i="37"/>
  <c r="P7" i="37" s="1"/>
  <c r="R10" i="37"/>
  <c r="R11" i="37"/>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G403" i="43"/>
  <c r="E403" i="43"/>
  <c r="H403" i="43"/>
  <c r="C403" i="43"/>
  <c r="B403" i="43"/>
  <c r="D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C406" i="43" l="1"/>
  <c r="C423" i="43"/>
  <c r="C428" i="43"/>
  <c r="C404" i="43"/>
  <c r="C434" i="43"/>
  <c r="C430" i="43"/>
  <c r="C409" i="43"/>
  <c r="C421" i="43"/>
  <c r="C417" i="43"/>
  <c r="C407" i="43"/>
  <c r="C414" i="43"/>
  <c r="C418" i="43"/>
  <c r="C425" i="43"/>
  <c r="C427" i="43"/>
  <c r="C429" i="43"/>
  <c r="C432" i="43"/>
  <c r="C410" i="43"/>
  <c r="C420" i="43"/>
  <c r="C422" i="43"/>
  <c r="C431" i="43"/>
  <c r="C419" i="43"/>
  <c r="C426" i="43"/>
  <c r="C412" i="43"/>
  <c r="C405" i="43"/>
  <c r="C408" i="43"/>
  <c r="C415" i="43"/>
  <c r="C424" i="43"/>
  <c r="C433" i="43"/>
  <c r="C413" i="43"/>
  <c r="C411" i="43"/>
  <c r="C416" i="43"/>
  <c r="B405" i="43"/>
  <c r="B424" i="43"/>
  <c r="B425" i="43"/>
  <c r="B413" i="43"/>
  <c r="B414" i="43"/>
  <c r="B408" i="43"/>
  <c r="B407" i="43"/>
  <c r="B431" i="43"/>
  <c r="B415" i="43"/>
  <c r="B417" i="43"/>
  <c r="B409" i="43"/>
  <c r="B406" i="43"/>
  <c r="B429" i="43"/>
  <c r="B420" i="43"/>
  <c r="B412" i="43"/>
  <c r="B411" i="43"/>
  <c r="B416" i="43"/>
  <c r="B432" i="43"/>
  <c r="B404" i="43"/>
  <c r="B428" i="43"/>
  <c r="B410" i="43"/>
  <c r="B427" i="43"/>
  <c r="B434" i="43"/>
  <c r="B430" i="43"/>
  <c r="B423" i="43"/>
  <c r="B418" i="43"/>
  <c r="B419" i="43"/>
  <c r="B433" i="43"/>
  <c r="B426" i="43"/>
  <c r="B421" i="43"/>
  <c r="B422" i="43"/>
  <c r="H434" i="43"/>
  <c r="H418" i="43"/>
  <c r="H415" i="43"/>
  <c r="H410" i="43"/>
  <c r="H424" i="43"/>
  <c r="H405" i="43"/>
  <c r="H421" i="43"/>
  <c r="H433" i="43"/>
  <c r="H426" i="43"/>
  <c r="H420" i="43"/>
  <c r="H419" i="43"/>
  <c r="H429" i="43"/>
  <c r="H417" i="43"/>
  <c r="H414" i="43"/>
  <c r="H430" i="43"/>
  <c r="H423" i="43"/>
  <c r="H408" i="43"/>
  <c r="H416" i="43"/>
  <c r="H404" i="43"/>
  <c r="H413" i="43"/>
  <c r="H427" i="43"/>
  <c r="H409" i="43"/>
  <c r="H422" i="43"/>
  <c r="H428" i="43"/>
  <c r="H431" i="43"/>
  <c r="H432" i="43"/>
  <c r="H412" i="43"/>
  <c r="H425" i="43"/>
  <c r="H407" i="43"/>
  <c r="H411" i="43"/>
  <c r="H406" i="43"/>
  <c r="E405" i="43"/>
  <c r="E408" i="43"/>
  <c r="E413" i="43"/>
  <c r="E415" i="43"/>
  <c r="E424" i="43"/>
  <c r="E433" i="43"/>
  <c r="E426" i="43"/>
  <c r="E430" i="43"/>
  <c r="E434" i="43"/>
  <c r="E410" i="43"/>
  <c r="E420" i="43"/>
  <c r="E406" i="43"/>
  <c r="E417" i="43"/>
  <c r="E419" i="43"/>
  <c r="E411" i="43"/>
  <c r="E416" i="43"/>
  <c r="E423" i="43"/>
  <c r="E404" i="43"/>
  <c r="E431" i="43"/>
  <c r="E418" i="43"/>
  <c r="E425" i="43"/>
  <c r="E427" i="43"/>
  <c r="E429" i="43"/>
  <c r="E422" i="43"/>
  <c r="E421" i="43"/>
  <c r="E409" i="43"/>
  <c r="E432" i="43"/>
  <c r="E412" i="43"/>
  <c r="E407" i="43"/>
  <c r="E428" i="43"/>
  <c r="E414" i="43"/>
  <c r="G410" i="43"/>
  <c r="G413" i="43"/>
  <c r="G431" i="43"/>
  <c r="G416" i="43"/>
  <c r="G434" i="43"/>
  <c r="G428" i="43"/>
  <c r="G429" i="43"/>
  <c r="G411" i="43"/>
  <c r="G427" i="43"/>
  <c r="G409" i="43"/>
  <c r="G405" i="43"/>
  <c r="G421" i="43"/>
  <c r="G407" i="43"/>
  <c r="G418" i="43"/>
  <c r="G412" i="43"/>
  <c r="G422" i="43"/>
  <c r="G426" i="43"/>
  <c r="G408" i="43"/>
  <c r="G424" i="43"/>
  <c r="G404" i="43"/>
  <c r="G430" i="43"/>
  <c r="G406" i="43"/>
  <c r="G419" i="43"/>
  <c r="G423" i="43"/>
  <c r="G420" i="43"/>
  <c r="G432" i="43"/>
  <c r="G417" i="43"/>
  <c r="G433" i="43"/>
  <c r="G415" i="43"/>
  <c r="G425" i="43"/>
  <c r="G414" i="43"/>
  <c r="D406" i="43"/>
  <c r="D417" i="43"/>
  <c r="D419" i="43"/>
  <c r="D426" i="43"/>
  <c r="D430" i="43"/>
  <c r="D429" i="43"/>
  <c r="D432" i="43"/>
  <c r="D411" i="43"/>
  <c r="D416" i="43"/>
  <c r="D423" i="43"/>
  <c r="D428" i="43"/>
  <c r="D404" i="43"/>
  <c r="D424" i="43"/>
  <c r="D433" i="43"/>
  <c r="D409" i="43"/>
  <c r="D421" i="43"/>
  <c r="D434" i="43"/>
  <c r="D414" i="43"/>
  <c r="D425" i="43"/>
  <c r="D427" i="43"/>
  <c r="D413" i="43"/>
  <c r="D407" i="43"/>
  <c r="D418" i="43"/>
  <c r="D410" i="43"/>
  <c r="D412" i="43"/>
  <c r="D420" i="43"/>
  <c r="D422" i="43"/>
  <c r="D431" i="43"/>
  <c r="D405" i="43"/>
  <c r="D408" i="43"/>
  <c r="D415" i="43"/>
  <c r="F415" i="43"/>
  <c r="F410" i="43"/>
  <c r="F420" i="43"/>
  <c r="F431" i="43"/>
  <c r="F423" i="43"/>
  <c r="F404" i="43"/>
  <c r="F424" i="43"/>
  <c r="F419" i="43"/>
  <c r="F430" i="43"/>
  <c r="F416" i="43"/>
  <c r="F434" i="43"/>
  <c r="F427" i="43"/>
  <c r="F421" i="43"/>
  <c r="F425" i="43"/>
  <c r="F426" i="43"/>
  <c r="F412" i="43"/>
  <c r="F432" i="43"/>
  <c r="F417" i="43"/>
  <c r="F414" i="43"/>
  <c r="F422" i="43"/>
  <c r="F411" i="43"/>
  <c r="F405" i="43"/>
  <c r="F418" i="43"/>
  <c r="F413" i="43"/>
  <c r="F409" i="43"/>
  <c r="F428" i="43"/>
  <c r="F429" i="43"/>
  <c r="F406" i="43"/>
  <c r="F408" i="43"/>
  <c r="F407" i="43"/>
  <c r="F433"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R286" i="43" l="1"/>
  <c r="M420" i="43"/>
  <c r="Y286" i="43"/>
  <c r="M427" i="43"/>
  <c r="AF286" i="43"/>
  <c r="M434" i="43"/>
  <c r="N247" i="43"/>
  <c r="L416" i="43"/>
  <c r="Y247" i="43"/>
  <c r="L427" i="43"/>
  <c r="Y169" i="43"/>
  <c r="K427" i="43"/>
  <c r="G208" i="43"/>
  <c r="K409" i="43"/>
  <c r="Z169" i="43"/>
  <c r="K428" i="43"/>
  <c r="N169" i="43"/>
  <c r="K416" i="43"/>
  <c r="H169" i="43"/>
  <c r="K410" i="43"/>
  <c r="D169" i="43"/>
  <c r="K406" i="43"/>
  <c r="R169" i="43"/>
  <c r="K420" i="43"/>
  <c r="L169" i="43"/>
  <c r="K414" i="43"/>
  <c r="F169" i="43"/>
  <c r="K408" i="43"/>
  <c r="K208" i="43"/>
  <c r="K413" i="43"/>
  <c r="AD169" i="43"/>
  <c r="K432"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V247" i="43"/>
  <c r="L424" i="43"/>
  <c r="M247" i="43"/>
  <c r="L415" i="43"/>
  <c r="D247" i="43"/>
  <c r="L406" i="43"/>
  <c r="AE247" i="43"/>
  <c r="L433" i="43"/>
  <c r="G130" i="43"/>
  <c r="J409" i="43"/>
  <c r="T130" i="43"/>
  <c r="J422" i="43"/>
  <c r="I130" i="43"/>
  <c r="J411" i="43"/>
  <c r="X130" i="43"/>
  <c r="J426" i="43"/>
  <c r="M130" i="43"/>
  <c r="J415" i="43"/>
  <c r="AE130" i="43"/>
  <c r="J433" i="43"/>
  <c r="AC130" i="43"/>
  <c r="J431" i="43"/>
  <c r="J130" i="43"/>
  <c r="J412" i="43"/>
  <c r="AB130" i="43"/>
  <c r="J430" i="43"/>
  <c r="P130" i="43"/>
  <c r="J418" i="43"/>
  <c r="O130" i="43"/>
  <c r="J417" i="43"/>
  <c r="F130" i="43"/>
  <c r="J408" i="43"/>
  <c r="R130" i="43"/>
  <c r="J420" i="43"/>
  <c r="N130" i="43"/>
  <c r="J416" i="43"/>
  <c r="Z130" i="43"/>
  <c r="J428" i="43"/>
  <c r="E130" i="43"/>
  <c r="J407" i="43"/>
  <c r="S130" i="43"/>
  <c r="J421" i="43"/>
  <c r="W130" i="43"/>
  <c r="J425" i="43"/>
  <c r="D130" i="43"/>
  <c r="J406" i="43"/>
  <c r="AF130" i="43"/>
  <c r="J434" i="43"/>
  <c r="AD130" i="43"/>
  <c r="J432" i="43"/>
  <c r="V130" i="43"/>
  <c r="J424" i="43"/>
  <c r="C130" i="43"/>
  <c r="J405" i="43"/>
  <c r="K130" i="43"/>
  <c r="J413" i="43"/>
  <c r="Q130" i="43"/>
  <c r="J419" i="43"/>
  <c r="L130" i="43"/>
  <c r="J414" i="43"/>
  <c r="Y130" i="43"/>
  <c r="J427"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<sst xmlns="http://schemas.openxmlformats.org/spreadsheetml/2006/main" count="311" uniqueCount="164">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</sst>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11" fontId="0" fillId="2" borderId="0" xfId="0" applyNumberFormat="1"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-5.5892037142857146E-4</c:v>
                </c:pt>
                <c:pt idx="1">
                  <c:v>-5.5890980000000007E-4</c:v>
                </c:pt>
                <c:pt idx="2">
                  <c:v>-5.5891268571428576E-4</c:v>
                </c:pt>
                <c:pt idx="3">
                  <c:v>-5.5891354285714288E-4</c:v>
                </c:pt>
                <c:pt idx="4">
                  <c:v>-5.5891380000000002E-4</c:v>
                </c:pt>
                <c:pt idx="5">
                  <c:v>-5.5891388571428573E-4</c:v>
                </c:pt>
                <c:pt idx="6">
                  <c:v>-5.5891391428571438E-4</c:v>
                </c:pt>
                <c:pt idx="7">
                  <c:v>-5.5891391428571438E-4</c:v>
                </c:pt>
                <c:pt idx="8">
                  <c:v>-5.5891391428571438E-4</c:v>
                </c:pt>
                <c:pt idx="9">
                  <c:v>-5.5891391428571438E-4</c:v>
                </c:pt>
                <c:pt idx="10">
                  <c:v>-5.5891391428571438E-4</c:v>
                </c:pt>
                <c:pt idx="11">
                  <c:v>-5.5891394285714291E-4</c:v>
                </c:pt>
                <c:pt idx="12">
                  <c:v>-5.5891397142857145E-4</c:v>
                </c:pt>
                <c:pt idx="13">
                  <c:v>-5.5891448571428572E-4</c:v>
                </c:pt>
                <c:pt idx="14">
                  <c:v>-5.5891965714285712E-4</c:v>
                </c:pt>
                <c:pt idx="15">
                  <c:v>-5.5897102857142866E-4</c:v>
                </c:pt>
                <c:pt idx="16">
                  <c:v>-5.5947377142857152E-4</c:v>
                </c:pt>
                <c:pt idx="17">
                  <c:v>-5.6355397142857143E-4</c:v>
                </c:pt>
                <c:pt idx="18">
                  <c:v>-5.7474800000000003E-4</c:v>
                </c:pt>
                <c:pt idx="19">
                  <c:v>-5.8737985714285719E-4</c:v>
                </c:pt>
                <c:pt idx="20">
                  <c:v>-6.0804631428571431E-4</c:v>
                </c:pt>
                <c:pt idx="21">
                  <c:v>-6.5085985714285718E-4</c:v>
                </c:pt>
                <c:pt idx="22">
                  <c:v>-7.1475934285714299E-4</c:v>
                </c:pt>
                <c:pt idx="23">
                  <c:v>-7.9079345714285724E-4</c:v>
                </c:pt>
                <c:pt idx="24">
                  <c:v>-8.6991351428571432E-4</c:v>
                </c:pt>
                <c:pt idx="25">
                  <c:v>-9.4754371428571436E-4</c:v>
                </c:pt>
                <c:pt idx="26">
                  <c:v>-1.0310119428571429E-3</c:v>
                </c:pt>
                <c:pt idx="27">
                  <c:v>-1.1241460285714286E-3</c:v>
                </c:pt>
                <c:pt idx="28">
                  <c:v>-1.2562818285714286E-3</c:v>
                </c:pt>
                <c:pt idx="29">
                  <c:v>-1.4614530285714286E-3</c:v>
                </c:pt>
                <c:pt idx="30">
                  <c:v>-1.802786285714286E-3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-5.6168965714285715E-4</c:v>
                </c:pt>
                <c:pt idx="1">
                  <c:v>-5.6167891428571433E-4</c:v>
                </c:pt>
                <c:pt idx="2">
                  <c:v>-5.6168177142857149E-4</c:v>
                </c:pt>
                <c:pt idx="3">
                  <c:v>-5.6168260000000008E-4</c:v>
                </c:pt>
                <c:pt idx="4">
                  <c:v>-5.6168285714285721E-4</c:v>
                </c:pt>
                <c:pt idx="5">
                  <c:v>-5.6168294285714293E-4</c:v>
                </c:pt>
                <c:pt idx="6">
                  <c:v>-5.6168297142857146E-4</c:v>
                </c:pt>
                <c:pt idx="7">
                  <c:v>-5.6168297142857146E-4</c:v>
                </c:pt>
                <c:pt idx="8">
                  <c:v>-5.61683E-4</c:v>
                </c:pt>
                <c:pt idx="9">
                  <c:v>-5.61683E-4</c:v>
                </c:pt>
                <c:pt idx="10">
                  <c:v>-5.61683E-4</c:v>
                </c:pt>
                <c:pt idx="11">
                  <c:v>-5.6168320000000006E-4</c:v>
                </c:pt>
                <c:pt idx="12">
                  <c:v>-5.6168508571428574E-4</c:v>
                </c:pt>
                <c:pt idx="13">
                  <c:v>-5.617039142857144E-4</c:v>
                </c:pt>
                <c:pt idx="14">
                  <c:v>-5.6189088571428577E-4</c:v>
                </c:pt>
                <c:pt idx="15">
                  <c:v>-5.6361988571428567E-4</c:v>
                </c:pt>
                <c:pt idx="16">
                  <c:v>-5.7295888571428581E-4</c:v>
                </c:pt>
                <c:pt idx="17">
                  <c:v>-5.846362000000001E-4</c:v>
                </c:pt>
                <c:pt idx="18">
                  <c:v>-6.0134048571428575E-4</c:v>
                </c:pt>
                <c:pt idx="19">
                  <c:v>-6.3636051428571437E-4</c:v>
                </c:pt>
                <c:pt idx="20">
                  <c:v>-6.9439380000000002E-4</c:v>
                </c:pt>
                <c:pt idx="21">
                  <c:v>-7.6528542857142866E-4</c:v>
                </c:pt>
                <c:pt idx="22">
                  <c:v>-8.4155414285714278E-4</c:v>
                </c:pt>
                <c:pt idx="23">
                  <c:v>-9.1760622857142856E-4</c:v>
                </c:pt>
                <c:pt idx="24">
                  <c:v>-9.9569642857142869E-4</c:v>
                </c:pt>
                <c:pt idx="25">
                  <c:v>-1.0819888857142856E-3</c:v>
                </c:pt>
                <c:pt idx="26">
                  <c:v>-1.1905131142857144E-3</c:v>
                </c:pt>
                <c:pt idx="27">
                  <c:v>-1.357037342857143E-3</c:v>
                </c:pt>
                <c:pt idx="28">
                  <c:v>-1.6271212571428572E-3</c:v>
                </c:pt>
                <c:pt idx="29">
                  <c:v>-2.1151075142857145E-3</c:v>
                </c:pt>
                <c:pt idx="30">
                  <c:v>-3.1498225714285716E-3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-5.6348934285714288E-4</c:v>
                </c:pt>
                <c:pt idx="1">
                  <c:v>-5.6347848571428581E-4</c:v>
                </c:pt>
                <c:pt idx="2">
                  <c:v>-5.6348131428571432E-4</c:v>
                </c:pt>
                <c:pt idx="3">
                  <c:v>-5.6348214285714291E-4</c:v>
                </c:pt>
                <c:pt idx="4">
                  <c:v>-5.6348240000000005E-4</c:v>
                </c:pt>
                <c:pt idx="5">
                  <c:v>-5.6348248571428576E-4</c:v>
                </c:pt>
                <c:pt idx="6">
                  <c:v>-5.634825142857143E-4</c:v>
                </c:pt>
                <c:pt idx="7">
                  <c:v>-5.634825142857143E-4</c:v>
                </c:pt>
                <c:pt idx="8">
                  <c:v>-5.6348254285714294E-4</c:v>
                </c:pt>
                <c:pt idx="9">
                  <c:v>-5.6348271428571437E-4</c:v>
                </c:pt>
                <c:pt idx="10">
                  <c:v>-5.6348448571428569E-4</c:v>
                </c:pt>
                <c:pt idx="11">
                  <c:v>-5.6350217142857144E-4</c:v>
                </c:pt>
                <c:pt idx="12">
                  <c:v>-5.6367762857142858E-4</c:v>
                </c:pt>
                <c:pt idx="13">
                  <c:v>-5.6530822857142854E-4</c:v>
                </c:pt>
                <c:pt idx="14">
                  <c:v>-5.7441494285714293E-4</c:v>
                </c:pt>
                <c:pt idx="15">
                  <c:v>-5.8573588571428576E-4</c:v>
                </c:pt>
                <c:pt idx="16">
                  <c:v>-5.9907651428571431E-4</c:v>
                </c:pt>
                <c:pt idx="17">
                  <c:v>-6.1825137142857149E-4</c:v>
                </c:pt>
                <c:pt idx="18">
                  <c:v>-6.5297140000000005E-4</c:v>
                </c:pt>
                <c:pt idx="19">
                  <c:v>-7.1575365714285713E-4</c:v>
                </c:pt>
                <c:pt idx="20">
                  <c:v>-7.9640562857142866E-4</c:v>
                </c:pt>
                <c:pt idx="21">
                  <c:v>-8.8083740000000001E-4</c:v>
                </c:pt>
                <c:pt idx="22">
                  <c:v>-9.6669668571428577E-4</c:v>
                </c:pt>
                <c:pt idx="23">
                  <c:v>-1.0590879428571428E-3</c:v>
                </c:pt>
                <c:pt idx="24">
                  <c:v>-1.1709494857142858E-3</c:v>
                </c:pt>
                <c:pt idx="25">
                  <c:v>-1.338241142857143E-3</c:v>
                </c:pt>
                <c:pt idx="26">
                  <c:v>-1.6058572285714287E-3</c:v>
                </c:pt>
                <c:pt idx="27">
                  <c:v>-2.0846555428571428E-3</c:v>
                </c:pt>
                <c:pt idx="28">
                  <c:v>-3.0967014285714287E-3</c:v>
                </c:pt>
                <c:pt idx="29">
                  <c:v>-5.1020828571428575E-3</c:v>
                </c:pt>
                <c:pt idx="30">
                  <c:v>-8.8143111428571428E-3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-5.6534522857142858E-4</c:v>
                </c:pt>
                <c:pt idx="1">
                  <c:v>-5.6533422857142862E-4</c:v>
                </c:pt>
                <c:pt idx="2">
                  <c:v>-5.6533705714285724E-4</c:v>
                </c:pt>
                <c:pt idx="3">
                  <c:v>-5.6533788571428573E-4</c:v>
                </c:pt>
                <c:pt idx="4">
                  <c:v>-5.6533814285714286E-4</c:v>
                </c:pt>
                <c:pt idx="5">
                  <c:v>-5.6533822857142858E-4</c:v>
                </c:pt>
                <c:pt idx="6">
                  <c:v>-5.6533842857142854E-4</c:v>
                </c:pt>
                <c:pt idx="7">
                  <c:v>-5.6534002857142865E-4</c:v>
                </c:pt>
                <c:pt idx="8">
                  <c:v>-5.6535597142857151E-4</c:v>
                </c:pt>
                <c:pt idx="9">
                  <c:v>-5.6551417142857146E-4</c:v>
                </c:pt>
                <c:pt idx="10">
                  <c:v>-5.6699531428571425E-4</c:v>
                </c:pt>
                <c:pt idx="11">
                  <c:v>-5.7573442857142862E-4</c:v>
                </c:pt>
                <c:pt idx="12">
                  <c:v>-5.8701614285714288E-4</c:v>
                </c:pt>
                <c:pt idx="13">
                  <c:v>-5.9998348571428575E-4</c:v>
                </c:pt>
                <c:pt idx="14">
                  <c:v>-6.1619954285714292E-4</c:v>
                </c:pt>
                <c:pt idx="15">
                  <c:v>-6.345624E-4</c:v>
                </c:pt>
                <c:pt idx="16">
                  <c:v>-6.5908922857142857E-4</c:v>
                </c:pt>
                <c:pt idx="17">
                  <c:v>-7.0183665714285723E-4</c:v>
                </c:pt>
                <c:pt idx="18">
                  <c:v>-7.7553539999999997E-4</c:v>
                </c:pt>
                <c:pt idx="19">
                  <c:v>-8.7162931428571438E-4</c:v>
                </c:pt>
                <c:pt idx="20">
                  <c:v>-9.803556571428573E-4</c:v>
                </c:pt>
                <c:pt idx="21">
                  <c:v>-1.1055107142857144E-3</c:v>
                </c:pt>
                <c:pt idx="22">
                  <c:v>-1.2797674857142859E-3</c:v>
                </c:pt>
                <c:pt idx="23">
                  <c:v>-1.5468386571428571E-3</c:v>
                </c:pt>
                <c:pt idx="24">
                  <c:v>-2.0103361428571429E-3</c:v>
                </c:pt>
                <c:pt idx="25">
                  <c:v>-2.9789217142857146E-3</c:v>
                </c:pt>
                <c:pt idx="26">
                  <c:v>-4.8967757142857147E-3</c:v>
                </c:pt>
                <c:pt idx="27">
                  <c:v>-8.4642999999999993E-3</c:v>
                </c:pt>
                <c:pt idx="28">
                  <c:v>-1.4895274571428573E-2</c:v>
                </c:pt>
                <c:pt idx="29">
                  <c:v>-2.1472374571428574E-2</c:v>
                </c:pt>
                <c:pt idx="30">
                  <c:v>-2.4615299714285718E-2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-5.6765062857142858E-4</c:v>
                </c:pt>
                <c:pt idx="1">
                  <c:v>-5.6763991428571429E-4</c:v>
                </c:pt>
                <c:pt idx="2">
                  <c:v>-5.6764697142857147E-4</c:v>
                </c:pt>
                <c:pt idx="3">
                  <c:v>-5.6769022857142864E-4</c:v>
                </c:pt>
                <c:pt idx="4">
                  <c:v>-5.6810754285714291E-4</c:v>
                </c:pt>
                <c:pt idx="5">
                  <c:v>-5.7162008571428572E-4</c:v>
                </c:pt>
                <c:pt idx="6">
                  <c:v>-5.8276582857142865E-4</c:v>
                </c:pt>
                <c:pt idx="7">
                  <c:v>-5.9470314285714281E-4</c:v>
                </c:pt>
                <c:pt idx="8">
                  <c:v>-6.0905660000000006E-4</c:v>
                </c:pt>
                <c:pt idx="9">
                  <c:v>-6.2686451428571436E-4</c:v>
                </c:pt>
                <c:pt idx="10">
                  <c:v>-6.4622380000000008E-4</c:v>
                </c:pt>
                <c:pt idx="11">
                  <c:v>-6.724639142857144E-4</c:v>
                </c:pt>
                <c:pt idx="12">
                  <c:v>-7.0394182857142862E-4</c:v>
                </c:pt>
                <c:pt idx="13">
                  <c:v>-7.3808877142857144E-4</c:v>
                </c:pt>
                <c:pt idx="14">
                  <c:v>-7.7937257142857153E-4</c:v>
                </c:pt>
                <c:pt idx="15">
                  <c:v>-8.3077111428571425E-4</c:v>
                </c:pt>
                <c:pt idx="16">
                  <c:v>-9.2215834285714292E-4</c:v>
                </c:pt>
                <c:pt idx="17">
                  <c:v>-1.1030462571428572E-3</c:v>
                </c:pt>
                <c:pt idx="18">
                  <c:v>-1.4169130571428574E-3</c:v>
                </c:pt>
                <c:pt idx="19">
                  <c:v>-1.989220685714286E-3</c:v>
                </c:pt>
                <c:pt idx="20">
                  <c:v>-3.1422751428571431E-3</c:v>
                </c:pt>
                <c:pt idx="21">
                  <c:v>-5.4349865714285722E-3</c:v>
                </c:pt>
                <c:pt idx="22">
                  <c:v>-9.7543965714285731E-3</c:v>
                </c:pt>
                <c:pt idx="23">
                  <c:v>-1.6865644857142859E-2</c:v>
                </c:pt>
                <c:pt idx="24">
                  <c:v>-2.2093246E-2</c:v>
                </c:pt>
                <c:pt idx="25">
                  <c:v>-2.4779278857142862E-2</c:v>
                </c:pt>
                <c:pt idx="26">
                  <c:v>-2.6766490571428572E-2</c:v>
                </c:pt>
                <c:pt idx="27">
                  <c:v>-2.6868412571428572E-2</c:v>
                </c:pt>
                <c:pt idx="28">
                  <c:v>-2.7191233999999998E-2</c:v>
                </c:pt>
                <c:pt idx="29">
                  <c:v>-2.7195999142857145E-2</c:v>
                </c:pt>
                <c:pt idx="30">
                  <c:v>-2.7336072000000003E-2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-6.1840197142857146E-4</c:v>
                </c:pt>
                <c:pt idx="1">
                  <c:v>-6.4192477142857151E-4</c:v>
                </c:pt>
                <c:pt idx="2">
                  <c:v>-6.6578565714285718E-4</c:v>
                </c:pt>
                <c:pt idx="3">
                  <c:v>-6.9553491428571434E-4</c:v>
                </c:pt>
                <c:pt idx="4">
                  <c:v>-7.2880822857142866E-4</c:v>
                </c:pt>
                <c:pt idx="5">
                  <c:v>-7.6696551428571426E-4</c:v>
                </c:pt>
                <c:pt idx="6">
                  <c:v>-8.1310145714285709E-4</c:v>
                </c:pt>
                <c:pt idx="7">
                  <c:v>-8.7520179999999999E-4</c:v>
                </c:pt>
                <c:pt idx="8">
                  <c:v>-9.7467042857142863E-4</c:v>
                </c:pt>
                <c:pt idx="9">
                  <c:v>-1.1375140571428571E-3</c:v>
                </c:pt>
                <c:pt idx="10">
                  <c:v>-1.4322549714285717E-3</c:v>
                </c:pt>
                <c:pt idx="11">
                  <c:v>-2.0606296285714289E-3</c:v>
                </c:pt>
                <c:pt idx="12">
                  <c:v>-3.3242445714285712E-3</c:v>
                </c:pt>
                <c:pt idx="13">
                  <c:v>-5.6982420000000001E-3</c:v>
                </c:pt>
                <c:pt idx="14">
                  <c:v>-1.0000507142857143E-2</c:v>
                </c:pt>
                <c:pt idx="15">
                  <c:v>-1.4185493714285716E-2</c:v>
                </c:pt>
                <c:pt idx="16">
                  <c:v>-1.6304024571428571E-2</c:v>
                </c:pt>
                <c:pt idx="17">
                  <c:v>-1.8261522000000002E-2</c:v>
                </c:pt>
                <c:pt idx="18">
                  <c:v>-1.960208028571429E-2</c:v>
                </c:pt>
                <c:pt idx="19">
                  <c:v>-2.1330320857142857E-2</c:v>
                </c:pt>
                <c:pt idx="20">
                  <c:v>-2.3068337428571433E-2</c:v>
                </c:pt>
                <c:pt idx="21">
                  <c:v>-2.4452565714285716E-2</c:v>
                </c:pt>
                <c:pt idx="22">
                  <c:v>-2.5445066857142859E-2</c:v>
                </c:pt>
                <c:pt idx="23">
                  <c:v>-2.6120219142857143E-2</c:v>
                </c:pt>
                <c:pt idx="24">
                  <c:v>-2.6581952857142859E-2</c:v>
                </c:pt>
                <c:pt idx="25">
                  <c:v>-2.6895848857142857E-2</c:v>
                </c:pt>
                <c:pt idx="26">
                  <c:v>-2.6954494571428574E-2</c:v>
                </c:pt>
                <c:pt idx="27">
                  <c:v>-2.7217686571428569E-2</c:v>
                </c:pt>
                <c:pt idx="28">
                  <c:v>-2.7221723714285714E-2</c:v>
                </c:pt>
                <c:pt idx="29">
                  <c:v>-2.7305871714285716E-2</c:v>
                </c:pt>
                <c:pt idx="30">
                  <c:v>-2.7309677428571429E-2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-6.5662397142857143E-4</c:v>
                </c:pt>
                <c:pt idx="1">
                  <c:v>-6.9128320000000007E-4</c:v>
                </c:pt>
                <c:pt idx="2">
                  <c:v>-7.2510685714285712E-4</c:v>
                </c:pt>
                <c:pt idx="3">
                  <c:v>-7.6208288571428585E-4</c:v>
                </c:pt>
                <c:pt idx="4">
                  <c:v>-8.0717060000000005E-4</c:v>
                </c:pt>
                <c:pt idx="5">
                  <c:v>-8.6432000000000013E-4</c:v>
                </c:pt>
                <c:pt idx="6">
                  <c:v>-9.5559037142857147E-4</c:v>
                </c:pt>
                <c:pt idx="7">
                  <c:v>-1.1032781142857142E-3</c:v>
                </c:pt>
                <c:pt idx="8">
                  <c:v>-1.3608547142857144E-3</c:v>
                </c:pt>
                <c:pt idx="9">
                  <c:v>-1.8943430571428572E-3</c:v>
                </c:pt>
                <c:pt idx="10">
                  <c:v>-2.9633485714285718E-3</c:v>
                </c:pt>
                <c:pt idx="11">
                  <c:v>-5.0025814285714291E-3</c:v>
                </c:pt>
                <c:pt idx="12">
                  <c:v>-8.7717962857142857E-3</c:v>
                </c:pt>
                <c:pt idx="13">
                  <c:v>-1.3274090285714286E-2</c:v>
                </c:pt>
                <c:pt idx="14">
                  <c:v>-1.5647893142857142E-2</c:v>
                </c:pt>
                <c:pt idx="15">
                  <c:v>-1.7303699142857145E-2</c:v>
                </c:pt>
                <c:pt idx="16">
                  <c:v>-1.8197246571428575E-2</c:v>
                </c:pt>
                <c:pt idx="17">
                  <c:v>-1.9020716E-2</c:v>
                </c:pt>
                <c:pt idx="18">
                  <c:v>-2.0558336000000003E-2</c:v>
                </c:pt>
                <c:pt idx="19">
                  <c:v>-2.2364219142857147E-2</c:v>
                </c:pt>
                <c:pt idx="20">
                  <c:v>-2.3917288000000002E-2</c:v>
                </c:pt>
                <c:pt idx="21">
                  <c:v>-2.5069089428571428E-2</c:v>
                </c:pt>
                <c:pt idx="22">
                  <c:v>-2.5863646571428575E-2</c:v>
                </c:pt>
                <c:pt idx="23">
                  <c:v>-2.6408451142857142E-2</c:v>
                </c:pt>
                <c:pt idx="24">
                  <c:v>-2.6778495142857142E-2</c:v>
                </c:pt>
                <c:pt idx="25">
                  <c:v>-2.6843666571428573E-2</c:v>
                </c:pt>
                <c:pt idx="26">
                  <c:v>-2.693226342857143E-2</c:v>
                </c:pt>
                <c:pt idx="27">
                  <c:v>-2.7235974857142856E-2</c:v>
                </c:pt>
                <c:pt idx="28">
                  <c:v>-2.7240321142857141E-2</c:v>
                </c:pt>
                <c:pt idx="29">
                  <c:v>-2.7359462000000005E-2</c:v>
                </c:pt>
                <c:pt idx="30">
                  <c:v>-2.7362212285714289E-2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544397416"/>
        <c:axId val="54439428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439741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394280"/>
        <c:crossesAt val="-8.0000000000000019E-3"/>
        <c:crossBetween val="midCat"/>
      </c:valAx>
      <c:valAx>
        <c:axId val="5443942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3974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17891.636288798203</c:v>
                </c:pt>
                <c:pt idx="1">
                  <c:v>17891.97469788506</c:v>
                </c:pt>
                <c:pt idx="2">
                  <c:v>17891.882320080251</c:v>
                </c:pt>
                <c:pt idx="3">
                  <c:v>17891.85488131208</c:v>
                </c:pt>
                <c:pt idx="4">
                  <c:v>17891.84664969804</c:v>
                </c:pt>
                <c:pt idx="5">
                  <c:v>17891.843905828377</c:v>
                </c:pt>
                <c:pt idx="6">
                  <c:v>17891.84299120534</c:v>
                </c:pt>
                <c:pt idx="7">
                  <c:v>17891.84299120534</c:v>
                </c:pt>
                <c:pt idx="8">
                  <c:v>17891.84299120534</c:v>
                </c:pt>
                <c:pt idx="9">
                  <c:v>17891.84299120534</c:v>
                </c:pt>
                <c:pt idx="10">
                  <c:v>17891.84299120534</c:v>
                </c:pt>
                <c:pt idx="11">
                  <c:v>17891.842076582398</c:v>
                </c:pt>
                <c:pt idx="12">
                  <c:v>17891.841161959554</c:v>
                </c:pt>
                <c:pt idx="13">
                  <c:v>17891.824698764292</c:v>
                </c:pt>
                <c:pt idx="14">
                  <c:v>17891.659153873792</c:v>
                </c:pt>
                <c:pt idx="15">
                  <c:v>17890.014846667746</c:v>
                </c:pt>
                <c:pt idx="16">
                  <c:v>17873.938888083707</c:v>
                </c:pt>
                <c:pt idx="17">
                  <c:v>17744.529374268575</c:v>
                </c:pt>
                <c:pt idx="18">
                  <c:v>17398.92961784991</c:v>
                </c:pt>
                <c:pt idx="19">
                  <c:v>17024.758132909366</c:v>
                </c:pt>
                <c:pt idx="20">
                  <c:v>16446.115641285032</c:v>
                </c:pt>
                <c:pt idx="21">
                  <c:v>15364.29062301979</c:v>
                </c:pt>
                <c:pt idx="22">
                  <c:v>13990.723031372356</c:v>
                </c:pt>
                <c:pt idx="23">
                  <c:v>12645.526982646108</c:v>
                </c:pt>
                <c:pt idx="24">
                  <c:v>11495.395617817245</c:v>
                </c:pt>
                <c:pt idx="25">
                  <c:v>10553.602804001805</c:v>
                </c:pt>
                <c:pt idx="26">
                  <c:v>9699.2086942154856</c:v>
                </c:pt>
                <c:pt idx="27">
                  <c:v>8895.6414432278507</c:v>
                </c:pt>
                <c:pt idx="28">
                  <c:v>7959.9973290797534</c:v>
                </c:pt>
                <c:pt idx="29">
                  <c:v>6842.5052358850062</c:v>
                </c:pt>
                <c:pt idx="30">
                  <c:v>5546.9691994233681</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17803.425562199114</c:v>
                </c:pt>
                <c:pt idx="1">
                  <c:v>17803.766076419255</c:v>
                </c:pt>
                <c:pt idx="2">
                  <c:v>17803.675512855218</c:v>
                </c:pt>
                <c:pt idx="3">
                  <c:v>17803.649249593986</c:v>
                </c:pt>
                <c:pt idx="4">
                  <c:v>17803.641098942462</c:v>
                </c:pt>
                <c:pt idx="5">
                  <c:v>17803.638382060279</c:v>
                </c:pt>
                <c:pt idx="6">
                  <c:v>17803.637476433069</c:v>
                </c:pt>
                <c:pt idx="7">
                  <c:v>17803.637476433069</c:v>
                </c:pt>
                <c:pt idx="8">
                  <c:v>17803.636570805953</c:v>
                </c:pt>
                <c:pt idx="9">
                  <c:v>17803.636570805953</c:v>
                </c:pt>
                <c:pt idx="10">
                  <c:v>17803.636570805953</c:v>
                </c:pt>
                <c:pt idx="11">
                  <c:v>17803.630231418705</c:v>
                </c:pt>
                <c:pt idx="12">
                  <c:v>17803.570460275198</c:v>
                </c:pt>
                <c:pt idx="13">
                  <c:v>17802.973676472251</c:v>
                </c:pt>
                <c:pt idx="14">
                  <c:v>17797.049666124803</c:v>
                </c:pt>
                <c:pt idx="15">
                  <c:v>17742.454184927879</c:v>
                </c:pt>
                <c:pt idx="16">
                  <c:v>17453.259298934485</c:v>
                </c:pt>
                <c:pt idx="17">
                  <c:v>17104.654142182775</c:v>
                </c:pt>
                <c:pt idx="18">
                  <c:v>16629.513956842227</c:v>
                </c:pt>
                <c:pt idx="19">
                  <c:v>15714.36281087387</c:v>
                </c:pt>
                <c:pt idx="20">
                  <c:v>14401.050239791886</c:v>
                </c:pt>
                <c:pt idx="21">
                  <c:v>13067.019998887436</c:v>
                </c:pt>
                <c:pt idx="22">
                  <c:v>11882.776746899743</c:v>
                </c:pt>
                <c:pt idx="23">
                  <c:v>10897.920795032591</c:v>
                </c:pt>
                <c:pt idx="24">
                  <c:v>10043.221722053837</c:v>
                </c:pt>
                <c:pt idx="25">
                  <c:v>9242.2391135731505</c:v>
                </c:pt>
                <c:pt idx="26">
                  <c:v>8399.7394736804836</c:v>
                </c:pt>
                <c:pt idx="27">
                  <c:v>7368.9939725208524</c:v>
                </c:pt>
                <c:pt idx="28">
                  <c:v>6145.8234634335095</c:v>
                </c:pt>
                <c:pt idx="29">
                  <c:v>4727.8920492025509</c:v>
                </c:pt>
                <c:pt idx="30">
                  <c:v>3174.7819990586318</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17746.564556652535</c:v>
                </c:pt>
                <c:pt idx="1">
                  <c:v>17746.906498699122</c:v>
                </c:pt>
                <c:pt idx="2">
                  <c:v>17746.817412528217</c:v>
                </c:pt>
                <c:pt idx="3">
                  <c:v>17746.791316748531</c:v>
                </c:pt>
                <c:pt idx="4">
                  <c:v>17746.783218073891</c:v>
                </c:pt>
                <c:pt idx="5">
                  <c:v>17746.78051851732</c:v>
                </c:pt>
                <c:pt idx="6">
                  <c:v>17746.77961866531</c:v>
                </c:pt>
                <c:pt idx="7">
                  <c:v>17746.77961866531</c:v>
                </c:pt>
                <c:pt idx="8">
                  <c:v>17746.778718813392</c:v>
                </c:pt>
                <c:pt idx="9">
                  <c:v>17746.773319703811</c:v>
                </c:pt>
                <c:pt idx="10">
                  <c:v>17746.717529097139</c:v>
                </c:pt>
                <c:pt idx="11">
                  <c:v>17746.160542111738</c:v>
                </c:pt>
                <c:pt idx="12">
                  <c:v>17740.636656707073</c:v>
                </c:pt>
                <c:pt idx="13">
                  <c:v>17689.464781488612</c:v>
                </c:pt>
                <c:pt idx="14">
                  <c:v>17409.017861304143</c:v>
                </c:pt>
                <c:pt idx="15">
                  <c:v>17072.541129702728</c:v>
                </c:pt>
                <c:pt idx="16">
                  <c:v>16692.358591161119</c:v>
                </c:pt>
                <c:pt idx="17">
                  <c:v>16174.650736145324</c:v>
                </c:pt>
                <c:pt idx="18">
                  <c:v>15314.606428397934</c:v>
                </c:pt>
                <c:pt idx="19">
                  <c:v>13971.287327986509</c:v>
                </c:pt>
                <c:pt idx="20">
                  <c:v>12556.415526517228</c:v>
                </c:pt>
                <c:pt idx="21">
                  <c:v>11352.833110855647</c:v>
                </c:pt>
                <c:pt idx="22">
                  <c:v>10344.506345970418</c:v>
                </c:pt>
                <c:pt idx="23">
                  <c:v>9442.0865306261639</c:v>
                </c:pt>
                <c:pt idx="24">
                  <c:v>8540.0780494813098</c:v>
                </c:pt>
                <c:pt idx="25">
                  <c:v>7472.4948140885981</c:v>
                </c:pt>
                <c:pt idx="26">
                  <c:v>6227.2036530271153</c:v>
                </c:pt>
                <c:pt idx="27">
                  <c:v>4796.9555614422579</c:v>
                </c:pt>
                <c:pt idx="28">
                  <c:v>3229.2425442556155</c:v>
                </c:pt>
                <c:pt idx="29">
                  <c:v>1959.9838497330782</c:v>
                </c:pt>
                <c:pt idx="30">
                  <c:v>1134.5186070613929</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17688.307063754673</c:v>
                </c:pt>
                <c:pt idx="1">
                  <c:v>17688.651234278703</c:v>
                </c:pt>
                <c:pt idx="2">
                  <c:v>17688.562732007609</c:v>
                </c:pt>
                <c:pt idx="3">
                  <c:v>17688.536807267625</c:v>
                </c:pt>
                <c:pt idx="4">
                  <c:v>17688.528761674112</c:v>
                </c:pt>
                <c:pt idx="5">
                  <c:v>17688.526079811236</c:v>
                </c:pt>
                <c:pt idx="6">
                  <c:v>17688.519822134353</c:v>
                </c:pt>
                <c:pt idx="7">
                  <c:v>17688.46976087867</c:v>
                </c:pt>
                <c:pt idx="8">
                  <c:v>17687.970951702286</c:v>
                </c:pt>
                <c:pt idx="9">
                  <c:v>17683.02282282076</c:v>
                </c:pt>
                <c:pt idx="10">
                  <c:v>17636.830054932176</c:v>
                </c:pt>
                <c:pt idx="11">
                  <c:v>17369.119343467137</c:v>
                </c:pt>
                <c:pt idx="12">
                  <c:v>17035.306646470905</c:v>
                </c:pt>
                <c:pt idx="13">
                  <c:v>16667.125409451746</c:v>
                </c:pt>
                <c:pt idx="14">
                  <c:v>16228.509280667151</c:v>
                </c:pt>
                <c:pt idx="15">
                  <c:v>15758.891481751834</c:v>
                </c:pt>
                <c:pt idx="16">
                  <c:v>15172.452479120213</c:v>
                </c:pt>
                <c:pt idx="17">
                  <c:v>14248.329576727314</c:v>
                </c:pt>
                <c:pt idx="18">
                  <c:v>12894.317912502769</c:v>
                </c:pt>
                <c:pt idx="19">
                  <c:v>11472.766961945093</c:v>
                </c:pt>
                <c:pt idx="20">
                  <c:v>10200.379757223965</c:v>
                </c:pt>
                <c:pt idx="21">
                  <c:v>9045.5930193866425</c:v>
                </c:pt>
                <c:pt idx="22">
                  <c:v>7813.9194124146916</c:v>
                </c:pt>
                <c:pt idx="23">
                  <c:v>6464.7983510257318</c:v>
                </c:pt>
                <c:pt idx="24">
                  <c:v>4974.2925010479767</c:v>
                </c:pt>
                <c:pt idx="25">
                  <c:v>3356.9193685231835</c:v>
                </c:pt>
                <c:pt idx="26">
                  <c:v>2042.1601036016993</c:v>
                </c:pt>
                <c:pt idx="27">
                  <c:v>1181.4326051770379</c:v>
                </c:pt>
                <c:pt idx="28">
                  <c:v>671.35385467694152</c:v>
                </c:pt>
                <c:pt idx="29">
                  <c:v>465.71467756091272</c:v>
                </c:pt>
                <c:pt idx="30">
                  <c:v>406.25140120460964</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17616.469526628349</c:v>
                </c:pt>
                <c:pt idx="1">
                  <c:v>17616.802040045808</c:v>
                </c:pt>
                <c:pt idx="2">
                  <c:v>17616.583023130472</c:v>
                </c:pt>
                <c:pt idx="3">
                  <c:v>17615.24066596078</c:v>
                </c:pt>
                <c:pt idx="4">
                  <c:v>17602.301053261344</c:v>
                </c:pt>
                <c:pt idx="5">
                  <c:v>17494.13684003806</c:v>
                </c:pt>
                <c:pt idx="6">
                  <c:v>17159.551074766416</c:v>
                </c:pt>
                <c:pt idx="7">
                  <c:v>16815.112077526315</c:v>
                </c:pt>
                <c:pt idx="8">
                  <c:v>16418.835293796994</c:v>
                </c:pt>
                <c:pt idx="9">
                  <c:v>15952.410404654309</c:v>
                </c:pt>
                <c:pt idx="10">
                  <c:v>15474.515175702285</c:v>
                </c:pt>
                <c:pt idx="11">
                  <c:v>14870.686422812616</c:v>
                </c:pt>
                <c:pt idx="12">
                  <c:v>14205.719271283941</c:v>
                </c:pt>
                <c:pt idx="13">
                  <c:v>13548.505799166936</c:v>
                </c:pt>
                <c:pt idx="14">
                  <c:v>12830.833886892166</c:v>
                </c:pt>
                <c:pt idx="15">
                  <c:v>12037.009746779489</c:v>
                </c:pt>
                <c:pt idx="16">
                  <c:v>10844.124631586357</c:v>
                </c:pt>
                <c:pt idx="17">
                  <c:v>9065.8029391281325</c:v>
                </c:pt>
                <c:pt idx="18">
                  <c:v>7057.5960533277594</c:v>
                </c:pt>
                <c:pt idx="19">
                  <c:v>5027.0943147814778</c:v>
                </c:pt>
                <c:pt idx="20">
                  <c:v>3182.4075058263061</c:v>
                </c:pt>
                <c:pt idx="21">
                  <c:v>1839.9309489685686</c:v>
                </c:pt>
                <c:pt idx="22">
                  <c:v>1025.1787413781001</c:v>
                </c:pt>
                <c:pt idx="23">
                  <c:v>592.92129561028003</c:v>
                </c:pt>
                <c:pt idx="24">
                  <c:v>452.62701551415307</c:v>
                </c:pt>
                <c:pt idx="25">
                  <c:v>403.56299542258085</c:v>
                </c:pt>
                <c:pt idx="26">
                  <c:v>373.60146162285196</c:v>
                </c:pt>
                <c:pt idx="27">
                  <c:v>372.18425068527625</c:v>
                </c:pt>
                <c:pt idx="28">
                  <c:v>367.76558209899559</c:v>
                </c:pt>
                <c:pt idx="29">
                  <c:v>367.7011441084133</c:v>
                </c:pt>
                <c:pt idx="30">
                  <c:v>365.81700545711175</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16170.711708597861</c:v>
                </c:pt>
                <c:pt idx="1">
                  <c:v>15578.149411099215</c:v>
                </c:pt>
                <c:pt idx="2">
                  <c:v>15019.848944950021</c:v>
                </c:pt>
                <c:pt idx="3">
                  <c:v>14377.423468769482</c:v>
                </c:pt>
                <c:pt idx="4">
                  <c:v>13721.030592096184</c:v>
                </c:pt>
                <c:pt idx="5">
                  <c:v>13038.395877959572</c:v>
                </c:pt>
                <c:pt idx="6">
                  <c:v>12298.588216947519</c:v>
                </c:pt>
                <c:pt idx="7">
                  <c:v>11425.936281209659</c:v>
                </c:pt>
                <c:pt idx="8">
                  <c:v>10259.878320774509</c:v>
                </c:pt>
                <c:pt idx="9">
                  <c:v>8791.100151427956</c:v>
                </c:pt>
                <c:pt idx="10">
                  <c:v>6981.997060220162</c:v>
                </c:pt>
                <c:pt idx="11">
                  <c:v>4852.8856721004695</c:v>
                </c:pt>
                <c:pt idx="12">
                  <c:v>3008.2022502040422</c:v>
                </c:pt>
                <c:pt idx="13">
                  <c:v>1754.9272214132006</c:v>
                </c:pt>
                <c:pt idx="14">
                  <c:v>999.94928828609397</c:v>
                </c:pt>
                <c:pt idx="15">
                  <c:v>704.94550287871539</c:v>
                </c:pt>
                <c:pt idx="16">
                  <c:v>613.34549369633294</c:v>
                </c:pt>
                <c:pt idx="17">
                  <c:v>547.59948267181665</c:v>
                </c:pt>
                <c:pt idx="18">
                  <c:v>510.14993583552734</c:v>
                </c:pt>
                <c:pt idx="19">
                  <c:v>468.8162014520899</c:v>
                </c:pt>
                <c:pt idx="20">
                  <c:v>433.49461273331463</c:v>
                </c:pt>
                <c:pt idx="21">
                  <c:v>408.9550404176108</c:v>
                </c:pt>
                <c:pt idx="22">
                  <c:v>393.00348692905209</c:v>
                </c:pt>
                <c:pt idx="23">
                  <c:v>382.84518002348415</c:v>
                </c:pt>
                <c:pt idx="24">
                  <c:v>376.19508445230321</c:v>
                </c:pt>
                <c:pt idx="25">
                  <c:v>371.80458787952523</c:v>
                </c:pt>
                <c:pt idx="26">
                  <c:v>370.99564132060834</c:v>
                </c:pt>
                <c:pt idx="27">
                  <c:v>367.40815475836132</c:v>
                </c:pt>
                <c:pt idx="28">
                  <c:v>367.35366595290549</c:v>
                </c:pt>
                <c:pt idx="29">
                  <c:v>366.22159895258943</c:v>
                </c:pt>
                <c:pt idx="30">
                  <c:v>366.17056448780988</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15229.41658411235</c:v>
                </c:pt>
                <c:pt idx="1">
                  <c:v>14465.85133270995</c:v>
                </c:pt>
                <c:pt idx="2">
                  <c:v>13791.070793900722</c:v>
                </c:pt>
                <c:pt idx="3">
                  <c:v>13121.932256262637</c:v>
                </c:pt>
                <c:pt idx="4">
                  <c:v>12388.954701769366</c:v>
                </c:pt>
                <c:pt idx="5">
                  <c:v>11569.788967049239</c:v>
                </c:pt>
                <c:pt idx="6">
                  <c:v>10464.734994190427</c:v>
                </c:pt>
                <c:pt idx="7">
                  <c:v>9063.8977339582361</c:v>
                </c:pt>
                <c:pt idx="8">
                  <c:v>7348.3230024659915</c:v>
                </c:pt>
                <c:pt idx="9">
                  <c:v>5278.8748913739519</c:v>
                </c:pt>
                <c:pt idx="10">
                  <c:v>3374.5608250126302</c:v>
                </c:pt>
                <c:pt idx="11">
                  <c:v>1998.967961398215</c:v>
                </c:pt>
                <c:pt idx="12">
                  <c:v>1140.0173549727735</c:v>
                </c:pt>
                <c:pt idx="13">
                  <c:v>753.34729422189514</c:v>
                </c:pt>
                <c:pt idx="14">
                  <c:v>639.0636687447435</c:v>
                </c:pt>
                <c:pt idx="15">
                  <c:v>577.91111122779409</c:v>
                </c:pt>
                <c:pt idx="16">
                  <c:v>549.5336869095878</c:v>
                </c:pt>
                <c:pt idx="17">
                  <c:v>525.74256405489677</c:v>
                </c:pt>
                <c:pt idx="18">
                  <c:v>486.42069085747011</c:v>
                </c:pt>
                <c:pt idx="19">
                  <c:v>447.1428193456008</c:v>
                </c:pt>
                <c:pt idx="20">
                  <c:v>418.10760484215433</c:v>
                </c:pt>
                <c:pt idx="21">
                  <c:v>398.89761566700247</c:v>
                </c:pt>
                <c:pt idx="22">
                  <c:v>386.6430811441316</c:v>
                </c:pt>
                <c:pt idx="23">
                  <c:v>378.66666037719375</c:v>
                </c:pt>
                <c:pt idx="24">
                  <c:v>373.43397926777772</c:v>
                </c:pt>
                <c:pt idx="25">
                  <c:v>372.52735103794049</c:v>
                </c:pt>
                <c:pt idx="26">
                  <c:v>371.30187837801162</c:v>
                </c:pt>
                <c:pt idx="27">
                  <c:v>367.16144923953101</c:v>
                </c:pt>
                <c:pt idx="28">
                  <c:v>367.10286738385844</c:v>
                </c:pt>
                <c:pt idx="29">
                  <c:v>365.50426320517556</c:v>
                </c:pt>
                <c:pt idx="30">
                  <c:v>365.4675249055415</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652048936"/>
        <c:axId val="65205089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5204893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2050896"/>
        <c:crosses val="autoZero"/>
        <c:crossBetween val="midCat"/>
      </c:valAx>
      <c:valAx>
        <c:axId val="652050896"/>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2048936"/>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21415.549463341617</c:v>
                </c:pt>
                <c:pt idx="1">
                  <c:v>21418.129347436585</c:v>
                </c:pt>
                <c:pt idx="2">
                  <c:v>21418.027901668822</c:v>
                </c:pt>
                <c:pt idx="3">
                  <c:v>21418.001164184629</c:v>
                </c:pt>
                <c:pt idx="4">
                  <c:v>21417.996445812005</c:v>
                </c:pt>
                <c:pt idx="5">
                  <c:v>21417.994873021591</c:v>
                </c:pt>
                <c:pt idx="6">
                  <c:v>21417.994086626455</c:v>
                </c:pt>
                <c:pt idx="7">
                  <c:v>21417.995659416745</c:v>
                </c:pt>
                <c:pt idx="8">
                  <c:v>21417.995659416745</c:v>
                </c:pt>
                <c:pt idx="9">
                  <c:v>21417.995659416745</c:v>
                </c:pt>
                <c:pt idx="10">
                  <c:v>21417.996445811998</c:v>
                </c:pt>
                <c:pt idx="11">
                  <c:v>21417.993300231385</c:v>
                </c:pt>
                <c:pt idx="12">
                  <c:v>21417.998018602641</c:v>
                </c:pt>
                <c:pt idx="13">
                  <c:v>21418.017678505221</c:v>
                </c:pt>
                <c:pt idx="14">
                  <c:v>21418.204842585139</c:v>
                </c:pt>
                <c:pt idx="15">
                  <c:v>21420.104979077681</c:v>
                </c:pt>
                <c:pt idx="16">
                  <c:v>21438.72699730254</c:v>
                </c:pt>
                <c:pt idx="17">
                  <c:v>21591.91354953156</c:v>
                </c:pt>
                <c:pt idx="18">
                  <c:v>21981.9631335095</c:v>
                </c:pt>
                <c:pt idx="19">
                  <c:v>22407.604388033797</c:v>
                </c:pt>
                <c:pt idx="20">
                  <c:v>22560.039258077912</c:v>
                </c:pt>
                <c:pt idx="21">
                  <c:v>21511.102064156192</c:v>
                </c:pt>
                <c:pt idx="22">
                  <c:v>19453.10107442255</c:v>
                </c:pt>
                <c:pt idx="23">
                  <c:v>17501.941840447187</c:v>
                </c:pt>
                <c:pt idx="24">
                  <c:v>15922.848974370625</c:v>
                </c:pt>
                <c:pt idx="25">
                  <c:v>14666.610346882935</c:v>
                </c:pt>
                <c:pt idx="26">
                  <c:v>13634.017168889319</c:v>
                </c:pt>
                <c:pt idx="27">
                  <c:v>12699.710660677774</c:v>
                </c:pt>
                <c:pt idx="28">
                  <c:v>11705.735730239914</c:v>
                </c:pt>
                <c:pt idx="29">
                  <c:v>10519.606653272505</c:v>
                </c:pt>
                <c:pt idx="30">
                  <c:v>9139.358134000011</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21246.654365218023</c:v>
                </c:pt>
                <c:pt idx="1">
                  <c:v>21249.288922902317</c:v>
                </c:pt>
                <c:pt idx="2">
                  <c:v>21249.192166425808</c:v>
                </c:pt>
                <c:pt idx="3">
                  <c:v>21249.170493095851</c:v>
                </c:pt>
                <c:pt idx="4">
                  <c:v>21249.165074770277</c:v>
                </c:pt>
                <c:pt idx="5">
                  <c:v>21249.163526677763</c:v>
                </c:pt>
                <c:pt idx="6">
                  <c:v>21249.162752631597</c:v>
                </c:pt>
                <c:pt idx="7">
                  <c:v>21249.164300724002</c:v>
                </c:pt>
                <c:pt idx="8">
                  <c:v>21249.160430493426</c:v>
                </c:pt>
                <c:pt idx="9">
                  <c:v>21249.161204539429</c:v>
                </c:pt>
                <c:pt idx="10">
                  <c:v>21249.164300723998</c:v>
                </c:pt>
                <c:pt idx="11">
                  <c:v>21249.169719049183</c:v>
                </c:pt>
                <c:pt idx="12">
                  <c:v>21249.236287269807</c:v>
                </c:pt>
                <c:pt idx="13">
                  <c:v>21249.904314716554</c:v>
                </c:pt>
                <c:pt idx="14">
                  <c:v>21256.517187436755</c:v>
                </c:pt>
                <c:pt idx="15">
                  <c:v>21318.022948522812</c:v>
                </c:pt>
                <c:pt idx="16">
                  <c:v>21626.656240393881</c:v>
                </c:pt>
                <c:pt idx="17">
                  <c:v>22019.296579100948</c:v>
                </c:pt>
                <c:pt idx="18">
                  <c:v>22280.927585826728</c:v>
                </c:pt>
                <c:pt idx="19">
                  <c:v>21634.832802797777</c:v>
                </c:pt>
                <c:pt idx="20">
                  <c:v>19809.843613170575</c:v>
                </c:pt>
                <c:pt idx="21">
                  <c:v>17854.167769799165</c:v>
                </c:pt>
                <c:pt idx="22">
                  <c:v>16251.693600598475</c:v>
                </c:pt>
                <c:pt idx="23">
                  <c:v>14973.174915431517</c:v>
                </c:pt>
                <c:pt idx="24">
                  <c:v>13932.682294916583</c:v>
                </c:pt>
                <c:pt idx="25">
                  <c:v>13012.504459106436</c:v>
                </c:pt>
                <c:pt idx="26">
                  <c:v>12095.958273782331</c:v>
                </c:pt>
                <c:pt idx="27">
                  <c:v>11015.969851493697</c:v>
                </c:pt>
                <c:pt idx="28">
                  <c:v>9723.9790210987012</c:v>
                </c:pt>
                <c:pt idx="29">
                  <c:v>8226.9442531679888</c:v>
                </c:pt>
                <c:pt idx="30">
                  <c:v>6586.8915062561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21138.881521485364</c:v>
                </c:pt>
                <c:pt idx="1">
                  <c:v>21141.54918337987</c:v>
                </c:pt>
                <c:pt idx="2">
                  <c:v>21141.458002892334</c:v>
                </c:pt>
                <c:pt idx="3">
                  <c:v>21141.435782556586</c:v>
                </c:pt>
                <c:pt idx="4">
                  <c:v>21141.430419034266</c:v>
                </c:pt>
                <c:pt idx="5">
                  <c:v>21141.428886599821</c:v>
                </c:pt>
                <c:pt idx="6">
                  <c:v>21141.428120382676</c:v>
                </c:pt>
                <c:pt idx="7">
                  <c:v>21141.429652817013</c:v>
                </c:pt>
                <c:pt idx="8">
                  <c:v>21141.42888659981</c:v>
                </c:pt>
                <c:pt idx="9">
                  <c:v>21141.436548774276</c:v>
                </c:pt>
                <c:pt idx="10">
                  <c:v>21141.497080147841</c:v>
                </c:pt>
                <c:pt idx="11">
                  <c:v>21142.106244278795</c:v>
                </c:pt>
                <c:pt idx="12">
                  <c:v>21148.168381910014</c:v>
                </c:pt>
                <c:pt idx="13">
                  <c:v>21204.786669183137</c:v>
                </c:pt>
                <c:pt idx="14">
                  <c:v>21500.071275807713</c:v>
                </c:pt>
                <c:pt idx="15">
                  <c:v>21906.047441038187</c:v>
                </c:pt>
                <c:pt idx="16">
                  <c:v>22404.083637132706</c:v>
                </c:pt>
                <c:pt idx="17">
                  <c:v>22895.94836830191</c:v>
                </c:pt>
                <c:pt idx="18">
                  <c:v>22419.944782878854</c:v>
                </c:pt>
                <c:pt idx="19">
                  <c:v>20539.514116784583</c:v>
                </c:pt>
                <c:pt idx="20">
                  <c:v>18287.793331633096</c:v>
                </c:pt>
                <c:pt idx="21">
                  <c:v>16366.291443716864</c:v>
                </c:pt>
                <c:pt idx="22">
                  <c:v>14875.871056629718</c:v>
                </c:pt>
                <c:pt idx="23">
                  <c:v>13679.119589976604</c:v>
                </c:pt>
                <c:pt idx="24">
                  <c:v>12615.310243278691</c:v>
                </c:pt>
                <c:pt idx="25">
                  <c:v>11467.553246143232</c:v>
                </c:pt>
                <c:pt idx="26">
                  <c:v>10118.356731455086</c:v>
                </c:pt>
                <c:pt idx="27">
                  <c:v>8575.1274263935629</c:v>
                </c:pt>
                <c:pt idx="28">
                  <c:v>6896.5316120851512</c:v>
                </c:pt>
                <c:pt idx="29">
                  <c:v>5451.9982243309096</c:v>
                </c:pt>
                <c:pt idx="30">
                  <c:v>4395.1103769183901</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21029.337271371158</c:v>
                </c:pt>
                <c:pt idx="1">
                  <c:v>21032.04256923874</c:v>
                </c:pt>
                <c:pt idx="2">
                  <c:v>21031.951572573435</c:v>
                </c:pt>
                <c:pt idx="3">
                  <c:v>21031.929581830798</c:v>
                </c:pt>
                <c:pt idx="4">
                  <c:v>21031.924273727393</c:v>
                </c:pt>
                <c:pt idx="5">
                  <c:v>21031.925032027721</c:v>
                </c:pt>
                <c:pt idx="6">
                  <c:v>21031.928823530161</c:v>
                </c:pt>
                <c:pt idx="7">
                  <c:v>21031.981904707714</c:v>
                </c:pt>
                <c:pt idx="8">
                  <c:v>21032.514247905889</c:v>
                </c:pt>
                <c:pt idx="9">
                  <c:v>21037.823987899148</c:v>
                </c:pt>
                <c:pt idx="10">
                  <c:v>21087.745688053081</c:v>
                </c:pt>
                <c:pt idx="11">
                  <c:v>21362.386569694612</c:v>
                </c:pt>
                <c:pt idx="12">
                  <c:v>21755.784825889568</c:v>
                </c:pt>
                <c:pt idx="13">
                  <c:v>22254.922121125535</c:v>
                </c:pt>
                <c:pt idx="14">
                  <c:v>22956.140077474745</c:v>
                </c:pt>
                <c:pt idx="15">
                  <c:v>23852.304133942343</c:v>
                </c:pt>
                <c:pt idx="16">
                  <c:v>24984.336248848347</c:v>
                </c:pt>
                <c:pt idx="17">
                  <c:v>25418.575674324286</c:v>
                </c:pt>
                <c:pt idx="18">
                  <c:v>23263.120582790365</c:v>
                </c:pt>
                <c:pt idx="19">
                  <c:v>19909.225309289814</c:v>
                </c:pt>
                <c:pt idx="20">
                  <c:v>17085.395540575068</c:v>
                </c:pt>
                <c:pt idx="21">
                  <c:v>15005.121676746025</c:v>
                </c:pt>
                <c:pt idx="22">
                  <c:v>13356.486612068389</c:v>
                </c:pt>
                <c:pt idx="23">
                  <c:v>11757.435242482163</c:v>
                </c:pt>
                <c:pt idx="24">
                  <c:v>10057.498142164573</c:v>
                </c:pt>
                <c:pt idx="25">
                  <c:v>8262.3268959892011</c:v>
                </c:pt>
                <c:pt idx="26">
                  <c:v>6732.657482244631</c:v>
                </c:pt>
                <c:pt idx="27">
                  <c:v>5603.5970610254153</c:v>
                </c:pt>
                <c:pt idx="28">
                  <c:v>4975.4914399512863</c:v>
                </c:pt>
                <c:pt idx="29">
                  <c:v>4576.1234873460335</c:v>
                </c:pt>
                <c:pt idx="30">
                  <c:v>3979.3704886018731</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20895.458516568593</c:v>
                </c:pt>
                <c:pt idx="1">
                  <c:v>20898.217072790078</c:v>
                </c:pt>
                <c:pt idx="2">
                  <c:v>20898.267983792535</c:v>
                </c:pt>
                <c:pt idx="3">
                  <c:v>20899.620210907251</c:v>
                </c:pt>
                <c:pt idx="4">
                  <c:v>20913.111625908266</c:v>
                </c:pt>
                <c:pt idx="5">
                  <c:v>21028.090248189499</c:v>
                </c:pt>
                <c:pt idx="6">
                  <c:v>21370.863989837715</c:v>
                </c:pt>
                <c:pt idx="7">
                  <c:v>21788.439703811193</c:v>
                </c:pt>
                <c:pt idx="8">
                  <c:v>22346.560185690454</c:v>
                </c:pt>
                <c:pt idx="9">
                  <c:v>23136.897372735224</c:v>
                </c:pt>
                <c:pt idx="10">
                  <c:v>24141.732774663273</c:v>
                </c:pt>
                <c:pt idx="11">
                  <c:v>25789.564463477425</c:v>
                </c:pt>
                <c:pt idx="12">
                  <c:v>28356.906835083992</c:v>
                </c:pt>
                <c:pt idx="13">
                  <c:v>32193.295166802207</c:v>
                </c:pt>
                <c:pt idx="14">
                  <c:v>39138.146699166959</c:v>
                </c:pt>
                <c:pt idx="15">
                  <c:v>53423.91587229132</c:v>
                </c:pt>
                <c:pt idx="16">
                  <c:v>92168.471325335064</c:v>
                </c:pt>
                <c:pt idx="17">
                  <c:v>171662.28437377722</c:v>
                </c:pt>
                <c:pt idx="18">
                  <c:v>463619.75761957688</c:v>
                </c:pt>
                <c:pt idx="19">
                  <c:v>-83849.607344267439</c:v>
                </c:pt>
                <c:pt idx="20">
                  <c:v>-17610.089474348857</c:v>
                </c:pt>
                <c:pt idx="21">
                  <c:v>-6995.2474288968015</c:v>
                </c:pt>
                <c:pt idx="22">
                  <c:v>-3775.0607407273196</c:v>
                </c:pt>
                <c:pt idx="23">
                  <c:v>-2584.1424467915831</c:v>
                </c:pt>
                <c:pt idx="24">
                  <c:v>-3776.7753137016589</c:v>
                </c:pt>
                <c:pt idx="25">
                  <c:v>-15046.463479224287</c:v>
                </c:pt>
                <c:pt idx="26">
                  <c:v>14080.059216706419</c:v>
                </c:pt>
                <c:pt idx="27">
                  <c:v>8907.4707211437271</c:v>
                </c:pt>
                <c:pt idx="28">
                  <c:v>3875.0716749864532</c:v>
                </c:pt>
                <c:pt idx="29">
                  <c:v>3845.5482779470067</c:v>
                </c:pt>
                <c:pt idx="30">
                  <c:v>3268.0379353843514</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22252.915138241082</c:v>
                </c:pt>
                <c:pt idx="1">
                  <c:v>23312.20967390361</c:v>
                </c:pt>
                <c:pt idx="2">
                  <c:v>24615.821575972968</c:v>
                </c:pt>
                <c:pt idx="3">
                  <c:v>26659.565167867426</c:v>
                </c:pt>
                <c:pt idx="4">
                  <c:v>29712.515284966801</c:v>
                </c:pt>
                <c:pt idx="5">
                  <c:v>34724.857590878732</c:v>
                </c:pt>
                <c:pt idx="6">
                  <c:v>44805.499964731716</c:v>
                </c:pt>
                <c:pt idx="7">
                  <c:v>78806.943927508604</c:v>
                </c:pt>
                <c:pt idx="8">
                  <c:v>-213035.71635085696</c:v>
                </c:pt>
                <c:pt idx="9">
                  <c:v>-26728.603714542747</c:v>
                </c:pt>
                <c:pt idx="10">
                  <c:v>-9451.4829187669911</c:v>
                </c:pt>
                <c:pt idx="11">
                  <c:v>-3672.303179894539</c:v>
                </c:pt>
                <c:pt idx="12">
                  <c:v>-1569.4773638584659</c:v>
                </c:pt>
                <c:pt idx="13">
                  <c:v>-740.99503141660125</c:v>
                </c:pt>
                <c:pt idx="14">
                  <c:v>-375.90063240770604</c:v>
                </c:pt>
                <c:pt idx="15">
                  <c:v>-256.31147227887442</c:v>
                </c:pt>
                <c:pt idx="16">
                  <c:v>-228.99407873653888</c:v>
                </c:pt>
                <c:pt idx="17">
                  <c:v>-221.01688035368008</c:v>
                </c:pt>
                <c:pt idx="18">
                  <c:v>-254.14496459277763</c:v>
                </c:pt>
                <c:pt idx="19">
                  <c:v>-341.81324131173977</c:v>
                </c:pt>
                <c:pt idx="20">
                  <c:v>-519.11790358595283</c:v>
                </c:pt>
                <c:pt idx="21">
                  <c:v>-874.87738593436063</c:v>
                </c:pt>
                <c:pt idx="22">
                  <c:v>-1696.3390289612576</c:v>
                </c:pt>
                <c:pt idx="23">
                  <c:v>-4564.4396504786673</c:v>
                </c:pt>
                <c:pt idx="24">
                  <c:v>39979.941492210644</c:v>
                </c:pt>
                <c:pt idx="25">
                  <c:v>5702.3698560346911</c:v>
                </c:pt>
                <c:pt idx="26">
                  <c:v>4947.7314580582743</c:v>
                </c:pt>
                <c:pt idx="27">
                  <c:v>3473.062579328473</c:v>
                </c:pt>
                <c:pt idx="28">
                  <c:v>3458.6419059528112</c:v>
                </c:pt>
                <c:pt idx="29">
                  <c:v>3182.9811273773585</c:v>
                </c:pt>
                <c:pt idx="30">
                  <c:v>3175.5856619222559</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23574.349943362293</c:v>
                </c:pt>
                <c:pt idx="1">
                  <c:v>25641.434776886017</c:v>
                </c:pt>
                <c:pt idx="2">
                  <c:v>28371.912649528116</c:v>
                </c:pt>
                <c:pt idx="3">
                  <c:v>32549.74926928135</c:v>
                </c:pt>
                <c:pt idx="4">
                  <c:v>40587.375864960486</c:v>
                </c:pt>
                <c:pt idx="5">
                  <c:v>62072.651960059178</c:v>
                </c:pt>
                <c:pt idx="6">
                  <c:v>1212789.0336150853</c:v>
                </c:pt>
                <c:pt idx="7">
                  <c:v>-36212.225992432257</c:v>
                </c:pt>
                <c:pt idx="8">
                  <c:v>-11752.153002824527</c:v>
                </c:pt>
                <c:pt idx="9">
                  <c:v>-4503.8650947765718</c:v>
                </c:pt>
                <c:pt idx="10">
                  <c:v>-1901.9597358384426</c:v>
                </c:pt>
                <c:pt idx="11">
                  <c:v>-881.52817896754868</c:v>
                </c:pt>
                <c:pt idx="12">
                  <c:v>-437.02600705557256</c:v>
                </c:pt>
                <c:pt idx="13">
                  <c:v>-271.00096000928653</c:v>
                </c:pt>
                <c:pt idx="14">
                  <c:v>-227.08483963573565</c:v>
                </c:pt>
                <c:pt idx="15">
                  <c:v>-208.6837543483359</c:v>
                </c:pt>
                <c:pt idx="16">
                  <c:v>-210.99557375293912</c:v>
                </c:pt>
                <c:pt idx="17">
                  <c:v>-234.01737548256389</c:v>
                </c:pt>
                <c:pt idx="18">
                  <c:v>-296.35954977328169</c:v>
                </c:pt>
                <c:pt idx="19">
                  <c:v>-429.41885776718681</c:v>
                </c:pt>
                <c:pt idx="20">
                  <c:v>-692.37975154011986</c:v>
                </c:pt>
                <c:pt idx="21">
                  <c:v>-1252.9938049480259</c:v>
                </c:pt>
                <c:pt idx="22">
                  <c:v>-2788.6968539117224</c:v>
                </c:pt>
                <c:pt idx="23">
                  <c:v>-15427.099242529001</c:v>
                </c:pt>
                <c:pt idx="24">
                  <c:v>8200.4451201611373</c:v>
                </c:pt>
                <c:pt idx="25">
                  <c:v>6514.2081393728131</c:v>
                </c:pt>
                <c:pt idx="26">
                  <c:v>5128.0743904844003</c:v>
                </c:pt>
                <c:pt idx="27">
                  <c:v>3264.0953429193382</c:v>
                </c:pt>
                <c:pt idx="28">
                  <c:v>3250.133626922548</c:v>
                </c:pt>
                <c:pt idx="29">
                  <c:v>3047.8499378020801</c:v>
                </c:pt>
                <c:pt idx="30">
                  <c:v>3045.7572818617796</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652048152"/>
        <c:axId val="65205011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65204815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2050112"/>
        <c:crosses val="autoZero"/>
        <c:crossBetween val="midCat"/>
        <c:majorUnit val="10000"/>
      </c:valAx>
      <c:valAx>
        <c:axId val="652050112"/>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2048152"/>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0.36075821278502584</c:v>
                </c:pt>
                <c:pt idx="1">
                  <c:v>0.36077235156217125</c:v>
                </c:pt>
                <c:pt idx="2">
                  <c:v>0.3607724109628368</c:v>
                </c:pt>
                <c:pt idx="3">
                  <c:v>0.36077245067394526</c:v>
                </c:pt>
                <c:pt idx="4">
                  <c:v>0.36077248405747009</c:v>
                </c:pt>
                <c:pt idx="5">
                  <c:v>0.36077249518530485</c:v>
                </c:pt>
                <c:pt idx="6">
                  <c:v>0.36077249719059723</c:v>
                </c:pt>
                <c:pt idx="7">
                  <c:v>0.36077250741450745</c:v>
                </c:pt>
                <c:pt idx="8">
                  <c:v>0.36077250741450745</c:v>
                </c:pt>
                <c:pt idx="9">
                  <c:v>0.36077250741450745</c:v>
                </c:pt>
                <c:pt idx="10">
                  <c:v>0.3607725125264627</c:v>
                </c:pt>
                <c:pt idx="11">
                  <c:v>0.36077249919588944</c:v>
                </c:pt>
                <c:pt idx="12">
                  <c:v>0.36077253698486383</c:v>
                </c:pt>
                <c:pt idx="13">
                  <c:v>0.36077279289389885</c:v>
                </c:pt>
                <c:pt idx="14">
                  <c:v>0.36077529773254408</c:v>
                </c:pt>
                <c:pt idx="15">
                  <c:v>0.36080044220027546</c:v>
                </c:pt>
                <c:pt idx="16">
                  <c:v>0.36104632914746104</c:v>
                </c:pt>
                <c:pt idx="17">
                  <c:v>0.36303105764137994</c:v>
                </c:pt>
                <c:pt idx="18">
                  <c:v>0.36808177298075478</c:v>
                </c:pt>
                <c:pt idx="19">
                  <c:v>0.37337068078846036</c:v>
                </c:pt>
                <c:pt idx="20">
                  <c:v>0.3785011301535724</c:v>
                </c:pt>
                <c:pt idx="21">
                  <c:v>0.3809584420082533</c:v>
                </c:pt>
                <c:pt idx="22">
                  <c:v>0.38013288148894225</c:v>
                </c:pt>
                <c:pt idx="23">
                  <c:v>0.37957977179592961</c:v>
                </c:pt>
                <c:pt idx="24">
                  <c:v>0.37967610113491412</c:v>
                </c:pt>
                <c:pt idx="25">
                  <c:v>0.38007223488822078</c:v>
                </c:pt>
                <c:pt idx="26">
                  <c:v>0.38143371375107804</c:v>
                </c:pt>
                <c:pt idx="27">
                  <c:v>0.3832566389252276</c:v>
                </c:pt>
                <c:pt idx="28">
                  <c:v>0.38666528511436832</c:v>
                </c:pt>
                <c:pt idx="29">
                  <c:v>0.39159123749561497</c:v>
                </c:pt>
                <c:pt idx="30">
                  <c:v>0.39884466140666064</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0.36034330192910802</c:v>
                </c:pt>
                <c:pt idx="1">
                  <c:v>0.36035794624300349</c:v>
                </c:pt>
                <c:pt idx="2">
                  <c:v>0.36035802072368178</c:v>
                </c:pt>
                <c:pt idx="3">
                  <c:v>0.36035808428868132</c:v>
                </c:pt>
                <c:pt idx="4">
                  <c:v>0.36035811261057327</c:v>
                </c:pt>
                <c:pt idx="5">
                  <c:v>0.36035812374678278</c:v>
                </c:pt>
                <c:pt idx="6">
                  <c:v>0.36035812576326737</c:v>
                </c:pt>
                <c:pt idx="7">
                  <c:v>0.36035813593677452</c:v>
                </c:pt>
                <c:pt idx="8">
                  <c:v>0.36035811760624514</c:v>
                </c:pt>
                <c:pt idx="9">
                  <c:v>0.36035812269299844</c:v>
                </c:pt>
                <c:pt idx="10">
                  <c:v>0.36035814304001162</c:v>
                </c:pt>
                <c:pt idx="11">
                  <c:v>0.36035822836991183</c:v>
                </c:pt>
                <c:pt idx="12">
                  <c:v>0.36035913464067154</c:v>
                </c:pt>
                <c:pt idx="13">
                  <c:v>0.36036820517082785</c:v>
                </c:pt>
                <c:pt idx="14">
                  <c:v>0.36045809300748322</c:v>
                </c:pt>
                <c:pt idx="15">
                  <c:v>0.36128752630445571</c:v>
                </c:pt>
                <c:pt idx="16">
                  <c:v>0.36549577902897135</c:v>
                </c:pt>
                <c:pt idx="17">
                  <c:v>0.37053284467454167</c:v>
                </c:pt>
                <c:pt idx="18">
                  <c:v>0.37560725877333956</c:v>
                </c:pt>
                <c:pt idx="19">
                  <c:v>0.378942421586901</c:v>
                </c:pt>
                <c:pt idx="20">
                  <c:v>0.37883927370483844</c:v>
                </c:pt>
                <c:pt idx="21">
                  <c:v>0.37802082434975703</c:v>
                </c:pt>
                <c:pt idx="22">
                  <c:v>0.37813806734105387</c:v>
                </c:pt>
                <c:pt idx="23">
                  <c:v>0.37869505680899296</c:v>
                </c:pt>
                <c:pt idx="24">
                  <c:v>0.37986015531125017</c:v>
                </c:pt>
                <c:pt idx="25">
                  <c:v>0.38162361900152603</c:v>
                </c:pt>
                <c:pt idx="26">
                  <c:v>0.38426244971585954</c:v>
                </c:pt>
                <c:pt idx="27">
                  <c:v>0.38851043724304701</c:v>
                </c:pt>
                <c:pt idx="28">
                  <c:v>0.39466206083438088</c:v>
                </c:pt>
                <c:pt idx="29">
                  <c:v>0.4042193572787377</c:v>
                </c:pt>
                <c:pt idx="30">
                  <c:v>0.41966918952985927</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0.36007959993361766</c:v>
                </c:pt>
                <c:pt idx="1">
                  <c:v>0.36009455957426084</c:v>
                </c:pt>
                <c:pt idx="2">
                  <c:v>0.36009465848176681</c:v>
                </c:pt>
                <c:pt idx="3">
                  <c:v>0.36009471716051339</c:v>
                </c:pt>
                <c:pt idx="4">
                  <c:v>0.36009474551214277</c:v>
                </c:pt>
                <c:pt idx="5">
                  <c:v>0.36009475665284973</c:v>
                </c:pt>
                <c:pt idx="6">
                  <c:v>0.36009475867624846</c:v>
                </c:pt>
                <c:pt idx="7">
                  <c:v>0.36009476881726538</c:v>
                </c:pt>
                <c:pt idx="8">
                  <c:v>0.36009477084066338</c:v>
                </c:pt>
                <c:pt idx="9">
                  <c:v>0.36009486410915376</c:v>
                </c:pt>
                <c:pt idx="10">
                  <c:v>0.36009570449829092</c:v>
                </c:pt>
                <c:pt idx="11">
                  <c:v>0.36010412635753059</c:v>
                </c:pt>
                <c:pt idx="12">
                  <c:v>0.36018776081587062</c:v>
                </c:pt>
                <c:pt idx="13">
                  <c:v>0.36096327323430338</c:v>
                </c:pt>
                <c:pt idx="14">
                  <c:v>0.36504682055873694</c:v>
                </c:pt>
                <c:pt idx="15">
                  <c:v>0.37010785358354592</c:v>
                </c:pt>
                <c:pt idx="16">
                  <c:v>0.37582354135732149</c:v>
                </c:pt>
                <c:pt idx="17">
                  <c:v>0.3822597308778426</c:v>
                </c:pt>
                <c:pt idx="18">
                  <c:v>0.38615340361220812</c:v>
                </c:pt>
                <c:pt idx="19">
                  <c:v>0.38663081927070042</c:v>
                </c:pt>
                <c:pt idx="20">
                  <c:v>0.38556651515378187</c:v>
                </c:pt>
                <c:pt idx="21">
                  <c:v>0.38438805099394219</c:v>
                </c:pt>
                <c:pt idx="22">
                  <c:v>0.38410195379942486</c:v>
                </c:pt>
                <c:pt idx="23">
                  <c:v>0.38495742886912027</c:v>
                </c:pt>
                <c:pt idx="24">
                  <c:v>0.38717310045239967</c:v>
                </c:pt>
                <c:pt idx="25">
                  <c:v>0.39139655377079169</c:v>
                </c:pt>
                <c:pt idx="26">
                  <c:v>0.39742728952438633</c:v>
                </c:pt>
                <c:pt idx="27">
                  <c:v>0.40676609759606197</c:v>
                </c:pt>
                <c:pt idx="28">
                  <c:v>0.42195974426244331</c:v>
                </c:pt>
                <c:pt idx="29">
                  <c:v>0.44008362411093732</c:v>
                </c:pt>
                <c:pt idx="30">
                  <c:v>0.45697800093866831</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0.35981245441786447</c:v>
                </c:pt>
                <c:pt idx="1">
                  <c:v>0.35982775903286135</c:v>
                </c:pt>
                <c:pt idx="2">
                  <c:v>0.35982785389671706</c:v>
                </c:pt>
                <c:pt idx="3">
                  <c:v>0.35982791277388299</c:v>
                </c:pt>
                <c:pt idx="4">
                  <c:v>0.35982794115380251</c:v>
                </c:pt>
                <c:pt idx="5">
                  <c:v>0.3598279674599853</c:v>
                </c:pt>
                <c:pt idx="6">
                  <c:v>0.35982804231801491</c:v>
                </c:pt>
                <c:pt idx="7">
                  <c:v>0.3598287927957996</c:v>
                </c:pt>
                <c:pt idx="8">
                  <c:v>0.35983629328050659</c:v>
                </c:pt>
                <c:pt idx="9">
                  <c:v>0.35991086948130546</c:v>
                </c:pt>
                <c:pt idx="10">
                  <c:v>0.36060759081103017</c:v>
                </c:pt>
                <c:pt idx="11">
                  <c:v>0.36448830450349007</c:v>
                </c:pt>
                <c:pt idx="12">
                  <c:v>0.36949596178055943</c:v>
                </c:pt>
                <c:pt idx="13">
                  <c:v>0.37518023115112409</c:v>
                </c:pt>
                <c:pt idx="14">
                  <c:v>0.38217742453001313</c:v>
                </c:pt>
                <c:pt idx="15">
                  <c:v>0.38988561025902041</c:v>
                </c:pt>
                <c:pt idx="16">
                  <c:v>0.3987869017344845</c:v>
                </c:pt>
                <c:pt idx="17">
                  <c:v>0.40657534762972719</c:v>
                </c:pt>
                <c:pt idx="18">
                  <c:v>0.40761974612266944</c:v>
                </c:pt>
                <c:pt idx="19">
                  <c:v>0.40395769813812726</c:v>
                </c:pt>
                <c:pt idx="20">
                  <c:v>0.40049611149866071</c:v>
                </c:pt>
                <c:pt idx="21">
                  <c:v>0.39952771666618203</c:v>
                </c:pt>
                <c:pt idx="22">
                  <c:v>0.40249532381574127</c:v>
                </c:pt>
                <c:pt idx="23">
                  <c:v>0.40835872198177181</c:v>
                </c:pt>
                <c:pt idx="24">
                  <c:v>0.41756908741558713</c:v>
                </c:pt>
                <c:pt idx="25">
                  <c:v>0.43228462532847456</c:v>
                </c:pt>
                <c:pt idx="26">
                  <c:v>0.44944640832174404</c:v>
                </c:pt>
                <c:pt idx="27">
                  <c:v>0.46486088631074041</c:v>
                </c:pt>
                <c:pt idx="28">
                  <c:v>0.47751130507142042</c:v>
                </c:pt>
                <c:pt idx="29">
                  <c:v>0.48303823899388809</c:v>
                </c:pt>
                <c:pt idx="30">
                  <c:v>0.48298510604595052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0.35948725403130255</c:v>
                </c:pt>
                <c:pt idx="1">
                  <c:v>0.35950314980870418</c:v>
                </c:pt>
                <c:pt idx="2">
                  <c:v>0.35950523876912627</c:v>
                </c:pt>
                <c:pt idx="3">
                  <c:v>0.35952503372311995</c:v>
                </c:pt>
                <c:pt idx="4">
                  <c:v>0.35971877859745266</c:v>
                </c:pt>
                <c:pt idx="5">
                  <c:v>0.36134311585472129</c:v>
                </c:pt>
                <c:pt idx="6">
                  <c:v>0.3661764362691331</c:v>
                </c:pt>
                <c:pt idx="7">
                  <c:v>0.37137588933926702</c:v>
                </c:pt>
                <c:pt idx="8">
                  <c:v>0.37754390267552423</c:v>
                </c:pt>
                <c:pt idx="9">
                  <c:v>0.38508679341874646</c:v>
                </c:pt>
                <c:pt idx="10">
                  <c:v>0.39316898307631853</c:v>
                </c:pt>
                <c:pt idx="11">
                  <c:v>0.40389726276124766</c:v>
                </c:pt>
                <c:pt idx="12">
                  <c:v>0.4165064126240301</c:v>
                </c:pt>
                <c:pt idx="13">
                  <c:v>0.42985855321235655</c:v>
                </c:pt>
                <c:pt idx="14">
                  <c:v>0.44536092035938063</c:v>
                </c:pt>
                <c:pt idx="15">
                  <c:v>0.4624481234972439</c:v>
                </c:pt>
                <c:pt idx="16">
                  <c:v>0.48039075532798176</c:v>
                </c:pt>
                <c:pt idx="17">
                  <c:v>0.49119802487754749</c:v>
                </c:pt>
                <c:pt idx="18">
                  <c:v>0.49746286479478913</c:v>
                </c:pt>
                <c:pt idx="19">
                  <c:v>0.50999228355385806</c:v>
                </c:pt>
                <c:pt idx="20">
                  <c:v>0.53011916843146323</c:v>
                </c:pt>
                <c:pt idx="21">
                  <c:v>0.54383764281084046</c:v>
                </c:pt>
                <c:pt idx="22">
                  <c:v>0.54526102632459827</c:v>
                </c:pt>
                <c:pt idx="23">
                  <c:v>0.53824100953015952</c:v>
                </c:pt>
                <c:pt idx="24">
                  <c:v>0.51997413922012958</c:v>
                </c:pt>
                <c:pt idx="25">
                  <c:v>0.50447018658769671</c:v>
                </c:pt>
                <c:pt idx="26">
                  <c:v>0.49557765281295169</c:v>
                </c:pt>
                <c:pt idx="27">
                  <c:v>0.49303610302077072</c:v>
                </c:pt>
                <c:pt idx="28">
                  <c:v>0.48418241807530432</c:v>
                </c:pt>
                <c:pt idx="29">
                  <c:v>0.48406377463273303</c:v>
                </c:pt>
                <c:pt idx="30">
                  <c:v>0.48134369853869274</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0.37888694126783645</c:v>
                </c:pt>
                <c:pt idx="1">
                  <c:v>0.38862667797254569</c:v>
                </c:pt>
                <c:pt idx="2">
                  <c:v>0.39830491134469787</c:v>
                </c:pt>
                <c:pt idx="3">
                  <c:v>0.41011716696403283</c:v>
                </c:pt>
                <c:pt idx="4">
                  <c:v>0.42303450549092125</c:v>
                </c:pt>
                <c:pt idx="5">
                  <c:v>0.4374204494871497</c:v>
                </c:pt>
                <c:pt idx="6">
                  <c:v>0.45425193995295127</c:v>
                </c:pt>
                <c:pt idx="7">
                  <c:v>0.47583559749142595</c:v>
                </c:pt>
                <c:pt idx="8">
                  <c:v>0.50802672786244374</c:v>
                </c:pt>
                <c:pt idx="9">
                  <c:v>0.55481705569880313</c:v>
                </c:pt>
                <c:pt idx="10">
                  <c:v>0.62311995765159445</c:v>
                </c:pt>
                <c:pt idx="11">
                  <c:v>0.72024714166073811</c:v>
                </c:pt>
                <c:pt idx="12">
                  <c:v>0.81944840572156641</c:v>
                </c:pt>
                <c:pt idx="13">
                  <c:v>0.89472311936608828</c:v>
                </c:pt>
                <c:pt idx="14">
                  <c:v>0.94335710117558313</c:v>
                </c:pt>
                <c:pt idx="15">
                  <c:v>0.9583911757902861</c:v>
                </c:pt>
                <c:pt idx="16">
                  <c:v>0.94640564294677398</c:v>
                </c:pt>
                <c:pt idx="17">
                  <c:v>0.91293941123073641</c:v>
                </c:pt>
                <c:pt idx="18">
                  <c:v>0.83455311397634313</c:v>
                </c:pt>
                <c:pt idx="19">
                  <c:v>0.7285927639183728</c:v>
                </c:pt>
                <c:pt idx="20">
                  <c:v>0.63917667185650529</c:v>
                </c:pt>
                <c:pt idx="21">
                  <c:v>0.57790711532695727</c:v>
                </c:pt>
                <c:pt idx="22">
                  <c:v>0.5386129069935689</c:v>
                </c:pt>
                <c:pt idx="23">
                  <c:v>0.51397926906476299</c:v>
                </c:pt>
                <c:pt idx="24">
                  <c:v>0.49843173405458169</c:v>
                </c:pt>
                <c:pt idx="25">
                  <c:v>0.48913303891579824</c:v>
                </c:pt>
                <c:pt idx="26">
                  <c:v>0.48750283692417007</c:v>
                </c:pt>
                <c:pt idx="27">
                  <c:v>0.48236867575488179</c:v>
                </c:pt>
                <c:pt idx="28">
                  <c:v>0.48229778836404746</c:v>
                </c:pt>
                <c:pt idx="29">
                  <c:v>0.48082397264822718</c:v>
                </c:pt>
                <c:pt idx="30">
                  <c:v>0.48078199302055891</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0.39233060069735937</c:v>
                </c:pt>
                <c:pt idx="1">
                  <c:v>0.40597346665282347</c:v>
                </c:pt>
                <c:pt idx="2">
                  <c:v>0.41898636417726026</c:v>
                </c:pt>
                <c:pt idx="3">
                  <c:v>0.43281088922423544</c:v>
                </c:pt>
                <c:pt idx="4">
                  <c:v>0.44912640347830879</c:v>
                </c:pt>
                <c:pt idx="5">
                  <c:v>0.4689348191146136</c:v>
                </c:pt>
                <c:pt idx="6">
                  <c:v>0.49856189126823414</c:v>
                </c:pt>
                <c:pt idx="7">
                  <c:v>0.54171656342369212</c:v>
                </c:pt>
                <c:pt idx="8">
                  <c:v>0.60421243665876778</c:v>
                </c:pt>
                <c:pt idx="9">
                  <c:v>0.69534610015651555</c:v>
                </c:pt>
                <c:pt idx="10">
                  <c:v>0.79570910128696104</c:v>
                </c:pt>
                <c:pt idx="11">
                  <c:v>0.87793610555921553</c:v>
                </c:pt>
                <c:pt idx="12">
                  <c:v>0.93476335373171815</c:v>
                </c:pt>
                <c:pt idx="13">
                  <c:v>0.96331157781143395</c:v>
                </c:pt>
                <c:pt idx="14">
                  <c:v>0.96903444381540293</c:v>
                </c:pt>
                <c:pt idx="15">
                  <c:v>0.96155254796303102</c:v>
                </c:pt>
                <c:pt idx="16">
                  <c:v>0.93407994864152366</c:v>
                </c:pt>
                <c:pt idx="17">
                  <c:v>0.87443271250747268</c:v>
                </c:pt>
                <c:pt idx="18">
                  <c:v>0.77355324032895589</c:v>
                </c:pt>
                <c:pt idx="19">
                  <c:v>0.67354571620762527</c:v>
                </c:pt>
                <c:pt idx="20">
                  <c:v>0.60064505880193675</c:v>
                </c:pt>
                <c:pt idx="21">
                  <c:v>0.55305926947281125</c:v>
                </c:pt>
                <c:pt idx="22">
                  <c:v>0.52310775136194199</c:v>
                </c:pt>
                <c:pt idx="23">
                  <c:v>0.50409092526538513</c:v>
                </c:pt>
                <c:pt idx="24">
                  <c:v>0.49241029046196377</c:v>
                </c:pt>
                <c:pt idx="25">
                  <c:v>0.49046885047095923</c:v>
                </c:pt>
                <c:pt idx="26">
                  <c:v>0.48793238130258682</c:v>
                </c:pt>
                <c:pt idx="27">
                  <c:v>0.48125251610496006</c:v>
                </c:pt>
                <c:pt idx="28">
                  <c:v>0.48117498593786245</c:v>
                </c:pt>
                <c:pt idx="29">
                  <c:v>0.48001299983791446</c:v>
                </c:pt>
                <c:pt idx="30">
                  <c:v>0.4800012776744671</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48166192"/>
        <c:axId val="44816658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81661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8166584"/>
        <c:crosses val="autoZero"/>
        <c:crossBetween val="midCat"/>
        <c:majorUnit val="10000"/>
      </c:valAx>
      <c:valAx>
        <c:axId val="448166584"/>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8166192"/>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6543.7252261807771</c:v>
                </c:pt>
                <c:pt idx="1">
                  <c:v>6543.7799387981568</c:v>
                </c:pt>
                <c:pt idx="2">
                  <c:v>6543.7462938558028</c:v>
                </c:pt>
                <c:pt idx="3">
                  <c:v>6543.7363350192272</c:v>
                </c:pt>
                <c:pt idx="4">
                  <c:v>6543.7332030080934</c:v>
                </c:pt>
                <c:pt idx="5">
                  <c:v>6543.7321508487757</c:v>
                </c:pt>
                <c:pt idx="6">
                  <c:v>6543.7318082853499</c:v>
                </c:pt>
                <c:pt idx="7">
                  <c:v>6543.7317593477201</c:v>
                </c:pt>
                <c:pt idx="8">
                  <c:v>6543.7315146595847</c:v>
                </c:pt>
                <c:pt idx="9">
                  <c:v>6543.731490190773</c:v>
                </c:pt>
                <c:pt idx="10">
                  <c:v>6543.7313923155243</c:v>
                </c:pt>
                <c:pt idx="11">
                  <c:v>6543.7286518097571</c:v>
                </c:pt>
                <c:pt idx="12">
                  <c:v>6543.7023234963144</c:v>
                </c:pt>
                <c:pt idx="13">
                  <c:v>6543.4393456132884</c:v>
                </c:pt>
                <c:pt idx="14">
                  <c:v>6540.8297975507394</c:v>
                </c:pt>
                <c:pt idx="15">
                  <c:v>6516.7915822655277</c:v>
                </c:pt>
                <c:pt idx="16">
                  <c:v>6390.814079024768</c:v>
                </c:pt>
                <c:pt idx="17">
                  <c:v>6240.1474757230608</c:v>
                </c:pt>
                <c:pt idx="18">
                  <c:v>6044.4265071962272</c:v>
                </c:pt>
                <c:pt idx="19">
                  <c:v>5697.9764219559002</c:v>
                </c:pt>
                <c:pt idx="20">
                  <c:v>5222.1642197271249</c:v>
                </c:pt>
                <c:pt idx="21">
                  <c:v>4741.2273341563377</c:v>
                </c:pt>
                <c:pt idx="22">
                  <c:v>4311.1706397553053</c:v>
                </c:pt>
                <c:pt idx="23">
                  <c:v>3952.2593271118144</c:v>
                </c:pt>
                <c:pt idx="24">
                  <c:v>3639.2172363975619</c:v>
                </c:pt>
                <c:pt idx="25">
                  <c:v>3344.7021990881808</c:v>
                </c:pt>
                <c:pt idx="26">
                  <c:v>3034.0126163953428</c:v>
                </c:pt>
                <c:pt idx="27">
                  <c:v>2653.5608861364908</c:v>
                </c:pt>
                <c:pt idx="28">
                  <c:v>2203.3378680125074</c:v>
                </c:pt>
                <c:pt idx="29">
                  <c:v>1683.4592204898881</c:v>
                </c:pt>
                <c:pt idx="30">
                  <c:v>1118.1414735463829</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6524.0904126194901</c:v>
                </c:pt>
                <c:pt idx="1">
                  <c:v>6524.1443595856636</c:v>
                </c:pt>
                <c:pt idx="2">
                  <c:v>6524.1111351538066</c:v>
                </c:pt>
                <c:pt idx="3">
                  <c:v>6524.1012603146964</c:v>
                </c:pt>
                <c:pt idx="4">
                  <c:v>6524.0981470711258</c:v>
                </c:pt>
                <c:pt idx="5">
                  <c:v>6524.0971012165301</c:v>
                </c:pt>
                <c:pt idx="6">
                  <c:v>6524.0967607058046</c:v>
                </c:pt>
                <c:pt idx="7">
                  <c:v>6524.0967120614177</c:v>
                </c:pt>
                <c:pt idx="8">
                  <c:v>6524.0963715507314</c:v>
                </c:pt>
                <c:pt idx="9">
                  <c:v>6524.0939393325853</c:v>
                </c:pt>
                <c:pt idx="10">
                  <c:v>6524.06939835293</c:v>
                </c:pt>
                <c:pt idx="11">
                  <c:v>6523.8242419120506</c:v>
                </c:pt>
                <c:pt idx="12">
                  <c:v>6521.3925487999713</c:v>
                </c:pt>
                <c:pt idx="13">
                  <c:v>6498.8766153292054</c:v>
                </c:pt>
                <c:pt idx="14">
                  <c:v>6376.7108933957061</c:v>
                </c:pt>
                <c:pt idx="15">
                  <c:v>6230.3639399807598</c:v>
                </c:pt>
                <c:pt idx="16">
                  <c:v>6066.3152248046426</c:v>
                </c:pt>
                <c:pt idx="17">
                  <c:v>5850.8000974148181</c:v>
                </c:pt>
                <c:pt idx="18">
                  <c:v>5524.1383776461034</c:v>
                </c:pt>
                <c:pt idx="19">
                  <c:v>5037.8540321693981</c:v>
                </c:pt>
                <c:pt idx="20">
                  <c:v>4531.1485912762591</c:v>
                </c:pt>
                <c:pt idx="21">
                  <c:v>4100.3073895013431</c:v>
                </c:pt>
                <c:pt idx="22">
                  <c:v>3736.9018653482362</c:v>
                </c:pt>
                <c:pt idx="23">
                  <c:v>3408.8002756648089</c:v>
                </c:pt>
                <c:pt idx="24">
                  <c:v>3078.2308446927527</c:v>
                </c:pt>
                <c:pt idx="25">
                  <c:v>2685.2498641877337</c:v>
                </c:pt>
                <c:pt idx="26">
                  <c:v>2228.0957655931211</c:v>
                </c:pt>
                <c:pt idx="27">
                  <c:v>1704.9584752004923</c:v>
                </c:pt>
                <c:pt idx="28">
                  <c:v>1135.4901421385146</c:v>
                </c:pt>
                <c:pt idx="29">
                  <c:v>680.51042901870051</c:v>
                </c:pt>
                <c:pt idx="30">
                  <c:v>389.33964903055204</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6503.9509699618966</c:v>
                </c:pt>
                <c:pt idx="1">
                  <c:v>6504.0043184804708</c:v>
                </c:pt>
                <c:pt idx="2">
                  <c:v>6503.9713230315656</c:v>
                </c:pt>
                <c:pt idx="3">
                  <c:v>6503.9615090652051</c:v>
                </c:pt>
                <c:pt idx="4">
                  <c:v>6503.9584150129849</c:v>
                </c:pt>
                <c:pt idx="5">
                  <c:v>6503.9573030886877</c:v>
                </c:pt>
                <c:pt idx="6">
                  <c:v>6503.9546441408229</c:v>
                </c:pt>
                <c:pt idx="7">
                  <c:v>6503.932647473689</c:v>
                </c:pt>
                <c:pt idx="8">
                  <c:v>6503.7133657579243</c:v>
                </c:pt>
                <c:pt idx="9">
                  <c:v>6501.5374241274303</c:v>
                </c:pt>
                <c:pt idx="10">
                  <c:v>6481.233154233405</c:v>
                </c:pt>
                <c:pt idx="11">
                  <c:v>6364.7007036045688</c:v>
                </c:pt>
                <c:pt idx="12">
                  <c:v>6219.55344224686</c:v>
                </c:pt>
                <c:pt idx="13">
                  <c:v>6059.9785511387736</c:v>
                </c:pt>
                <c:pt idx="14">
                  <c:v>5870.6317266704709</c:v>
                </c:pt>
                <c:pt idx="15">
                  <c:v>5669.1325406322439</c:v>
                </c:pt>
                <c:pt idx="16">
                  <c:v>5423.4324257349326</c:v>
                </c:pt>
                <c:pt idx="17">
                  <c:v>5064.9009314494624</c:v>
                </c:pt>
                <c:pt idx="18">
                  <c:v>4580.1850776889687</c:v>
                </c:pt>
                <c:pt idx="19">
                  <c:v>4085.8663253030418</c:v>
                </c:pt>
                <c:pt idx="20">
                  <c:v>3641.7022773125063</c:v>
                </c:pt>
                <c:pt idx="21">
                  <c:v>3231.6591203117327</c:v>
                </c:pt>
                <c:pt idx="22">
                  <c:v>2785.7203085552951</c:v>
                </c:pt>
                <c:pt idx="23">
                  <c:v>2295.1533050928924</c:v>
                </c:pt>
                <c:pt idx="24">
                  <c:v>1754.5150163075152</c:v>
                </c:pt>
                <c:pt idx="25">
                  <c:v>1171.8757952014325</c:v>
                </c:pt>
                <c:pt idx="26">
                  <c:v>704.46209389908893</c:v>
                </c:pt>
                <c:pt idx="27">
                  <c:v>403.25761176970258</c:v>
                </c:pt>
                <c:pt idx="28">
                  <c:v>227.19076746573165</c:v>
                </c:pt>
                <c:pt idx="29">
                  <c:v>157.01371189082064</c:v>
                </c:pt>
                <c:pt idx="30">
                  <c:v>136.97082983111966</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6479.0859474371819</c:v>
                </c:pt>
                <c:pt idx="1">
                  <c:v>6479.1324839978006</c:v>
                </c:pt>
                <c:pt idx="2">
                  <c:v>6479.041978197979</c:v>
                </c:pt>
                <c:pt idx="3">
                  <c:v>6478.4539559822069</c:v>
                </c:pt>
                <c:pt idx="4">
                  <c:v>6472.7726535549082</c:v>
                </c:pt>
                <c:pt idx="5">
                  <c:v>6425.3224026678754</c:v>
                </c:pt>
                <c:pt idx="6">
                  <c:v>6280.1372572444334</c:v>
                </c:pt>
                <c:pt idx="7">
                  <c:v>6130.7451181848783</c:v>
                </c:pt>
                <c:pt idx="8">
                  <c:v>5959.459898848826</c:v>
                </c:pt>
                <c:pt idx="9">
                  <c:v>5758.6320512376351</c:v>
                </c:pt>
                <c:pt idx="10">
                  <c:v>5553.7107715147085</c:v>
                </c:pt>
                <c:pt idx="11">
                  <c:v>5296.2160470219478</c:v>
                </c:pt>
                <c:pt idx="12">
                  <c:v>5014.3504980568096</c:v>
                </c:pt>
                <c:pt idx="13">
                  <c:v>4737.7084148388376</c:v>
                </c:pt>
                <c:pt idx="14">
                  <c:v>4438.626264954587</c:v>
                </c:pt>
                <c:pt idx="15">
                  <c:v>4115.3629839514006</c:v>
                </c:pt>
                <c:pt idx="16">
                  <c:v>3662.5886079597385</c:v>
                </c:pt>
                <c:pt idx="17">
                  <c:v>3039.7716426269371</c:v>
                </c:pt>
                <c:pt idx="18">
                  <c:v>2356.5178874385392</c:v>
                </c:pt>
                <c:pt idx="19">
                  <c:v>1664.6092730189016</c:v>
                </c:pt>
                <c:pt idx="20">
                  <c:v>1039.9214556238178</c:v>
                </c:pt>
                <c:pt idx="21">
                  <c:v>595.89522173414423</c:v>
                </c:pt>
                <c:pt idx="22">
                  <c:v>331.71701217899948</c:v>
                </c:pt>
                <c:pt idx="23">
                  <c:v>192.72704730170403</c:v>
                </c:pt>
                <c:pt idx="24">
                  <c:v>148.89299884614732</c:v>
                </c:pt>
                <c:pt idx="25">
                  <c:v>134.12130031566326</c:v>
                </c:pt>
                <c:pt idx="26">
                  <c:v>124.90206072555479</c:v>
                </c:pt>
                <c:pt idx="27">
                  <c:v>124.64007063602084</c:v>
                </c:pt>
                <c:pt idx="28">
                  <c:v>123.89500698166064</c:v>
                </c:pt>
                <c:pt idx="29">
                  <c:v>123.88320178471095</c:v>
                </c:pt>
                <c:pt idx="30">
                  <c:v>123.47472292148701</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5863.6829549380891</c:v>
                </c:pt>
                <c:pt idx="1">
                  <c:v>5609.1927579282792</c:v>
                </c:pt>
                <c:pt idx="2">
                  <c:v>5370.7345311781783</c:v>
                </c:pt>
                <c:pt idx="3">
                  <c:v>5097.9534912421213</c:v>
                </c:pt>
                <c:pt idx="4">
                  <c:v>4821.046341164677</c:v>
                </c:pt>
                <c:pt idx="5">
                  <c:v>4535.3452020984814</c:v>
                </c:pt>
                <c:pt idx="6">
                  <c:v>4228.4929725950406</c:v>
                </c:pt>
                <c:pt idx="7">
                  <c:v>3871.0057883923755</c:v>
                </c:pt>
                <c:pt idx="8">
                  <c:v>3401.7561264704505</c:v>
                </c:pt>
                <c:pt idx="9">
                  <c:v>2827.0529060658037</c:v>
                </c:pt>
                <c:pt idx="10">
                  <c:v>2150.7951483518323</c:v>
                </c:pt>
                <c:pt idx="11">
                  <c:v>1410.5199057082755</c:v>
                </c:pt>
                <c:pt idx="12">
                  <c:v>826.67973456797017</c:v>
                </c:pt>
                <c:pt idx="13">
                  <c:v>463.10914863390207</c:v>
                </c:pt>
                <c:pt idx="14">
                  <c:v>257.27368574751409</c:v>
                </c:pt>
                <c:pt idx="15">
                  <c:v>179.98076982609024</c:v>
                </c:pt>
                <c:pt idx="16">
                  <c:v>157.55849658546879</c:v>
                </c:pt>
                <c:pt idx="17">
                  <c:v>143.13037816485394</c:v>
                </c:pt>
                <c:pt idx="18">
                  <c:v>139.03929298884987</c:v>
                </c:pt>
                <c:pt idx="19">
                  <c:v>135.60631839895524</c:v>
                </c:pt>
                <c:pt idx="20">
                  <c:v>132.22937471479068</c:v>
                </c:pt>
                <c:pt idx="21">
                  <c:v>129.58780540541244</c:v>
                </c:pt>
                <c:pt idx="22">
                  <c:v>127.7135675720335</c:v>
                </c:pt>
                <c:pt idx="23">
                  <c:v>126.4367312836393</c:v>
                </c:pt>
                <c:pt idx="24">
                  <c:v>125.52960401951817</c:v>
                </c:pt>
                <c:pt idx="25">
                  <c:v>124.83927834622055</c:v>
                </c:pt>
                <c:pt idx="26">
                  <c:v>124.70417941781746</c:v>
                </c:pt>
                <c:pt idx="27">
                  <c:v>123.9260383626436</c:v>
                </c:pt>
                <c:pt idx="28">
                  <c:v>123.91358498832378</c:v>
                </c:pt>
                <c:pt idx="29">
                  <c:v>123.65466987195585</c:v>
                </c:pt>
                <c:pt idx="30">
                  <c:v>123.64094316844046</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5469.0375175567433</c:v>
                </c:pt>
                <c:pt idx="1">
                  <c:v>5144.4254375399241</c:v>
                </c:pt>
                <c:pt idx="2">
                  <c:v>4859.4796757955091</c:v>
                </c:pt>
                <c:pt idx="3">
                  <c:v>4579.0872874253573</c:v>
                </c:pt>
                <c:pt idx="4">
                  <c:v>4274.6287252900811</c:v>
                </c:pt>
                <c:pt idx="5">
                  <c:v>3938.1560081824523</c:v>
                </c:pt>
                <c:pt idx="6">
                  <c:v>3491.5925245283374</c:v>
                </c:pt>
                <c:pt idx="7">
                  <c:v>2939.5473684961994</c:v>
                </c:pt>
                <c:pt idx="8">
                  <c:v>2290.3210430692648</c:v>
                </c:pt>
                <c:pt idx="9">
                  <c:v>1556.8723374202477</c:v>
                </c:pt>
                <c:pt idx="10">
                  <c:v>939.61789874376836</c:v>
                </c:pt>
                <c:pt idx="11">
                  <c:v>532.22470015904992</c:v>
                </c:pt>
                <c:pt idx="12">
                  <c:v>294.61415856723238</c:v>
                </c:pt>
                <c:pt idx="13">
                  <c:v>191.85627557437303</c:v>
                </c:pt>
                <c:pt idx="14">
                  <c:v>162.27843823453597</c:v>
                </c:pt>
                <c:pt idx="15">
                  <c:v>147.30961753431595</c:v>
                </c:pt>
                <c:pt idx="16">
                  <c:v>142.06591803394016</c:v>
                </c:pt>
                <c:pt idx="17">
                  <c:v>140.2404472955443</c:v>
                </c:pt>
                <c:pt idx="18">
                  <c:v>137.13168564571805</c:v>
                </c:pt>
                <c:pt idx="19">
                  <c:v>133.5914564553571</c:v>
                </c:pt>
                <c:pt idx="20">
                  <c:v>130.60597118111332</c:v>
                </c:pt>
                <c:pt idx="21">
                  <c:v>128.42317853149575</c:v>
                </c:pt>
                <c:pt idx="22">
                  <c:v>126.92571513683149</c:v>
                </c:pt>
                <c:pt idx="23">
                  <c:v>125.87891264299097</c:v>
                </c:pt>
                <c:pt idx="24">
                  <c:v>125.11103067782525</c:v>
                </c:pt>
                <c:pt idx="25">
                  <c:v>124.96985459314666</c:v>
                </c:pt>
                <c:pt idx="26">
                  <c:v>124.77108605330615</c:v>
                </c:pt>
                <c:pt idx="27">
                  <c:v>123.93614365125383</c:v>
                </c:pt>
                <c:pt idx="28">
                  <c:v>123.92285545904397</c:v>
                </c:pt>
                <c:pt idx="29">
                  <c:v>123.48008539289999</c:v>
                </c:pt>
                <c:pt idx="30">
                  <c:v>123.46865182434244</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48167760"/>
        <c:axId val="44816815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816776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168152"/>
        <c:crosses val="autoZero"/>
        <c:crossBetween val="midCat"/>
        <c:majorUnit val="10000"/>
      </c:valAx>
      <c:valAx>
        <c:axId val="448168152"/>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167760"/>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5.1071185815089741E-5</c:v>
                </c:pt>
                <c:pt idx="1">
                  <c:v>4.271965328854723E-5</c:v>
                </c:pt>
                <c:pt idx="2">
                  <c:v>4.5009645939557256E-5</c:v>
                </c:pt>
                <c:pt idx="3">
                  <c:v>1.9659871138950763E-5</c:v>
                </c:pt>
                <c:pt idx="4">
                  <c:v>1.9997033951016209E-4</c:v>
                </c:pt>
                <c:pt idx="5">
                  <c:v>4.6191729350419021E-5</c:v>
                </c:pt>
                <c:pt idx="6">
                  <c:v>1.5185597926961573E-6</c:v>
                </c:pt>
                <c:pt idx="7">
                  <c:v>1.3027037083057906E-5</c:v>
                </c:pt>
                <c:pt idx="8">
                  <c:v>3.3091248699457132E-5</c:v>
                </c:pt>
                <c:pt idx="9">
                  <c:v>7.0432119141573742E-5</c:v>
                </c:pt>
                <c:pt idx="10">
                  <c:v>1.2485777564179233E-4</c:v>
                </c:pt>
                <c:pt idx="11">
                  <c:v>1.8649296410464593E-4</c:v>
                </c:pt>
                <c:pt idx="12">
                  <c:v>2.4035646000521486E-4</c:v>
                </c:pt>
                <c:pt idx="13">
                  <c:v>2.6811375409916202E-4</c:v>
                </c:pt>
                <c:pt idx="14">
                  <c:v>2.5792286588584903E-4</c:v>
                </c:pt>
                <c:pt idx="15">
                  <c:v>2.1426753734506558E-4</c:v>
                </c:pt>
                <c:pt idx="16">
                  <c:v>1.6124689419937319E-4</c:v>
                </c:pt>
                <c:pt idx="17">
                  <c:v>1.1345313194418424E-4</c:v>
                </c:pt>
                <c:pt idx="18">
                  <c:v>7.143845060372335E-5</c:v>
                </c:pt>
                <c:pt idx="19">
                  <c:v>4.129944565274901E-5</c:v>
                </c:pt>
                <c:pt idx="20">
                  <c:v>2.80678747365865E-5</c:v>
                </c:pt>
                <c:pt idx="21">
                  <c:v>2.3642835185875416E-5</c:v>
                </c:pt>
                <c:pt idx="22">
                  <c:v>3.7536223519535076E-5</c:v>
                </c:pt>
                <c:pt idx="23">
                  <c:v>1.3491473496031239E-4</c:v>
                </c:pt>
                <c:pt idx="24">
                  <c:v>2.7495815111294942E-4</c:v>
                </c:pt>
                <c:pt idx="25">
                  <c:v>4.18943053522159E-4</c:v>
                </c:pt>
                <c:pt idx="26">
                  <c:v>6.9466892130081305E-4</c:v>
                </c:pt>
                <c:pt idx="27">
                  <c:v>1.112892946818384E-3</c:v>
                </c:pt>
                <c:pt idx="28">
                  <c:v>1.5325723952043496E-3</c:v>
                </c:pt>
                <c:pt idx="29">
                  <c:v>9.8014026996013433E-4</c:v>
                </c:pt>
                <c:pt idx="30">
                  <c:v>1.3788821514698507E-4</c:v>
                </c:pt>
              </c:numCache>
            </c:numRef>
          </c:yVal>
          <c:smooth val="1"/>
        </c:ser>
        <c:dLbls>
          <c:showLegendKey val="0"/>
          <c:showVal val="0"/>
          <c:showCatName val="0"/>
          <c:showSerName val="0"/>
          <c:showPercent val="0"/>
          <c:showBubbleSize val="0"/>
        </c:dLbls>
        <c:axId val="546085664"/>
        <c:axId val="546086056"/>
      </c:scatterChart>
      <c:valAx>
        <c:axId val="54608566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6086056"/>
        <c:crossesAt val="-1.5000000000000005E-3"/>
        <c:crossBetween val="midCat"/>
      </c:valAx>
      <c:valAx>
        <c:axId val="546086056"/>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6085664"/>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6479.0859474371819</c:v>
                </c:pt>
                <c:pt idx="1">
                  <c:v>6479.1324839978006</c:v>
                </c:pt>
                <c:pt idx="2">
                  <c:v>6479.041978197979</c:v>
                </c:pt>
                <c:pt idx="3">
                  <c:v>6478.4539559822069</c:v>
                </c:pt>
                <c:pt idx="4">
                  <c:v>6472.7726535549082</c:v>
                </c:pt>
                <c:pt idx="5">
                  <c:v>6425.3224026678754</c:v>
                </c:pt>
                <c:pt idx="6">
                  <c:v>6280.1372572444334</c:v>
                </c:pt>
                <c:pt idx="7">
                  <c:v>6130.7451181848783</c:v>
                </c:pt>
                <c:pt idx="8">
                  <c:v>5959.459898848826</c:v>
                </c:pt>
                <c:pt idx="9">
                  <c:v>5758.6320512376351</c:v>
                </c:pt>
                <c:pt idx="10">
                  <c:v>5553.7107715147085</c:v>
                </c:pt>
                <c:pt idx="11">
                  <c:v>5296.2160470219478</c:v>
                </c:pt>
                <c:pt idx="12">
                  <c:v>5014.3504980568096</c:v>
                </c:pt>
                <c:pt idx="13">
                  <c:v>4737.7084148388376</c:v>
                </c:pt>
                <c:pt idx="14">
                  <c:v>4438.626264954587</c:v>
                </c:pt>
                <c:pt idx="15">
                  <c:v>4115.3629839514006</c:v>
                </c:pt>
                <c:pt idx="16">
                  <c:v>3662.5886079597385</c:v>
                </c:pt>
                <c:pt idx="17">
                  <c:v>3039.7716426269371</c:v>
                </c:pt>
                <c:pt idx="18">
                  <c:v>2356.5178874385392</c:v>
                </c:pt>
                <c:pt idx="19">
                  <c:v>1664.6092730189016</c:v>
                </c:pt>
                <c:pt idx="20">
                  <c:v>1039.9214556238178</c:v>
                </c:pt>
                <c:pt idx="21">
                  <c:v>595.89522173414423</c:v>
                </c:pt>
                <c:pt idx="22">
                  <c:v>331.71701217899948</c:v>
                </c:pt>
                <c:pt idx="23">
                  <c:v>192.72704730170403</c:v>
                </c:pt>
                <c:pt idx="24">
                  <c:v>148.89299884614732</c:v>
                </c:pt>
                <c:pt idx="25">
                  <c:v>134.12130031566326</c:v>
                </c:pt>
                <c:pt idx="26">
                  <c:v>124.90206072555479</c:v>
                </c:pt>
                <c:pt idx="27">
                  <c:v>124.64007063602084</c:v>
                </c:pt>
                <c:pt idx="28">
                  <c:v>123.89500698166064</c:v>
                </c:pt>
                <c:pt idx="29">
                  <c:v>123.88320178471095</c:v>
                </c:pt>
                <c:pt idx="30">
                  <c:v>123.47472292148701</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6479.4168420395154</c:v>
                </c:pt>
                <c:pt idx="1">
                  <c:v>6479.4092702911275</c:v>
                </c:pt>
                <c:pt idx="2">
                  <c:v>6479.3335975834452</c:v>
                </c:pt>
                <c:pt idx="3">
                  <c:v>6478.5813215521612</c:v>
                </c:pt>
                <c:pt idx="4">
                  <c:v>6471.4782910098047</c:v>
                </c:pt>
                <c:pt idx="5">
                  <c:v>6425.6191994212886</c:v>
                </c:pt>
                <c:pt idx="6">
                  <c:v>6280.1277204805019</c:v>
                </c:pt>
                <c:pt idx="7">
                  <c:v>6130.6652527408769</c:v>
                </c:pt>
                <c:pt idx="8">
                  <c:v>5959.6571048184533</c:v>
                </c:pt>
                <c:pt idx="9">
                  <c:v>5758.2264585789098</c:v>
                </c:pt>
                <c:pt idx="10">
                  <c:v>5554.4041954881977</c:v>
                </c:pt>
                <c:pt idx="11">
                  <c:v>5295.2283399928001</c:v>
                </c:pt>
                <c:pt idx="12">
                  <c:v>5015.5557295917479</c:v>
                </c:pt>
                <c:pt idx="13">
                  <c:v>4736.438170049908</c:v>
                </c:pt>
                <c:pt idx="14">
                  <c:v>4439.7710881614403</c:v>
                </c:pt>
                <c:pt idx="15">
                  <c:v>4114.4811952595483</c:v>
                </c:pt>
                <c:pt idx="16">
                  <c:v>3663.179188997502</c:v>
                </c:pt>
                <c:pt idx="17">
                  <c:v>3039.426771013686</c:v>
                </c:pt>
                <c:pt idx="18">
                  <c:v>2356.6862334252378</c:v>
                </c:pt>
                <c:pt idx="19">
                  <c:v>1664.5405255786975</c:v>
                </c:pt>
                <c:pt idx="20">
                  <c:v>1039.9506440089701</c:v>
                </c:pt>
                <c:pt idx="21">
                  <c:v>595.88113308162872</c:v>
                </c:pt>
                <c:pt idx="22">
                  <c:v>331.72946358291387</c:v>
                </c:pt>
                <c:pt idx="23">
                  <c:v>192.70104558319764</c:v>
                </c:pt>
                <c:pt idx="24">
                  <c:v>148.93393818982372</c:v>
                </c:pt>
                <c:pt idx="25">
                  <c:v>134.06511112856666</c:v>
                </c:pt>
                <c:pt idx="26">
                  <c:v>124.98882630534726</c:v>
                </c:pt>
                <c:pt idx="27">
                  <c:v>124.50135958051906</c:v>
                </c:pt>
                <c:pt idx="28">
                  <c:v>124.08488504926439</c:v>
                </c:pt>
                <c:pt idx="29">
                  <c:v>123.76177886987016</c:v>
                </c:pt>
                <c:pt idx="30">
                  <c:v>123.49174863064643</c:v>
                </c:pt>
              </c:numCache>
            </c:numRef>
          </c:yVal>
          <c:smooth val="1"/>
        </c:ser>
        <c:dLbls>
          <c:showLegendKey val="0"/>
          <c:showVal val="0"/>
          <c:showCatName val="0"/>
          <c:showSerName val="0"/>
          <c:showPercent val="0"/>
          <c:showBubbleSize val="0"/>
        </c:dLbls>
        <c:axId val="551026736"/>
        <c:axId val="551023992"/>
      </c:scatterChart>
      <c:valAx>
        <c:axId val="55102673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1023992"/>
        <c:crosses val="autoZero"/>
        <c:crossBetween val="midCat"/>
      </c:valAx>
      <c:valAx>
        <c:axId val="5510239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1026736"/>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1.4409722230493105E-2</c:v>
                </c:pt>
                <c:pt idx="11">
                  <c:v>1.4409911871024635E-2</c:v>
                </c:pt>
                <c:pt idx="12">
                  <c:v>1.441213752860291E-2</c:v>
                </c:pt>
                <c:pt idx="13">
                  <c:v>1.4434052190515642E-2</c:v>
                </c:pt>
                <c:pt idx="14">
                  <c:v>1.4650499907694603E-2</c:v>
                </c:pt>
                <c:pt idx="15">
                  <c:v>1.657607006336629E-2</c:v>
                </c:pt>
                <c:pt idx="16">
                  <c:v>2.5980716556679277E-2</c:v>
                </c:pt>
                <c:pt idx="17">
                  <c:v>4.2508723005785828E-2</c:v>
                </c:pt>
                <c:pt idx="18">
                  <c:v>4.3440748028193116E-2</c:v>
                </c:pt>
                <c:pt idx="19">
                  <c:v>4.8224219960224447E-2</c:v>
                </c:pt>
                <c:pt idx="20">
                  <c:v>4.6056667051040855E-2</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2.978076919471146E-3</c:v>
                </c:pt>
                <c:pt idx="1">
                  <c:v>3.7802304617094492E-3</c:v>
                </c:pt>
                <c:pt idx="2">
                  <c:v>3.7751767700508333E-3</c:v>
                </c:pt>
                <c:pt idx="3">
                  <c:v>3.7736760572420875E-3</c:v>
                </c:pt>
                <c:pt idx="4">
                  <c:v>3.773227255034187E-3</c:v>
                </c:pt>
                <c:pt idx="5">
                  <c:v>3.7733081448815733E-3</c:v>
                </c:pt>
                <c:pt idx="6">
                  <c:v>3.7754126073039013E-3</c:v>
                </c:pt>
                <c:pt idx="7">
                  <c:v>3.7971287773985157E-3</c:v>
                </c:pt>
                <c:pt idx="8">
                  <c:v>4.0112414435571645E-3</c:v>
                </c:pt>
                <c:pt idx="9">
                  <c:v>5.8764333555929504E-3</c:v>
                </c:pt>
                <c:pt idx="10">
                  <c:v>1.381729119002444E-2</c:v>
                </c:pt>
                <c:pt idx="11">
                  <c:v>2.1458539927187281E-2</c:v>
                </c:pt>
                <c:pt idx="12">
                  <c:v>2.2803807763291026E-2</c:v>
                </c:pt>
                <c:pt idx="13">
                  <c:v>2.7522403281878809E-2</c:v>
                </c:pt>
                <c:pt idx="14">
                  <c:v>3.1803127105735095E-2</c:v>
                </c:pt>
                <c:pt idx="15">
                  <c:v>3.4446836906417047E-2</c:v>
                </c:pt>
                <c:pt idx="16">
                  <c:v>4.3622639946533696E-2</c:v>
                </c:pt>
                <c:pt idx="17">
                  <c:v>2.9479779793304517E-2</c:v>
                </c:pt>
                <c:pt idx="18">
                  <c:v>1.0278453360961561E-2</c:v>
                </c:pt>
                <c:pt idx="19">
                  <c:v>5.903097559818607E-2</c:v>
                </c:pt>
                <c:pt idx="20">
                  <c:v>9.2093713677105893E-2</c:v>
                </c:pt>
                <c:pt idx="21">
                  <c:v>6.7449589398672183E-2</c:v>
                </c:pt>
                <c:pt idx="22">
                  <c:v>7.3271618753043347E-3</c:v>
                </c:pt>
                <c:pt idx="23">
                  <c:v>7.5621376992167852E-2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1.2431521177078798E-4</c:v>
                </c:pt>
                <c:pt idx="11">
                  <c:v>1.8729087839062351E-4</c:v>
                </c:pt>
                <c:pt idx="12">
                  <c:v>2.3961613251441926E-4</c:v>
                </c:pt>
                <c:pt idx="13">
                  <c:v>2.6895333058227612E-4</c:v>
                </c:pt>
                <c:pt idx="14">
                  <c:v>2.5702848951360545E-4</c:v>
                </c:pt>
                <c:pt idx="15">
                  <c:v>2.153892005393379E-4</c:v>
                </c:pt>
                <c:pt idx="16">
                  <c:v>1.5927494367508067E-4</c:v>
                </c:pt>
                <c:pt idx="17">
                  <c:v>1.1604472320520627E-4</c:v>
                </c:pt>
                <c:pt idx="18">
                  <c:v>6.8056425920766131E-5</c:v>
                </c:pt>
                <c:pt idx="19">
                  <c:v>4.5761366278145629E-5</c:v>
                </c:pt>
                <c:pt idx="20">
                  <c:v>2.2500672151411567E-5</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1.8383874849721476E-3</c:v>
                </c:pt>
                <c:pt idx="11">
                  <c:v>2.4868149624111741E-2</c:v>
                </c:pt>
                <c:pt idx="12">
                  <c:v>3.4469878489232345E-2</c:v>
                </c:pt>
                <c:pt idx="13">
                  <c:v>9.287529397117214E-2</c:v>
                </c:pt>
                <c:pt idx="14">
                  <c:v>9.736383090689045E-2</c:v>
                </c:pt>
                <c:pt idx="15">
                  <c:v>0.11756613306395225</c:v>
                </c:pt>
                <c:pt idx="16">
                  <c:v>0.12165092619818266</c:v>
                </c:pt>
                <c:pt idx="17">
                  <c:v>0.11254009474347923</c:v>
                </c:pt>
                <c:pt idx="18">
                  <c:v>9.6138933914424796E-2</c:v>
                </c:pt>
                <c:pt idx="19">
                  <c:v>7.3783515338687433E-2</c:v>
                </c:pt>
                <c:pt idx="20">
                  <c:v>5.5242263560852503E-2</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551025168"/>
        <c:axId val="544054072"/>
      </c:scatterChart>
      <c:valAx>
        <c:axId val="5510251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054072"/>
        <c:crossesAt val="1.0000000000000005E-9"/>
        <c:crossBetween val="midCat"/>
      </c:valAx>
      <c:valAx>
        <c:axId val="5440540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1025168"/>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-24.635258353926584</c:v>
                </c:pt>
                <c:pt idx="1">
                  <c:v>-21.515320311547747</c:v>
                </c:pt>
                <c:pt idx="2">
                  <c:v>-17.307980119238746</c:v>
                </c:pt>
                <c:pt idx="3">
                  <c:v>-10.743887226601039</c:v>
                </c:pt>
                <c:pt idx="4">
                  <c:v>0</c:v>
                </c:pt>
                <c:pt idx="5">
                  <c:v>19.264403481926625</c:v>
                </c:pt>
                <c:pt idx="6">
                  <c:v>23.522139954401055</c:v>
                </c:pt>
              </c:numCache>
            </c:numRef>
          </c:yVal>
          <c:smooth val="0"/>
        </c:ser>
        <c:dLbls>
          <c:showLegendKey val="0"/>
          <c:showVal val="0"/>
          <c:showCatName val="0"/>
          <c:showSerName val="0"/>
          <c:showPercent val="0"/>
          <c:showBubbleSize val="0"/>
        </c:dLbls>
        <c:axId val="544053680"/>
        <c:axId val="448168936"/>
      </c:scatterChart>
      <c:valAx>
        <c:axId val="5440536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168936"/>
        <c:crossesAt val="-100"/>
        <c:crossBetween val="midCat"/>
      </c:valAx>
      <c:valAx>
        <c:axId val="4481689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053680"/>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0"/>
        </c:ser>
        <c:dLbls>
          <c:showLegendKey val="0"/>
          <c:showVal val="0"/>
          <c:showCatName val="0"/>
          <c:showSerName val="0"/>
          <c:showPercent val="0"/>
          <c:showBubbleSize val="0"/>
        </c:dLbls>
        <c:axId val="663525856"/>
        <c:axId val="663524680"/>
      </c:scatterChart>
      <c:valAx>
        <c:axId val="663525856"/>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3524680"/>
        <c:crosses val="autoZero"/>
        <c:crossBetween val="midCat"/>
      </c:valAx>
      <c:valAx>
        <c:axId val="663524680"/>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3525856"/>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2.0000609778255006E-26</c:v>
                </c:pt>
                <c:pt idx="1">
                  <c:v>2.0000609778255006E-25</c:v>
                </c:pt>
                <c:pt idx="2">
                  <c:v>2.0000609778255007E-24</c:v>
                </c:pt>
                <c:pt idx="3">
                  <c:v>2.0000609778255004E-23</c:v>
                </c:pt>
                <c:pt idx="4">
                  <c:v>2.0000609778255005E-22</c:v>
                </c:pt>
                <c:pt idx="5">
                  <c:v>2.0000609778255004E-21</c:v>
                </c:pt>
                <c:pt idx="6">
                  <c:v>2.0000609778255006E-20</c:v>
                </c:pt>
                <c:pt idx="7">
                  <c:v>2.0000609778255006E-19</c:v>
                </c:pt>
                <c:pt idx="8">
                  <c:v>2.0000609778255005E-18</c:v>
                </c:pt>
                <c:pt idx="9">
                  <c:v>2.0000609778255005E-17</c:v>
                </c:pt>
                <c:pt idx="10">
                  <c:v>2.0000609778255006E-16</c:v>
                </c:pt>
                <c:pt idx="11">
                  <c:v>2.0000609778255008E-15</c:v>
                </c:pt>
                <c:pt idx="12">
                  <c:v>2.0000609778255006E-14</c:v>
                </c:pt>
                <c:pt idx="13">
                  <c:v>2.0000609778255006E-13</c:v>
                </c:pt>
                <c:pt idx="14">
                  <c:v>2.0000609778255008E-12</c:v>
                </c:pt>
                <c:pt idx="15">
                  <c:v>2.0000609778255007E-11</c:v>
                </c:pt>
                <c:pt idx="16">
                  <c:v>2.0000609778255006E-10</c:v>
                </c:pt>
                <c:pt idx="17">
                  <c:v>2.0000609778255006E-9</c:v>
                </c:pt>
                <c:pt idx="18">
                  <c:v>2.0000609778255006E-8</c:v>
                </c:pt>
                <c:pt idx="19">
                  <c:v>2.0000609778255006E-7</c:v>
                </c:pt>
                <c:pt idx="20">
                  <c:v>2.0000609778255004E-6</c:v>
                </c:pt>
                <c:pt idx="21">
                  <c:v>2.0000609778255004E-5</c:v>
                </c:pt>
                <c:pt idx="22">
                  <c:v>2.0000609778255006E-4</c:v>
                </c:pt>
                <c:pt idx="23">
                  <c:v>2.0000609778255004E-3</c:v>
                </c:pt>
                <c:pt idx="24">
                  <c:v>2.0000609778255005E-2</c:v>
                </c:pt>
                <c:pt idx="25">
                  <c:v>0.20000609778255005</c:v>
                </c:pt>
                <c:pt idx="26">
                  <c:v>2.0000609778255005</c:v>
                </c:pt>
                <c:pt idx="27">
                  <c:v>20.000609778255004</c:v>
                </c:pt>
                <c:pt idx="28">
                  <c:v>200.00609778255006</c:v>
                </c:pt>
                <c:pt idx="29">
                  <c:v>2000.0609778255005</c:v>
                </c:pt>
                <c:pt idx="30">
                  <c:v>20000.609778255006</c:v>
                </c:pt>
              </c:numCache>
            </c:numRef>
          </c:xVal>
          <c:yVal>
            <c:numRef>
              <c:f>'Mastercurve bestimmen'!$J$404:$J$434</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4.5291333983091265E-25</c:v>
                </c:pt>
                <c:pt idx="1">
                  <c:v>4.5291333983091254E-24</c:v>
                </c:pt>
                <c:pt idx="2">
                  <c:v>4.5291333983091262E-23</c:v>
                </c:pt>
                <c:pt idx="3">
                  <c:v>4.5291333983091253E-22</c:v>
                </c:pt>
                <c:pt idx="4">
                  <c:v>4.5291333983091255E-21</c:v>
                </c:pt>
                <c:pt idx="5">
                  <c:v>4.5291333983091261E-20</c:v>
                </c:pt>
                <c:pt idx="6">
                  <c:v>4.5291333983091264E-19</c:v>
                </c:pt>
                <c:pt idx="7">
                  <c:v>4.5291333983091262E-18</c:v>
                </c:pt>
                <c:pt idx="8">
                  <c:v>4.5291333983091257E-17</c:v>
                </c:pt>
                <c:pt idx="9">
                  <c:v>4.5291333983091258E-16</c:v>
                </c:pt>
                <c:pt idx="10">
                  <c:v>4.529133398309126E-15</c:v>
                </c:pt>
                <c:pt idx="11">
                  <c:v>4.529133398309126E-14</c:v>
                </c:pt>
                <c:pt idx="12">
                  <c:v>4.5291333983091256E-13</c:v>
                </c:pt>
                <c:pt idx="13">
                  <c:v>4.5291333983091258E-12</c:v>
                </c:pt>
                <c:pt idx="14">
                  <c:v>4.5291333983091259E-11</c:v>
                </c:pt>
                <c:pt idx="15">
                  <c:v>4.5291333983091258E-10</c:v>
                </c:pt>
                <c:pt idx="16">
                  <c:v>4.5291333983091261E-9</c:v>
                </c:pt>
                <c:pt idx="17">
                  <c:v>4.5291333983091256E-8</c:v>
                </c:pt>
                <c:pt idx="18">
                  <c:v>4.5291333983091257E-7</c:v>
                </c:pt>
                <c:pt idx="19">
                  <c:v>4.5291333983091262E-6</c:v>
                </c:pt>
                <c:pt idx="20">
                  <c:v>4.5291333983091255E-5</c:v>
                </c:pt>
                <c:pt idx="21">
                  <c:v>4.5291333983091259E-4</c:v>
                </c:pt>
                <c:pt idx="22">
                  <c:v>4.5291333983091256E-3</c:v>
                </c:pt>
                <c:pt idx="23">
                  <c:v>4.5291333983091257E-2</c:v>
                </c:pt>
                <c:pt idx="24">
                  <c:v>0.45291333983091259</c:v>
                </c:pt>
                <c:pt idx="25">
                  <c:v>4.529133398309126</c:v>
                </c:pt>
                <c:pt idx="26">
                  <c:v>45.291333983091256</c:v>
                </c:pt>
                <c:pt idx="27">
                  <c:v>452.91333983091261</c:v>
                </c:pt>
                <c:pt idx="28">
                  <c:v>4529.1333983091254</c:v>
                </c:pt>
                <c:pt idx="29">
                  <c:v>45291.333983091259</c:v>
                </c:pt>
                <c:pt idx="30">
                  <c:v>452913.33983091259</c:v>
                </c:pt>
              </c:numCache>
            </c:numRef>
          </c:xVal>
          <c:yVal>
            <c:numRef>
              <c:f>'Mastercurve bestimmen'!$K$404:$K$434</c:f>
              <c:numCache>
                <c:formatCode>0.00E+00</c:formatCode>
                <c:ptCount val="31"/>
                <c:pt idx="0">
                  <c:v>6543.7252261807771</c:v>
                </c:pt>
                <c:pt idx="1">
                  <c:v>6543.7799387981568</c:v>
                </c:pt>
                <c:pt idx="2">
                  <c:v>6543.7462938558028</c:v>
                </c:pt>
                <c:pt idx="3">
                  <c:v>6543.7363350192272</c:v>
                </c:pt>
                <c:pt idx="4">
                  <c:v>6543.7332030080934</c:v>
                </c:pt>
                <c:pt idx="5">
                  <c:v>6543.7321508487757</c:v>
                </c:pt>
                <c:pt idx="6">
                  <c:v>6543.7318082853499</c:v>
                </c:pt>
                <c:pt idx="7">
                  <c:v>6543.7317593477201</c:v>
                </c:pt>
                <c:pt idx="8">
                  <c:v>6543.7315146595847</c:v>
                </c:pt>
                <c:pt idx="9">
                  <c:v>6543.731490190773</c:v>
                </c:pt>
                <c:pt idx="10">
                  <c:v>6543.7313923155243</c:v>
                </c:pt>
                <c:pt idx="11">
                  <c:v>6543.7286518097571</c:v>
                </c:pt>
                <c:pt idx="12">
                  <c:v>6543.7023234963144</c:v>
                </c:pt>
                <c:pt idx="13">
                  <c:v>6543.4393456132884</c:v>
                </c:pt>
                <c:pt idx="14">
                  <c:v>6540.8297975507394</c:v>
                </c:pt>
                <c:pt idx="15">
                  <c:v>6516.7915822655277</c:v>
                </c:pt>
                <c:pt idx="16">
                  <c:v>6390.814079024768</c:v>
                </c:pt>
                <c:pt idx="17">
                  <c:v>6240.1474757230608</c:v>
                </c:pt>
                <c:pt idx="18">
                  <c:v>6044.4265071962272</c:v>
                </c:pt>
                <c:pt idx="19">
                  <c:v>5697.9764219559002</c:v>
                </c:pt>
                <c:pt idx="20">
                  <c:v>5222.1642197271249</c:v>
                </c:pt>
                <c:pt idx="21">
                  <c:v>4741.2273341563377</c:v>
                </c:pt>
                <c:pt idx="22">
                  <c:v>4311.1706397553053</c:v>
                </c:pt>
                <c:pt idx="23">
                  <c:v>3952.2593271118144</c:v>
                </c:pt>
                <c:pt idx="24">
                  <c:v>3639.2172363975619</c:v>
                </c:pt>
                <c:pt idx="25">
                  <c:v>3344.7021990881808</c:v>
                </c:pt>
                <c:pt idx="26">
                  <c:v>3034.0126163953428</c:v>
                </c:pt>
                <c:pt idx="27">
                  <c:v>2653.5608861364908</c:v>
                </c:pt>
                <c:pt idx="28">
                  <c:v>2203.3378680125074</c:v>
                </c:pt>
                <c:pt idx="29">
                  <c:v>1683.4592204898881</c:v>
                </c:pt>
                <c:pt idx="30">
                  <c:v>1118.1414735463829</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3.0425641330285944E-23</c:v>
                </c:pt>
                <c:pt idx="1">
                  <c:v>3.0425641330285944E-22</c:v>
                </c:pt>
                <c:pt idx="2">
                  <c:v>3.0425641330285946E-21</c:v>
                </c:pt>
                <c:pt idx="3">
                  <c:v>3.0425641330285945E-20</c:v>
                </c:pt>
                <c:pt idx="4">
                  <c:v>3.042564133028594E-19</c:v>
                </c:pt>
                <c:pt idx="5">
                  <c:v>3.0425641330285944E-18</c:v>
                </c:pt>
                <c:pt idx="6">
                  <c:v>3.0425641330285947E-17</c:v>
                </c:pt>
                <c:pt idx="7">
                  <c:v>3.0425641330285943E-16</c:v>
                </c:pt>
                <c:pt idx="8">
                  <c:v>3.0425641330285943E-15</c:v>
                </c:pt>
                <c:pt idx="9">
                  <c:v>3.0425641330285943E-14</c:v>
                </c:pt>
                <c:pt idx="10">
                  <c:v>3.0425641330285947E-13</c:v>
                </c:pt>
                <c:pt idx="11">
                  <c:v>3.0425641330285947E-12</c:v>
                </c:pt>
                <c:pt idx="12">
                  <c:v>3.0425641330285945E-11</c:v>
                </c:pt>
                <c:pt idx="13">
                  <c:v>3.0425641330285947E-10</c:v>
                </c:pt>
                <c:pt idx="14">
                  <c:v>3.0425641330285947E-9</c:v>
                </c:pt>
                <c:pt idx="15">
                  <c:v>3.0425641330285945E-8</c:v>
                </c:pt>
                <c:pt idx="16">
                  <c:v>3.0425641330285945E-7</c:v>
                </c:pt>
                <c:pt idx="17">
                  <c:v>3.0425641330285943E-6</c:v>
                </c:pt>
                <c:pt idx="18">
                  <c:v>3.0425641330285943E-5</c:v>
                </c:pt>
                <c:pt idx="19">
                  <c:v>3.0425641330285942E-4</c:v>
                </c:pt>
                <c:pt idx="20">
                  <c:v>3.0425641330285944E-3</c:v>
                </c:pt>
                <c:pt idx="21">
                  <c:v>3.0425641330285944E-2</c:v>
                </c:pt>
                <c:pt idx="22">
                  <c:v>0.30425641330285946</c:v>
                </c:pt>
                <c:pt idx="23">
                  <c:v>3.0425641330285944</c:v>
                </c:pt>
                <c:pt idx="24">
                  <c:v>30.425641330285945</c:v>
                </c:pt>
                <c:pt idx="25">
                  <c:v>304.25641330285941</c:v>
                </c:pt>
                <c:pt idx="26">
                  <c:v>3042.5641330285944</c:v>
                </c:pt>
                <c:pt idx="27">
                  <c:v>30425.641330285944</c:v>
                </c:pt>
                <c:pt idx="28">
                  <c:v>304256.41330285947</c:v>
                </c:pt>
                <c:pt idx="29">
                  <c:v>3042564.1330285943</c:v>
                </c:pt>
                <c:pt idx="30">
                  <c:v>30425641.330285944</c:v>
                </c:pt>
              </c:numCache>
            </c:numRef>
          </c:xVal>
          <c:yVal>
            <c:numRef>
              <c:f>'Mastercurve bestimmen'!$L$404:$L$434</c:f>
              <c:numCache>
                <c:formatCode>0.00E+00</c:formatCode>
                <c:ptCount val="31"/>
                <c:pt idx="0">
                  <c:v>6524.0904126194901</c:v>
                </c:pt>
                <c:pt idx="1">
                  <c:v>6524.1443595856636</c:v>
                </c:pt>
                <c:pt idx="2">
                  <c:v>6524.1111351538066</c:v>
                </c:pt>
                <c:pt idx="3">
                  <c:v>6524.1012603146964</c:v>
                </c:pt>
                <c:pt idx="4">
                  <c:v>6524.0981470711258</c:v>
                </c:pt>
                <c:pt idx="5">
                  <c:v>6524.0971012165301</c:v>
                </c:pt>
                <c:pt idx="6">
                  <c:v>6524.0967607058046</c:v>
                </c:pt>
                <c:pt idx="7">
                  <c:v>6524.0967120614177</c:v>
                </c:pt>
                <c:pt idx="8">
                  <c:v>6524.0963715507314</c:v>
                </c:pt>
                <c:pt idx="9">
                  <c:v>6524.0939393325853</c:v>
                </c:pt>
                <c:pt idx="10">
                  <c:v>6524.06939835293</c:v>
                </c:pt>
                <c:pt idx="11">
                  <c:v>6523.8242419120506</c:v>
                </c:pt>
                <c:pt idx="12">
                  <c:v>6521.3925487999713</c:v>
                </c:pt>
                <c:pt idx="13">
                  <c:v>6498.8766153292054</c:v>
                </c:pt>
                <c:pt idx="14">
                  <c:v>6376.7108933957061</c:v>
                </c:pt>
                <c:pt idx="15">
                  <c:v>6230.3639399807598</c:v>
                </c:pt>
                <c:pt idx="16">
                  <c:v>6066.3152248046426</c:v>
                </c:pt>
                <c:pt idx="17">
                  <c:v>5850.8000974148181</c:v>
                </c:pt>
                <c:pt idx="18">
                  <c:v>5524.1383776461034</c:v>
                </c:pt>
                <c:pt idx="19">
                  <c:v>5037.8540321693981</c:v>
                </c:pt>
                <c:pt idx="20">
                  <c:v>4531.1485912762591</c:v>
                </c:pt>
                <c:pt idx="21">
                  <c:v>4100.3073895013431</c:v>
                </c:pt>
                <c:pt idx="22">
                  <c:v>3736.9018653482362</c:v>
                </c:pt>
                <c:pt idx="23">
                  <c:v>3408.8002756648089</c:v>
                </c:pt>
                <c:pt idx="24">
                  <c:v>3078.2308446927527</c:v>
                </c:pt>
                <c:pt idx="25">
                  <c:v>2685.2498641877337</c:v>
                </c:pt>
                <c:pt idx="26">
                  <c:v>2228.0957655931211</c:v>
                </c:pt>
                <c:pt idx="27">
                  <c:v>1704.9584752004923</c:v>
                </c:pt>
                <c:pt idx="28">
                  <c:v>1135.4901421385146</c:v>
                </c:pt>
                <c:pt idx="29">
                  <c:v>680.51042901870051</c:v>
                </c:pt>
                <c:pt idx="30">
                  <c:v>389.33964903055204</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2.1576900720265182E-20</c:v>
                </c:pt>
                <c:pt idx="1">
                  <c:v>2.1576900720265182E-19</c:v>
                </c:pt>
                <c:pt idx="2">
                  <c:v>2.1576900720265181E-18</c:v>
                </c:pt>
                <c:pt idx="3">
                  <c:v>2.157690072026518E-17</c:v>
                </c:pt>
                <c:pt idx="4">
                  <c:v>2.1576900720265178E-16</c:v>
                </c:pt>
                <c:pt idx="5">
                  <c:v>2.1576900720265179E-15</c:v>
                </c:pt>
                <c:pt idx="6">
                  <c:v>2.1576900720265181E-14</c:v>
                </c:pt>
                <c:pt idx="7">
                  <c:v>2.1576900720265181E-13</c:v>
                </c:pt>
                <c:pt idx="8">
                  <c:v>2.1576900720265178E-12</c:v>
                </c:pt>
                <c:pt idx="9">
                  <c:v>2.1576900720265181E-11</c:v>
                </c:pt>
                <c:pt idx="10">
                  <c:v>2.1576900720265183E-10</c:v>
                </c:pt>
                <c:pt idx="11">
                  <c:v>2.157690072026518E-9</c:v>
                </c:pt>
                <c:pt idx="12">
                  <c:v>2.1576900720265182E-8</c:v>
                </c:pt>
                <c:pt idx="13">
                  <c:v>2.1576900720265182E-7</c:v>
                </c:pt>
                <c:pt idx="14">
                  <c:v>2.1576900720265182E-6</c:v>
                </c:pt>
                <c:pt idx="15">
                  <c:v>2.157690072026518E-5</c:v>
                </c:pt>
                <c:pt idx="16">
                  <c:v>2.1576900720265182E-4</c:v>
                </c:pt>
                <c:pt idx="17">
                  <c:v>2.1576900720265179E-3</c:v>
                </c:pt>
                <c:pt idx="18">
                  <c:v>2.157690072026518E-2</c:v>
                </c:pt>
                <c:pt idx="19">
                  <c:v>0.2157690072026518</c:v>
                </c:pt>
                <c:pt idx="20">
                  <c:v>2.1576900720265182</c:v>
                </c:pt>
                <c:pt idx="21">
                  <c:v>21.576900720265179</c:v>
                </c:pt>
                <c:pt idx="22">
                  <c:v>215.76900720265181</c:v>
                </c:pt>
                <c:pt idx="23">
                  <c:v>2157.690072026518</c:v>
                </c:pt>
                <c:pt idx="24">
                  <c:v>21576.900720265181</c:v>
                </c:pt>
                <c:pt idx="25">
                  <c:v>215769.00720265182</c:v>
                </c:pt>
                <c:pt idx="26">
                  <c:v>2157690.0720265182</c:v>
                </c:pt>
                <c:pt idx="27">
                  <c:v>21576900.72026518</c:v>
                </c:pt>
                <c:pt idx="28">
                  <c:v>215769007.2026518</c:v>
                </c:pt>
                <c:pt idx="29">
                  <c:v>2157690072.0265179</c:v>
                </c:pt>
                <c:pt idx="30">
                  <c:v>21576900720.265179</c:v>
                </c:pt>
              </c:numCache>
            </c:numRef>
          </c:xVal>
          <c:yVal>
            <c:numRef>
              <c:f>'Mastercurve bestimmen'!$M$404:$M$434</c:f>
              <c:numCache>
                <c:formatCode>0.00E+00</c:formatCode>
                <c:ptCount val="31"/>
                <c:pt idx="0">
                  <c:v>6503.9509699618966</c:v>
                </c:pt>
                <c:pt idx="1">
                  <c:v>6504.0043184804708</c:v>
                </c:pt>
                <c:pt idx="2">
                  <c:v>6503.9713230315656</c:v>
                </c:pt>
                <c:pt idx="3">
                  <c:v>6503.9615090652051</c:v>
                </c:pt>
                <c:pt idx="4">
                  <c:v>6503.9584150129849</c:v>
                </c:pt>
                <c:pt idx="5">
                  <c:v>6503.9573030886877</c:v>
                </c:pt>
                <c:pt idx="6">
                  <c:v>6503.9546441408229</c:v>
                </c:pt>
                <c:pt idx="7">
                  <c:v>6503.932647473689</c:v>
                </c:pt>
                <c:pt idx="8">
                  <c:v>6503.7133657579243</c:v>
                </c:pt>
                <c:pt idx="9">
                  <c:v>6501.5374241274303</c:v>
                </c:pt>
                <c:pt idx="10">
                  <c:v>6481.233154233405</c:v>
                </c:pt>
                <c:pt idx="11">
                  <c:v>6364.7007036045688</c:v>
                </c:pt>
                <c:pt idx="12">
                  <c:v>6219.55344224686</c:v>
                </c:pt>
                <c:pt idx="13">
                  <c:v>6059.9785511387736</c:v>
                </c:pt>
                <c:pt idx="14">
                  <c:v>5870.6317266704709</c:v>
                </c:pt>
                <c:pt idx="15">
                  <c:v>5669.1325406322439</c:v>
                </c:pt>
                <c:pt idx="16">
                  <c:v>5423.4324257349326</c:v>
                </c:pt>
                <c:pt idx="17">
                  <c:v>5064.9009314494624</c:v>
                </c:pt>
                <c:pt idx="18">
                  <c:v>4580.1850776889687</c:v>
                </c:pt>
                <c:pt idx="19">
                  <c:v>4085.8663253030418</c:v>
                </c:pt>
                <c:pt idx="20">
                  <c:v>3641.7022773125063</c:v>
                </c:pt>
                <c:pt idx="21">
                  <c:v>3231.6591203117327</c:v>
                </c:pt>
                <c:pt idx="22">
                  <c:v>2785.7203085552951</c:v>
                </c:pt>
                <c:pt idx="23">
                  <c:v>2295.1533050928924</c:v>
                </c:pt>
                <c:pt idx="24">
                  <c:v>1754.5150163075152</c:v>
                </c:pt>
                <c:pt idx="25">
                  <c:v>1171.8757952014325</c:v>
                </c:pt>
                <c:pt idx="26">
                  <c:v>704.46209389908893</c:v>
                </c:pt>
                <c:pt idx="27">
                  <c:v>403.25761176970258</c:v>
                </c:pt>
                <c:pt idx="28">
                  <c:v>227.19076746573165</c:v>
                </c:pt>
                <c:pt idx="29">
                  <c:v>157.01371189082064</c:v>
                </c:pt>
                <c:pt idx="30">
                  <c:v>136.97082983111966</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6479.0859474371819</c:v>
                </c:pt>
                <c:pt idx="1">
                  <c:v>6479.1324839978006</c:v>
                </c:pt>
                <c:pt idx="2">
                  <c:v>6479.041978197979</c:v>
                </c:pt>
                <c:pt idx="3">
                  <c:v>6478.4539559822069</c:v>
                </c:pt>
                <c:pt idx="4">
                  <c:v>6472.7726535549082</c:v>
                </c:pt>
                <c:pt idx="5">
                  <c:v>6425.3224026678754</c:v>
                </c:pt>
                <c:pt idx="6">
                  <c:v>6280.1372572444334</c:v>
                </c:pt>
                <c:pt idx="7">
                  <c:v>6130.7451181848783</c:v>
                </c:pt>
                <c:pt idx="8">
                  <c:v>5959.459898848826</c:v>
                </c:pt>
                <c:pt idx="9">
                  <c:v>5758.6320512376351</c:v>
                </c:pt>
                <c:pt idx="10">
                  <c:v>5553.7107715147085</c:v>
                </c:pt>
                <c:pt idx="11">
                  <c:v>5296.2160470219478</c:v>
                </c:pt>
                <c:pt idx="12">
                  <c:v>5014.3504980568096</c:v>
                </c:pt>
                <c:pt idx="13">
                  <c:v>4737.7084148388376</c:v>
                </c:pt>
                <c:pt idx="14">
                  <c:v>4438.626264954587</c:v>
                </c:pt>
                <c:pt idx="15">
                  <c:v>4115.3629839514006</c:v>
                </c:pt>
                <c:pt idx="16">
                  <c:v>3662.5886079597385</c:v>
                </c:pt>
                <c:pt idx="17">
                  <c:v>3039.7716426269371</c:v>
                </c:pt>
                <c:pt idx="18">
                  <c:v>2356.5178874385392</c:v>
                </c:pt>
                <c:pt idx="19">
                  <c:v>1664.6092730189016</c:v>
                </c:pt>
                <c:pt idx="20">
                  <c:v>1039.9214556238178</c:v>
                </c:pt>
                <c:pt idx="21">
                  <c:v>595.89522173414423</c:v>
                </c:pt>
                <c:pt idx="22">
                  <c:v>331.71701217899948</c:v>
                </c:pt>
                <c:pt idx="23">
                  <c:v>192.72704730170403</c:v>
                </c:pt>
                <c:pt idx="24">
                  <c:v>148.89299884614732</c:v>
                </c:pt>
                <c:pt idx="25">
                  <c:v>134.12130031566326</c:v>
                </c:pt>
                <c:pt idx="26">
                  <c:v>124.90206072555479</c:v>
                </c:pt>
                <c:pt idx="27">
                  <c:v>124.64007063602084</c:v>
                </c:pt>
                <c:pt idx="28">
                  <c:v>123.89500698166064</c:v>
                </c:pt>
                <c:pt idx="29">
                  <c:v>123.88320178471095</c:v>
                </c:pt>
                <c:pt idx="30">
                  <c:v>123.47472292148701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2.3250062750322023E-7</c:v>
                </c:pt>
                <c:pt idx="1">
                  <c:v>2.3250062750322023E-6</c:v>
                </c:pt>
                <c:pt idx="2">
                  <c:v>2.3250062750322021E-5</c:v>
                </c:pt>
                <c:pt idx="3">
                  <c:v>2.3250062750322019E-4</c:v>
                </c:pt>
                <c:pt idx="4">
                  <c:v>2.325006275032202E-3</c:v>
                </c:pt>
                <c:pt idx="5">
                  <c:v>2.3250062750322022E-2</c:v>
                </c:pt>
                <c:pt idx="6">
                  <c:v>0.23250062750322023</c:v>
                </c:pt>
                <c:pt idx="7">
                  <c:v>2.325006275032202</c:v>
                </c:pt>
                <c:pt idx="8">
                  <c:v>23.250062750322019</c:v>
                </c:pt>
                <c:pt idx="9">
                  <c:v>232.50062750322019</c:v>
                </c:pt>
                <c:pt idx="10">
                  <c:v>2325.0062750322022</c:v>
                </c:pt>
                <c:pt idx="11">
                  <c:v>23250.06275032202</c:v>
                </c:pt>
                <c:pt idx="12">
                  <c:v>232500.62750322022</c:v>
                </c:pt>
                <c:pt idx="13">
                  <c:v>2325006.2750322022</c:v>
                </c:pt>
                <c:pt idx="14">
                  <c:v>23250062.750322022</c:v>
                </c:pt>
                <c:pt idx="15">
                  <c:v>232500627.5032202</c:v>
                </c:pt>
                <c:pt idx="16">
                  <c:v>2325006275.0322022</c:v>
                </c:pt>
                <c:pt idx="17">
                  <c:v>23250062750.322021</c:v>
                </c:pt>
                <c:pt idx="18">
                  <c:v>232500627503.22021</c:v>
                </c:pt>
                <c:pt idx="19">
                  <c:v>2325006275032.2021</c:v>
                </c:pt>
                <c:pt idx="20">
                  <c:v>23250062750322.02</c:v>
                </c:pt>
                <c:pt idx="21">
                  <c:v>232500627503220.22</c:v>
                </c:pt>
                <c:pt idx="22">
                  <c:v>2325006275032202</c:v>
                </c:pt>
                <c:pt idx="23">
                  <c:v>2.325006275032202E+16</c:v>
                </c:pt>
                <c:pt idx="24">
                  <c:v>2.3250062750322019E+17</c:v>
                </c:pt>
                <c:pt idx="25">
                  <c:v>2.3250062750322022E+18</c:v>
                </c:pt>
                <c:pt idx="26">
                  <c:v>2.325006275032202E+19</c:v>
                </c:pt>
                <c:pt idx="27">
                  <c:v>2.325006275032202E+20</c:v>
                </c:pt>
                <c:pt idx="28">
                  <c:v>2.3250062750322021E+21</c:v>
                </c:pt>
                <c:pt idx="29">
                  <c:v>2.3250062750322019E+22</c:v>
                </c:pt>
                <c:pt idx="30">
                  <c:v>2.325006275032202E+23</c:v>
                </c:pt>
              </c:numCache>
            </c:numRef>
          </c:xVal>
          <c:yVal>
            <c:numRef>
              <c:f>'Mastercurve bestimmen'!$O$404:$O$434</c:f>
              <c:numCache>
                <c:formatCode>0.00E+00</c:formatCode>
                <c:ptCount val="31"/>
                <c:pt idx="0">
                  <c:v>5863.6829549380891</c:v>
                </c:pt>
                <c:pt idx="1">
                  <c:v>5609.1927579282792</c:v>
                </c:pt>
                <c:pt idx="2">
                  <c:v>5370.7345311781783</c:v>
                </c:pt>
                <c:pt idx="3">
                  <c:v>5097.9534912421213</c:v>
                </c:pt>
                <c:pt idx="4">
                  <c:v>4821.046341164677</c:v>
                </c:pt>
                <c:pt idx="5">
                  <c:v>4535.3452020984814</c:v>
                </c:pt>
                <c:pt idx="6">
                  <c:v>4228.4929725950406</c:v>
                </c:pt>
                <c:pt idx="7">
                  <c:v>3871.0057883923755</c:v>
                </c:pt>
                <c:pt idx="8">
                  <c:v>3401.7561264704505</c:v>
                </c:pt>
                <c:pt idx="9">
                  <c:v>2827.0529060658037</c:v>
                </c:pt>
                <c:pt idx="10">
                  <c:v>2150.7951483518323</c:v>
                </c:pt>
                <c:pt idx="11">
                  <c:v>1410.5199057082755</c:v>
                </c:pt>
                <c:pt idx="12">
                  <c:v>826.67973456797017</c:v>
                </c:pt>
                <c:pt idx="13">
                  <c:v>463.10914863390207</c:v>
                </c:pt>
                <c:pt idx="14">
                  <c:v>257.27368574751409</c:v>
                </c:pt>
                <c:pt idx="15">
                  <c:v>179.98076982609024</c:v>
                </c:pt>
                <c:pt idx="16">
                  <c:v>157.55849658546879</c:v>
                </c:pt>
                <c:pt idx="17">
                  <c:v>143.13037816485394</c:v>
                </c:pt>
                <c:pt idx="18">
                  <c:v>139.03929298884987</c:v>
                </c:pt>
                <c:pt idx="19">
                  <c:v>135.60631839895524</c:v>
                </c:pt>
                <c:pt idx="20">
                  <c:v>132.22937471479068</c:v>
                </c:pt>
                <c:pt idx="21">
                  <c:v>129.58780540541244</c:v>
                </c:pt>
                <c:pt idx="22">
                  <c:v>127.7135675720335</c:v>
                </c:pt>
                <c:pt idx="23">
                  <c:v>126.4367312836393</c:v>
                </c:pt>
                <c:pt idx="24">
                  <c:v>125.52960401951817</c:v>
                </c:pt>
                <c:pt idx="25">
                  <c:v>124.83927834622055</c:v>
                </c:pt>
                <c:pt idx="26">
                  <c:v>124.70417941781746</c:v>
                </c:pt>
                <c:pt idx="27">
                  <c:v>123.9260383626436</c:v>
                </c:pt>
                <c:pt idx="28">
                  <c:v>123.91358498832378</c:v>
                </c:pt>
                <c:pt idx="29">
                  <c:v>123.65466987195585</c:v>
                </c:pt>
                <c:pt idx="30">
                  <c:v>123.64094316844046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1.6426142449134175E-5</c:v>
                </c:pt>
                <c:pt idx="1">
                  <c:v>1.6426142449134175E-4</c:v>
                </c:pt>
                <c:pt idx="2">
                  <c:v>1.6426142449134176E-3</c:v>
                </c:pt>
                <c:pt idx="3">
                  <c:v>1.6426142449134176E-2</c:v>
                </c:pt>
                <c:pt idx="4">
                  <c:v>0.16426142449134173</c:v>
                </c:pt>
                <c:pt idx="5">
                  <c:v>1.6426142449134176</c:v>
                </c:pt>
                <c:pt idx="6">
                  <c:v>16.426142449134176</c:v>
                </c:pt>
                <c:pt idx="7">
                  <c:v>164.26142449134176</c:v>
                </c:pt>
                <c:pt idx="8">
                  <c:v>1642.6142449134175</c:v>
                </c:pt>
                <c:pt idx="9">
                  <c:v>16426.142449134175</c:v>
                </c:pt>
                <c:pt idx="10">
                  <c:v>164261.42449134175</c:v>
                </c:pt>
                <c:pt idx="11">
                  <c:v>1642614.2449134176</c:v>
                </c:pt>
                <c:pt idx="12">
                  <c:v>16426142.449134175</c:v>
                </c:pt>
                <c:pt idx="13">
                  <c:v>164261424.49134174</c:v>
                </c:pt>
                <c:pt idx="14">
                  <c:v>1642614244.9134176</c:v>
                </c:pt>
                <c:pt idx="15">
                  <c:v>16426142449.134174</c:v>
                </c:pt>
                <c:pt idx="16">
                  <c:v>164261424491.34174</c:v>
                </c:pt>
                <c:pt idx="17">
                  <c:v>1642614244913.4175</c:v>
                </c:pt>
                <c:pt idx="18">
                  <c:v>16426142449134.176</c:v>
                </c:pt>
                <c:pt idx="19">
                  <c:v>164261424491341.75</c:v>
                </c:pt>
                <c:pt idx="20">
                  <c:v>1642614244913417.5</c:v>
                </c:pt>
                <c:pt idx="21">
                  <c:v>1.6426142449134174E+16</c:v>
                </c:pt>
                <c:pt idx="22">
                  <c:v>1.6426142449134176E+17</c:v>
                </c:pt>
                <c:pt idx="23">
                  <c:v>1.6426142449134175E+18</c:v>
                </c:pt>
                <c:pt idx="24">
                  <c:v>1.6426142449134174E+19</c:v>
                </c:pt>
                <c:pt idx="25">
                  <c:v>1.6426142449134174E+20</c:v>
                </c:pt>
                <c:pt idx="26">
                  <c:v>1.6426142449134176E+21</c:v>
                </c:pt>
                <c:pt idx="27">
                  <c:v>1.6426142449134176E+22</c:v>
                </c:pt>
                <c:pt idx="28">
                  <c:v>1.6426142449134174E+23</c:v>
                </c:pt>
                <c:pt idx="29">
                  <c:v>1.6426142449134176E+24</c:v>
                </c:pt>
                <c:pt idx="30">
                  <c:v>1.6426142449134175E+25</c:v>
                </c:pt>
              </c:numCache>
            </c:numRef>
          </c:xVal>
          <c:yVal>
            <c:numRef>
              <c:f>'Mastercurve bestimmen'!$P$404:$P$434</c:f>
              <c:numCache>
                <c:formatCode>0.00E+00</c:formatCode>
                <c:ptCount val="31"/>
                <c:pt idx="0">
                  <c:v>5469.0375175567433</c:v>
                </c:pt>
                <c:pt idx="1">
                  <c:v>5144.4254375399241</c:v>
                </c:pt>
                <c:pt idx="2">
                  <c:v>4859.4796757955091</c:v>
                </c:pt>
                <c:pt idx="3">
                  <c:v>4579.0872874253573</c:v>
                </c:pt>
                <c:pt idx="4">
                  <c:v>4274.6287252900811</c:v>
                </c:pt>
                <c:pt idx="5">
                  <c:v>3938.1560081824523</c:v>
                </c:pt>
                <c:pt idx="6">
                  <c:v>3491.5925245283374</c:v>
                </c:pt>
                <c:pt idx="7">
                  <c:v>2939.5473684961994</c:v>
                </c:pt>
                <c:pt idx="8">
                  <c:v>2290.3210430692648</c:v>
                </c:pt>
                <c:pt idx="9">
                  <c:v>1556.8723374202477</c:v>
                </c:pt>
                <c:pt idx="10">
                  <c:v>939.61789874376836</c:v>
                </c:pt>
                <c:pt idx="11">
                  <c:v>532.22470015904992</c:v>
                </c:pt>
                <c:pt idx="12">
                  <c:v>294.61415856723238</c:v>
                </c:pt>
                <c:pt idx="13">
                  <c:v>191.85627557437303</c:v>
                </c:pt>
                <c:pt idx="14">
                  <c:v>162.27843823453597</c:v>
                </c:pt>
                <c:pt idx="15">
                  <c:v>147.30961753431595</c:v>
                </c:pt>
                <c:pt idx="16">
                  <c:v>142.06591803394016</c:v>
                </c:pt>
                <c:pt idx="17">
                  <c:v>140.2404472955443</c:v>
                </c:pt>
                <c:pt idx="18">
                  <c:v>137.13168564571805</c:v>
                </c:pt>
                <c:pt idx="19">
                  <c:v>133.5914564553571</c:v>
                </c:pt>
                <c:pt idx="20">
                  <c:v>130.60597118111332</c:v>
                </c:pt>
                <c:pt idx="21">
                  <c:v>128.42317853149575</c:v>
                </c:pt>
                <c:pt idx="22">
                  <c:v>126.92571513683149</c:v>
                </c:pt>
                <c:pt idx="23">
                  <c:v>125.87891264299097</c:v>
                </c:pt>
                <c:pt idx="24">
                  <c:v>125.11103067782525</c:v>
                </c:pt>
                <c:pt idx="25">
                  <c:v>124.96985459314666</c:v>
                </c:pt>
                <c:pt idx="26">
                  <c:v>124.77108605330615</c:v>
                </c:pt>
                <c:pt idx="27">
                  <c:v>123.93614365125383</c:v>
                </c:pt>
                <c:pt idx="28">
                  <c:v>123.92285545904397</c:v>
                </c:pt>
                <c:pt idx="29">
                  <c:v>123.48008539289999</c:v>
                </c:pt>
                <c:pt idx="30">
                  <c:v>123.46865182434244</c:v>
                </c:pt>
              </c:numCache>
            </c:numRef>
          </c:yVal>
          <c:smooth val="1"/>
        </c:ser>
        <c:dLbls>
          <c:showLegendKey val="0"/>
          <c:showVal val="0"/>
          <c:showCatName val="0"/>
          <c:showSerName val="0"/>
          <c:showPercent val="0"/>
          <c:showBubbleSize val="0"/>
        </c:dLbls>
        <c:axId val="663523896"/>
        <c:axId val="663526248"/>
      </c:scatterChart>
      <c:valAx>
        <c:axId val="663523896"/>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3526248"/>
        <c:crosses val="autoZero"/>
        <c:crossBetween val="midCat"/>
      </c:valAx>
      <c:valAx>
        <c:axId val="6635262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3523896"/>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2.0000609778255006E-26</c:v>
                </c:pt>
                <c:pt idx="1">
                  <c:v>2.0000609778255006E-25</c:v>
                </c:pt>
                <c:pt idx="2">
                  <c:v>2.0000609778255007E-24</c:v>
                </c:pt>
                <c:pt idx="3">
                  <c:v>2.0000609778255004E-23</c:v>
                </c:pt>
                <c:pt idx="4">
                  <c:v>2.0000609778255005E-22</c:v>
                </c:pt>
                <c:pt idx="5">
                  <c:v>2.0000609778255004E-21</c:v>
                </c:pt>
                <c:pt idx="6">
                  <c:v>2.0000609778255006E-20</c:v>
                </c:pt>
                <c:pt idx="7">
                  <c:v>2.0000609778255006E-19</c:v>
                </c:pt>
                <c:pt idx="8">
                  <c:v>2.0000609778255005E-18</c:v>
                </c:pt>
                <c:pt idx="9">
                  <c:v>2.0000609778255005E-17</c:v>
                </c:pt>
                <c:pt idx="10">
                  <c:v>2.0000609778255006E-16</c:v>
                </c:pt>
                <c:pt idx="11">
                  <c:v>2.0000609778255008E-15</c:v>
                </c:pt>
                <c:pt idx="12">
                  <c:v>2.0000609778255006E-14</c:v>
                </c:pt>
                <c:pt idx="13">
                  <c:v>2.0000609778255006E-13</c:v>
                </c:pt>
                <c:pt idx="14">
                  <c:v>2.0000609778255008E-12</c:v>
                </c:pt>
                <c:pt idx="15">
                  <c:v>2.0000609778255007E-11</c:v>
                </c:pt>
                <c:pt idx="16">
                  <c:v>2.0000609778255006E-10</c:v>
                </c:pt>
                <c:pt idx="17">
                  <c:v>2.0000609778255006E-9</c:v>
                </c:pt>
                <c:pt idx="18">
                  <c:v>2.0000609778255006E-8</c:v>
                </c:pt>
                <c:pt idx="19">
                  <c:v>2.0000609778255006E-7</c:v>
                </c:pt>
                <c:pt idx="20">
                  <c:v>2.0000609778255004E-6</c:v>
                </c:pt>
                <c:pt idx="21">
                  <c:v>2.0000609778255004E-5</c:v>
                </c:pt>
                <c:pt idx="22">
                  <c:v>2.0000609778255006E-4</c:v>
                </c:pt>
                <c:pt idx="23">
                  <c:v>2.0000609778255004E-3</c:v>
                </c:pt>
                <c:pt idx="24">
                  <c:v>2.0000609778255005E-2</c:v>
                </c:pt>
                <c:pt idx="25">
                  <c:v>0.20000609778255005</c:v>
                </c:pt>
                <c:pt idx="26">
                  <c:v>2.0000609778255005</c:v>
                </c:pt>
                <c:pt idx="27">
                  <c:v>20.000609778255004</c:v>
                </c:pt>
                <c:pt idx="28">
                  <c:v>200.00609778255006</c:v>
                </c:pt>
                <c:pt idx="29">
                  <c:v>2000.0609778255005</c:v>
                </c:pt>
                <c:pt idx="30">
                  <c:v>20000.609778255006</c:v>
                </c:pt>
              </c:numCache>
            </c:numRef>
          </c:xVal>
          <c:yVal>
            <c:numRef>
              <c:f>'Mastercurve bestimmen'!$J$404:$J$434</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4.5291333983091265E-25</c:v>
                </c:pt>
                <c:pt idx="1">
                  <c:v>4.5291333983091254E-24</c:v>
                </c:pt>
                <c:pt idx="2">
                  <c:v>4.5291333983091262E-23</c:v>
                </c:pt>
                <c:pt idx="3">
                  <c:v>4.5291333983091253E-22</c:v>
                </c:pt>
                <c:pt idx="4">
                  <c:v>4.5291333983091255E-21</c:v>
                </c:pt>
                <c:pt idx="5">
                  <c:v>4.5291333983091261E-20</c:v>
                </c:pt>
                <c:pt idx="6">
                  <c:v>4.5291333983091264E-19</c:v>
                </c:pt>
                <c:pt idx="7">
                  <c:v>4.5291333983091262E-18</c:v>
                </c:pt>
                <c:pt idx="8">
                  <c:v>4.5291333983091257E-17</c:v>
                </c:pt>
                <c:pt idx="9">
                  <c:v>4.5291333983091258E-16</c:v>
                </c:pt>
                <c:pt idx="10">
                  <c:v>4.529133398309126E-15</c:v>
                </c:pt>
                <c:pt idx="11">
                  <c:v>4.529133398309126E-14</c:v>
                </c:pt>
                <c:pt idx="12">
                  <c:v>4.5291333983091256E-13</c:v>
                </c:pt>
                <c:pt idx="13">
                  <c:v>4.5291333983091258E-12</c:v>
                </c:pt>
                <c:pt idx="14">
                  <c:v>4.5291333983091259E-11</c:v>
                </c:pt>
                <c:pt idx="15">
                  <c:v>4.5291333983091258E-10</c:v>
                </c:pt>
                <c:pt idx="16">
                  <c:v>4.5291333983091261E-9</c:v>
                </c:pt>
                <c:pt idx="17">
                  <c:v>4.5291333983091256E-8</c:v>
                </c:pt>
                <c:pt idx="18">
                  <c:v>4.5291333983091257E-7</c:v>
                </c:pt>
                <c:pt idx="19">
                  <c:v>4.5291333983091262E-6</c:v>
                </c:pt>
                <c:pt idx="20">
                  <c:v>4.5291333983091255E-5</c:v>
                </c:pt>
                <c:pt idx="21">
                  <c:v>4.5291333983091259E-4</c:v>
                </c:pt>
                <c:pt idx="22">
                  <c:v>4.5291333983091256E-3</c:v>
                </c:pt>
                <c:pt idx="23">
                  <c:v>4.5291333983091257E-2</c:v>
                </c:pt>
                <c:pt idx="24">
                  <c:v>0.45291333983091259</c:v>
                </c:pt>
                <c:pt idx="25">
                  <c:v>4.529133398309126</c:v>
                </c:pt>
                <c:pt idx="26">
                  <c:v>45.291333983091256</c:v>
                </c:pt>
                <c:pt idx="27">
                  <c:v>452.91333983091261</c:v>
                </c:pt>
                <c:pt idx="28">
                  <c:v>4529.1333983091254</c:v>
                </c:pt>
                <c:pt idx="29">
                  <c:v>45291.333983091259</c:v>
                </c:pt>
                <c:pt idx="30">
                  <c:v>452913.33983091259</c:v>
                </c:pt>
              </c:numCache>
            </c:numRef>
          </c:xVal>
          <c:yVal>
            <c:numRef>
              <c:f>'Mastercurve bestimmen'!$K$404:$K$434</c:f>
              <c:numCache>
                <c:formatCode>0.00E+00</c:formatCode>
                <c:ptCount val="31"/>
                <c:pt idx="0">
                  <c:v>6543.7252261807771</c:v>
                </c:pt>
                <c:pt idx="1">
                  <c:v>6543.7799387981568</c:v>
                </c:pt>
                <c:pt idx="2">
                  <c:v>6543.7462938558028</c:v>
                </c:pt>
                <c:pt idx="3">
                  <c:v>6543.7363350192272</c:v>
                </c:pt>
                <c:pt idx="4">
                  <c:v>6543.7332030080934</c:v>
                </c:pt>
                <c:pt idx="5">
                  <c:v>6543.7321508487757</c:v>
                </c:pt>
                <c:pt idx="6">
                  <c:v>6543.7318082853499</c:v>
                </c:pt>
                <c:pt idx="7">
                  <c:v>6543.7317593477201</c:v>
                </c:pt>
                <c:pt idx="8">
                  <c:v>6543.7315146595847</c:v>
                </c:pt>
                <c:pt idx="9">
                  <c:v>6543.731490190773</c:v>
                </c:pt>
                <c:pt idx="10">
                  <c:v>6543.7313923155243</c:v>
                </c:pt>
                <c:pt idx="11">
                  <c:v>6543.7286518097571</c:v>
                </c:pt>
                <c:pt idx="12">
                  <c:v>6543.7023234963144</c:v>
                </c:pt>
                <c:pt idx="13">
                  <c:v>6543.4393456132884</c:v>
                </c:pt>
                <c:pt idx="14">
                  <c:v>6540.8297975507394</c:v>
                </c:pt>
                <c:pt idx="15">
                  <c:v>6516.7915822655277</c:v>
                </c:pt>
                <c:pt idx="16">
                  <c:v>6390.814079024768</c:v>
                </c:pt>
                <c:pt idx="17">
                  <c:v>6240.1474757230608</c:v>
                </c:pt>
                <c:pt idx="18">
                  <c:v>6044.4265071962272</c:v>
                </c:pt>
                <c:pt idx="19">
                  <c:v>5697.9764219559002</c:v>
                </c:pt>
                <c:pt idx="20">
                  <c:v>5222.1642197271249</c:v>
                </c:pt>
                <c:pt idx="21">
                  <c:v>4741.2273341563377</c:v>
                </c:pt>
                <c:pt idx="22">
                  <c:v>4311.1706397553053</c:v>
                </c:pt>
                <c:pt idx="23">
                  <c:v>3952.2593271118144</c:v>
                </c:pt>
                <c:pt idx="24">
                  <c:v>3639.2172363975619</c:v>
                </c:pt>
                <c:pt idx="25">
                  <c:v>3344.7021990881808</c:v>
                </c:pt>
                <c:pt idx="26">
                  <c:v>3034.0126163953428</c:v>
                </c:pt>
                <c:pt idx="27">
                  <c:v>2653.5608861364908</c:v>
                </c:pt>
                <c:pt idx="28">
                  <c:v>2203.3378680125074</c:v>
                </c:pt>
                <c:pt idx="29">
                  <c:v>1683.4592204898881</c:v>
                </c:pt>
                <c:pt idx="30">
                  <c:v>1118.1414735463829</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3.0425641330285944E-23</c:v>
                </c:pt>
                <c:pt idx="1">
                  <c:v>3.0425641330285944E-22</c:v>
                </c:pt>
                <c:pt idx="2">
                  <c:v>3.0425641330285946E-21</c:v>
                </c:pt>
                <c:pt idx="3">
                  <c:v>3.0425641330285945E-20</c:v>
                </c:pt>
                <c:pt idx="4">
                  <c:v>3.042564133028594E-19</c:v>
                </c:pt>
                <c:pt idx="5">
                  <c:v>3.0425641330285944E-18</c:v>
                </c:pt>
                <c:pt idx="6">
                  <c:v>3.0425641330285947E-17</c:v>
                </c:pt>
                <c:pt idx="7">
                  <c:v>3.0425641330285943E-16</c:v>
                </c:pt>
                <c:pt idx="8">
                  <c:v>3.0425641330285943E-15</c:v>
                </c:pt>
                <c:pt idx="9">
                  <c:v>3.0425641330285943E-14</c:v>
                </c:pt>
                <c:pt idx="10">
                  <c:v>3.0425641330285947E-13</c:v>
                </c:pt>
                <c:pt idx="11">
                  <c:v>3.0425641330285947E-12</c:v>
                </c:pt>
                <c:pt idx="12">
                  <c:v>3.0425641330285945E-11</c:v>
                </c:pt>
                <c:pt idx="13">
                  <c:v>3.0425641330285947E-10</c:v>
                </c:pt>
                <c:pt idx="14">
                  <c:v>3.0425641330285947E-9</c:v>
                </c:pt>
                <c:pt idx="15">
                  <c:v>3.0425641330285945E-8</c:v>
                </c:pt>
                <c:pt idx="16">
                  <c:v>3.0425641330285945E-7</c:v>
                </c:pt>
                <c:pt idx="17">
                  <c:v>3.0425641330285943E-6</c:v>
                </c:pt>
                <c:pt idx="18">
                  <c:v>3.0425641330285943E-5</c:v>
                </c:pt>
                <c:pt idx="19">
                  <c:v>3.0425641330285942E-4</c:v>
                </c:pt>
                <c:pt idx="20">
                  <c:v>3.0425641330285944E-3</c:v>
                </c:pt>
                <c:pt idx="21">
                  <c:v>3.0425641330285944E-2</c:v>
                </c:pt>
                <c:pt idx="22">
                  <c:v>0.30425641330285946</c:v>
                </c:pt>
                <c:pt idx="23">
                  <c:v>3.0425641330285944</c:v>
                </c:pt>
                <c:pt idx="24">
                  <c:v>30.425641330285945</c:v>
                </c:pt>
                <c:pt idx="25">
                  <c:v>304.25641330285941</c:v>
                </c:pt>
                <c:pt idx="26">
                  <c:v>3042.5641330285944</c:v>
                </c:pt>
                <c:pt idx="27">
                  <c:v>30425.641330285944</c:v>
                </c:pt>
                <c:pt idx="28">
                  <c:v>304256.41330285947</c:v>
                </c:pt>
                <c:pt idx="29">
                  <c:v>3042564.1330285943</c:v>
                </c:pt>
                <c:pt idx="30">
                  <c:v>30425641.330285944</c:v>
                </c:pt>
              </c:numCache>
            </c:numRef>
          </c:xVal>
          <c:yVal>
            <c:numRef>
              <c:f>'Mastercurve bestimmen'!$L$404:$L$434</c:f>
              <c:numCache>
                <c:formatCode>0.00E+00</c:formatCode>
                <c:ptCount val="31"/>
                <c:pt idx="0">
                  <c:v>6524.0904126194901</c:v>
                </c:pt>
                <c:pt idx="1">
                  <c:v>6524.1443595856636</c:v>
                </c:pt>
                <c:pt idx="2">
                  <c:v>6524.1111351538066</c:v>
                </c:pt>
                <c:pt idx="3">
                  <c:v>6524.1012603146964</c:v>
                </c:pt>
                <c:pt idx="4">
                  <c:v>6524.0981470711258</c:v>
                </c:pt>
                <c:pt idx="5">
                  <c:v>6524.0971012165301</c:v>
                </c:pt>
                <c:pt idx="6">
                  <c:v>6524.0967607058046</c:v>
                </c:pt>
                <c:pt idx="7">
                  <c:v>6524.0967120614177</c:v>
                </c:pt>
                <c:pt idx="8">
                  <c:v>6524.0963715507314</c:v>
                </c:pt>
                <c:pt idx="9">
                  <c:v>6524.0939393325853</c:v>
                </c:pt>
                <c:pt idx="10">
                  <c:v>6524.06939835293</c:v>
                </c:pt>
                <c:pt idx="11">
                  <c:v>6523.8242419120506</c:v>
                </c:pt>
                <c:pt idx="12">
                  <c:v>6521.3925487999713</c:v>
                </c:pt>
                <c:pt idx="13">
                  <c:v>6498.8766153292054</c:v>
                </c:pt>
                <c:pt idx="14">
                  <c:v>6376.7108933957061</c:v>
                </c:pt>
                <c:pt idx="15">
                  <c:v>6230.3639399807598</c:v>
                </c:pt>
                <c:pt idx="16">
                  <c:v>6066.3152248046426</c:v>
                </c:pt>
                <c:pt idx="17">
                  <c:v>5850.8000974148181</c:v>
                </c:pt>
                <c:pt idx="18">
                  <c:v>5524.1383776461034</c:v>
                </c:pt>
                <c:pt idx="19">
                  <c:v>5037.8540321693981</c:v>
                </c:pt>
                <c:pt idx="20">
                  <c:v>4531.1485912762591</c:v>
                </c:pt>
                <c:pt idx="21">
                  <c:v>4100.3073895013431</c:v>
                </c:pt>
                <c:pt idx="22">
                  <c:v>3736.9018653482362</c:v>
                </c:pt>
                <c:pt idx="23">
                  <c:v>3408.8002756648089</c:v>
                </c:pt>
                <c:pt idx="24">
                  <c:v>3078.2308446927527</c:v>
                </c:pt>
                <c:pt idx="25">
                  <c:v>2685.2498641877337</c:v>
                </c:pt>
                <c:pt idx="26">
                  <c:v>2228.0957655931211</c:v>
                </c:pt>
                <c:pt idx="27">
                  <c:v>1704.9584752004923</c:v>
                </c:pt>
                <c:pt idx="28">
                  <c:v>1135.4901421385146</c:v>
                </c:pt>
                <c:pt idx="29">
                  <c:v>680.51042901870051</c:v>
                </c:pt>
                <c:pt idx="30">
                  <c:v>389.33964903055204</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2.1576900720265182E-20</c:v>
                </c:pt>
                <c:pt idx="1">
                  <c:v>2.1576900720265182E-19</c:v>
                </c:pt>
                <c:pt idx="2">
                  <c:v>2.1576900720265181E-18</c:v>
                </c:pt>
                <c:pt idx="3">
                  <c:v>2.157690072026518E-17</c:v>
                </c:pt>
                <c:pt idx="4">
                  <c:v>2.1576900720265178E-16</c:v>
                </c:pt>
                <c:pt idx="5">
                  <c:v>2.1576900720265179E-15</c:v>
                </c:pt>
                <c:pt idx="6">
                  <c:v>2.1576900720265181E-14</c:v>
                </c:pt>
                <c:pt idx="7">
                  <c:v>2.1576900720265181E-13</c:v>
                </c:pt>
                <c:pt idx="8">
                  <c:v>2.1576900720265178E-12</c:v>
                </c:pt>
                <c:pt idx="9">
                  <c:v>2.1576900720265181E-11</c:v>
                </c:pt>
                <c:pt idx="10">
                  <c:v>2.1576900720265183E-10</c:v>
                </c:pt>
                <c:pt idx="11">
                  <c:v>2.157690072026518E-9</c:v>
                </c:pt>
                <c:pt idx="12">
                  <c:v>2.1576900720265182E-8</c:v>
                </c:pt>
                <c:pt idx="13">
                  <c:v>2.1576900720265182E-7</c:v>
                </c:pt>
                <c:pt idx="14">
                  <c:v>2.1576900720265182E-6</c:v>
                </c:pt>
                <c:pt idx="15">
                  <c:v>2.157690072026518E-5</c:v>
                </c:pt>
                <c:pt idx="16">
                  <c:v>2.1576900720265182E-4</c:v>
                </c:pt>
                <c:pt idx="17">
                  <c:v>2.1576900720265179E-3</c:v>
                </c:pt>
                <c:pt idx="18">
                  <c:v>2.157690072026518E-2</c:v>
                </c:pt>
                <c:pt idx="19">
                  <c:v>0.2157690072026518</c:v>
                </c:pt>
                <c:pt idx="20">
                  <c:v>2.1576900720265182</c:v>
                </c:pt>
                <c:pt idx="21">
                  <c:v>21.576900720265179</c:v>
                </c:pt>
                <c:pt idx="22">
                  <c:v>215.76900720265181</c:v>
                </c:pt>
                <c:pt idx="23">
                  <c:v>2157.690072026518</c:v>
                </c:pt>
                <c:pt idx="24">
                  <c:v>21576.900720265181</c:v>
                </c:pt>
                <c:pt idx="25">
                  <c:v>215769.00720265182</c:v>
                </c:pt>
                <c:pt idx="26">
                  <c:v>2157690.0720265182</c:v>
                </c:pt>
                <c:pt idx="27">
                  <c:v>21576900.72026518</c:v>
                </c:pt>
                <c:pt idx="28">
                  <c:v>215769007.2026518</c:v>
                </c:pt>
                <c:pt idx="29">
                  <c:v>2157690072.0265179</c:v>
                </c:pt>
                <c:pt idx="30">
                  <c:v>21576900720.265179</c:v>
                </c:pt>
              </c:numCache>
            </c:numRef>
          </c:xVal>
          <c:yVal>
            <c:numRef>
              <c:f>'Mastercurve bestimmen'!$M$404:$M$434</c:f>
              <c:numCache>
                <c:formatCode>0.00E+00</c:formatCode>
                <c:ptCount val="31"/>
                <c:pt idx="0">
                  <c:v>6503.9509699618966</c:v>
                </c:pt>
                <c:pt idx="1">
                  <c:v>6504.0043184804708</c:v>
                </c:pt>
                <c:pt idx="2">
                  <c:v>6503.9713230315656</c:v>
                </c:pt>
                <c:pt idx="3">
                  <c:v>6503.9615090652051</c:v>
                </c:pt>
                <c:pt idx="4">
                  <c:v>6503.9584150129849</c:v>
                </c:pt>
                <c:pt idx="5">
                  <c:v>6503.9573030886877</c:v>
                </c:pt>
                <c:pt idx="6">
                  <c:v>6503.9546441408229</c:v>
                </c:pt>
                <c:pt idx="7">
                  <c:v>6503.932647473689</c:v>
                </c:pt>
                <c:pt idx="8">
                  <c:v>6503.7133657579243</c:v>
                </c:pt>
                <c:pt idx="9">
                  <c:v>6501.5374241274303</c:v>
                </c:pt>
                <c:pt idx="10">
                  <c:v>6481.233154233405</c:v>
                </c:pt>
                <c:pt idx="11">
                  <c:v>6364.7007036045688</c:v>
                </c:pt>
                <c:pt idx="12">
                  <c:v>6219.55344224686</c:v>
                </c:pt>
                <c:pt idx="13">
                  <c:v>6059.9785511387736</c:v>
                </c:pt>
                <c:pt idx="14">
                  <c:v>5870.6317266704709</c:v>
                </c:pt>
                <c:pt idx="15">
                  <c:v>5669.1325406322439</c:v>
                </c:pt>
                <c:pt idx="16">
                  <c:v>5423.4324257349326</c:v>
                </c:pt>
                <c:pt idx="17">
                  <c:v>5064.9009314494624</c:v>
                </c:pt>
                <c:pt idx="18">
                  <c:v>4580.1850776889687</c:v>
                </c:pt>
                <c:pt idx="19">
                  <c:v>4085.8663253030418</c:v>
                </c:pt>
                <c:pt idx="20">
                  <c:v>3641.7022773125063</c:v>
                </c:pt>
                <c:pt idx="21">
                  <c:v>3231.6591203117327</c:v>
                </c:pt>
                <c:pt idx="22">
                  <c:v>2785.7203085552951</c:v>
                </c:pt>
                <c:pt idx="23">
                  <c:v>2295.1533050928924</c:v>
                </c:pt>
                <c:pt idx="24">
                  <c:v>1754.5150163075152</c:v>
                </c:pt>
                <c:pt idx="25">
                  <c:v>1171.8757952014325</c:v>
                </c:pt>
                <c:pt idx="26">
                  <c:v>704.46209389908893</c:v>
                </c:pt>
                <c:pt idx="27">
                  <c:v>403.25761176970258</c:v>
                </c:pt>
                <c:pt idx="28">
                  <c:v>227.19076746573165</c:v>
                </c:pt>
                <c:pt idx="29">
                  <c:v>157.01371189082064</c:v>
                </c:pt>
                <c:pt idx="30">
                  <c:v>136.97082983111966</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6479.0859474371819</c:v>
                </c:pt>
                <c:pt idx="1">
                  <c:v>6479.1324839978006</c:v>
                </c:pt>
                <c:pt idx="2">
                  <c:v>6479.041978197979</c:v>
                </c:pt>
                <c:pt idx="3">
                  <c:v>6478.4539559822069</c:v>
                </c:pt>
                <c:pt idx="4">
                  <c:v>6472.7726535549082</c:v>
                </c:pt>
                <c:pt idx="5">
                  <c:v>6425.3224026678754</c:v>
                </c:pt>
                <c:pt idx="6">
                  <c:v>6280.1372572444334</c:v>
                </c:pt>
                <c:pt idx="7">
                  <c:v>6130.7451181848783</c:v>
                </c:pt>
                <c:pt idx="8">
                  <c:v>5959.459898848826</c:v>
                </c:pt>
                <c:pt idx="9">
                  <c:v>5758.6320512376351</c:v>
                </c:pt>
                <c:pt idx="10">
                  <c:v>5553.7107715147085</c:v>
                </c:pt>
                <c:pt idx="11">
                  <c:v>5296.2160470219478</c:v>
                </c:pt>
                <c:pt idx="12">
                  <c:v>5014.3504980568096</c:v>
                </c:pt>
                <c:pt idx="13">
                  <c:v>4737.7084148388376</c:v>
                </c:pt>
                <c:pt idx="14">
                  <c:v>4438.626264954587</c:v>
                </c:pt>
                <c:pt idx="15">
                  <c:v>4115.3629839514006</c:v>
                </c:pt>
                <c:pt idx="16">
                  <c:v>3662.5886079597385</c:v>
                </c:pt>
                <c:pt idx="17">
                  <c:v>3039.7716426269371</c:v>
                </c:pt>
                <c:pt idx="18">
                  <c:v>2356.5178874385392</c:v>
                </c:pt>
                <c:pt idx="19">
                  <c:v>1664.6092730189016</c:v>
                </c:pt>
                <c:pt idx="20">
                  <c:v>1039.9214556238178</c:v>
                </c:pt>
                <c:pt idx="21">
                  <c:v>595.89522173414423</c:v>
                </c:pt>
                <c:pt idx="22">
                  <c:v>331.71701217899948</c:v>
                </c:pt>
                <c:pt idx="23">
                  <c:v>192.72704730170403</c:v>
                </c:pt>
                <c:pt idx="24">
                  <c:v>148.89299884614732</c:v>
                </c:pt>
                <c:pt idx="25">
                  <c:v>134.12130031566326</c:v>
                </c:pt>
                <c:pt idx="26">
                  <c:v>124.90206072555479</c:v>
                </c:pt>
                <c:pt idx="27">
                  <c:v>124.64007063602084</c:v>
                </c:pt>
                <c:pt idx="28">
                  <c:v>123.89500698166064</c:v>
                </c:pt>
                <c:pt idx="29">
                  <c:v>123.88320178471095</c:v>
                </c:pt>
                <c:pt idx="30">
                  <c:v>123.47472292148701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2.3250062750322023E-7</c:v>
                </c:pt>
                <c:pt idx="1">
                  <c:v>2.3250062750322023E-6</c:v>
                </c:pt>
                <c:pt idx="2">
                  <c:v>2.3250062750322021E-5</c:v>
                </c:pt>
                <c:pt idx="3">
                  <c:v>2.3250062750322019E-4</c:v>
                </c:pt>
                <c:pt idx="4">
                  <c:v>2.325006275032202E-3</c:v>
                </c:pt>
                <c:pt idx="5">
                  <c:v>2.3250062750322022E-2</c:v>
                </c:pt>
                <c:pt idx="6">
                  <c:v>0.23250062750322023</c:v>
                </c:pt>
                <c:pt idx="7">
                  <c:v>2.325006275032202</c:v>
                </c:pt>
                <c:pt idx="8">
                  <c:v>23.250062750322019</c:v>
                </c:pt>
                <c:pt idx="9">
                  <c:v>232.50062750322019</c:v>
                </c:pt>
                <c:pt idx="10">
                  <c:v>2325.0062750322022</c:v>
                </c:pt>
                <c:pt idx="11">
                  <c:v>23250.06275032202</c:v>
                </c:pt>
                <c:pt idx="12">
                  <c:v>232500.62750322022</c:v>
                </c:pt>
                <c:pt idx="13">
                  <c:v>2325006.2750322022</c:v>
                </c:pt>
                <c:pt idx="14">
                  <c:v>23250062.750322022</c:v>
                </c:pt>
                <c:pt idx="15">
                  <c:v>232500627.5032202</c:v>
                </c:pt>
                <c:pt idx="16">
                  <c:v>2325006275.0322022</c:v>
                </c:pt>
                <c:pt idx="17">
                  <c:v>23250062750.322021</c:v>
                </c:pt>
                <c:pt idx="18">
                  <c:v>232500627503.22021</c:v>
                </c:pt>
                <c:pt idx="19">
                  <c:v>2325006275032.2021</c:v>
                </c:pt>
                <c:pt idx="20">
                  <c:v>23250062750322.02</c:v>
                </c:pt>
                <c:pt idx="21">
                  <c:v>232500627503220.22</c:v>
                </c:pt>
                <c:pt idx="22">
                  <c:v>2325006275032202</c:v>
                </c:pt>
                <c:pt idx="23">
                  <c:v>2.325006275032202E+16</c:v>
                </c:pt>
                <c:pt idx="24">
                  <c:v>2.3250062750322019E+17</c:v>
                </c:pt>
                <c:pt idx="25">
                  <c:v>2.3250062750322022E+18</c:v>
                </c:pt>
                <c:pt idx="26">
                  <c:v>2.325006275032202E+19</c:v>
                </c:pt>
                <c:pt idx="27">
                  <c:v>2.325006275032202E+20</c:v>
                </c:pt>
                <c:pt idx="28">
                  <c:v>2.3250062750322021E+21</c:v>
                </c:pt>
                <c:pt idx="29">
                  <c:v>2.3250062750322019E+22</c:v>
                </c:pt>
                <c:pt idx="30">
                  <c:v>2.325006275032202E+23</c:v>
                </c:pt>
              </c:numCache>
            </c:numRef>
          </c:xVal>
          <c:yVal>
            <c:numRef>
              <c:f>'Mastercurve bestimmen'!$O$404:$O$434</c:f>
              <c:numCache>
                <c:formatCode>0.00E+00</c:formatCode>
                <c:ptCount val="31"/>
                <c:pt idx="0">
                  <c:v>5863.6829549380891</c:v>
                </c:pt>
                <c:pt idx="1">
                  <c:v>5609.1927579282792</c:v>
                </c:pt>
                <c:pt idx="2">
                  <c:v>5370.7345311781783</c:v>
                </c:pt>
                <c:pt idx="3">
                  <c:v>5097.9534912421213</c:v>
                </c:pt>
                <c:pt idx="4">
                  <c:v>4821.046341164677</c:v>
                </c:pt>
                <c:pt idx="5">
                  <c:v>4535.3452020984814</c:v>
                </c:pt>
                <c:pt idx="6">
                  <c:v>4228.4929725950406</c:v>
                </c:pt>
                <c:pt idx="7">
                  <c:v>3871.0057883923755</c:v>
                </c:pt>
                <c:pt idx="8">
                  <c:v>3401.7561264704505</c:v>
                </c:pt>
                <c:pt idx="9">
                  <c:v>2827.0529060658037</c:v>
                </c:pt>
                <c:pt idx="10">
                  <c:v>2150.7951483518323</c:v>
                </c:pt>
                <c:pt idx="11">
                  <c:v>1410.5199057082755</c:v>
                </c:pt>
                <c:pt idx="12">
                  <c:v>826.67973456797017</c:v>
                </c:pt>
                <c:pt idx="13">
                  <c:v>463.10914863390207</c:v>
                </c:pt>
                <c:pt idx="14">
                  <c:v>257.27368574751409</c:v>
                </c:pt>
                <c:pt idx="15">
                  <c:v>179.98076982609024</c:v>
                </c:pt>
                <c:pt idx="16">
                  <c:v>157.55849658546879</c:v>
                </c:pt>
                <c:pt idx="17">
                  <c:v>143.13037816485394</c:v>
                </c:pt>
                <c:pt idx="18">
                  <c:v>139.03929298884987</c:v>
                </c:pt>
                <c:pt idx="19">
                  <c:v>135.60631839895524</c:v>
                </c:pt>
                <c:pt idx="20">
                  <c:v>132.22937471479068</c:v>
                </c:pt>
                <c:pt idx="21">
                  <c:v>129.58780540541244</c:v>
                </c:pt>
                <c:pt idx="22">
                  <c:v>127.7135675720335</c:v>
                </c:pt>
                <c:pt idx="23">
                  <c:v>126.4367312836393</c:v>
                </c:pt>
                <c:pt idx="24">
                  <c:v>125.52960401951817</c:v>
                </c:pt>
                <c:pt idx="25">
                  <c:v>124.83927834622055</c:v>
                </c:pt>
                <c:pt idx="26">
                  <c:v>124.70417941781746</c:v>
                </c:pt>
                <c:pt idx="27">
                  <c:v>123.9260383626436</c:v>
                </c:pt>
                <c:pt idx="28">
                  <c:v>123.91358498832378</c:v>
                </c:pt>
                <c:pt idx="29">
                  <c:v>123.65466987195585</c:v>
                </c:pt>
                <c:pt idx="30">
                  <c:v>123.64094316844046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1.6426142449134175E-5</c:v>
                </c:pt>
                <c:pt idx="1">
                  <c:v>1.6426142449134175E-4</c:v>
                </c:pt>
                <c:pt idx="2">
                  <c:v>1.6426142449134176E-3</c:v>
                </c:pt>
                <c:pt idx="3">
                  <c:v>1.6426142449134176E-2</c:v>
                </c:pt>
                <c:pt idx="4">
                  <c:v>0.16426142449134173</c:v>
                </c:pt>
                <c:pt idx="5">
                  <c:v>1.6426142449134176</c:v>
                </c:pt>
                <c:pt idx="6">
                  <c:v>16.426142449134176</c:v>
                </c:pt>
                <c:pt idx="7">
                  <c:v>164.26142449134176</c:v>
                </c:pt>
                <c:pt idx="8">
                  <c:v>1642.6142449134175</c:v>
                </c:pt>
                <c:pt idx="9">
                  <c:v>16426.142449134175</c:v>
                </c:pt>
                <c:pt idx="10">
                  <c:v>164261.42449134175</c:v>
                </c:pt>
                <c:pt idx="11">
                  <c:v>1642614.2449134176</c:v>
                </c:pt>
                <c:pt idx="12">
                  <c:v>16426142.449134175</c:v>
                </c:pt>
                <c:pt idx="13">
                  <c:v>164261424.49134174</c:v>
                </c:pt>
                <c:pt idx="14">
                  <c:v>1642614244.9134176</c:v>
                </c:pt>
                <c:pt idx="15">
                  <c:v>16426142449.134174</c:v>
                </c:pt>
                <c:pt idx="16">
                  <c:v>164261424491.34174</c:v>
                </c:pt>
                <c:pt idx="17">
                  <c:v>1642614244913.4175</c:v>
                </c:pt>
                <c:pt idx="18">
                  <c:v>16426142449134.176</c:v>
                </c:pt>
                <c:pt idx="19">
                  <c:v>164261424491341.75</c:v>
                </c:pt>
                <c:pt idx="20">
                  <c:v>1642614244913417.5</c:v>
                </c:pt>
                <c:pt idx="21">
                  <c:v>1.6426142449134174E+16</c:v>
                </c:pt>
                <c:pt idx="22">
                  <c:v>1.6426142449134176E+17</c:v>
                </c:pt>
                <c:pt idx="23">
                  <c:v>1.6426142449134175E+18</c:v>
                </c:pt>
                <c:pt idx="24">
                  <c:v>1.6426142449134174E+19</c:v>
                </c:pt>
                <c:pt idx="25">
                  <c:v>1.6426142449134174E+20</c:v>
                </c:pt>
                <c:pt idx="26">
                  <c:v>1.6426142449134176E+21</c:v>
                </c:pt>
                <c:pt idx="27">
                  <c:v>1.6426142449134176E+22</c:v>
                </c:pt>
                <c:pt idx="28">
                  <c:v>1.6426142449134174E+23</c:v>
                </c:pt>
                <c:pt idx="29">
                  <c:v>1.6426142449134176E+24</c:v>
                </c:pt>
                <c:pt idx="30">
                  <c:v>1.6426142449134175E+25</c:v>
                </c:pt>
              </c:numCache>
            </c:numRef>
          </c:xVal>
          <c:yVal>
            <c:numRef>
              <c:f>'Mastercurve bestimmen'!$P$404:$P$434</c:f>
              <c:numCache>
                <c:formatCode>0.00E+00</c:formatCode>
                <c:ptCount val="31"/>
                <c:pt idx="0">
                  <c:v>5469.0375175567433</c:v>
                </c:pt>
                <c:pt idx="1">
                  <c:v>5144.4254375399241</c:v>
                </c:pt>
                <c:pt idx="2">
                  <c:v>4859.4796757955091</c:v>
                </c:pt>
                <c:pt idx="3">
                  <c:v>4579.0872874253573</c:v>
                </c:pt>
                <c:pt idx="4">
                  <c:v>4274.6287252900811</c:v>
                </c:pt>
                <c:pt idx="5">
                  <c:v>3938.1560081824523</c:v>
                </c:pt>
                <c:pt idx="6">
                  <c:v>3491.5925245283374</c:v>
                </c:pt>
                <c:pt idx="7">
                  <c:v>2939.5473684961994</c:v>
                </c:pt>
                <c:pt idx="8">
                  <c:v>2290.3210430692648</c:v>
                </c:pt>
                <c:pt idx="9">
                  <c:v>1556.8723374202477</c:v>
                </c:pt>
                <c:pt idx="10">
                  <c:v>939.61789874376836</c:v>
                </c:pt>
                <c:pt idx="11">
                  <c:v>532.22470015904992</c:v>
                </c:pt>
                <c:pt idx="12">
                  <c:v>294.61415856723238</c:v>
                </c:pt>
                <c:pt idx="13">
                  <c:v>191.85627557437303</c:v>
                </c:pt>
                <c:pt idx="14">
                  <c:v>162.27843823453597</c:v>
                </c:pt>
                <c:pt idx="15">
                  <c:v>147.30961753431595</c:v>
                </c:pt>
                <c:pt idx="16">
                  <c:v>142.06591803394016</c:v>
                </c:pt>
                <c:pt idx="17">
                  <c:v>140.2404472955443</c:v>
                </c:pt>
                <c:pt idx="18">
                  <c:v>137.13168564571805</c:v>
                </c:pt>
                <c:pt idx="19">
                  <c:v>133.5914564553571</c:v>
                </c:pt>
                <c:pt idx="20">
                  <c:v>130.60597118111332</c:v>
                </c:pt>
                <c:pt idx="21">
                  <c:v>128.42317853149575</c:v>
                </c:pt>
                <c:pt idx="22">
                  <c:v>126.92571513683149</c:v>
                </c:pt>
                <c:pt idx="23">
                  <c:v>125.87891264299097</c:v>
                </c:pt>
                <c:pt idx="24">
                  <c:v>125.11103067782525</c:v>
                </c:pt>
                <c:pt idx="25">
                  <c:v>124.96985459314666</c:v>
                </c:pt>
                <c:pt idx="26">
                  <c:v>124.77108605330615</c:v>
                </c:pt>
                <c:pt idx="27">
                  <c:v>123.93614365125383</c:v>
                </c:pt>
                <c:pt idx="28">
                  <c:v>123.92285545904397</c:v>
                </c:pt>
                <c:pt idx="29">
                  <c:v>123.48008539289999</c:v>
                </c:pt>
                <c:pt idx="30">
                  <c:v>123.46865182434244</c:v>
                </c:pt>
              </c:numCache>
            </c:numRef>
          </c:yVal>
          <c:smooth val="1"/>
        </c:ser>
        <c:dLbls>
          <c:showLegendKey val="0"/>
          <c:showVal val="0"/>
          <c:showCatName val="0"/>
          <c:showSerName val="0"/>
          <c:showPercent val="0"/>
          <c:showBubbleSize val="0"/>
        </c:dLbls>
        <c:axId val="663524288"/>
        <c:axId val="663527032"/>
      </c:scatterChart>
      <c:valAx>
        <c:axId val="663524288"/>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3527032"/>
        <c:crosses val="autoZero"/>
        <c:crossBetween val="midCat"/>
      </c:valAx>
      <c:valAx>
        <c:axId val="6635270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3524288"/>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-24.635258353926584</c:v>
                </c:pt>
                <c:pt idx="1">
                  <c:v>-24.575080231860515</c:v>
                </c:pt>
                <c:pt idx="2">
                  <c:v>-24.514835241768203</c:v>
                </c:pt>
                <c:pt idx="3">
                  <c:v>-24.454456515623409</c:v>
                </c:pt>
                <c:pt idx="4">
                  <c:v>-24.393877185399891</c:v>
                </c:pt>
                <c:pt idx="5">
                  <c:v>-24.333030383071407</c:v>
                </c:pt>
                <c:pt idx="6">
                  <c:v>-24.271849240611715</c:v>
                </c:pt>
                <c:pt idx="7">
                  <c:v>-24.210266889994568</c:v>
                </c:pt>
                <c:pt idx="8">
                  <c:v>-24.148216463193734</c:v>
                </c:pt>
                <c:pt idx="9">
                  <c:v>-24.085631092182965</c:v>
                </c:pt>
                <c:pt idx="10">
                  <c:v>-24.022443908936019</c:v>
                </c:pt>
                <c:pt idx="11">
                  <c:v>-23.958588045426662</c:v>
                </c:pt>
                <c:pt idx="12">
                  <c:v>-23.893996633628642</c:v>
                </c:pt>
                <c:pt idx="13">
                  <c:v>-23.828602805515725</c:v>
                </c:pt>
                <c:pt idx="14">
                  <c:v>-23.762339693061666</c:v>
                </c:pt>
                <c:pt idx="15">
                  <c:v>-23.695140428240222</c:v>
                </c:pt>
                <c:pt idx="16">
                  <c:v>-23.626938143025153</c:v>
                </c:pt>
                <c:pt idx="17">
                  <c:v>-23.557665969390222</c:v>
                </c:pt>
                <c:pt idx="18">
                  <c:v>-23.487257039309178</c:v>
                </c:pt>
                <c:pt idx="19">
                  <c:v>-23.415644484755784</c:v>
                </c:pt>
                <c:pt idx="20">
                  <c:v>-23.3427614377038</c:v>
                </c:pt>
                <c:pt idx="21">
                  <c:v>-23.268541030126986</c:v>
                </c:pt>
                <c:pt idx="22">
                  <c:v>-23.192916393999091</c:v>
                </c:pt>
                <c:pt idx="23">
                  <c:v>-23.115820661293881</c:v>
                </c:pt>
                <c:pt idx="24">
                  <c:v>-23.037186963985118</c:v>
                </c:pt>
                <c:pt idx="25">
                  <c:v>-22.956948434046552</c:v>
                </c:pt>
                <c:pt idx="26">
                  <c:v>-22.875038203451943</c:v>
                </c:pt>
                <c:pt idx="27">
                  <c:v>-22.79138940417505</c:v>
                </c:pt>
                <c:pt idx="28">
                  <c:v>-22.705935168189637</c:v>
                </c:pt>
                <c:pt idx="29">
                  <c:v>-22.618608627469456</c:v>
                </c:pt>
                <c:pt idx="30">
                  <c:v>-22.529342913988263</c:v>
                </c:pt>
                <c:pt idx="31">
                  <c:v>-22.438071159719822</c:v>
                </c:pt>
                <c:pt idx="32">
                  <c:v>-22.34472649663789</c:v>
                </c:pt>
                <c:pt idx="33">
                  <c:v>-22.249242056716227</c:v>
                </c:pt>
                <c:pt idx="34">
                  <c:v>-22.151550971928589</c:v>
                </c:pt>
                <c:pt idx="35">
                  <c:v>-22.051586374248732</c:v>
                </c:pt>
                <c:pt idx="36">
                  <c:v>-21.949281395650416</c:v>
                </c:pt>
                <c:pt idx="37">
                  <c:v>-21.844569168107405</c:v>
                </c:pt>
                <c:pt idx="38">
                  <c:v>-21.737382823593446</c:v>
                </c:pt>
                <c:pt idx="39">
                  <c:v>-21.627655494082312</c:v>
                </c:pt>
                <c:pt idx="40">
                  <c:v>-21.51532031154775</c:v>
                </c:pt>
                <c:pt idx="41">
                  <c:v>-21.386133303597717</c:v>
                </c:pt>
                <c:pt idx="42">
                  <c:v>-21.254204171260067</c:v>
                </c:pt>
                <c:pt idx="43">
                  <c:v>-21.119465511196868</c:v>
                </c:pt>
                <c:pt idx="44">
                  <c:v>-20.981849920070161</c:v>
                </c:pt>
                <c:pt idx="45">
                  <c:v>-20.841289994542006</c:v>
                </c:pt>
                <c:pt idx="46">
                  <c:v>-20.697718331274459</c:v>
                </c:pt>
                <c:pt idx="47">
                  <c:v>-20.551067526929572</c:v>
                </c:pt>
                <c:pt idx="48">
                  <c:v>-20.401270178169401</c:v>
                </c:pt>
                <c:pt idx="49">
                  <c:v>-20.248258881656</c:v>
                </c:pt>
                <c:pt idx="50">
                  <c:v>-20.091966234051419</c:v>
                </c:pt>
                <c:pt idx="51">
                  <c:v>-19.932324832017724</c:v>
                </c:pt>
                <c:pt idx="52">
                  <c:v>-19.769267272216958</c:v>
                </c:pt>
                <c:pt idx="53">
                  <c:v>-19.602726151311181</c:v>
                </c:pt>
                <c:pt idx="54">
                  <c:v>-19.432634065962446</c:v>
                </c:pt>
                <c:pt idx="55">
                  <c:v>-19.25892361283281</c:v>
                </c:pt>
                <c:pt idx="56">
                  <c:v>-19.08152738858432</c:v>
                </c:pt>
                <c:pt idx="57">
                  <c:v>-18.90037798987904</c:v>
                </c:pt>
                <c:pt idx="58">
                  <c:v>-18.715408013379019</c:v>
                </c:pt>
                <c:pt idx="59">
                  <c:v>-18.526550055746313</c:v>
                </c:pt>
                <c:pt idx="60">
                  <c:v>-18.333736713642978</c:v>
                </c:pt>
                <c:pt idx="61">
                  <c:v>-18.136900583731066</c:v>
                </c:pt>
                <c:pt idx="62">
                  <c:v>-17.93597426267263</c:v>
                </c:pt>
                <c:pt idx="63">
                  <c:v>-17.73089034712973</c:v>
                </c:pt>
                <c:pt idx="64">
                  <c:v>-17.521581433764418</c:v>
                </c:pt>
                <c:pt idx="65">
                  <c:v>-17.307980119238746</c:v>
                </c:pt>
                <c:pt idx="66">
                  <c:v>-17.090042560221882</c:v>
                </c:pt>
                <c:pt idx="67">
                  <c:v>-16.867819153411435</c:v>
                </c:pt>
                <c:pt idx="68">
                  <c:v>-16.641383855512128</c:v>
                </c:pt>
                <c:pt idx="69">
                  <c:v>-16.410810623228684</c:v>
                </c:pt>
                <c:pt idx="70">
                  <c:v>-16.176173413265815</c:v>
                </c:pt>
                <c:pt idx="71">
                  <c:v>-15.937546182328253</c:v>
                </c:pt>
                <c:pt idx="72">
                  <c:v>-15.695002887120713</c:v>
                </c:pt>
                <c:pt idx="73">
                  <c:v>-15.448617484347915</c:v>
                </c:pt>
                <c:pt idx="74">
                  <c:v>-15.198463930714585</c:v>
                </c:pt>
                <c:pt idx="75">
                  <c:v>-14.944616182925444</c:v>
                </c:pt>
                <c:pt idx="76">
                  <c:v>-14.687148197685204</c:v>
                </c:pt>
                <c:pt idx="77">
                  <c:v>-14.426133931698597</c:v>
                </c:pt>
                <c:pt idx="78">
                  <c:v>-14.16164734167034</c:v>
                </c:pt>
                <c:pt idx="79">
                  <c:v>-13.893762384305155</c:v>
                </c:pt>
                <c:pt idx="80">
                  <c:v>-13.622553016307759</c:v>
                </c:pt>
                <c:pt idx="81">
                  <c:v>-13.34809319438288</c:v>
                </c:pt>
                <c:pt idx="82">
                  <c:v>-13.070456875235234</c:v>
                </c:pt>
                <c:pt idx="83">
                  <c:v>-12.789718015569541</c:v>
                </c:pt>
                <c:pt idx="84">
                  <c:v>-12.50595057209053</c:v>
                </c:pt>
                <c:pt idx="85">
                  <c:v>-12.219228501502913</c:v>
                </c:pt>
                <c:pt idx="86">
                  <c:v>-11.929625760511417</c:v>
                </c:pt>
                <c:pt idx="87">
                  <c:v>-11.637216305820759</c:v>
                </c:pt>
                <c:pt idx="88">
                  <c:v>-11.342074094135663</c:v>
                </c:pt>
                <c:pt idx="89">
                  <c:v>-11.044273082160849</c:v>
                </c:pt>
                <c:pt idx="90">
                  <c:v>-10.743887226601041</c:v>
                </c:pt>
                <c:pt idx="91">
                  <c:v>-10.440957255103614</c:v>
                </c:pt>
                <c:pt idx="92">
                  <c:v>-10.135390979086589</c:v>
                </c:pt>
                <c:pt idx="93">
                  <c:v>-9.8270629809106431</c:v>
                </c:pt>
                <c:pt idx="94">
                  <c:v>-9.5158478429364504</c:v>
                </c:pt>
                <c:pt idx="95">
                  <c:v>-9.2016201475246877</c:v>
                </c:pt>
                <c:pt idx="96">
                  <c:v>-8.8842544770360359</c:v>
                </c:pt>
                <c:pt idx="97">
                  <c:v>-8.5636254138311649</c:v>
                </c:pt>
                <c:pt idx="98">
                  <c:v>-8.2396075402707591</c:v>
                </c:pt>
                <c:pt idx="99">
                  <c:v>-7.9120754387154886</c:v>
                </c:pt>
                <c:pt idx="100">
                  <c:v>-7.5809036915260339</c:v>
                </c:pt>
                <c:pt idx="101">
                  <c:v>-7.2459668810630689</c:v>
                </c:pt>
                <c:pt idx="102">
                  <c:v>-6.9071395896872723</c:v>
                </c:pt>
                <c:pt idx="103">
                  <c:v>-6.5642963997593196</c:v>
                </c:pt>
                <c:pt idx="104">
                  <c:v>-6.2173118936398888</c:v>
                </c:pt>
                <c:pt idx="105">
                  <c:v>-5.8660606536896553</c:v>
                </c:pt>
                <c:pt idx="106">
                  <c:v>-5.5104172622692955</c:v>
                </c:pt>
                <c:pt idx="107">
                  <c:v>-5.1502563017394873</c:v>
                </c:pt>
                <c:pt idx="108">
                  <c:v>-4.7854523544609071</c:v>
                </c:pt>
                <c:pt idx="109">
                  <c:v>-4.4158800027942311</c:v>
                </c:pt>
                <c:pt idx="110">
                  <c:v>-4.0414138291001356</c:v>
                </c:pt>
                <c:pt idx="111">
                  <c:v>-3.6619284157392982</c:v>
                </c:pt>
                <c:pt idx="112">
                  <c:v>-3.2772983450723947</c:v>
                </c:pt>
                <c:pt idx="113">
                  <c:v>-2.8873981994601023</c:v>
                </c:pt>
                <c:pt idx="114">
                  <c:v>-2.4921025612630974</c:v>
                </c:pt>
                <c:pt idx="115">
                  <c:v>-2.0912860128420574</c:v>
                </c:pt>
                <c:pt idx="116">
                  <c:v>-1.6848231365576574</c:v>
                </c:pt>
                <c:pt idx="117">
                  <c:v>-1.2725885147705751</c:v>
                </c:pt>
                <c:pt idx="118">
                  <c:v>-0.85445672984148702</c:v>
                </c:pt>
                <c:pt idx="119">
                  <c:v>-0.43030236413106987</c:v>
                </c:pt>
                <c:pt idx="120">
                  <c:v>-1.1102230246251565E-16</c:v>
                </c:pt>
                <c:pt idx="121">
                  <c:v>0.43648254531268127</c:v>
                </c:pt>
                <c:pt idx="122">
                  <c:v>0.87880451505447366</c:v>
                </c:pt>
                <c:pt idx="123">
                  <c:v>1.3265319175945136</c:v>
                </c:pt>
                <c:pt idx="124">
                  <c:v>1.7792307613019362</c:v>
                </c:pt>
                <c:pt idx="125">
                  <c:v>2.2364670545458774</c:v>
                </c:pt>
                <c:pt idx="126">
                  <c:v>2.6978068056954738</c:v>
                </c:pt>
                <c:pt idx="127">
                  <c:v>3.1628160231198597</c:v>
                </c:pt>
                <c:pt idx="128">
                  <c:v>3.6310607151881711</c:v>
                </c:pt>
                <c:pt idx="129">
                  <c:v>4.1021068902695443</c:v>
                </c:pt>
                <c:pt idx="130">
                  <c:v>4.5755205567331139</c:v>
                </c:pt>
                <c:pt idx="131">
                  <c:v>5.0508677229480181</c:v>
                </c:pt>
                <c:pt idx="132">
                  <c:v>5.5277143972833889</c:v>
                </c:pt>
                <c:pt idx="133">
                  <c:v>6.0056265881083641</c:v>
                </c:pt>
                <c:pt idx="134">
                  <c:v>6.484170303792081</c:v>
                </c:pt>
                <c:pt idx="135">
                  <c:v>6.9629115527036722</c:v>
                </c:pt>
                <c:pt idx="136">
                  <c:v>7.441416343212274</c:v>
                </c:pt>
                <c:pt idx="137">
                  <c:v>7.9192506836870233</c:v>
                </c:pt>
                <c:pt idx="138">
                  <c:v>8.3959805824970566</c:v>
                </c:pt>
                <c:pt idx="139">
                  <c:v>8.8711720480115055</c:v>
                </c:pt>
                <c:pt idx="140">
                  <c:v>9.3443910885995116</c:v>
                </c:pt>
                <c:pt idx="141">
                  <c:v>9.8152037126302076</c:v>
                </c:pt>
                <c:pt idx="142">
                  <c:v>10.283175928472726</c:v>
                </c:pt>
                <c:pt idx="143">
                  <c:v>10.747873744496207</c:v>
                </c:pt>
                <c:pt idx="144">
                  <c:v>11.208863169069787</c:v>
                </c:pt>
                <c:pt idx="145">
                  <c:v>11.665710210562597</c:v>
                </c:pt>
                <c:pt idx="146">
                  <c:v>12.117980877343776</c:v>
                </c:pt>
                <c:pt idx="147">
                  <c:v>12.565241177782458</c:v>
                </c:pt>
                <c:pt idx="148">
                  <c:v>13.007057120247783</c:v>
                </c:pt>
                <c:pt idx="149">
                  <c:v>13.442994713108881</c:v>
                </c:pt>
                <c:pt idx="150">
                  <c:v>13.87261996473489</c:v>
                </c:pt>
                <c:pt idx="151">
                  <c:v>14.295498883494943</c:v>
                </c:pt>
                <c:pt idx="152">
                  <c:v>14.711197477758184</c:v>
                </c:pt>
                <c:pt idx="153">
                  <c:v>15.119281755893741</c:v>
                </c:pt>
                <c:pt idx="154">
                  <c:v>15.519317726270749</c:v>
                </c:pt>
                <c:pt idx="155">
                  <c:v>15.910871397258351</c:v>
                </c:pt>
                <c:pt idx="156">
                  <c:v>16.293508777225675</c:v>
                </c:pt>
                <c:pt idx="157">
                  <c:v>16.666795874541862</c:v>
                </c:pt>
                <c:pt idx="158">
                  <c:v>17.030298697576043</c:v>
                </c:pt>
                <c:pt idx="159">
                  <c:v>17.38358325469736</c:v>
                </c:pt>
                <c:pt idx="160">
                  <c:v>17.72621555427494</c:v>
                </c:pt>
                <c:pt idx="161">
                  <c:v>18.057761604677928</c:v>
                </c:pt>
                <c:pt idx="162">
                  <c:v>18.377787414275456</c:v>
                </c:pt>
                <c:pt idx="163">
                  <c:v>18.685858991436657</c:v>
                </c:pt>
                <c:pt idx="164">
                  <c:v>18.98154234453067</c:v>
                </c:pt>
                <c:pt idx="165">
                  <c:v>19.264403481926628</c:v>
                </c:pt>
                <c:pt idx="166">
                  <c:v>19.53414386872895</c:v>
                </c:pt>
                <c:pt idx="167">
                  <c:v>19.791006796983179</c:v>
                </c:pt>
                <c:pt idx="168">
                  <c:v>20.035371015470147</c:v>
                </c:pt>
                <c:pt idx="169">
                  <c:v>20.267615272970676</c:v>
                </c:pt>
                <c:pt idx="170">
                  <c:v>20.488118318265588</c:v>
                </c:pt>
                <c:pt idx="171">
                  <c:v>20.697258900135715</c:v>
                </c:pt>
                <c:pt idx="172">
                  <c:v>20.895415767361882</c:v>
                </c:pt>
                <c:pt idx="173">
                  <c:v>21.082967668724912</c:v>
                </c:pt>
                <c:pt idx="174">
                  <c:v>21.260293353005636</c:v>
                </c:pt>
                <c:pt idx="175">
                  <c:v>21.427771568984877</c:v>
                </c:pt>
                <c:pt idx="176">
                  <c:v>21.585781065443463</c:v>
                </c:pt>
                <c:pt idx="177">
                  <c:v>21.734700591162223</c:v>
                </c:pt>
                <c:pt idx="178">
                  <c:v>21.874908894921976</c:v>
                </c:pt>
                <c:pt idx="179">
                  <c:v>22.00678472550355</c:v>
                </c:pt>
                <c:pt idx="180">
                  <c:v>22.130706831687782</c:v>
                </c:pt>
                <c:pt idx="181">
                  <c:v>22.247053962255485</c:v>
                </c:pt>
                <c:pt idx="182">
                  <c:v>22.356204865987486</c:v>
                </c:pt>
                <c:pt idx="183">
                  <c:v>22.458538291664617</c:v>
                </c:pt>
                <c:pt idx="184">
                  <c:v>22.554432988067706</c:v>
                </c:pt>
                <c:pt idx="185">
                  <c:v>22.644267703977572</c:v>
                </c:pt>
                <c:pt idx="186">
                  <c:v>22.728421188175044</c:v>
                </c:pt>
                <c:pt idx="187">
                  <c:v>22.807272189440951</c:v>
                </c:pt>
                <c:pt idx="188">
                  <c:v>22.881199456556118</c:v>
                </c:pt>
                <c:pt idx="189">
                  <c:v>22.950581738301366</c:v>
                </c:pt>
                <c:pt idx="190">
                  <c:v>23.015797783457529</c:v>
                </c:pt>
                <c:pt idx="191">
                  <c:v>23.077226340805428</c:v>
                </c:pt>
                <c:pt idx="192">
                  <c:v>23.135246159125892</c:v>
                </c:pt>
                <c:pt idx="193">
                  <c:v>23.190235987199745</c:v>
                </c:pt>
                <c:pt idx="194">
                  <c:v>23.242574573807815</c:v>
                </c:pt>
                <c:pt idx="195">
                  <c:v>23.292640667730929</c:v>
                </c:pt>
                <c:pt idx="196">
                  <c:v>23.340813017749912</c:v>
                </c:pt>
                <c:pt idx="197">
                  <c:v>23.387470372645591</c:v>
                </c:pt>
                <c:pt idx="198">
                  <c:v>23.43299148119879</c:v>
                </c:pt>
                <c:pt idx="199">
                  <c:v>23.477755092190336</c:v>
                </c:pt>
                <c:pt idx="200">
                  <c:v>23.522139954401055</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-24.635258353926584</c:v>
                </c:pt>
                <c:pt idx="1">
                  <c:v>-21.515320311547747</c:v>
                </c:pt>
                <c:pt idx="2">
                  <c:v>-17.307980119238746</c:v>
                </c:pt>
                <c:pt idx="3">
                  <c:v>-10.743887226601039</c:v>
                </c:pt>
                <c:pt idx="4">
                  <c:v>0</c:v>
                </c:pt>
                <c:pt idx="5">
                  <c:v>19.264403481926625</c:v>
                </c:pt>
                <c:pt idx="6">
                  <c:v>23.522139954401055</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-120</c:v>
                </c:pt>
                <c:pt idx="1">
                  <c:v>-119</c:v>
                </c:pt>
                <c:pt idx="2">
                  <c:v>-118</c:v>
                </c:pt>
                <c:pt idx="3">
                  <c:v>-117</c:v>
                </c:pt>
                <c:pt idx="4">
                  <c:v>-116</c:v>
                </c:pt>
                <c:pt idx="5">
                  <c:v>-115</c:v>
                </c:pt>
                <c:pt idx="6">
                  <c:v>-114</c:v>
                </c:pt>
                <c:pt idx="7">
                  <c:v>-113</c:v>
                </c:pt>
                <c:pt idx="8">
                  <c:v>-112</c:v>
                </c:pt>
                <c:pt idx="9">
                  <c:v>-111</c:v>
                </c:pt>
                <c:pt idx="10">
                  <c:v>-110</c:v>
                </c:pt>
                <c:pt idx="11">
                  <c:v>-109</c:v>
                </c:pt>
                <c:pt idx="12">
                  <c:v>-108</c:v>
                </c:pt>
                <c:pt idx="13">
                  <c:v>-107</c:v>
                </c:pt>
                <c:pt idx="14">
                  <c:v>-106</c:v>
                </c:pt>
                <c:pt idx="15">
                  <c:v>-105</c:v>
                </c:pt>
                <c:pt idx="16">
                  <c:v>-104</c:v>
                </c:pt>
                <c:pt idx="17">
                  <c:v>-103</c:v>
                </c:pt>
                <c:pt idx="18">
                  <c:v>-102</c:v>
                </c:pt>
                <c:pt idx="19">
                  <c:v>-101</c:v>
                </c:pt>
                <c:pt idx="20">
                  <c:v>-100</c:v>
                </c:pt>
                <c:pt idx="21">
                  <c:v>-99</c:v>
                </c:pt>
                <c:pt idx="22">
                  <c:v>-98</c:v>
                </c:pt>
                <c:pt idx="23">
                  <c:v>-97</c:v>
                </c:pt>
                <c:pt idx="24">
                  <c:v>-96</c:v>
                </c:pt>
                <c:pt idx="25">
                  <c:v>-95</c:v>
                </c:pt>
                <c:pt idx="26">
                  <c:v>-94</c:v>
                </c:pt>
                <c:pt idx="27">
                  <c:v>-93</c:v>
                </c:pt>
                <c:pt idx="28">
                  <c:v>-92</c:v>
                </c:pt>
                <c:pt idx="29">
                  <c:v>-91</c:v>
                </c:pt>
                <c:pt idx="30">
                  <c:v>-90</c:v>
                </c:pt>
                <c:pt idx="31">
                  <c:v>-89</c:v>
                </c:pt>
                <c:pt idx="32">
                  <c:v>-88</c:v>
                </c:pt>
                <c:pt idx="33">
                  <c:v>-87</c:v>
                </c:pt>
                <c:pt idx="34">
                  <c:v>-86</c:v>
                </c:pt>
                <c:pt idx="35">
                  <c:v>-85</c:v>
                </c:pt>
                <c:pt idx="36">
                  <c:v>-84</c:v>
                </c:pt>
                <c:pt idx="37">
                  <c:v>-83</c:v>
                </c:pt>
                <c:pt idx="38">
                  <c:v>-82</c:v>
                </c:pt>
                <c:pt idx="39">
                  <c:v>-81</c:v>
                </c:pt>
                <c:pt idx="40">
                  <c:v>-80</c:v>
                </c:pt>
                <c:pt idx="41">
                  <c:v>-79</c:v>
                </c:pt>
                <c:pt idx="42">
                  <c:v>-78</c:v>
                </c:pt>
                <c:pt idx="43">
                  <c:v>-77</c:v>
                </c:pt>
                <c:pt idx="44">
                  <c:v>-76</c:v>
                </c:pt>
                <c:pt idx="45">
                  <c:v>-75</c:v>
                </c:pt>
                <c:pt idx="46">
                  <c:v>-74</c:v>
                </c:pt>
                <c:pt idx="47">
                  <c:v>-73</c:v>
                </c:pt>
                <c:pt idx="48">
                  <c:v>-72</c:v>
                </c:pt>
                <c:pt idx="49">
                  <c:v>-71</c:v>
                </c:pt>
                <c:pt idx="50">
                  <c:v>-70</c:v>
                </c:pt>
                <c:pt idx="51">
                  <c:v>-69</c:v>
                </c:pt>
                <c:pt idx="52">
                  <c:v>-68</c:v>
                </c:pt>
                <c:pt idx="53">
                  <c:v>-67</c:v>
                </c:pt>
                <c:pt idx="54">
                  <c:v>-66</c:v>
                </c:pt>
                <c:pt idx="55">
                  <c:v>-65</c:v>
                </c:pt>
                <c:pt idx="56">
                  <c:v>-64</c:v>
                </c:pt>
                <c:pt idx="57">
                  <c:v>-63</c:v>
                </c:pt>
                <c:pt idx="58">
                  <c:v>-62</c:v>
                </c:pt>
                <c:pt idx="59">
                  <c:v>-61</c:v>
                </c:pt>
                <c:pt idx="60">
                  <c:v>-60</c:v>
                </c:pt>
                <c:pt idx="61">
                  <c:v>-59</c:v>
                </c:pt>
                <c:pt idx="62">
                  <c:v>-58</c:v>
                </c:pt>
                <c:pt idx="63">
                  <c:v>-57</c:v>
                </c:pt>
                <c:pt idx="64">
                  <c:v>-56</c:v>
                </c:pt>
                <c:pt idx="65">
                  <c:v>-55</c:v>
                </c:pt>
                <c:pt idx="66">
                  <c:v>-54</c:v>
                </c:pt>
                <c:pt idx="67">
                  <c:v>-53</c:v>
                </c:pt>
                <c:pt idx="68">
                  <c:v>-52</c:v>
                </c:pt>
                <c:pt idx="69">
                  <c:v>-51</c:v>
                </c:pt>
                <c:pt idx="70">
                  <c:v>-50</c:v>
                </c:pt>
                <c:pt idx="71">
                  <c:v>-49</c:v>
                </c:pt>
                <c:pt idx="72">
                  <c:v>-48</c:v>
                </c:pt>
                <c:pt idx="73">
                  <c:v>-47</c:v>
                </c:pt>
                <c:pt idx="74">
                  <c:v>-46</c:v>
                </c:pt>
                <c:pt idx="75">
                  <c:v>-45</c:v>
                </c:pt>
                <c:pt idx="76">
                  <c:v>-44</c:v>
                </c:pt>
                <c:pt idx="77">
                  <c:v>-43</c:v>
                </c:pt>
                <c:pt idx="78">
                  <c:v>-42</c:v>
                </c:pt>
                <c:pt idx="79">
                  <c:v>-41</c:v>
                </c:pt>
                <c:pt idx="80">
                  <c:v>-40</c:v>
                </c:pt>
                <c:pt idx="81">
                  <c:v>-39</c:v>
                </c:pt>
                <c:pt idx="82">
                  <c:v>-38</c:v>
                </c:pt>
                <c:pt idx="83">
                  <c:v>-37</c:v>
                </c:pt>
                <c:pt idx="84">
                  <c:v>-36</c:v>
                </c:pt>
                <c:pt idx="85">
                  <c:v>-35</c:v>
                </c:pt>
                <c:pt idx="86">
                  <c:v>-34</c:v>
                </c:pt>
                <c:pt idx="87">
                  <c:v>-33</c:v>
                </c:pt>
                <c:pt idx="88">
                  <c:v>-32</c:v>
                </c:pt>
                <c:pt idx="89">
                  <c:v>-31</c:v>
                </c:pt>
                <c:pt idx="90">
                  <c:v>-30</c:v>
                </c:pt>
                <c:pt idx="91">
                  <c:v>-29</c:v>
                </c:pt>
                <c:pt idx="92">
                  <c:v>-28</c:v>
                </c:pt>
                <c:pt idx="93">
                  <c:v>-27</c:v>
                </c:pt>
                <c:pt idx="94">
                  <c:v>-26</c:v>
                </c:pt>
                <c:pt idx="95">
                  <c:v>-25</c:v>
                </c:pt>
                <c:pt idx="96">
                  <c:v>-24</c:v>
                </c:pt>
                <c:pt idx="97">
                  <c:v>-23</c:v>
                </c:pt>
                <c:pt idx="98">
                  <c:v>-22</c:v>
                </c:pt>
                <c:pt idx="99">
                  <c:v>-21</c:v>
                </c:pt>
                <c:pt idx="100">
                  <c:v>-20</c:v>
                </c:pt>
                <c:pt idx="101">
                  <c:v>-19</c:v>
                </c:pt>
                <c:pt idx="102">
                  <c:v>-18</c:v>
                </c:pt>
                <c:pt idx="103">
                  <c:v>-17</c:v>
                </c:pt>
                <c:pt idx="104">
                  <c:v>-16</c:v>
                </c:pt>
                <c:pt idx="105">
                  <c:v>-15</c:v>
                </c:pt>
                <c:pt idx="106">
                  <c:v>-14</c:v>
                </c:pt>
                <c:pt idx="107">
                  <c:v>-13</c:v>
                </c:pt>
                <c:pt idx="108">
                  <c:v>-12</c:v>
                </c:pt>
                <c:pt idx="109">
                  <c:v>-11</c:v>
                </c:pt>
                <c:pt idx="110">
                  <c:v>-10</c:v>
                </c:pt>
                <c:pt idx="111">
                  <c:v>-9</c:v>
                </c:pt>
                <c:pt idx="112">
                  <c:v>-8</c:v>
                </c:pt>
                <c:pt idx="113">
                  <c:v>-7</c:v>
                </c:pt>
                <c:pt idx="114">
                  <c:v>-6</c:v>
                </c:pt>
                <c:pt idx="115">
                  <c:v>-5</c:v>
                </c:pt>
                <c:pt idx="116">
                  <c:v>-4</c:v>
                </c:pt>
                <c:pt idx="117">
                  <c:v>-3</c:v>
                </c:pt>
                <c:pt idx="118">
                  <c:v>-2</c:v>
                </c:pt>
                <c:pt idx="119">
                  <c:v>-1</c:v>
                </c:pt>
                <c:pt idx="120">
                  <c:v>0</c:v>
                </c:pt>
                <c:pt idx="121">
                  <c:v>1</c:v>
                </c:pt>
                <c:pt idx="122">
                  <c:v>2</c:v>
                </c:pt>
                <c:pt idx="123">
                  <c:v>3</c:v>
                </c:pt>
                <c:pt idx="124">
                  <c:v>4</c:v>
                </c:pt>
                <c:pt idx="125">
                  <c:v>5</c:v>
                </c:pt>
                <c:pt idx="126">
                  <c:v>6</c:v>
                </c:pt>
                <c:pt idx="127">
                  <c:v>7</c:v>
                </c:pt>
                <c:pt idx="128">
                  <c:v>8</c:v>
                </c:pt>
                <c:pt idx="129">
                  <c:v>9</c:v>
                </c:pt>
                <c:pt idx="130">
                  <c:v>10</c:v>
                </c:pt>
                <c:pt idx="131">
                  <c:v>11</c:v>
                </c:pt>
                <c:pt idx="132">
                  <c:v>12</c:v>
                </c:pt>
                <c:pt idx="133">
                  <c:v>13</c:v>
                </c:pt>
                <c:pt idx="134">
                  <c:v>14</c:v>
                </c:pt>
                <c:pt idx="135">
                  <c:v>15</c:v>
                </c:pt>
                <c:pt idx="136">
                  <c:v>16</c:v>
                </c:pt>
                <c:pt idx="137">
                  <c:v>17</c:v>
                </c:pt>
                <c:pt idx="138">
                  <c:v>18</c:v>
                </c:pt>
                <c:pt idx="139">
                  <c:v>19</c:v>
                </c:pt>
                <c:pt idx="140">
                  <c:v>20</c:v>
                </c:pt>
                <c:pt idx="141">
                  <c:v>21</c:v>
                </c:pt>
                <c:pt idx="142">
                  <c:v>22</c:v>
                </c:pt>
                <c:pt idx="143">
                  <c:v>23</c:v>
                </c:pt>
                <c:pt idx="144">
                  <c:v>24</c:v>
                </c:pt>
                <c:pt idx="145">
                  <c:v>25</c:v>
                </c:pt>
                <c:pt idx="146">
                  <c:v>26</c:v>
                </c:pt>
                <c:pt idx="147">
                  <c:v>27</c:v>
                </c:pt>
                <c:pt idx="148">
                  <c:v>28</c:v>
                </c:pt>
                <c:pt idx="149">
                  <c:v>29</c:v>
                </c:pt>
                <c:pt idx="150">
                  <c:v>30</c:v>
                </c:pt>
                <c:pt idx="151">
                  <c:v>31</c:v>
                </c:pt>
                <c:pt idx="152">
                  <c:v>32</c:v>
                </c:pt>
                <c:pt idx="153">
                  <c:v>33</c:v>
                </c:pt>
                <c:pt idx="154">
                  <c:v>34</c:v>
                </c:pt>
                <c:pt idx="155">
                  <c:v>35</c:v>
                </c:pt>
                <c:pt idx="156">
                  <c:v>36</c:v>
                </c:pt>
                <c:pt idx="157">
                  <c:v>37</c:v>
                </c:pt>
                <c:pt idx="158">
                  <c:v>38</c:v>
                </c:pt>
                <c:pt idx="159">
                  <c:v>39</c:v>
                </c:pt>
                <c:pt idx="160">
                  <c:v>40</c:v>
                </c:pt>
                <c:pt idx="161">
                  <c:v>41</c:v>
                </c:pt>
                <c:pt idx="162">
                  <c:v>42</c:v>
                </c:pt>
                <c:pt idx="163">
                  <c:v>43</c:v>
                </c:pt>
                <c:pt idx="164">
                  <c:v>44</c:v>
                </c:pt>
                <c:pt idx="165">
                  <c:v>45</c:v>
                </c:pt>
                <c:pt idx="166">
                  <c:v>46</c:v>
                </c:pt>
                <c:pt idx="167">
                  <c:v>47</c:v>
                </c:pt>
                <c:pt idx="168">
                  <c:v>48</c:v>
                </c:pt>
                <c:pt idx="169">
                  <c:v>49</c:v>
                </c:pt>
                <c:pt idx="170">
                  <c:v>50</c:v>
                </c:pt>
                <c:pt idx="171">
                  <c:v>51</c:v>
                </c:pt>
                <c:pt idx="172">
                  <c:v>52</c:v>
                </c:pt>
                <c:pt idx="173">
                  <c:v>53</c:v>
                </c:pt>
                <c:pt idx="174">
                  <c:v>54</c:v>
                </c:pt>
                <c:pt idx="175">
                  <c:v>55</c:v>
                </c:pt>
                <c:pt idx="176">
                  <c:v>56</c:v>
                </c:pt>
                <c:pt idx="177">
                  <c:v>57</c:v>
                </c:pt>
                <c:pt idx="178">
                  <c:v>58</c:v>
                </c:pt>
                <c:pt idx="179">
                  <c:v>59</c:v>
                </c:pt>
                <c:pt idx="180">
                  <c:v>60</c:v>
                </c:pt>
                <c:pt idx="181">
                  <c:v>61</c:v>
                </c:pt>
                <c:pt idx="182">
                  <c:v>62</c:v>
                </c:pt>
                <c:pt idx="183">
                  <c:v>63</c:v>
                </c:pt>
                <c:pt idx="184">
                  <c:v>64</c:v>
                </c:pt>
                <c:pt idx="185">
                  <c:v>65</c:v>
                </c:pt>
                <c:pt idx="186">
                  <c:v>66</c:v>
                </c:pt>
                <c:pt idx="187">
                  <c:v>67</c:v>
                </c:pt>
                <c:pt idx="188">
                  <c:v>68</c:v>
                </c:pt>
                <c:pt idx="189">
                  <c:v>69</c:v>
                </c:pt>
                <c:pt idx="190">
                  <c:v>70</c:v>
                </c:pt>
                <c:pt idx="191">
                  <c:v>71</c:v>
                </c:pt>
                <c:pt idx="192">
                  <c:v>72</c:v>
                </c:pt>
                <c:pt idx="193">
                  <c:v>73</c:v>
                </c:pt>
                <c:pt idx="194">
                  <c:v>74</c:v>
                </c:pt>
                <c:pt idx="195">
                  <c:v>75</c:v>
                </c:pt>
                <c:pt idx="196">
                  <c:v>76</c:v>
                </c:pt>
                <c:pt idx="197">
                  <c:v>77</c:v>
                </c:pt>
                <c:pt idx="198">
                  <c:v>78</c:v>
                </c:pt>
                <c:pt idx="199">
                  <c:v>79</c:v>
                </c:pt>
                <c:pt idx="200">
                  <c:v>80</c:v>
                </c:pt>
              </c:numCache>
            </c:numRef>
          </c:xVal>
          <c:yVal>
            <c:numRef>
              <c:f>'Shiftfunktion bestimmen'!$F$222:$F$422</c:f>
              <c:numCache>
                <c:formatCode>General</c:formatCode>
                <c:ptCount val="201"/>
                <c:pt idx="0">
                  <c:v>-24.777293461917552</c:v>
                </c:pt>
                <c:pt idx="1">
                  <c:v>-24.666831704161361</c:v>
                </c:pt>
                <c:pt idx="2">
                  <c:v>-24.564220915678426</c:v>
                </c:pt>
                <c:pt idx="3">
                  <c:v>-24.468726284386683</c:v>
                </c:pt>
                <c:pt idx="4">
                  <c:v>-24.379639972723631</c:v>
                </c:pt>
                <c:pt idx="5">
                  <c:v>-24.296281127413994</c:v>
                </c:pt>
                <c:pt idx="6">
                  <c:v>-24.217995835208495</c:v>
                </c:pt>
                <c:pt idx="7">
                  <c:v>-24.144157027020174</c:v>
                </c:pt>
                <c:pt idx="8">
                  <c:v>-24.074164332849069</c:v>
                </c:pt>
                <c:pt idx="9">
                  <c:v>-24.007443889845739</c:v>
                </c:pt>
                <c:pt idx="10">
                  <c:v>-23.943448105828754</c:v>
                </c:pt>
                <c:pt idx="11">
                  <c:v>-23.881655380532106</c:v>
                </c:pt>
                <c:pt idx="12">
                  <c:v>-23.821569786821289</c:v>
                </c:pt>
                <c:pt idx="13">
                  <c:v>-23.762720714079069</c:v>
                </c:pt>
                <c:pt idx="14">
                  <c:v>-23.704662475923904</c:v>
                </c:pt>
                <c:pt idx="15">
                  <c:v>-23.646973884386998</c:v>
                </c:pt>
                <c:pt idx="16">
                  <c:v>-23.589257792635287</c:v>
                </c:pt>
                <c:pt idx="17">
                  <c:v>-23.531140608290578</c:v>
                </c:pt>
                <c:pt idx="18">
                  <c:v>-23.472271779357417</c:v>
                </c:pt>
                <c:pt idx="19">
                  <c:v>-23.412323254733892</c:v>
                </c:pt>
                <c:pt idx="20">
                  <c:v>-23.350988921242536</c:v>
                </c:pt>
                <c:pt idx="21">
                  <c:v>-23.287984019080334</c:v>
                </c:pt>
                <c:pt idx="22">
                  <c:v>-23.223044537549463</c:v>
                </c:pt>
                <c:pt idx="23">
                  <c:v>-23.155926592892282</c:v>
                </c:pt>
                <c:pt idx="24">
                  <c:v>-23.08640579001667</c:v>
                </c:pt>
                <c:pt idx="25">
                  <c:v>-23.01427656985997</c:v>
                </c:pt>
                <c:pt idx="26">
                  <c:v>-22.939351544102088</c:v>
                </c:pt>
                <c:pt idx="27">
                  <c:v>-22.861460818900557</c:v>
                </c:pt>
                <c:pt idx="28">
                  <c:v>-22.780451309282711</c:v>
                </c:pt>
                <c:pt idx="29">
                  <c:v>-22.696186045792246</c:v>
                </c:pt>
                <c:pt idx="30">
                  <c:v>-22.608543474949983</c:v>
                </c:pt>
                <c:pt idx="31">
                  <c:v>-22.517416755050636</c:v>
                </c:pt>
                <c:pt idx="32">
                  <c:v>-22.422713048779798</c:v>
                </c:pt>
                <c:pt idx="33">
                  <c:v>-22.324352814097733</c:v>
                </c:pt>
                <c:pt idx="34">
                  <c:v>-22.22226909479868</c:v>
                </c:pt>
                <c:pt idx="35">
                  <c:v>-22.116406812116658</c:v>
                </c:pt>
                <c:pt idx="36">
                  <c:v>-22.006722058711158</c:v>
                </c:pt>
                <c:pt idx="37">
                  <c:v>-21.893181396328309</c:v>
                </c:pt>
                <c:pt idx="38">
                  <c:v>-21.775761158395422</c:v>
                </c:pt>
                <c:pt idx="39">
                  <c:v>-21.654446758768906</c:v>
                </c:pt>
                <c:pt idx="40">
                  <c:v>-21.529232007818191</c:v>
                </c:pt>
                <c:pt idx="41">
                  <c:v>-21.400118436990258</c:v>
                </c:pt>
                <c:pt idx="42">
                  <c:v>-21.267114632961729</c:v>
                </c:pt>
                <c:pt idx="43">
                  <c:v>-21.130235582447774</c:v>
                </c:pt>
                <c:pt idx="44">
                  <c:v>-20.989502028699533</c:v>
                </c:pt>
                <c:pt idx="45">
                  <c:v>-20.84493984068359</c:v>
                </c:pt>
                <c:pt idx="46">
                  <c:v>-20.696579395899839</c:v>
                </c:pt>
                <c:pt idx="47">
                  <c:v>-20.544454977755883</c:v>
                </c:pt>
                <c:pt idx="48">
                  <c:v>-20.388604188378864</c:v>
                </c:pt>
                <c:pt idx="49">
                  <c:v>-20.229067377707398</c:v>
                </c:pt>
                <c:pt idx="50">
                  <c:v>-20.065887089668955</c:v>
                </c:pt>
                <c:pt idx="51">
                  <c:v>-19.899107526210088</c:v>
                </c:pt>
                <c:pt idx="52">
                  <c:v>-19.728774029909363</c:v>
                </c:pt>
                <c:pt idx="53">
                  <c:v>-19.554932585864822</c:v>
                </c:pt>
                <c:pt idx="54">
                  <c:v>-19.377629343510542</c:v>
                </c:pt>
                <c:pt idx="55">
                  <c:v>-19.196910158978625</c:v>
                </c:pt>
                <c:pt idx="56">
                  <c:v>-19.012820158585615</c:v>
                </c:pt>
                <c:pt idx="57">
                  <c:v>-18.825403323984503</c:v>
                </c:pt>
                <c:pt idx="58">
                  <c:v>-18.634702099485576</c:v>
                </c:pt>
                <c:pt idx="59">
                  <c:v>-18.440757022011965</c:v>
                </c:pt>
                <c:pt idx="60">
                  <c:v>-18.243606374117778</c:v>
                </c:pt>
                <c:pt idx="61">
                  <c:v>-18.043285860459054</c:v>
                </c:pt>
                <c:pt idx="62">
                  <c:v>-17.839828308070082</c:v>
                </c:pt>
                <c:pt idx="63">
                  <c:v>-17.6332633907599</c:v>
                </c:pt>
                <c:pt idx="64">
                  <c:v>-17.423617377905966</c:v>
                </c:pt>
                <c:pt idx="65">
                  <c:v>-17.210912907884467</c:v>
                </c:pt>
                <c:pt idx="66">
                  <c:v>-16.995168786338798</c:v>
                </c:pt>
                <c:pt idx="67">
                  <c:v>-16.776399809450162</c:v>
                </c:pt>
                <c:pt idx="68">
                  <c:v>-16.554616612336453</c:v>
                </c:pt>
                <c:pt idx="69">
                  <c:v>-16.329825542667916</c:v>
                </c:pt>
                <c:pt idx="70">
                  <c:v>-16.102028559550224</c:v>
                </c:pt>
                <c:pt idx="71">
                  <c:v>-15.871223157688137</c:v>
                </c:pt>
                <c:pt idx="72">
                  <c:v>-15.637402316804897</c:v>
                </c:pt>
                <c:pt idx="73">
                  <c:v>-15.400554476254976</c:v>
                </c:pt>
                <c:pt idx="74">
                  <c:v>-15.160663534730032</c:v>
                </c:pt>
                <c:pt idx="75">
                  <c:v>-14.917708874920171</c:v>
                </c:pt>
                <c:pt idx="76">
                  <c:v>-14.671665412954926</c:v>
                </c:pt>
                <c:pt idx="77">
                  <c:v>-14.422503672410622</c:v>
                </c:pt>
                <c:pt idx="78">
                  <c:v>-14.170189882633062</c:v>
                </c:pt>
                <c:pt idx="79">
                  <c:v>-13.914686101086813</c:v>
                </c:pt>
                <c:pt idx="80">
                  <c:v>-13.655950359404514</c:v>
                </c:pt>
                <c:pt idx="81">
                  <c:v>-13.393936832772075</c:v>
                </c:pt>
                <c:pt idx="82">
                  <c:v>-13.128596032247772</c:v>
                </c:pt>
                <c:pt idx="83">
                  <c:v>-12.859875019575581</c:v>
                </c:pt>
                <c:pt idx="84">
                  <c:v>-12.587717644015374</c:v>
                </c:pt>
                <c:pt idx="85">
                  <c:v>-12.31206480067487</c:v>
                </c:pt>
                <c:pt idx="86">
                  <c:v>-12.032854709790497</c:v>
                </c:pt>
                <c:pt idx="87">
                  <c:v>-11.750023216366607</c:v>
                </c:pt>
                <c:pt idx="88">
                  <c:v>-11.463504109544774</c:v>
                </c:pt>
                <c:pt idx="89">
                  <c:v>-11.173229461037188</c:v>
                </c:pt>
                <c:pt idx="90">
                  <c:v>-10.879129981920354</c:v>
                </c:pt>
                <c:pt idx="91">
                  <c:v>-10.58113539704774</c:v>
                </c:pt>
                <c:pt idx="92">
                  <c:v>-10.279174836302133</c:v>
                </c:pt>
                <c:pt idx="93">
                  <c:v>-9.9731772418708395</c:v>
                </c:pt>
                <c:pt idx="94">
                  <c:v>-9.6630717906891075</c:v>
                </c:pt>
                <c:pt idx="95">
                  <c:v>-9.3487883311594189</c:v>
                </c:pt>
                <c:pt idx="96">
                  <c:v>-9.0302578332165844</c:v>
                </c:pt>
                <c:pt idx="97">
                  <c:v>-8.7074128507709183</c:v>
                </c:pt>
                <c:pt idx="98">
                  <c:v>-8.3801879955238672</c:v>
                </c:pt>
                <c:pt idx="99">
                  <c:v>-8.0485204211129737</c:v>
                </c:pt>
                <c:pt idx="100">
                  <c:v>-7.7123503165051419</c:v>
                </c:pt>
                <c:pt idx="101">
                  <c:v>-7.3716214075195632</c:v>
                </c:pt>
                <c:pt idx="102">
                  <c:v>-7.026281465323903</c:v>
                </c:pt>
                <c:pt idx="103">
                  <c:v>-6.676282820709595</c:v>
                </c:pt>
                <c:pt idx="104">
                  <c:v>-6.3215828829144245</c:v>
                </c:pt>
                <c:pt idx="105">
                  <c:v>-5.9621446617228049</c:v>
                </c:pt>
                <c:pt idx="106">
                  <c:v>-5.5979372915364927</c:v>
                </c:pt>
                <c:pt idx="107">
                  <c:v>-5.2289365560706615</c:v>
                </c:pt>
                <c:pt idx="108">
                  <c:v>-4.8551254122926588</c:v>
                </c:pt>
                <c:pt idx="109">
                  <c:v>-4.4764945121829562</c:v>
                </c:pt>
                <c:pt idx="110">
                  <c:v>-4.0930427208600797</c:v>
                </c:pt>
                <c:pt idx="111">
                  <c:v>-3.7047776295736661</c:v>
                </c:pt>
                <c:pt idx="112">
                  <c:v>-3.3117160620319708</c:v>
                </c:pt>
                <c:pt idx="113">
                  <c:v>-2.9138845724924867</c:v>
                </c:pt>
                <c:pt idx="114">
                  <c:v>-2.5113199340065964</c:v>
                </c:pt>
                <c:pt idx="115">
                  <c:v>-2.1040696151714551</c:v>
                </c:pt>
                <c:pt idx="116">
                  <c:v>-1.692192243704582</c:v>
                </c:pt>
                <c:pt idx="117">
                  <c:v>-1.2757580551189072</c:v>
                </c:pt>
                <c:pt idx="118">
                  <c:v>-0.85484932473831043</c:v>
                </c:pt>
                <c:pt idx="119">
                  <c:v>-0.42956078125595498</c:v>
                </c:pt>
                <c:pt idx="120">
                  <c:v>0</c:v>
                </c:pt>
                <c:pt idx="121">
                  <c:v>0.43371222596644554</c:v>
                </c:pt>
                <c:pt idx="122">
                  <c:v>0.87144153882199227</c:v>
                </c:pt>
                <c:pt idx="123">
                  <c:v>1.3130396949888479</c:v>
                </c:pt>
                <c:pt idx="124">
                  <c:v>1.7583442721462081</c:v>
                </c:pt>
                <c:pt idx="125">
                  <c:v>2.2071784062792021</c:v>
                </c:pt>
                <c:pt idx="126">
                  <c:v>2.6593505608251289</c:v>
                </c:pt>
                <c:pt idx="127">
                  <c:v>3.1146543300164877</c:v>
                </c:pt>
                <c:pt idx="128">
                  <c:v>3.5728682785579751</c:v>
                </c:pt>
                <c:pt idx="129">
                  <c:v>4.0337558198123933</c:v>
                </c:pt>
                <c:pt idx="130">
                  <c:v>4.4970651347081141</c:v>
                </c:pt>
                <c:pt idx="131">
                  <c:v>4.9625291336184425</c:v>
                </c:pt>
                <c:pt idx="132">
                  <c:v>5.4298654635010264</c:v>
                </c:pt>
                <c:pt idx="133">
                  <c:v>5.8987765626230599</c:v>
                </c:pt>
                <c:pt idx="134">
                  <c:v>6.3689497652358806</c:v>
                </c:pt>
                <c:pt idx="135">
                  <c:v>6.8400574586001781</c:v>
                </c:pt>
                <c:pt idx="136">
                  <c:v>7.31175729480083</c:v>
                </c:pt>
                <c:pt idx="137">
                  <c:v>7.7836924598280532</c:v>
                </c:pt>
                <c:pt idx="138">
                  <c:v>8.2554920024393006</c:v>
                </c:pt>
                <c:pt idx="139">
                  <c:v>8.7267712253540974</c:v>
                </c:pt>
                <c:pt idx="140">
                  <c:v>9.1971321413715899</c:v>
                </c:pt>
                <c:pt idx="141">
                  <c:v>9.6661639970385771</c:v>
                </c:pt>
                <c:pt idx="142">
                  <c:v>10.133443866533158</c:v>
                </c:pt>
                <c:pt idx="143">
                  <c:v>10.598537318467184</c:v>
                </c:pt>
                <c:pt idx="144">
                  <c:v>11.060999158348221</c:v>
                </c:pt>
                <c:pt idx="145">
                  <c:v>11.520374249479513</c:v>
                </c:pt>
                <c:pt idx="146">
                  <c:v>11.976198415114188</c:v>
                </c:pt>
                <c:pt idx="147">
                  <c:v>12.427999424717633</c:v>
                </c:pt>
                <c:pt idx="148">
                  <c:v>12.875298067229686</c:v>
                </c:pt>
                <c:pt idx="149">
                  <c:v>13.317609314256034</c:v>
                </c:pt>
                <c:pt idx="150">
                  <c:v>13.754443576155964</c:v>
                </c:pt>
                <c:pt idx="151">
                  <c:v>14.185308054031228</c:v>
                </c:pt>
                <c:pt idx="152">
                  <c:v>14.609708190658628</c:v>
                </c:pt>
                <c:pt idx="153">
                  <c:v>15.027149223446575</c:v>
                </c:pt>
                <c:pt idx="154">
                  <c:v>15.43713784253363</c:v>
                </c:pt>
                <c:pt idx="155">
                  <c:v>15.839183957184757</c:v>
                </c:pt>
                <c:pt idx="156">
                  <c:v>16.232802573678697</c:v>
                </c:pt>
                <c:pt idx="157">
                  <c:v>16.617515787917661</c:v>
                </c:pt>
                <c:pt idx="158">
                  <c:v>16.992854896028277</c:v>
                </c:pt>
                <c:pt idx="159">
                  <c:v>17.358362626260284</c:v>
                </c:pt>
                <c:pt idx="160">
                  <c:v>17.713595495527453</c:v>
                </c:pt>
                <c:pt idx="161">
                  <c:v>18.058126293972659</c:v>
                </c:pt>
                <c:pt idx="162">
                  <c:v>18.39154670097701</c:v>
                </c:pt>
                <c:pt idx="163">
                  <c:v>18.713470036070504</c:v>
                </c:pt>
                <c:pt idx="164">
                  <c:v>19.023534148239332</c:v>
                </c:pt>
                <c:pt idx="165">
                  <c:v>19.321404447162937</c:v>
                </c:pt>
                <c:pt idx="166">
                  <c:v>19.606777079951492</c:v>
                </c:pt>
                <c:pt idx="167">
                  <c:v>19.879382256992006</c:v>
                </c:pt>
                <c:pt idx="168">
                  <c:v>20.138987730549459</c:v>
                </c:pt>
                <c:pt idx="169">
                  <c:v>20.385402429806575</c:v>
                </c:pt>
                <c:pt idx="170">
                  <c:v>20.61848025606394</c:v>
                </c:pt>
                <c:pt idx="171">
                  <c:v>20.838124041859697</c:v>
                </c:pt>
                <c:pt idx="172">
                  <c:v>21.044289677805864</c:v>
                </c:pt>
                <c:pt idx="173">
                  <c:v>21.236990410975949</c:v>
                </c:pt>
                <c:pt idx="174">
                  <c:v>21.416301318716442</c:v>
                </c:pt>
                <c:pt idx="175">
                  <c:v>21.582363961792215</c:v>
                </c:pt>
                <c:pt idx="176">
                  <c:v>21.735391220813849</c:v>
                </c:pt>
                <c:pt idx="177">
                  <c:v>21.875672319932505</c:v>
                </c:pt>
                <c:pt idx="178">
                  <c:v>22.003578041825619</c:v>
                </c:pt>
                <c:pt idx="179">
                  <c:v>22.119566138034568</c:v>
                </c:pt>
                <c:pt idx="180">
                  <c:v>22.224186938753096</c:v>
                </c:pt>
                <c:pt idx="181">
                  <c:v>22.318089166202974</c:v>
                </c:pt>
                <c:pt idx="182">
                  <c:v>22.40202595577124</c:v>
                </c:pt>
                <c:pt idx="183">
                  <c:v>22.476861089120774</c:v>
                </c:pt>
                <c:pt idx="184">
                  <c:v>22.543575443524194</c:v>
                </c:pt>
                <c:pt idx="185">
                  <c:v>22.6032736617083</c:v>
                </c:pt>
                <c:pt idx="186">
                  <c:v>22.657191046534166</c:v>
                </c:pt>
                <c:pt idx="187">
                  <c:v>22.706700684875837</c:v>
                </c:pt>
                <c:pt idx="188">
                  <c:v>22.753320805098266</c:v>
                </c:pt>
                <c:pt idx="189">
                  <c:v>22.798722372572584</c:v>
                </c:pt>
                <c:pt idx="190">
                  <c:v>22.844736927705018</c:v>
                </c:pt>
                <c:pt idx="191">
                  <c:v>22.893364670992842</c:v>
                </c:pt>
                <c:pt idx="192">
                  <c:v>22.946782799659331</c:v>
                </c:pt>
                <c:pt idx="193">
                  <c:v>23.007354100456325</c:v>
                </c:pt>
                <c:pt idx="194">
                  <c:v>23.077635803261906</c:v>
                </c:pt>
                <c:pt idx="195">
                  <c:v>23.160388700137347</c:v>
                </c:pt>
                <c:pt idx="196">
                  <c:v>23.258586534546019</c:v>
                </c:pt>
                <c:pt idx="197">
                  <c:v>23.37542566547425</c:v>
                </c:pt>
                <c:pt idx="198">
                  <c:v>23.514335011231843</c:v>
                </c:pt>
                <c:pt idx="199">
                  <c:v>23.678986277747946</c:v>
                </c:pt>
                <c:pt idx="200">
                  <c:v>23.873304476215448</c:v>
                </c:pt>
              </c:numCache>
            </c:numRef>
          </c:yVal>
          <c:smooth val="1"/>
        </c:ser>
        <c:dLbls>
          <c:showLegendKey val="0"/>
          <c:showVal val="0"/>
          <c:showCatName val="0"/>
          <c:showSerName val="0"/>
          <c:showPercent val="0"/>
          <c:showBubbleSize val="0"/>
        </c:dLbls>
        <c:axId val="665881072"/>
        <c:axId val="665879896"/>
      </c:scatterChart>
      <c:valAx>
        <c:axId val="665881072"/>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5879896"/>
        <c:crossesAt val="-1000"/>
        <c:crossBetween val="midCat"/>
      </c:valAx>
      <c:valAx>
        <c:axId val="665879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5881072"/>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85</v>
      </c>
    </row>
    <row r="22" spans="1:2" s="11" customFormat="1" x14ac:dyDescent="0.25">
      <c r="A22" s="61" t="s">
        <v>157</v>
      </c>
      <c r="B22" s="99">
        <f>CTE!N8-0.5</f>
        <v>95</v>
      </c>
    </row>
    <row r="23" spans="1:2" s="11" customFormat="1" x14ac:dyDescent="0.25">
      <c r="A23" s="61" t="s">
        <v>158</v>
      </c>
      <c r="B23" s="99">
        <f>CTE!N9</f>
        <v>180.5</v>
      </c>
    </row>
    <row r="24" spans="1:2" s="11" customFormat="1" x14ac:dyDescent="0.25"/>
    <row r="25" spans="1:2" s="11" customFormat="1" x14ac:dyDescent="0.25">
      <c r="A25" s="61" t="s">
        <v>147</v>
      </c>
      <c r="B25" s="53">
        <f>CTE!O5</f>
        <v>2.5270250571428573E-5</v>
      </c>
    </row>
    <row r="26" spans="1:2" s="11" customFormat="1" x14ac:dyDescent="0.25">
      <c r="A26" s="61" t="s">
        <v>148</v>
      </c>
      <c r="B26" s="53">
        <f>CTE!O6</f>
        <v>2.7904964857142861E-5</v>
      </c>
    </row>
    <row r="27" spans="1:2" s="11" customFormat="1" x14ac:dyDescent="0.25">
      <c r="A27" s="61" t="s">
        <v>149</v>
      </c>
      <c r="B27" s="53">
        <f>CTE!O8</f>
        <v>7.0197717142857148E-5</v>
      </c>
    </row>
    <row r="28" spans="1:2" s="11" customFormat="1" x14ac:dyDescent="0.25">
      <c r="A28" s="61" t="s">
        <v>150</v>
      </c>
      <c r="B28" s="53">
        <f>CTE!O9</f>
        <v>6.9821937142857152E-5</v>
      </c>
    </row>
    <row r="29" spans="1:2" s="11" customFormat="1" x14ac:dyDescent="0.25">
      <c r="A29" s="61"/>
    </row>
    <row r="30" spans="1:2" s="11" customFormat="1" x14ac:dyDescent="0.25">
      <c r="A30" s="61" t="s">
        <v>151</v>
      </c>
      <c r="B30" s="52">
        <f>CTE!P5</f>
        <v>2.2752914736842108E-5</v>
      </c>
    </row>
    <row r="31" spans="1:2" s="11" customFormat="1" x14ac:dyDescent="0.25">
      <c r="A31" s="61" t="s">
        <v>152</v>
      </c>
      <c r="B31" s="52">
        <f>CTE!P6</f>
        <v>2.4298146315789474E-5</v>
      </c>
    </row>
    <row r="32" spans="1:2" s="11" customFormat="1" x14ac:dyDescent="0.25">
      <c r="A32" s="61" t="s">
        <v>153</v>
      </c>
      <c r="B32" s="52">
        <f>CTE!P8</f>
        <v>4.5848989473684213E-5</v>
      </c>
    </row>
    <row r="33" spans="1:2" s="11" customFormat="1" x14ac:dyDescent="0.25">
      <c r="A33" s="61" t="s">
        <v>154</v>
      </c>
      <c r="B33" s="52">
        <f>CTE!P9</f>
        <v>4.720299789473684E-5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353.15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0.43165775503716436</v>
      </c>
      <c r="D59" s="55">
        <v>1</v>
      </c>
    </row>
    <row r="60" spans="1:4" s="11" customFormat="1" x14ac:dyDescent="0.25">
      <c r="A60" s="54">
        <v>2</v>
      </c>
      <c r="B60" s="56">
        <f>'Shiftfunktion bestimmen'!N2</f>
        <v>2.0762876980577548E-3</v>
      </c>
      <c r="D60" s="55">
        <v>2</v>
      </c>
    </row>
    <row r="61" spans="1:4" s="11" customFormat="1" x14ac:dyDescent="0.25">
      <c r="A61" s="54">
        <v>3</v>
      </c>
      <c r="B61" s="56">
        <f>'Shiftfunktion bestimmen'!N3</f>
        <v>-2.1248637466606744E-5</v>
      </c>
      <c r="D61" s="55">
        <v>3</v>
      </c>
    </row>
    <row r="62" spans="1:4" s="11" customFormat="1" x14ac:dyDescent="0.25">
      <c r="A62" s="54">
        <v>4</v>
      </c>
      <c r="B62" s="56">
        <f>'Shiftfunktion bestimmen'!N4</f>
        <v>-5.6537894644792848E-7</v>
      </c>
      <c r="D62" s="55">
        <v>4</v>
      </c>
    </row>
    <row r="63" spans="1:4" s="11" customFormat="1" x14ac:dyDescent="0.25">
      <c r="A63" s="54">
        <v>5</v>
      </c>
      <c r="B63" s="56">
        <f>'Shiftfunktion bestimmen'!N5</f>
        <v>-2.7888878550353888E-9</v>
      </c>
      <c r="D63" s="55">
        <v>5</v>
      </c>
    </row>
    <row r="64" spans="1:4" s="11" customFormat="1" x14ac:dyDescent="0.25">
      <c r="A64" s="54">
        <v>6</v>
      </c>
      <c r="B64" s="56">
        <f>'Shiftfunktion bestimmen'!N6</f>
        <v>3.6133023618390619E-11</v>
      </c>
      <c r="D64" s="55">
        <v>6</v>
      </c>
    </row>
    <row r="65" spans="1:5" s="11" customFormat="1" x14ac:dyDescent="0.25">
      <c r="A65" s="54">
        <v>7</v>
      </c>
      <c r="B65" s="56">
        <f>'Shiftfunktion bestimmen'!N7</f>
        <v>3.9036645628577627E-13</v>
      </c>
      <c r="D65" s="55">
        <v>7</v>
      </c>
    </row>
    <row r="66" spans="1:5" x14ac:dyDescent="0.25">
      <c r="A66" s="54">
        <v>8</v>
      </c>
      <c r="B66" s="56">
        <f>'Shiftfunktion bestimmen'!N8</f>
        <v>9.3559102399155838E-16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6.8476371195460078E-3</v>
      </c>
      <c r="D74" s="51">
        <v>1</v>
      </c>
      <c r="E74" s="56">
        <f>'Mastercurve bestimmen'!A18</f>
        <v>1.0000000000000001E-20</v>
      </c>
    </row>
    <row r="75" spans="1:5" x14ac:dyDescent="0.25">
      <c r="A75" s="50">
        <f>A74+1</f>
        <v>2</v>
      </c>
      <c r="B75" s="56">
        <f>'Mastercurve bestimmen'!C19</f>
        <v>0</v>
      </c>
      <c r="D75" s="51">
        <v>2</v>
      </c>
      <c r="E75" s="56">
        <f>'Mastercurve bestimmen'!A19</f>
        <v>3.9038946506297401E-14</v>
      </c>
    </row>
    <row r="76" spans="1:5" x14ac:dyDescent="0.25">
      <c r="A76" s="50">
        <f t="shared" ref="A76:A104" si="0">A75+1</f>
        <v>3</v>
      </c>
      <c r="B76" s="56">
        <f>'Mastercurve bestimmen'!C20</f>
        <v>0</v>
      </c>
      <c r="D76" s="51">
        <v>3</v>
      </c>
      <c r="E76" s="56">
        <f>'Mastercurve bestimmen'!A20</f>
        <v>4.3276437088188502E-13</v>
      </c>
    </row>
    <row r="77" spans="1:5" x14ac:dyDescent="0.25">
      <c r="A77" s="50">
        <f t="shared" si="0"/>
        <v>4</v>
      </c>
      <c r="B77" s="56">
        <f>'Mastercurve bestimmen'!C21</f>
        <v>0</v>
      </c>
      <c r="D77" s="51">
        <v>4</v>
      </c>
      <c r="E77" s="56">
        <f>'Mastercurve bestimmen'!A21</f>
        <v>4.7973886968128502E-12</v>
      </c>
    </row>
    <row r="78" spans="1:5" x14ac:dyDescent="0.25">
      <c r="A78" s="50">
        <f t="shared" si="0"/>
        <v>5</v>
      </c>
      <c r="B78" s="56">
        <f>'Mastercurve bestimmen'!C22</f>
        <v>4.1306699022082196E-3</v>
      </c>
      <c r="D78" s="51">
        <v>5</v>
      </c>
      <c r="E78" s="56">
        <f>'Mastercurve bestimmen'!A22</f>
        <v>5.31812225239524E-11</v>
      </c>
    </row>
    <row r="79" spans="1:5" x14ac:dyDescent="0.25">
      <c r="A79" s="50">
        <f t="shared" si="0"/>
        <v>6</v>
      </c>
      <c r="B79" s="56">
        <f>'Mastercurve bestimmen'!C23</f>
        <v>2.7997525232425744E-2</v>
      </c>
      <c r="D79" s="51">
        <v>6</v>
      </c>
      <c r="E79" s="56">
        <f>'Mastercurve bestimmen'!A23</f>
        <v>5.8953789402578301E-10</v>
      </c>
    </row>
    <row r="80" spans="1:5" x14ac:dyDescent="0.25">
      <c r="A80" s="50">
        <f t="shared" si="0"/>
        <v>7</v>
      </c>
      <c r="B80" s="56">
        <f>'Mastercurve bestimmen'!C24</f>
        <v>2.197959763100649E-2</v>
      </c>
      <c r="D80" s="51">
        <v>7</v>
      </c>
      <c r="E80" s="56">
        <f>'Mastercurve bestimmen'!A24</f>
        <v>6.5352940755699598E-9</v>
      </c>
    </row>
    <row r="81" spans="1:5" x14ac:dyDescent="0.25">
      <c r="A81" s="50">
        <f t="shared" si="0"/>
        <v>8</v>
      </c>
      <c r="B81" s="56">
        <f>'Mastercurve bestimmen'!C25</f>
        <v>2.8250918359936459E-2</v>
      </c>
      <c r="D81" s="51">
        <v>8</v>
      </c>
      <c r="E81" s="56">
        <f>'Mastercurve bestimmen'!A25</f>
        <v>7.2446689325643296E-8</v>
      </c>
    </row>
    <row r="82" spans="1:5" x14ac:dyDescent="0.25">
      <c r="A82" s="50">
        <f t="shared" si="0"/>
        <v>9</v>
      </c>
      <c r="B82" s="56">
        <f>'Mastercurve bestimmen'!C26</f>
        <v>3.4437903010475883E-2</v>
      </c>
      <c r="D82" s="51">
        <f>A82</f>
        <v>9</v>
      </c>
      <c r="E82" s="56">
        <f>'Mastercurve bestimmen'!A26</f>
        <v>8.03104303120212E-7</v>
      </c>
    </row>
    <row r="83" spans="1:5" x14ac:dyDescent="0.25">
      <c r="A83" s="50">
        <f t="shared" si="0"/>
        <v>10</v>
      </c>
      <c r="B83" s="56">
        <f>'Mastercurve bestimmen'!C27</f>
        <v>2.9401070007452231E-2</v>
      </c>
      <c r="C83" s="11"/>
      <c r="D83" s="51">
        <f t="shared" ref="D83:D104" si="1">A83</f>
        <v>10</v>
      </c>
      <c r="E83" s="56">
        <f>'Mastercurve bestimmen'!A27</f>
        <v>8.9027742702096099E-6</v>
      </c>
    </row>
    <row r="84" spans="1:5" x14ac:dyDescent="0.25">
      <c r="A84" s="50">
        <f t="shared" si="0"/>
        <v>11</v>
      </c>
      <c r="B84" s="56">
        <f>'Mastercurve bestimmen'!C28</f>
        <v>4.9041908611543852E-2</v>
      </c>
      <c r="C84" s="11"/>
      <c r="D84" s="51">
        <f t="shared" si="1"/>
        <v>11</v>
      </c>
      <c r="E84" s="56">
        <f>'Mastercurve bestimmen'!A28</f>
        <v>9.86912775817142E-5</v>
      </c>
    </row>
    <row r="85" spans="1:5" x14ac:dyDescent="0.25">
      <c r="A85" s="50">
        <f t="shared" si="0"/>
        <v>12</v>
      </c>
      <c r="B85" s="56">
        <f>'Mastercurve bestimmen'!C29</f>
        <v>4.178985908034704E-2</v>
      </c>
      <c r="C85" s="11"/>
      <c r="D85" s="51">
        <f t="shared" si="1"/>
        <v>12</v>
      </c>
      <c r="E85" s="56">
        <f>'Mastercurve bestimmen'!A29</f>
        <v>1.0940374286813801E-3</v>
      </c>
    </row>
    <row r="86" spans="1:5" x14ac:dyDescent="0.25">
      <c r="A86" s="50">
        <f t="shared" si="0"/>
        <v>13</v>
      </c>
      <c r="B86" s="56">
        <f>'Mastercurve bestimmen'!C30</f>
        <v>4.6925793493946939E-2</v>
      </c>
      <c r="C86" s="11"/>
      <c r="D86" s="51">
        <f t="shared" si="1"/>
        <v>13</v>
      </c>
      <c r="E86" s="56">
        <f>'Mastercurve bestimmen'!A30</f>
        <v>1.2127899493091E-2</v>
      </c>
    </row>
    <row r="87" spans="1:5" x14ac:dyDescent="0.25">
      <c r="A87" s="50">
        <f t="shared" si="0"/>
        <v>14</v>
      </c>
      <c r="B87" s="56">
        <f>'Mastercurve bestimmen'!C31</f>
        <v>4.7062467056075051E-2</v>
      </c>
      <c r="C87" s="11"/>
      <c r="D87" s="51">
        <f t="shared" si="1"/>
        <v>14</v>
      </c>
      <c r="E87" s="56">
        <f>'Mastercurve bestimmen'!A31</f>
        <v>0.13444324870292301</v>
      </c>
    </row>
    <row r="88" spans="1:5" x14ac:dyDescent="0.25">
      <c r="A88" s="50">
        <f t="shared" si="0"/>
        <v>15</v>
      </c>
      <c r="B88" s="56">
        <f>'Mastercurve bestimmen'!C32</f>
        <v>5.1874996245126884E-2</v>
      </c>
      <c r="C88" s="11"/>
      <c r="D88" s="51">
        <f t="shared" si="1"/>
        <v>15</v>
      </c>
      <c r="E88" s="56">
        <f>'Mastercurve bestimmen'!A32</f>
        <v>1.49036419143257</v>
      </c>
    </row>
    <row r="89" spans="1:5" x14ac:dyDescent="0.25">
      <c r="A89" s="50">
        <f t="shared" si="0"/>
        <v>16</v>
      </c>
      <c r="B89" s="56">
        <f>'Mastercurve bestimmen'!C33</f>
        <v>9.3719085133360594E-2</v>
      </c>
      <c r="C89" s="11"/>
      <c r="D89" s="51">
        <f t="shared" si="1"/>
        <v>16</v>
      </c>
      <c r="E89" s="56">
        <f>'Mastercurve bestimmen'!A33</f>
        <v>16.521360830937301</v>
      </c>
    </row>
    <row r="90" spans="1:5" x14ac:dyDescent="0.25">
      <c r="A90" s="50">
        <f t="shared" si="0"/>
        <v>17</v>
      </c>
      <c r="B90" s="56">
        <f>'Mastercurve bestimmen'!C34</f>
        <v>0.10682658591512105</v>
      </c>
      <c r="C90" s="11"/>
      <c r="D90" s="51">
        <f t="shared" si="1"/>
        <v>17</v>
      </c>
      <c r="E90" s="56">
        <f>'Mastercurve bestimmen'!A34</f>
        <v>183.146753843879</v>
      </c>
    </row>
    <row r="91" spans="1:5" x14ac:dyDescent="0.25">
      <c r="A91" s="50">
        <f t="shared" si="0"/>
        <v>18</v>
      </c>
      <c r="B91" s="56">
        <f>'Mastercurve bestimmen'!C35</f>
        <v>0.11271230139024535</v>
      </c>
      <c r="C91" s="11"/>
      <c r="D91" s="51">
        <f t="shared" si="1"/>
        <v>18</v>
      </c>
      <c r="E91" s="56">
        <f>'Mastercurve bestimmen'!A35</f>
        <v>2030.26456396616</v>
      </c>
    </row>
    <row r="92" spans="1:5" x14ac:dyDescent="0.25">
      <c r="A92" s="50">
        <f t="shared" si="0"/>
        <v>19</v>
      </c>
      <c r="B92" s="56">
        <f>'Mastercurve bestimmen'!C36</f>
        <v>0.10920571405178373</v>
      </c>
      <c r="C92" s="11"/>
      <c r="D92" s="51">
        <f t="shared" si="1"/>
        <v>19</v>
      </c>
      <c r="E92" s="56">
        <f>'Mastercurve bestimmen'!A36</f>
        <v>22506.400540467101</v>
      </c>
    </row>
    <row r="93" spans="1:5" x14ac:dyDescent="0.25">
      <c r="A93" s="50">
        <f t="shared" si="0"/>
        <v>20</v>
      </c>
      <c r="B93" s="56">
        <f>'Mastercurve bestimmen'!C37</f>
        <v>8.5595472993728092E-2</v>
      </c>
      <c r="C93" s="11"/>
      <c r="D93" s="51">
        <f t="shared" si="1"/>
        <v>20</v>
      </c>
      <c r="E93" s="56">
        <f>'Mastercurve bestimmen'!A37</f>
        <v>249493.62476110301</v>
      </c>
    </row>
    <row r="94" spans="1:5" x14ac:dyDescent="0.25">
      <c r="A94" s="50">
        <f t="shared" si="0"/>
        <v>21</v>
      </c>
      <c r="B94" s="56">
        <f>'Mastercurve bestimmen'!C38</f>
        <v>3.0330599560697977E-2</v>
      </c>
      <c r="C94" s="11"/>
      <c r="D94" s="51">
        <f t="shared" si="1"/>
        <v>21</v>
      </c>
      <c r="E94" s="56">
        <f>'Mastercurve bestimmen'!A38</f>
        <v>2765749.6224023802</v>
      </c>
    </row>
    <row r="95" spans="1:5" x14ac:dyDescent="0.25">
      <c r="A95" s="50">
        <f t="shared" si="0"/>
        <v>22</v>
      </c>
      <c r="B95" s="56">
        <f>'Mastercurve bestimmen'!C39</f>
        <v>3.2127590787364095E-2</v>
      </c>
      <c r="C95" s="11"/>
      <c r="D95" s="51">
        <f t="shared" si="1"/>
        <v>22</v>
      </c>
      <c r="E95" s="56">
        <f>'Mastercurve bestimmen'!A39</f>
        <v>10000000</v>
      </c>
    </row>
    <row r="96" spans="1:5" x14ac:dyDescent="0.25">
      <c r="A96" s="50">
        <f t="shared" si="0"/>
        <v>23</v>
      </c>
      <c r="B96" s="56">
        <f>'Mastercurve bestimmen'!C40</f>
        <v>1.5939358035986794E-2</v>
      </c>
      <c r="C96" s="11"/>
      <c r="D96" s="51">
        <f t="shared" si="1"/>
        <v>23</v>
      </c>
      <c r="E96" s="56">
        <f>'Mastercurve bestimmen'!A40</f>
        <v>100000000</v>
      </c>
    </row>
    <row r="97" spans="1:5" x14ac:dyDescent="0.25">
      <c r="A97" s="50">
        <f t="shared" si="0"/>
        <v>24</v>
      </c>
      <c r="B97" s="56">
        <f>'Mastercurve bestimmen'!C41</f>
        <v>1.0098226932664881E-3</v>
      </c>
      <c r="C97" s="11"/>
      <c r="D97" s="51">
        <f t="shared" si="1"/>
        <v>24</v>
      </c>
      <c r="E97" s="56">
        <f>'Mastercurve bestimmen'!A41</f>
        <v>1000000000</v>
      </c>
    </row>
    <row r="98" spans="1:5" x14ac:dyDescent="0.25">
      <c r="A98" s="50">
        <f t="shared" si="0"/>
        <v>25</v>
      </c>
      <c r="B98" s="56">
        <f>'Mastercurve bestimmen'!C42</f>
        <v>3.5232790951536608E-3</v>
      </c>
      <c r="C98" s="11"/>
      <c r="D98" s="51">
        <f t="shared" si="1"/>
        <v>25</v>
      </c>
      <c r="E98" s="56">
        <f>'Mastercurve bestimmen'!A42</f>
        <v>10000000000</v>
      </c>
    </row>
    <row r="99" spans="1:5" x14ac:dyDescent="0.25">
      <c r="A99" s="50">
        <f t="shared" si="0"/>
        <v>26</v>
      </c>
      <c r="B99" s="56">
        <f>'Mastercurve bestimmen'!C43</f>
        <v>1.7526056431954549E-4</v>
      </c>
      <c r="C99" s="11"/>
      <c r="D99" s="51">
        <f t="shared" si="1"/>
        <v>26</v>
      </c>
      <c r="E99" s="56">
        <f>'Mastercurve bestimmen'!A43</f>
        <v>100000000000</v>
      </c>
    </row>
    <row r="100" spans="1:5" x14ac:dyDescent="0.25">
      <c r="A100" s="50">
        <f t="shared" si="0"/>
        <v>27</v>
      </c>
      <c r="B100" s="56">
        <f>'Mastercurve bestimmen'!C44</f>
        <v>0</v>
      </c>
      <c r="C100" s="11"/>
      <c r="D100" s="51">
        <f t="shared" si="1"/>
        <v>27</v>
      </c>
      <c r="E100" s="56">
        <f>'Mastercurve bestimmen'!A44</f>
        <v>1000000000000</v>
      </c>
    </row>
    <row r="101" spans="1:5" x14ac:dyDescent="0.25">
      <c r="A101" s="50">
        <f t="shared" si="0"/>
        <v>28</v>
      </c>
      <c r="B101" s="56">
        <f>'Mastercurve bestimmen'!C45</f>
        <v>1.1765348907566872E-4</v>
      </c>
      <c r="C101" s="11"/>
      <c r="D101" s="51">
        <f t="shared" si="1"/>
        <v>28</v>
      </c>
      <c r="E101" s="56">
        <f>'Mastercurve bestimmen'!A45</f>
        <v>10000000000000</v>
      </c>
    </row>
    <row r="102" spans="1:5" x14ac:dyDescent="0.25">
      <c r="A102" s="50">
        <f t="shared" si="0"/>
        <v>29</v>
      </c>
      <c r="B102" s="56">
        <f>'Mastercurve bestimmen'!C46</f>
        <v>0</v>
      </c>
      <c r="C102" s="11"/>
      <c r="D102" s="51">
        <f t="shared" si="1"/>
        <v>29</v>
      </c>
      <c r="E102" s="56">
        <f>'Mastercurve bestimmen'!A46</f>
        <v>100000000000000</v>
      </c>
    </row>
    <row r="103" spans="1:5" x14ac:dyDescent="0.25">
      <c r="A103" s="50">
        <f t="shared" si="0"/>
        <v>30</v>
      </c>
      <c r="B103" s="56">
        <f>'Mastercurve bestimmen'!C47</f>
        <v>6.5987032321069097E-5</v>
      </c>
      <c r="C103" s="11"/>
      <c r="D103" s="51">
        <f t="shared" si="1"/>
        <v>30</v>
      </c>
      <c r="E103" s="56">
        <f>'Mastercurve bestimmen'!A47</f>
        <v>1000000000000000</v>
      </c>
    </row>
    <row r="104" spans="1:5" x14ac:dyDescent="0.25">
      <c r="A104" s="50">
        <f t="shared" si="0"/>
        <v>31</v>
      </c>
      <c r="B104" s="56">
        <f>'Mastercurve bestimmen'!C48</f>
        <v>6.9850122094838041E-5</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17746.768</v>
      </c>
    </row>
    <row r="108" spans="1:5" s="11" customFormat="1" x14ac:dyDescent="0.25">
      <c r="A108" s="61" t="str">
        <f>STUTT!B3</f>
        <v>mp,PRXY,MatID,</v>
      </c>
      <c r="B108" s="52">
        <f>STUTT!C3</f>
        <v>0.29104294000000003</v>
      </c>
    </row>
    <row r="109" spans="1:5" s="11" customFormat="1" x14ac:dyDescent="0.25">
      <c r="A109" s="61" t="str">
        <f>STUTT!B4</f>
        <v>mp,ey,MatID,</v>
      </c>
      <c r="B109" s="52">
        <f>STUTT!C4</f>
        <v>21858.703000000001</v>
      </c>
    </row>
    <row r="110" spans="1:5" s="11" customFormat="1" x14ac:dyDescent="0.25">
      <c r="A110" s="61" t="str">
        <f>STUTT!B5</f>
        <v>mp,PRYZ,MatID,</v>
      </c>
      <c r="B110" s="52">
        <f>STUTT!C5</f>
        <v>0.35853411000000002</v>
      </c>
    </row>
    <row r="111" spans="1:5" s="11" customFormat="1" x14ac:dyDescent="0.25">
      <c r="A111" s="61" t="str">
        <f>STUTT!B6</f>
        <v>mp,ez,MatID,</v>
      </c>
      <c r="B111" s="52">
        <f>STUTT!C6</f>
        <v>17746.768</v>
      </c>
    </row>
    <row r="112" spans="1:5" s="11" customFormat="1" x14ac:dyDescent="0.25">
      <c r="A112" s="61" t="str">
        <f>STUTT!B7</f>
        <v>mp,PRXZ,MatID,</v>
      </c>
      <c r="B112" s="52">
        <f>STUTT!C7</f>
        <v>0.36009481999999998</v>
      </c>
    </row>
    <row r="113" spans="1:4" s="11" customFormat="1" x14ac:dyDescent="0.25">
      <c r="A113" s="61" t="str">
        <f>STUTT!B8</f>
        <v>MP,GXZ,</v>
      </c>
      <c r="B113" s="52" t="str">
        <f>STUTT!C8</f>
        <v>MatID,</v>
      </c>
      <c r="C113" s="112">
        <f>STUTT!D8</f>
        <v>6524.0923000000003</v>
      </c>
      <c r="D113" s="112"/>
    </row>
    <row r="114" spans="1:4" s="11" customFormat="1" x14ac:dyDescent="0.25">
      <c r="A114" s="61" t="str">
        <f>STUTT!B9</f>
        <v>MP,GXY,</v>
      </c>
      <c r="B114" s="52" t="str">
        <f>STUTT!C9</f>
        <v>MatID,</v>
      </c>
      <c r="C114" s="112">
        <f>STUTT!D9</f>
        <v>8117.2861999999996</v>
      </c>
      <c r="D114" s="112"/>
    </row>
    <row r="115" spans="1:4" x14ac:dyDescent="0.25">
      <c r="A115" s="61" t="str">
        <f>STUTT!B10</f>
        <v>MP,GYZ,</v>
      </c>
      <c r="B115" s="52" t="str">
        <f>STUTT!C10</f>
        <v>MatID,</v>
      </c>
      <c r="C115" s="112">
        <f>STUTT!D10</f>
        <v>8117.2861999999996</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-2.206E-7</v>
      </c>
      <c r="C3" s="3">
        <v>2.537E-6</v>
      </c>
      <c r="D3" s="3">
        <v>-2.206E-7</v>
      </c>
      <c r="E3" s="3">
        <v>-1.415E-5</v>
      </c>
      <c r="F3" s="3">
        <v>-1.415E-5</v>
      </c>
      <c r="G3" s="3">
        <v>-1.415E-5</v>
      </c>
      <c r="H3" s="3">
        <v>-4.4272276999999998E-6</v>
      </c>
      <c r="I3" s="3">
        <v>-1.0771048000000001E-6</v>
      </c>
      <c r="J3" s="3">
        <v>-4.4272276999999998E-6</v>
      </c>
      <c r="L3" s="48">
        <f>ABS(H3/(-0.5)/$L$1)</f>
        <v>2.5298444000000002E-5</v>
      </c>
      <c r="R3">
        <f>ABS(I3/(-0.5)/$R$1)</f>
        <v>2.2675890526315791E-5</v>
      </c>
    </row>
    <row r="4" spans="1:18" x14ac:dyDescent="0.25">
      <c r="A4">
        <v>-39</v>
      </c>
      <c r="B4" s="3">
        <v>2.2030000000000001E-7</v>
      </c>
      <c r="C4" s="3">
        <v>-2.5359999999999999E-6</v>
      </c>
      <c r="D4" s="3">
        <v>2.2030000000000001E-7</v>
      </c>
      <c r="E4" s="3">
        <v>1.415E-5</v>
      </c>
      <c r="F4" s="3">
        <v>1.415E-5</v>
      </c>
      <c r="G4" s="3">
        <v>1.415E-5</v>
      </c>
      <c r="H4" s="3">
        <v>4.4271084000000003E-6</v>
      </c>
      <c r="I4" s="3">
        <v>1.0771928999999999E-6</v>
      </c>
      <c r="J4" s="3">
        <v>4.4271084000000003E-6</v>
      </c>
      <c r="L4" s="48">
        <f t="shared" ref="L4:L14" si="0">ABS(H4/(-0.5)/$L$1)</f>
        <v>2.5297762285714289E-5</v>
      </c>
      <c r="N4" s="39" t="s">
        <v>27</v>
      </c>
      <c r="O4" s="39" t="s">
        <v>131</v>
      </c>
      <c r="P4" s="85" t="s">
        <v>132</v>
      </c>
      <c r="R4" s="11">
        <f t="shared" ref="R4:R14" si="1">ABS(I4/(-0.5)/$R$1)</f>
        <v>2.2677745263157891E-5</v>
      </c>
    </row>
    <row r="5" spans="1:18" x14ac:dyDescent="0.25">
      <c r="A5">
        <v>0</v>
      </c>
      <c r="B5" s="3">
        <v>-2.0980000000000001E-7</v>
      </c>
      <c r="C5" s="3">
        <v>2.5040000000000001E-6</v>
      </c>
      <c r="D5" s="3">
        <v>-2.0980000000000001E-7</v>
      </c>
      <c r="E5" s="3">
        <v>-1.415E-5</v>
      </c>
      <c r="F5" s="3">
        <v>-1.415E-5</v>
      </c>
      <c r="G5" s="3">
        <v>-1.415E-5</v>
      </c>
      <c r="H5" s="3">
        <v>-4.4223560999999998E-6</v>
      </c>
      <c r="I5" s="3">
        <v>-1.0807171000000001E-6</v>
      </c>
      <c r="J5" s="3">
        <v>-4.4223560999999998E-6</v>
      </c>
      <c r="L5" s="48">
        <f t="shared" si="0"/>
        <v>2.5270606285714287E-5</v>
      </c>
      <c r="M5" s="48"/>
      <c r="N5" s="10">
        <f>(INDEX(A:A,ROW(A2)*2+1)+INDEX(A:A,ROW(A2)*2+2))/2</f>
        <v>0.5</v>
      </c>
      <c r="O5" s="89">
        <f>(INDEX(L:L,ROW(L2)*2+1)+INDEX(L:L,ROW(L2)*2+2))/2</f>
        <v>2.5270250571428573E-5</v>
      </c>
      <c r="P5" s="89">
        <f>(INDEX(R:R,ROW(M2)*2+1)+INDEX(R:R,ROW(R2)*2+2))/2</f>
        <v>2.2752914736842108E-5</v>
      </c>
      <c r="R5" s="11">
        <f t="shared" si="1"/>
        <v>2.2751938947368423E-5</v>
      </c>
    </row>
    <row r="6" spans="1:18" x14ac:dyDescent="0.25">
      <c r="A6">
        <v>1</v>
      </c>
      <c r="B6" s="3">
        <v>2.0949999999999999E-7</v>
      </c>
      <c r="C6" s="3">
        <v>-2.503E-6</v>
      </c>
      <c r="D6" s="3">
        <v>2.0949999999999999E-7</v>
      </c>
      <c r="E6" s="3">
        <v>1.415E-5</v>
      </c>
      <c r="F6" s="3">
        <v>1.415E-5</v>
      </c>
      <c r="G6" s="3">
        <v>1.415E-5</v>
      </c>
      <c r="H6" s="3">
        <v>4.4222316000000001E-6</v>
      </c>
      <c r="I6" s="3">
        <v>1.0808098000000001E-6</v>
      </c>
      <c r="J6" s="3">
        <v>4.4222316000000001E-6</v>
      </c>
      <c r="L6" s="48">
        <f t="shared" si="0"/>
        <v>2.5269894857142858E-5</v>
      </c>
      <c r="M6" s="49"/>
      <c r="N6" s="10">
        <f>(INDEX(A:A,ROW(A3)*2+1)+INDEX(A:A,ROW(A3)*2+2))/2</f>
        <v>85.5</v>
      </c>
      <c r="O6" s="89">
        <f t="shared" ref="O6:O7" si="2">(INDEX(L:L,ROW(L3)*2+1)+INDEX(L:L,ROW(L3)*2+2))/2</f>
        <v>2.7904964857142861E-5</v>
      </c>
      <c r="P6" s="89">
        <f t="shared" ref="P6:P9" si="3">(INDEX(R:R,ROW(M3)*2+1)+INDEX(R:R,ROW(R3)*2+2))/2</f>
        <v>2.4298146315789474E-5</v>
      </c>
      <c r="R6" s="11">
        <f t="shared" si="1"/>
        <v>2.2753890526315792E-5</v>
      </c>
    </row>
    <row r="7" spans="1:18" x14ac:dyDescent="0.25">
      <c r="A7">
        <v>85</v>
      </c>
      <c r="B7" s="3">
        <v>-2.7080000000000002E-7</v>
      </c>
      <c r="C7" s="3">
        <v>3.083E-6</v>
      </c>
      <c r="D7" s="3">
        <v>-2.7080000000000002E-7</v>
      </c>
      <c r="E7" s="3">
        <v>-1.525E-5</v>
      </c>
      <c r="F7" s="3">
        <v>-1.525E-5</v>
      </c>
      <c r="G7" s="3">
        <v>-1.525E-5</v>
      </c>
      <c r="H7" s="3">
        <v>-4.6867119999999999E-6</v>
      </c>
      <c r="I7" s="3">
        <v>-1.1269766E-6</v>
      </c>
      <c r="J7" s="3">
        <v>-4.6867119999999999E-6</v>
      </c>
      <c r="L7" s="48">
        <f t="shared" si="0"/>
        <v>2.6781211428571431E-5</v>
      </c>
      <c r="M7" s="48"/>
      <c r="N7" s="10">
        <f>(INDEX(A:A,ROW(A4)*2+1)+INDEX(A:A,ROW(A4)*2+2))/2</f>
        <v>90.5</v>
      </c>
      <c r="O7" s="89">
        <f t="shared" si="2"/>
        <v>5.0383506285714289E-5</v>
      </c>
      <c r="P7" s="89">
        <f t="shared" si="3"/>
        <v>3.5754844210526318E-5</v>
      </c>
      <c r="R7" s="11">
        <f t="shared" si="1"/>
        <v>2.3725823157894736E-5</v>
      </c>
    </row>
    <row r="8" spans="1:18" x14ac:dyDescent="0.25">
      <c r="A8">
        <v>86</v>
      </c>
      <c r="B8" s="3">
        <v>3.9289999999999998E-7</v>
      </c>
      <c r="C8" s="3">
        <v>-4.0199999999999996E-6</v>
      </c>
      <c r="D8" s="3">
        <v>3.9289999999999998E-7</v>
      </c>
      <c r="E8" s="3">
        <v>1.681E-5</v>
      </c>
      <c r="F8" s="3">
        <v>1.681E-5</v>
      </c>
      <c r="G8" s="3">
        <v>1.681E-5</v>
      </c>
      <c r="H8" s="3">
        <v>5.0800257000000001E-6</v>
      </c>
      <c r="I8" s="3">
        <v>1.1813473000000001E-6</v>
      </c>
      <c r="J8" s="3">
        <v>5.0800257000000001E-6</v>
      </c>
      <c r="L8" s="48">
        <f t="shared" si="0"/>
        <v>2.9028718285714287E-5</v>
      </c>
      <c r="M8" s="49"/>
      <c r="N8" s="10">
        <f>(INDEX(A:A,ROW(A5)*2+1)+INDEX(A:A,ROW(A5)*2+2))/2</f>
        <v>95.5</v>
      </c>
      <c r="O8" s="89">
        <f t="shared" ref="O8:O9" si="4">(INDEX(L:L,ROW(L5)*2+1)+INDEX(L:L,ROW(L5)*2+2))/2</f>
        <v>7.0197717142857148E-5</v>
      </c>
      <c r="P8" s="89">
        <f t="shared" si="3"/>
        <v>4.5848989473684213E-5</v>
      </c>
      <c r="R8" s="11">
        <f t="shared" si="1"/>
        <v>2.4870469473684213E-5</v>
      </c>
    </row>
    <row r="9" spans="1:18" x14ac:dyDescent="0.25">
      <c r="A9">
        <v>90</v>
      </c>
      <c r="B9" s="3">
        <v>-1.4899999999999999E-6</v>
      </c>
      <c r="C9" s="3">
        <v>1.2449999999999999E-5</v>
      </c>
      <c r="D9" s="3">
        <v>-1.4899999999999999E-6</v>
      </c>
      <c r="E9" s="3">
        <v>-3.0899999999999999E-5</v>
      </c>
      <c r="F9" s="3">
        <v>-3.0899999999999999E-5</v>
      </c>
      <c r="G9" s="3">
        <v>-3.0899999999999999E-5</v>
      </c>
      <c r="H9" s="3">
        <v>-8.6203071000000002E-6</v>
      </c>
      <c r="I9" s="3">
        <v>-1.6710444000000001E-6</v>
      </c>
      <c r="J9" s="3">
        <v>-8.6203071000000002E-6</v>
      </c>
      <c r="L9" s="48">
        <f t="shared" si="0"/>
        <v>4.9258897714285715E-5</v>
      </c>
      <c r="M9" s="48"/>
      <c r="N9" s="10">
        <f>(INDEX(A:A,ROW(A6)*2+1)+INDEX(A:A,ROW(A6)*2+2))/2</f>
        <v>180.5</v>
      </c>
      <c r="O9" s="89">
        <f t="shared" si="4"/>
        <v>6.9821937142857152E-5</v>
      </c>
      <c r="P9" s="89">
        <f t="shared" si="3"/>
        <v>4.720299789473684E-5</v>
      </c>
      <c r="R9" s="11">
        <f t="shared" si="1"/>
        <v>3.5179882105263159E-5</v>
      </c>
    </row>
    <row r="10" spans="1:18" x14ac:dyDescent="0.25">
      <c r="A10">
        <v>91</v>
      </c>
      <c r="B10" s="3">
        <v>1.612E-6</v>
      </c>
      <c r="C10" s="3">
        <v>-1.3380000000000001E-5</v>
      </c>
      <c r="D10" s="3">
        <v>1.612E-6</v>
      </c>
      <c r="E10" s="3">
        <v>3.2459999999999998E-5</v>
      </c>
      <c r="F10" s="3">
        <v>3.2459999999999998E-5</v>
      </c>
      <c r="G10" s="3">
        <v>3.2459999999999998E-5</v>
      </c>
      <c r="H10" s="3">
        <v>9.0139200999999999E-6</v>
      </c>
      <c r="I10" s="3">
        <v>1.7256658000000001E-6</v>
      </c>
      <c r="J10" s="3">
        <v>9.0139200999999999E-6</v>
      </c>
      <c r="L10" s="48">
        <f t="shared" si="0"/>
        <v>5.1508114857142862E-5</v>
      </c>
      <c r="M10" s="49"/>
      <c r="N10" s="10"/>
      <c r="O10" s="3"/>
      <c r="R10" s="11">
        <f t="shared" si="1"/>
        <v>3.6329806315789477E-5</v>
      </c>
    </row>
    <row r="11" spans="1:18" x14ac:dyDescent="0.25">
      <c r="A11">
        <v>95</v>
      </c>
      <c r="B11" s="3">
        <v>-2.6340000000000001E-6</v>
      </c>
      <c r="C11" s="3">
        <v>2.1149999999999999E-5</v>
      </c>
      <c r="D11" s="3">
        <v>-2.6340000000000001E-6</v>
      </c>
      <c r="E11" s="3">
        <v>-4.545E-5</v>
      </c>
      <c r="F11" s="3">
        <v>-4.545E-5</v>
      </c>
      <c r="G11" s="3">
        <v>-4.545E-5</v>
      </c>
      <c r="H11" s="3">
        <v>-1.2284985000000001E-5</v>
      </c>
      <c r="I11" s="3">
        <v>-2.1774679999999999E-6</v>
      </c>
      <c r="J11" s="3">
        <v>-1.2284985000000001E-5</v>
      </c>
      <c r="L11" s="48">
        <f t="shared" si="0"/>
        <v>7.01999142857143E-5</v>
      </c>
      <c r="M11" s="48"/>
      <c r="N11" s="10"/>
      <c r="O11" s="3"/>
      <c r="R11" s="11">
        <f t="shared" si="1"/>
        <v>4.5841431578947368E-5</v>
      </c>
    </row>
    <row r="12" spans="1:18" x14ac:dyDescent="0.25">
      <c r="A12">
        <v>96</v>
      </c>
      <c r="B12" s="3">
        <v>2.632E-6</v>
      </c>
      <c r="C12" s="3">
        <v>-2.1149999999999999E-5</v>
      </c>
      <c r="D12" s="3">
        <v>2.632E-6</v>
      </c>
      <c r="E12" s="3">
        <v>4.545E-5</v>
      </c>
      <c r="F12" s="3">
        <v>4.545E-5</v>
      </c>
      <c r="G12" s="3">
        <v>4.545E-5</v>
      </c>
      <c r="H12" s="3">
        <v>1.2284216E-5</v>
      </c>
      <c r="I12" s="3">
        <v>2.1781860000000002E-6</v>
      </c>
      <c r="J12" s="3">
        <v>1.2284216E-5</v>
      </c>
      <c r="L12" s="48">
        <f t="shared" si="0"/>
        <v>7.0195520000000011E-5</v>
      </c>
      <c r="M12" s="49"/>
      <c r="N12" s="10"/>
      <c r="O12" s="3"/>
      <c r="R12" s="11">
        <f t="shared" si="1"/>
        <v>4.5856547368421059E-5</v>
      </c>
    </row>
    <row r="13" spans="1:18" x14ac:dyDescent="0.25">
      <c r="A13">
        <v>180</v>
      </c>
      <c r="B13" s="3">
        <v>-2.4600000000000002E-6</v>
      </c>
      <c r="C13" s="3">
        <v>2.056E-5</v>
      </c>
      <c r="D13" s="3">
        <v>-2.4600000000000002E-6</v>
      </c>
      <c r="E13" s="3">
        <v>-4.545E-5</v>
      </c>
      <c r="F13" s="3">
        <v>-4.545E-5</v>
      </c>
      <c r="G13" s="3">
        <v>-4.545E-5</v>
      </c>
      <c r="H13" s="3">
        <v>-1.2219225999999999E-5</v>
      </c>
      <c r="I13" s="3">
        <v>-2.2417489999999999E-6</v>
      </c>
      <c r="J13" s="3">
        <v>-1.2219225999999999E-5</v>
      </c>
      <c r="L13" s="48">
        <f t="shared" si="0"/>
        <v>6.9824148571428571E-5</v>
      </c>
      <c r="M13" s="48"/>
      <c r="N13" s="10"/>
      <c r="O13" s="3"/>
      <c r="R13" s="11">
        <f t="shared" si="1"/>
        <v>4.7194715789473682E-5</v>
      </c>
    </row>
    <row r="14" spans="1:18" x14ac:dyDescent="0.25">
      <c r="A14" s="11">
        <v>181</v>
      </c>
      <c r="B14" s="3">
        <v>2.458E-6</v>
      </c>
      <c r="C14" s="3">
        <v>-2.0550000000000001E-5</v>
      </c>
      <c r="D14" s="3">
        <v>2.458E-6</v>
      </c>
      <c r="E14" s="3">
        <v>4.545E-5</v>
      </c>
      <c r="F14" s="3">
        <v>4.545E-5</v>
      </c>
      <c r="G14" s="3">
        <v>4.545E-5</v>
      </c>
      <c r="H14" s="3">
        <v>1.2218452E-5</v>
      </c>
      <c r="I14" s="3">
        <v>2.2425358E-6</v>
      </c>
      <c r="J14" s="3">
        <v>1.2218452E-5</v>
      </c>
      <c r="L14" s="48">
        <f t="shared" si="0"/>
        <v>6.981972571428572E-5</v>
      </c>
      <c r="M14" s="49"/>
      <c r="N14" s="10"/>
      <c r="O14" s="3"/>
      <c r="R14" s="11">
        <f t="shared" si="1"/>
        <v>4.7211279999999998E-5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17746.768</v>
      </c>
    </row>
    <row r="3" spans="2:4" x14ac:dyDescent="0.25">
      <c r="B3" t="s">
        <v>119</v>
      </c>
      <c r="C3" s="3">
        <v>0.29104294000000003</v>
      </c>
    </row>
    <row r="4" spans="2:4" x14ac:dyDescent="0.25">
      <c r="B4" t="s">
        <v>120</v>
      </c>
      <c r="C4" s="3">
        <v>21858.703000000001</v>
      </c>
    </row>
    <row r="5" spans="2:4" x14ac:dyDescent="0.25">
      <c r="B5" t="s">
        <v>121</v>
      </c>
      <c r="C5" s="3">
        <v>0.35853411000000002</v>
      </c>
    </row>
    <row r="6" spans="2:4" x14ac:dyDescent="0.25">
      <c r="B6" t="s">
        <v>122</v>
      </c>
      <c r="C6" s="3">
        <v>17746.768</v>
      </c>
    </row>
    <row r="7" spans="2:4" x14ac:dyDescent="0.25">
      <c r="B7" t="s">
        <v>123</v>
      </c>
      <c r="C7" s="3">
        <v>0.36009481999999998</v>
      </c>
    </row>
    <row r="8" spans="2:4" x14ac:dyDescent="0.25">
      <c r="B8" t="s">
        <v>124</v>
      </c>
      <c r="C8" t="s">
        <v>125</v>
      </c>
      <c r="D8" s="3">
        <v>6524.0923000000003</v>
      </c>
    </row>
    <row r="9" spans="2:4" x14ac:dyDescent="0.25">
      <c r="B9" t="s">
        <v>126</v>
      </c>
      <c r="C9" t="s">
        <v>125</v>
      </c>
      <c r="D9" s="3">
        <v>8117.2861999999996</v>
      </c>
    </row>
    <row r="10" spans="2:4" x14ac:dyDescent="0.25">
      <c r="B10" t="s">
        <v>127</v>
      </c>
      <c r="C10" t="s">
        <v>125</v>
      </c>
      <c r="D10" s="3">
        <v>8117.2861999999996</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-5.5892037142857146E-4</v>
      </c>
      <c r="C3" s="2">
        <f>IF('Modell einstellen'!$B$2="Ja",creep_res0!O3,creep_res0!C3)</f>
        <v>-5.6168965714285715E-4</v>
      </c>
      <c r="D3" s="2">
        <f>IF('Modell einstellen'!$B$2="Ja",creep_res25!O3,creep_res25!C3)</f>
        <v>-5.6348934285714288E-4</v>
      </c>
      <c r="E3" s="2">
        <f>IF('Modell einstellen'!$B$2="Ja",creep_res50!O3,creep_res50!C3)</f>
        <v>-5.6534522857142858E-4</v>
      </c>
      <c r="F3" s="2">
        <f>IF('Modell einstellen'!$B$2="Ja",creep_res80!O3,creep_res80!C3)</f>
        <v>-5.6765062857142858E-4</v>
      </c>
      <c r="G3" s="2">
        <f>IF('Modell einstellen'!$B$2="Ja",creep_res125!O3,creep_res125!C3)</f>
        <v>-6.1840197142857146E-4</v>
      </c>
      <c r="H3" s="2">
        <f>IF('Modell einstellen'!$B$2="Ja",creep_res160!O3,creep_res160!C3)</f>
        <v>-6.5662397142857143E-4</v>
      </c>
      <c r="M3" s="9">
        <v>-10</v>
      </c>
      <c r="N3" s="2">
        <f t="shared" ref="N3:N33" si="4">A3</f>
        <v>1.0000000000000001E-15</v>
      </c>
      <c r="O3" s="2">
        <f t="shared" ref="O3:O33" si="5">$M$3/B3</f>
        <v>17891.636288798203</v>
      </c>
      <c r="P3" s="2">
        <f t="shared" ref="P3:P33" si="6">$M$3/C3</f>
        <v>17803.425562199114</v>
      </c>
      <c r="Q3" s="2">
        <f t="shared" ref="Q3:Q33" si="7">$M$3/D3</f>
        <v>17746.564556652535</v>
      </c>
      <c r="R3" s="2">
        <f t="shared" ref="R3:R33" si="8">$M$3/E3</f>
        <v>17688.307063754673</v>
      </c>
      <c r="S3" s="2">
        <f t="shared" ref="S3:S33" si="9">$M$3/F3</f>
        <v>17616.469526628349</v>
      </c>
      <c r="T3" s="2">
        <f t="shared" ref="T3:T33" si="10">$M$3/G3</f>
        <v>16170.711708597861</v>
      </c>
      <c r="U3" s="2">
        <f t="shared" ref="U3:U33" si="11">$M$3/H3</f>
        <v>15229.41658411235</v>
      </c>
      <c r="Z3" s="2">
        <v>1.0000000000000001E-15</v>
      </c>
      <c r="AA3" s="3">
        <f>IF('Modell einstellen'!$B$2="Ja",'creep_res-40'!P3,'creep_res-40'!L3)</f>
        <v>0.36075821278502584</v>
      </c>
      <c r="AB3" s="2">
        <f>IF('Modell einstellen'!$B$2="Ja",creep_res0!P3,creep_res0!L3)</f>
        <v>0.36034330192910802</v>
      </c>
      <c r="AC3" s="2">
        <f>IF('Modell einstellen'!$B$2="Ja",creep_res25!P3,creep_res25!L3)</f>
        <v>0.36007959993361766</v>
      </c>
      <c r="AD3" s="2">
        <f>IF('Modell einstellen'!$B$2="Ja",creep_res50!P3,creep_res50!L3)</f>
        <v>0.35981245441786447</v>
      </c>
      <c r="AE3" s="2">
        <f>IF('Modell einstellen'!$B$2="Ja",creep_res80!P3,creep_res80!L3)</f>
        <v>0.35948725403130255</v>
      </c>
      <c r="AF3" s="2">
        <f>IF('Modell einstellen'!$B$2="Ja",creep_res125!P3,creep_res125!L3)</f>
        <v>0.37888694126783645</v>
      </c>
      <c r="AG3" s="2">
        <f>IF('Modell einstellen'!$B$2="Ja",creep_res160!P3,creep_res160!L3)</f>
        <v>0.39233060069735937</v>
      </c>
      <c r="AL3" s="2">
        <f t="shared" ref="AL3:AL33" si="12">Z3</f>
        <v>1.0000000000000001E-15</v>
      </c>
      <c r="AM3" s="2">
        <f t="shared" ref="AM3:AM33" si="13">O3/(2*(1+AA3))</f>
        <v>6574.1423129756067</v>
      </c>
      <c r="AN3" s="2">
        <f t="shared" ref="AN3:AN33" si="14">P3/(2*(1+AB3))</f>
        <v>6543.7252261807771</v>
      </c>
      <c r="AO3" s="2">
        <f t="shared" ref="AO3:AO33" si="15">Q3/(2*(1+AC3))</f>
        <v>6524.0904126194901</v>
      </c>
      <c r="AP3" s="2">
        <f t="shared" ref="AP3:AP33" si="16">R3/(2*(1+AD3))</f>
        <v>6503.9509699618966</v>
      </c>
      <c r="AQ3" s="2">
        <f t="shared" ref="AQ3:AQ33" si="17">S3/(2*(1+AE3))</f>
        <v>6479.0859474371819</v>
      </c>
      <c r="AR3" s="2">
        <f t="shared" ref="AR3:AR33" si="18">T3/(2*(1+AF3))</f>
        <v>5863.6829549380891</v>
      </c>
      <c r="AS3" s="2">
        <f t="shared" ref="AS3:AS33" si="19">U3/(2*(1+AG3))</f>
        <v>5469.0375175567433</v>
      </c>
      <c r="AX3" s="2">
        <f>AL3</f>
        <v>1.0000000000000001E-15</v>
      </c>
      <c r="AY3" s="37">
        <f t="shared" ref="AY3:AY33" si="20">O3/(3*(1-(2*AA3)))</f>
        <v>21415.549463341617</v>
      </c>
      <c r="AZ3" s="37">
        <f t="shared" ref="AZ3:AZ33" si="21">P3/(3*(1-(2*AB3)))</f>
        <v>21246.654365218023</v>
      </c>
      <c r="BA3" s="37">
        <f t="shared" ref="BA3:BA33" si="22">Q3/(3*(1-(2*AC3)))</f>
        <v>21138.881521485364</v>
      </c>
      <c r="BB3" s="37">
        <f t="shared" ref="BB3:BB33" si="23">R3/(3*(1-(2*AD3)))</f>
        <v>21029.337271371158</v>
      </c>
      <c r="BC3" s="37">
        <f t="shared" ref="BC3:BC33" si="24">S3/(3*(1-(2*AE3)))</f>
        <v>20895.458516568593</v>
      </c>
      <c r="BD3" s="37">
        <f t="shared" ref="BD3:BD33" si="25">T3/(3*(1-(2*AF3)))</f>
        <v>22252.915138241082</v>
      </c>
      <c r="BE3" s="37">
        <f t="shared" ref="BE3:BE33" si="26">U3/(3*(1-(2*AG3)))</f>
        <v>23574.349943362293</v>
      </c>
    </row>
    <row r="4" spans="1:308" x14ac:dyDescent="0.25">
      <c r="A4" s="2">
        <f>'creep_res-40'!A4</f>
        <v>1E-14</v>
      </c>
      <c r="B4" s="3">
        <f>'creep_res-40'!O4</f>
        <v>-5.5890980000000007E-4</v>
      </c>
      <c r="C4" s="2">
        <f>IF('Modell einstellen'!$B$2="Ja",creep_res0!O4,creep_res0!C4)</f>
        <v>-5.6167891428571433E-4</v>
      </c>
      <c r="D4" s="2">
        <f>IF('Modell einstellen'!$B$2="Ja",creep_res25!O4,creep_res25!C4)</f>
        <v>-5.6347848571428581E-4</v>
      </c>
      <c r="E4" s="2">
        <f>IF('Modell einstellen'!$B$2="Ja",creep_res50!O4,creep_res50!C4)</f>
        <v>-5.6533422857142862E-4</v>
      </c>
      <c r="F4" s="2">
        <f>IF('Modell einstellen'!$B$2="Ja",creep_res80!O4,creep_res80!C4)</f>
        <v>-5.6763991428571429E-4</v>
      </c>
      <c r="G4" s="2">
        <f>IF('Modell einstellen'!$B$2="Ja",creep_res125!O4,creep_res125!C4)</f>
        <v>-6.4192477142857151E-4</v>
      </c>
      <c r="H4" s="2">
        <f>IF('Modell einstellen'!$B$2="Ja",creep_res160!O4,creep_res160!C4)</f>
        <v>-6.9128320000000007E-4</v>
      </c>
      <c r="M4" s="9">
        <f t="shared" ref="M4:M31" si="27">M3</f>
        <v>-10</v>
      </c>
      <c r="N4" s="2">
        <f t="shared" si="4"/>
        <v>1E-14</v>
      </c>
      <c r="O4" s="2">
        <f t="shared" si="5"/>
        <v>17891.97469788506</v>
      </c>
      <c r="P4" s="2">
        <f t="shared" si="6"/>
        <v>17803.766076419255</v>
      </c>
      <c r="Q4" s="2">
        <f t="shared" si="7"/>
        <v>17746.906498699122</v>
      </c>
      <c r="R4" s="2">
        <f t="shared" si="8"/>
        <v>17688.651234278703</v>
      </c>
      <c r="S4" s="2">
        <f t="shared" si="9"/>
        <v>17616.802040045808</v>
      </c>
      <c r="T4" s="2">
        <f t="shared" si="10"/>
        <v>15578.149411099215</v>
      </c>
      <c r="U4" s="2">
        <f t="shared" si="11"/>
        <v>14465.85133270995</v>
      </c>
      <c r="Z4" s="2">
        <v>1E-14</v>
      </c>
      <c r="AA4" s="3">
        <f>IF('Modell einstellen'!$B$2="Ja",'creep_res-40'!P4,'creep_res-40'!L4)</f>
        <v>0.36077235156217125</v>
      </c>
      <c r="AB4" s="2">
        <f>IF('Modell einstellen'!$B$2="Ja",creep_res0!P4,creep_res0!L4)</f>
        <v>0.36035794624300349</v>
      </c>
      <c r="AC4" s="2">
        <f>IF('Modell einstellen'!$B$2="Ja",creep_res25!P4,creep_res25!L4)</f>
        <v>0.36009455957426084</v>
      </c>
      <c r="AD4" s="2">
        <f>IF('Modell einstellen'!$B$2="Ja",creep_res50!P4,creep_res50!L4)</f>
        <v>0.35982775903286135</v>
      </c>
      <c r="AE4" s="2">
        <f>IF('Modell einstellen'!$B$2="Ja",creep_res80!P4,creep_res80!L4)</f>
        <v>0.35950314980870418</v>
      </c>
      <c r="AF4" s="2">
        <f>IF('Modell einstellen'!$B$2="Ja",creep_res125!P4,creep_res125!L4)</f>
        <v>0.38862667797254569</v>
      </c>
      <c r="AG4" s="2">
        <f>IF('Modell einstellen'!$B$2="Ja",creep_res160!P4,creep_res160!L4)</f>
        <v>0.40597346665282347</v>
      </c>
      <c r="AL4" s="2">
        <f t="shared" si="12"/>
        <v>1E-14</v>
      </c>
      <c r="AM4" s="2">
        <f t="shared" si="13"/>
        <v>6574.1983504239388</v>
      </c>
      <c r="AN4" s="2">
        <f t="shared" si="14"/>
        <v>6543.7799387981568</v>
      </c>
      <c r="AO4" s="2">
        <f t="shared" si="15"/>
        <v>6524.1443595856636</v>
      </c>
      <c r="AP4" s="2">
        <f t="shared" si="16"/>
        <v>6504.0043184804708</v>
      </c>
      <c r="AQ4" s="2">
        <f t="shared" si="17"/>
        <v>6479.1324839978006</v>
      </c>
      <c r="AR4" s="2">
        <f t="shared" si="18"/>
        <v>5609.1927579282792</v>
      </c>
      <c r="AS4" s="2">
        <f t="shared" si="19"/>
        <v>5144.4254375399241</v>
      </c>
      <c r="AX4" s="2">
        <f t="shared" ref="AX4:AX32" si="28">AL4</f>
        <v>1E-14</v>
      </c>
      <c r="AY4" s="37">
        <f t="shared" si="20"/>
        <v>21418.129347436585</v>
      </c>
      <c r="AZ4" s="37">
        <f t="shared" si="21"/>
        <v>21249.288922902317</v>
      </c>
      <c r="BA4" s="37">
        <f t="shared" si="22"/>
        <v>21141.54918337987</v>
      </c>
      <c r="BB4" s="37">
        <f t="shared" si="23"/>
        <v>21032.04256923874</v>
      </c>
      <c r="BC4" s="37">
        <f t="shared" si="24"/>
        <v>20898.217072790078</v>
      </c>
      <c r="BD4" s="37">
        <f t="shared" si="25"/>
        <v>23312.20967390361</v>
      </c>
      <c r="BE4" s="37">
        <f t="shared" si="26"/>
        <v>25641.434776886017</v>
      </c>
      <c r="BF4" s="5"/>
      <c r="BG4" s="5"/>
    </row>
    <row r="5" spans="1:308" x14ac:dyDescent="0.25">
      <c r="A5" s="2">
        <f>'creep_res-40'!A5</f>
        <v>1E-13</v>
      </c>
      <c r="B5" s="3">
        <f>'creep_res-40'!O5</f>
        <v>-5.5891268571428576E-4</v>
      </c>
      <c r="C5" s="2">
        <f>IF('Modell einstellen'!$B$2="Ja",creep_res0!O5,creep_res0!C5)</f>
        <v>-5.6168177142857149E-4</v>
      </c>
      <c r="D5" s="2">
        <f>IF('Modell einstellen'!$B$2="Ja",creep_res25!O5,creep_res25!C5)</f>
        <v>-5.6348131428571432E-4</v>
      </c>
      <c r="E5" s="2">
        <f>IF('Modell einstellen'!$B$2="Ja",creep_res50!O5,creep_res50!C5)</f>
        <v>-5.6533705714285724E-4</v>
      </c>
      <c r="F5" s="2">
        <f>IF('Modell einstellen'!$B$2="Ja",creep_res80!O5,creep_res80!C5)</f>
        <v>-5.6764697142857147E-4</v>
      </c>
      <c r="G5" s="2">
        <f>IF('Modell einstellen'!$B$2="Ja",creep_res125!O5,creep_res125!C5)</f>
        <v>-6.6578565714285718E-4</v>
      </c>
      <c r="H5" s="2">
        <f>IF('Modell einstellen'!$B$2="Ja",creep_res160!O5,creep_res160!C5)</f>
        <v>-7.2510685714285712E-4</v>
      </c>
      <c r="M5" s="9">
        <f t="shared" si="27"/>
        <v>-10</v>
      </c>
      <c r="N5" s="2">
        <f t="shared" si="4"/>
        <v>1E-13</v>
      </c>
      <c r="O5" s="2">
        <f t="shared" si="5"/>
        <v>17891.882320080251</v>
      </c>
      <c r="P5" s="2">
        <f t="shared" si="6"/>
        <v>17803.675512855218</v>
      </c>
      <c r="Q5" s="2">
        <f t="shared" si="7"/>
        <v>17746.817412528217</v>
      </c>
      <c r="R5" s="2">
        <f t="shared" si="8"/>
        <v>17688.562732007609</v>
      </c>
      <c r="S5" s="2">
        <f t="shared" si="9"/>
        <v>17616.583023130472</v>
      </c>
      <c r="T5" s="2">
        <f t="shared" si="10"/>
        <v>15019.848944950021</v>
      </c>
      <c r="U5" s="2">
        <f t="shared" si="11"/>
        <v>13791.070793900722</v>
      </c>
      <c r="Z5" s="2">
        <v>1E-13</v>
      </c>
      <c r="AA5" s="3">
        <f>IF('Modell einstellen'!$B$2="Ja",'creep_res-40'!P5,'creep_res-40'!L5)</f>
        <v>0.3607724109628368</v>
      </c>
      <c r="AB5" s="2">
        <f>IF('Modell einstellen'!$B$2="Ja",creep_res0!P5,creep_res0!L5)</f>
        <v>0.36035802072368178</v>
      </c>
      <c r="AC5" s="2">
        <f>IF('Modell einstellen'!$B$2="Ja",creep_res25!P5,creep_res25!L5)</f>
        <v>0.36009465848176681</v>
      </c>
      <c r="AD5" s="2">
        <f>IF('Modell einstellen'!$B$2="Ja",creep_res50!P5,creep_res50!L5)</f>
        <v>0.35982785389671706</v>
      </c>
      <c r="AE5" s="2">
        <f>IF('Modell einstellen'!$B$2="Ja",creep_res80!P5,creep_res80!L5)</f>
        <v>0.35950523876912627</v>
      </c>
      <c r="AF5" s="2">
        <f>IF('Modell einstellen'!$B$2="Ja",creep_res125!P5,creep_res125!L5)</f>
        <v>0.39830491134469787</v>
      </c>
      <c r="AG5" s="2">
        <f>IF('Modell einstellen'!$B$2="Ja",creep_res160!P5,creep_res160!L5)</f>
        <v>0.41898636417726026</v>
      </c>
      <c r="AL5" s="2">
        <f t="shared" si="12"/>
        <v>1E-13</v>
      </c>
      <c r="AM5" s="2">
        <f t="shared" si="13"/>
        <v>6574.1641202956771</v>
      </c>
      <c r="AN5" s="2">
        <f t="shared" si="14"/>
        <v>6543.7462938558028</v>
      </c>
      <c r="AO5" s="2">
        <f t="shared" si="15"/>
        <v>6524.1111351538066</v>
      </c>
      <c r="AP5" s="2">
        <f t="shared" si="16"/>
        <v>6503.9713230315656</v>
      </c>
      <c r="AQ5" s="2">
        <f t="shared" si="17"/>
        <v>6479.041978197979</v>
      </c>
      <c r="AR5" s="2">
        <f t="shared" si="18"/>
        <v>5370.7345311781783</v>
      </c>
      <c r="AS5" s="2">
        <f t="shared" si="19"/>
        <v>4859.4796757955091</v>
      </c>
      <c r="AX5" s="2">
        <f t="shared" si="28"/>
        <v>1E-13</v>
      </c>
      <c r="AY5" s="37">
        <f t="shared" si="20"/>
        <v>21418.027901668822</v>
      </c>
      <c r="AZ5" s="37">
        <f t="shared" si="21"/>
        <v>21249.192166425808</v>
      </c>
      <c r="BA5" s="37">
        <f t="shared" si="22"/>
        <v>21141.458002892334</v>
      </c>
      <c r="BB5" s="37">
        <f t="shared" si="23"/>
        <v>21031.951572573435</v>
      </c>
      <c r="BC5" s="37">
        <f t="shared" si="24"/>
        <v>20898.267983792535</v>
      </c>
      <c r="BD5" s="37">
        <f t="shared" si="25"/>
        <v>24615.821575972968</v>
      </c>
      <c r="BE5" s="37">
        <f t="shared" si="26"/>
        <v>28371.912649528116</v>
      </c>
    </row>
    <row r="6" spans="1:308" x14ac:dyDescent="0.25">
      <c r="A6" s="2">
        <f>'creep_res-40'!A6</f>
        <v>9.9999999999999998E-13</v>
      </c>
      <c r="B6" s="3">
        <f>'creep_res-40'!O6</f>
        <v>-5.5891354285714288E-4</v>
      </c>
      <c r="C6" s="2">
        <f>IF('Modell einstellen'!$B$2="Ja",creep_res0!O6,creep_res0!C6)</f>
        <v>-5.6168260000000008E-4</v>
      </c>
      <c r="D6" s="2">
        <f>IF('Modell einstellen'!$B$2="Ja",creep_res25!O6,creep_res25!C6)</f>
        <v>-5.6348214285714291E-4</v>
      </c>
      <c r="E6" s="2">
        <f>IF('Modell einstellen'!$B$2="Ja",creep_res50!O6,creep_res50!C6)</f>
        <v>-5.6533788571428573E-4</v>
      </c>
      <c r="F6" s="2">
        <f>IF('Modell einstellen'!$B$2="Ja",creep_res80!O6,creep_res80!C6)</f>
        <v>-5.6769022857142864E-4</v>
      </c>
      <c r="G6" s="2">
        <f>IF('Modell einstellen'!$B$2="Ja",creep_res125!O6,creep_res125!C6)</f>
        <v>-6.9553491428571434E-4</v>
      </c>
      <c r="H6" s="2">
        <f>IF('Modell einstellen'!$B$2="Ja",creep_res160!O6,creep_res160!C6)</f>
        <v>-7.6208288571428585E-4</v>
      </c>
      <c r="M6" s="9">
        <f t="shared" si="27"/>
        <v>-10</v>
      </c>
      <c r="N6" s="2">
        <f t="shared" si="4"/>
        <v>9.9999999999999998E-13</v>
      </c>
      <c r="O6" s="2">
        <f t="shared" si="5"/>
        <v>17891.85488131208</v>
      </c>
      <c r="P6" s="2">
        <f t="shared" si="6"/>
        <v>17803.649249593986</v>
      </c>
      <c r="Q6" s="2">
        <f t="shared" si="7"/>
        <v>17746.791316748531</v>
      </c>
      <c r="R6" s="2">
        <f t="shared" si="8"/>
        <v>17688.536807267625</v>
      </c>
      <c r="S6" s="2">
        <f t="shared" si="9"/>
        <v>17615.24066596078</v>
      </c>
      <c r="T6" s="2">
        <f t="shared" si="10"/>
        <v>14377.423468769482</v>
      </c>
      <c r="U6" s="2">
        <f t="shared" si="11"/>
        <v>13121.932256262637</v>
      </c>
      <c r="Z6" s="2">
        <v>9.9999999999999998E-13</v>
      </c>
      <c r="AA6" s="3">
        <f>IF('Modell einstellen'!$B$2="Ja",'creep_res-40'!P6,'creep_res-40'!L6)</f>
        <v>0.36077245067394526</v>
      </c>
      <c r="AB6" s="2">
        <f>IF('Modell einstellen'!$B$2="Ja",creep_res0!P6,creep_res0!L6)</f>
        <v>0.36035808428868132</v>
      </c>
      <c r="AC6" s="2">
        <f>IF('Modell einstellen'!$B$2="Ja",creep_res25!P6,creep_res25!L6)</f>
        <v>0.36009471716051339</v>
      </c>
      <c r="AD6" s="2">
        <f>IF('Modell einstellen'!$B$2="Ja",creep_res50!P6,creep_res50!L6)</f>
        <v>0.35982791277388299</v>
      </c>
      <c r="AE6" s="2">
        <f>IF('Modell einstellen'!$B$2="Ja",creep_res80!P6,creep_res80!L6)</f>
        <v>0.35952503372311995</v>
      </c>
      <c r="AF6" s="2">
        <f>IF('Modell einstellen'!$B$2="Ja",creep_res125!P6,creep_res125!L6)</f>
        <v>0.41011716696403283</v>
      </c>
      <c r="AG6" s="2">
        <f>IF('Modell einstellen'!$B$2="Ja",creep_res160!P6,creep_res160!L6)</f>
        <v>0.43281088922423544</v>
      </c>
      <c r="AL6" s="2">
        <f t="shared" si="12"/>
        <v>9.9999999999999998E-13</v>
      </c>
      <c r="AM6" s="2">
        <f t="shared" si="13"/>
        <v>6574.1538463873376</v>
      </c>
      <c r="AN6" s="2">
        <f t="shared" si="14"/>
        <v>6543.7363350192272</v>
      </c>
      <c r="AO6" s="2">
        <f t="shared" si="15"/>
        <v>6524.1012603146964</v>
      </c>
      <c r="AP6" s="2">
        <f t="shared" si="16"/>
        <v>6503.9615090652051</v>
      </c>
      <c r="AQ6" s="2">
        <f t="shared" si="17"/>
        <v>6478.4539559822069</v>
      </c>
      <c r="AR6" s="2">
        <f t="shared" si="18"/>
        <v>5097.9534912421213</v>
      </c>
      <c r="AS6" s="2">
        <f t="shared" si="19"/>
        <v>4579.0872874253573</v>
      </c>
      <c r="AX6" s="2">
        <f t="shared" si="28"/>
        <v>9.9999999999999998E-13</v>
      </c>
      <c r="AY6" s="37">
        <f t="shared" si="20"/>
        <v>21418.001164184629</v>
      </c>
      <c r="AZ6" s="37">
        <f t="shared" si="21"/>
        <v>21249.170493095851</v>
      </c>
      <c r="BA6" s="37">
        <f t="shared" si="22"/>
        <v>21141.435782556586</v>
      </c>
      <c r="BB6" s="37">
        <f t="shared" si="23"/>
        <v>21031.929581830798</v>
      </c>
      <c r="BC6" s="37">
        <f t="shared" si="24"/>
        <v>20899.620210907251</v>
      </c>
      <c r="BD6" s="37">
        <f t="shared" si="25"/>
        <v>26659.565167867426</v>
      </c>
      <c r="BE6" s="37">
        <f t="shared" si="26"/>
        <v>32549.74926928135</v>
      </c>
    </row>
    <row r="7" spans="1:308" x14ac:dyDescent="0.25">
      <c r="A7" s="2">
        <f>'creep_res-40'!A7</f>
        <v>9.9999999999999994E-12</v>
      </c>
      <c r="B7" s="3">
        <f>'creep_res-40'!O7</f>
        <v>-5.5891380000000002E-4</v>
      </c>
      <c r="C7" s="2">
        <f>IF('Modell einstellen'!$B$2="Ja",creep_res0!O7,creep_res0!C7)</f>
        <v>-5.6168285714285721E-4</v>
      </c>
      <c r="D7" s="2">
        <f>IF('Modell einstellen'!$B$2="Ja",creep_res25!O7,creep_res25!C7)</f>
        <v>-5.6348240000000005E-4</v>
      </c>
      <c r="E7" s="2">
        <f>IF('Modell einstellen'!$B$2="Ja",creep_res50!O7,creep_res50!C7)</f>
        <v>-5.6533814285714286E-4</v>
      </c>
      <c r="F7" s="2">
        <f>IF('Modell einstellen'!$B$2="Ja",creep_res80!O7,creep_res80!C7)</f>
        <v>-5.6810754285714291E-4</v>
      </c>
      <c r="G7" s="2">
        <f>IF('Modell einstellen'!$B$2="Ja",creep_res125!O7,creep_res125!C7)</f>
        <v>-7.2880822857142866E-4</v>
      </c>
      <c r="H7" s="2">
        <f>IF('Modell einstellen'!$B$2="Ja",creep_res160!O7,creep_res160!C7)</f>
        <v>-8.0717060000000005E-4</v>
      </c>
      <c r="M7" s="9">
        <f t="shared" si="27"/>
        <v>-10</v>
      </c>
      <c r="N7" s="2">
        <f t="shared" si="4"/>
        <v>9.9999999999999994E-12</v>
      </c>
      <c r="O7" s="2">
        <f t="shared" si="5"/>
        <v>17891.84664969804</v>
      </c>
      <c r="P7" s="2">
        <f t="shared" si="6"/>
        <v>17803.641098942462</v>
      </c>
      <c r="Q7" s="2">
        <f t="shared" si="7"/>
        <v>17746.783218073891</v>
      </c>
      <c r="R7" s="2">
        <f t="shared" si="8"/>
        <v>17688.528761674112</v>
      </c>
      <c r="S7" s="2">
        <f t="shared" si="9"/>
        <v>17602.301053261344</v>
      </c>
      <c r="T7" s="2">
        <f t="shared" si="10"/>
        <v>13721.030592096184</v>
      </c>
      <c r="U7" s="2">
        <f t="shared" si="11"/>
        <v>12388.954701769366</v>
      </c>
      <c r="Z7" s="2">
        <v>9.9999999999999994E-12</v>
      </c>
      <c r="AA7" s="3">
        <f>IF('Modell einstellen'!$B$2="Ja",'creep_res-40'!P7,'creep_res-40'!L7)</f>
        <v>0.36077248405747009</v>
      </c>
      <c r="AB7" s="2">
        <f>IF('Modell einstellen'!$B$2="Ja",creep_res0!P7,creep_res0!L7)</f>
        <v>0.36035811261057327</v>
      </c>
      <c r="AC7" s="2">
        <f>IF('Modell einstellen'!$B$2="Ja",creep_res25!P7,creep_res25!L7)</f>
        <v>0.36009474551214277</v>
      </c>
      <c r="AD7" s="2">
        <f>IF('Modell einstellen'!$B$2="Ja",creep_res50!P7,creep_res50!L7)</f>
        <v>0.35982794115380251</v>
      </c>
      <c r="AE7" s="2">
        <f>IF('Modell einstellen'!$B$2="Ja",creep_res80!P7,creep_res80!L7)</f>
        <v>0.35971877859745266</v>
      </c>
      <c r="AF7" s="2">
        <f>IF('Modell einstellen'!$B$2="Ja",creep_res125!P7,creep_res125!L7)</f>
        <v>0.42303450549092125</v>
      </c>
      <c r="AG7" s="2">
        <f>IF('Modell einstellen'!$B$2="Ja",creep_res160!P7,creep_res160!L7)</f>
        <v>0.44912640347830879</v>
      </c>
      <c r="AL7" s="2">
        <f t="shared" si="12"/>
        <v>9.9999999999999994E-12</v>
      </c>
      <c r="AM7" s="2">
        <f t="shared" si="13"/>
        <v>6574.1506604943988</v>
      </c>
      <c r="AN7" s="2">
        <f t="shared" si="14"/>
        <v>6543.7332030080934</v>
      </c>
      <c r="AO7" s="2">
        <f t="shared" si="15"/>
        <v>6524.0981470711258</v>
      </c>
      <c r="AP7" s="2">
        <f t="shared" si="16"/>
        <v>6503.9584150129849</v>
      </c>
      <c r="AQ7" s="2">
        <f t="shared" si="17"/>
        <v>6472.7726535549082</v>
      </c>
      <c r="AR7" s="2">
        <f t="shared" si="18"/>
        <v>4821.046341164677</v>
      </c>
      <c r="AS7" s="2">
        <f t="shared" si="19"/>
        <v>4274.6287252900811</v>
      </c>
      <c r="AX7" s="2">
        <f t="shared" si="28"/>
        <v>9.9999999999999994E-12</v>
      </c>
      <c r="AY7" s="37">
        <f t="shared" si="20"/>
        <v>21417.996445812005</v>
      </c>
      <c r="AZ7" s="37">
        <f t="shared" si="21"/>
        <v>21249.165074770277</v>
      </c>
      <c r="BA7" s="37">
        <f t="shared" si="22"/>
        <v>21141.430419034266</v>
      </c>
      <c r="BB7" s="37">
        <f t="shared" si="23"/>
        <v>21031.924273727393</v>
      </c>
      <c r="BC7" s="37">
        <f t="shared" si="24"/>
        <v>20913.111625908266</v>
      </c>
      <c r="BD7" s="37">
        <f t="shared" si="25"/>
        <v>29712.515284966801</v>
      </c>
      <c r="BE7" s="37">
        <f t="shared" si="26"/>
        <v>40587.375864960486</v>
      </c>
    </row>
    <row r="8" spans="1:308" x14ac:dyDescent="0.25">
      <c r="A8" s="2">
        <f>'creep_res-40'!A8</f>
        <v>1E-10</v>
      </c>
      <c r="B8" s="3">
        <f>'creep_res-40'!O8</f>
        <v>-5.5891388571428573E-4</v>
      </c>
      <c r="C8" s="2">
        <f>IF('Modell einstellen'!$B$2="Ja",creep_res0!O8,creep_res0!C8)</f>
        <v>-5.6168294285714293E-4</v>
      </c>
      <c r="D8" s="2">
        <f>IF('Modell einstellen'!$B$2="Ja",creep_res25!O8,creep_res25!C8)</f>
        <v>-5.6348248571428576E-4</v>
      </c>
      <c r="E8" s="2">
        <f>IF('Modell einstellen'!$B$2="Ja",creep_res50!O8,creep_res50!C8)</f>
        <v>-5.6533822857142858E-4</v>
      </c>
      <c r="F8" s="2">
        <f>IF('Modell einstellen'!$B$2="Ja",creep_res80!O8,creep_res80!C8)</f>
        <v>-5.7162008571428572E-4</v>
      </c>
      <c r="G8" s="2">
        <f>IF('Modell einstellen'!$B$2="Ja",creep_res125!O8,creep_res125!C8)</f>
        <v>-7.6696551428571426E-4</v>
      </c>
      <c r="H8" s="2">
        <f>IF('Modell einstellen'!$B$2="Ja",creep_res160!O8,creep_res160!C8)</f>
        <v>-8.6432000000000013E-4</v>
      </c>
      <c r="M8" s="9">
        <f t="shared" si="27"/>
        <v>-10</v>
      </c>
      <c r="N8" s="2">
        <f t="shared" si="4"/>
        <v>1E-10</v>
      </c>
      <c r="O8" s="2">
        <f t="shared" si="5"/>
        <v>17891.843905828377</v>
      </c>
      <c r="P8" s="2">
        <f t="shared" si="6"/>
        <v>17803.638382060279</v>
      </c>
      <c r="Q8" s="2">
        <f t="shared" si="7"/>
        <v>17746.78051851732</v>
      </c>
      <c r="R8" s="2">
        <f t="shared" si="8"/>
        <v>17688.526079811236</v>
      </c>
      <c r="S8" s="2">
        <f t="shared" si="9"/>
        <v>17494.13684003806</v>
      </c>
      <c r="T8" s="2">
        <f t="shared" si="10"/>
        <v>13038.395877959572</v>
      </c>
      <c r="U8" s="2">
        <f t="shared" si="11"/>
        <v>11569.788967049239</v>
      </c>
      <c r="Z8" s="2">
        <v>1E-10</v>
      </c>
      <c r="AA8" s="3">
        <f>IF('Modell einstellen'!$B$2="Ja",'creep_res-40'!P8,'creep_res-40'!L8)</f>
        <v>0.36077249518530485</v>
      </c>
      <c r="AB8" s="2">
        <f>IF('Modell einstellen'!$B$2="Ja",creep_res0!P8,creep_res0!L8)</f>
        <v>0.36035812374678278</v>
      </c>
      <c r="AC8" s="2">
        <f>IF('Modell einstellen'!$B$2="Ja",creep_res25!P8,creep_res25!L8)</f>
        <v>0.36009475665284973</v>
      </c>
      <c r="AD8" s="2">
        <f>IF('Modell einstellen'!$B$2="Ja",creep_res50!P8,creep_res50!L8)</f>
        <v>0.3598279674599853</v>
      </c>
      <c r="AE8" s="2">
        <f>IF('Modell einstellen'!$B$2="Ja",creep_res80!P8,creep_res80!L8)</f>
        <v>0.36134311585472129</v>
      </c>
      <c r="AF8" s="2">
        <f>IF('Modell einstellen'!$B$2="Ja",creep_res125!P8,creep_res125!L8)</f>
        <v>0.4374204494871497</v>
      </c>
      <c r="AG8" s="2">
        <f>IF('Modell einstellen'!$B$2="Ja",creep_res160!P8,creep_res160!L8)</f>
        <v>0.4689348191146136</v>
      </c>
      <c r="AL8" s="2">
        <f t="shared" si="12"/>
        <v>1E-10</v>
      </c>
      <c r="AM8" s="2">
        <f t="shared" si="13"/>
        <v>6574.149598530772</v>
      </c>
      <c r="AN8" s="2">
        <f t="shared" si="14"/>
        <v>6543.7321508487757</v>
      </c>
      <c r="AO8" s="2">
        <f t="shared" si="15"/>
        <v>6524.0971012165301</v>
      </c>
      <c r="AP8" s="2">
        <f t="shared" si="16"/>
        <v>6503.9573030886877</v>
      </c>
      <c r="AQ8" s="2">
        <f t="shared" si="17"/>
        <v>6425.3224026678754</v>
      </c>
      <c r="AR8" s="2">
        <f t="shared" si="18"/>
        <v>4535.3452020984814</v>
      </c>
      <c r="AS8" s="2">
        <f t="shared" si="19"/>
        <v>3938.1560081824523</v>
      </c>
      <c r="AX8" s="2">
        <f t="shared" si="28"/>
        <v>1E-10</v>
      </c>
      <c r="AY8" s="37">
        <f t="shared" si="20"/>
        <v>21417.994873021591</v>
      </c>
      <c r="AZ8" s="37">
        <f t="shared" si="21"/>
        <v>21249.163526677763</v>
      </c>
      <c r="BA8" s="37">
        <f t="shared" si="22"/>
        <v>21141.428886599821</v>
      </c>
      <c r="BB8" s="37">
        <f t="shared" si="23"/>
        <v>21031.925032027721</v>
      </c>
      <c r="BC8" s="37">
        <f t="shared" si="24"/>
        <v>21028.090248189499</v>
      </c>
      <c r="BD8" s="37">
        <f t="shared" si="25"/>
        <v>34724.857590878732</v>
      </c>
      <c r="BE8" s="37">
        <f t="shared" si="26"/>
        <v>62072.651960059178</v>
      </c>
    </row>
    <row r="9" spans="1:308" x14ac:dyDescent="0.25">
      <c r="A9" s="2">
        <f>'creep_res-40'!A9</f>
        <v>1.0000000000000001E-9</v>
      </c>
      <c r="B9" s="3">
        <f>'creep_res-40'!O9</f>
        <v>-5.5891391428571438E-4</v>
      </c>
      <c r="C9" s="2">
        <f>IF('Modell einstellen'!$B$2="Ja",creep_res0!O9,creep_res0!C9)</f>
        <v>-5.6168297142857146E-4</v>
      </c>
      <c r="D9" s="2">
        <f>IF('Modell einstellen'!$B$2="Ja",creep_res25!O9,creep_res25!C9)</f>
        <v>-5.634825142857143E-4</v>
      </c>
      <c r="E9" s="2">
        <f>IF('Modell einstellen'!$B$2="Ja",creep_res50!O9,creep_res50!C9)</f>
        <v>-5.6533842857142854E-4</v>
      </c>
      <c r="F9" s="2">
        <f>IF('Modell einstellen'!$B$2="Ja",creep_res80!O9,creep_res80!C9)</f>
        <v>-5.8276582857142865E-4</v>
      </c>
      <c r="G9" s="2">
        <f>IF('Modell einstellen'!$B$2="Ja",creep_res125!O9,creep_res125!C9)</f>
        <v>-8.1310145714285709E-4</v>
      </c>
      <c r="H9" s="2">
        <f>IF('Modell einstellen'!$B$2="Ja",creep_res160!O9,creep_res160!C9)</f>
        <v>-9.5559037142857147E-4</v>
      </c>
      <c r="M9" s="9">
        <f t="shared" si="27"/>
        <v>-10</v>
      </c>
      <c r="N9" s="2">
        <f t="shared" si="4"/>
        <v>1.0000000000000001E-9</v>
      </c>
      <c r="O9" s="2">
        <f t="shared" si="5"/>
        <v>17891.84299120534</v>
      </c>
      <c r="P9" s="2">
        <f t="shared" si="6"/>
        <v>17803.637476433069</v>
      </c>
      <c r="Q9" s="2">
        <f t="shared" si="7"/>
        <v>17746.77961866531</v>
      </c>
      <c r="R9" s="2">
        <f t="shared" si="8"/>
        <v>17688.519822134353</v>
      </c>
      <c r="S9" s="2">
        <f t="shared" si="9"/>
        <v>17159.551074766416</v>
      </c>
      <c r="T9" s="2">
        <f t="shared" si="10"/>
        <v>12298.588216947519</v>
      </c>
      <c r="U9" s="2">
        <f t="shared" si="11"/>
        <v>10464.734994190427</v>
      </c>
      <c r="Z9" s="2">
        <v>1.0000000000000001E-9</v>
      </c>
      <c r="AA9" s="3">
        <f>IF('Modell einstellen'!$B$2="Ja",'creep_res-40'!P9,'creep_res-40'!L9)</f>
        <v>0.36077249719059723</v>
      </c>
      <c r="AB9" s="2">
        <f>IF('Modell einstellen'!$B$2="Ja",creep_res0!P9,creep_res0!L9)</f>
        <v>0.36035812576326737</v>
      </c>
      <c r="AC9" s="2">
        <f>IF('Modell einstellen'!$B$2="Ja",creep_res25!P9,creep_res25!L9)</f>
        <v>0.36009475867624846</v>
      </c>
      <c r="AD9" s="2">
        <f>IF('Modell einstellen'!$B$2="Ja",creep_res50!P9,creep_res50!L9)</f>
        <v>0.35982804231801491</v>
      </c>
      <c r="AE9" s="2">
        <f>IF('Modell einstellen'!$B$2="Ja",creep_res80!P9,creep_res80!L9)</f>
        <v>0.3661764362691331</v>
      </c>
      <c r="AF9" s="2">
        <f>IF('Modell einstellen'!$B$2="Ja",creep_res125!P9,creep_res125!L9)</f>
        <v>0.45425193995295127</v>
      </c>
      <c r="AG9" s="2">
        <f>IF('Modell einstellen'!$B$2="Ja",creep_res160!P9,creep_res160!L9)</f>
        <v>0.49856189126823414</v>
      </c>
      <c r="AL9" s="2">
        <f t="shared" si="12"/>
        <v>1.0000000000000001E-9</v>
      </c>
      <c r="AM9" s="2">
        <f t="shared" si="13"/>
        <v>6574.1492527752453</v>
      </c>
      <c r="AN9" s="2">
        <f t="shared" si="14"/>
        <v>6543.7318082853499</v>
      </c>
      <c r="AO9" s="2">
        <f t="shared" si="15"/>
        <v>6524.0967607058046</v>
      </c>
      <c r="AP9" s="2">
        <f t="shared" si="16"/>
        <v>6503.9546441408229</v>
      </c>
      <c r="AQ9" s="2">
        <f t="shared" si="17"/>
        <v>6280.1372572444334</v>
      </c>
      <c r="AR9" s="2">
        <f t="shared" si="18"/>
        <v>4228.4929725950406</v>
      </c>
      <c r="AS9" s="2">
        <f t="shared" si="19"/>
        <v>3491.5925245283374</v>
      </c>
      <c r="AX9" s="2">
        <f t="shared" si="28"/>
        <v>1.0000000000000001E-9</v>
      </c>
      <c r="AY9" s="37">
        <f t="shared" si="20"/>
        <v>21417.994086626455</v>
      </c>
      <c r="AZ9" s="37">
        <f t="shared" si="21"/>
        <v>21249.162752631597</v>
      </c>
      <c r="BA9" s="37">
        <f t="shared" si="22"/>
        <v>21141.428120382676</v>
      </c>
      <c r="BB9" s="37">
        <f t="shared" si="23"/>
        <v>21031.928823530161</v>
      </c>
      <c r="BC9" s="37">
        <f t="shared" si="24"/>
        <v>21370.863989837715</v>
      </c>
      <c r="BD9" s="37">
        <f t="shared" si="25"/>
        <v>44805.499964731716</v>
      </c>
      <c r="BE9" s="37">
        <f t="shared" si="26"/>
        <v>1212789.0336150853</v>
      </c>
    </row>
    <row r="10" spans="1:308" x14ac:dyDescent="0.25">
      <c r="A10" s="2">
        <f>'creep_res-40'!A10</f>
        <v>1E-8</v>
      </c>
      <c r="B10" s="3">
        <f>'creep_res-40'!O10</f>
        <v>-5.5891391428571438E-4</v>
      </c>
      <c r="C10" s="2">
        <f>IF('Modell einstellen'!$B$2="Ja",creep_res0!O10,creep_res0!C10)</f>
        <v>-5.6168297142857146E-4</v>
      </c>
      <c r="D10" s="2">
        <f>IF('Modell einstellen'!$B$2="Ja",creep_res25!O10,creep_res25!C10)</f>
        <v>-5.634825142857143E-4</v>
      </c>
      <c r="E10" s="2">
        <f>IF('Modell einstellen'!$B$2="Ja",creep_res50!O10,creep_res50!C10)</f>
        <v>-5.6534002857142865E-4</v>
      </c>
      <c r="F10" s="2">
        <f>IF('Modell einstellen'!$B$2="Ja",creep_res80!O10,creep_res80!C10)</f>
        <v>-5.9470314285714281E-4</v>
      </c>
      <c r="G10" s="2">
        <f>IF('Modell einstellen'!$B$2="Ja",creep_res125!O10,creep_res125!C10)</f>
        <v>-8.7520179999999999E-4</v>
      </c>
      <c r="H10" s="2">
        <f>IF('Modell einstellen'!$B$2="Ja",creep_res160!O10,creep_res160!C10)</f>
        <v>-1.1032781142857142E-3</v>
      </c>
      <c r="M10" s="9">
        <f t="shared" si="27"/>
        <v>-10</v>
      </c>
      <c r="N10" s="2">
        <f t="shared" si="4"/>
        <v>1E-8</v>
      </c>
      <c r="O10" s="2">
        <f t="shared" si="5"/>
        <v>17891.84299120534</v>
      </c>
      <c r="P10" s="2">
        <f t="shared" si="6"/>
        <v>17803.637476433069</v>
      </c>
      <c r="Q10" s="2">
        <f t="shared" si="7"/>
        <v>17746.77961866531</v>
      </c>
      <c r="R10" s="2">
        <f t="shared" si="8"/>
        <v>17688.46976087867</v>
      </c>
      <c r="S10" s="2">
        <f t="shared" si="9"/>
        <v>16815.112077526315</v>
      </c>
      <c r="T10" s="2">
        <f t="shared" si="10"/>
        <v>11425.936281209659</v>
      </c>
      <c r="U10" s="2">
        <f t="shared" si="11"/>
        <v>9063.8977339582361</v>
      </c>
      <c r="Z10" s="2">
        <v>1E-8</v>
      </c>
      <c r="AA10" s="3">
        <f>IF('Modell einstellen'!$B$2="Ja",'creep_res-40'!P10,'creep_res-40'!L10)</f>
        <v>0.36077250741450745</v>
      </c>
      <c r="AB10" s="2">
        <f>IF('Modell einstellen'!$B$2="Ja",creep_res0!P10,creep_res0!L10)</f>
        <v>0.36035813593677452</v>
      </c>
      <c r="AC10" s="2">
        <f>IF('Modell einstellen'!$B$2="Ja",creep_res25!P10,creep_res25!L10)</f>
        <v>0.36009476881726538</v>
      </c>
      <c r="AD10" s="2">
        <f>IF('Modell einstellen'!$B$2="Ja",creep_res50!P10,creep_res50!L10)</f>
        <v>0.3598287927957996</v>
      </c>
      <c r="AE10" s="2">
        <f>IF('Modell einstellen'!$B$2="Ja",creep_res80!P10,creep_res80!L10)</f>
        <v>0.37137588933926702</v>
      </c>
      <c r="AF10" s="2">
        <f>IF('Modell einstellen'!$B$2="Ja",creep_res125!P10,creep_res125!L10)</f>
        <v>0.47583559749142595</v>
      </c>
      <c r="AG10" s="2">
        <f>IF('Modell einstellen'!$B$2="Ja",creep_res160!P10,creep_res160!L10)</f>
        <v>0.54171656342369212</v>
      </c>
      <c r="AL10" s="2">
        <f t="shared" si="12"/>
        <v>1E-8</v>
      </c>
      <c r="AM10" s="2">
        <f t="shared" si="13"/>
        <v>6574.149203381603</v>
      </c>
      <c r="AN10" s="2">
        <f t="shared" si="14"/>
        <v>6543.7317593477201</v>
      </c>
      <c r="AO10" s="2">
        <f t="shared" si="15"/>
        <v>6524.0967120614177</v>
      </c>
      <c r="AP10" s="2">
        <f t="shared" si="16"/>
        <v>6503.932647473689</v>
      </c>
      <c r="AQ10" s="2">
        <f t="shared" si="17"/>
        <v>6130.7451181848783</v>
      </c>
      <c r="AR10" s="2">
        <f t="shared" si="18"/>
        <v>3871.0057883923755</v>
      </c>
      <c r="AS10" s="2">
        <f t="shared" si="19"/>
        <v>2939.5473684961994</v>
      </c>
      <c r="AX10" s="2">
        <f t="shared" si="28"/>
        <v>1E-8</v>
      </c>
      <c r="AY10" s="37">
        <f t="shared" si="20"/>
        <v>21417.995659416745</v>
      </c>
      <c r="AZ10" s="37">
        <f t="shared" si="21"/>
        <v>21249.164300724002</v>
      </c>
      <c r="BA10" s="37">
        <f t="shared" si="22"/>
        <v>21141.429652817013</v>
      </c>
      <c r="BB10" s="37">
        <f t="shared" si="23"/>
        <v>21031.981904707714</v>
      </c>
      <c r="BC10" s="37">
        <f t="shared" si="24"/>
        <v>21788.439703811193</v>
      </c>
      <c r="BD10" s="37">
        <f t="shared" si="25"/>
        <v>78806.943927508604</v>
      </c>
      <c r="BE10" s="37">
        <f t="shared" si="26"/>
        <v>-36212.225992432257</v>
      </c>
    </row>
    <row r="11" spans="1:308" x14ac:dyDescent="0.25">
      <c r="A11" s="2">
        <f>'creep_res-40'!A11</f>
        <v>9.9999999999999995E-8</v>
      </c>
      <c r="B11" s="3">
        <f>'creep_res-40'!O11</f>
        <v>-5.5891391428571438E-4</v>
      </c>
      <c r="C11" s="2">
        <f>IF('Modell einstellen'!$B$2="Ja",creep_res0!O11,creep_res0!C11)</f>
        <v>-5.61683E-4</v>
      </c>
      <c r="D11" s="2">
        <f>IF('Modell einstellen'!$B$2="Ja",creep_res25!O11,creep_res25!C11)</f>
        <v>-5.6348254285714294E-4</v>
      </c>
      <c r="E11" s="2">
        <f>IF('Modell einstellen'!$B$2="Ja",creep_res50!O11,creep_res50!C11)</f>
        <v>-5.6535597142857151E-4</v>
      </c>
      <c r="F11" s="2">
        <f>IF('Modell einstellen'!$B$2="Ja",creep_res80!O11,creep_res80!C11)</f>
        <v>-6.0905660000000006E-4</v>
      </c>
      <c r="G11" s="2">
        <f>IF('Modell einstellen'!$B$2="Ja",creep_res125!O11,creep_res125!C11)</f>
        <v>-9.7467042857142863E-4</v>
      </c>
      <c r="H11" s="2">
        <f>IF('Modell einstellen'!$B$2="Ja",creep_res160!O11,creep_res160!C11)</f>
        <v>-1.3608547142857144E-3</v>
      </c>
      <c r="M11" s="9">
        <f t="shared" si="27"/>
        <v>-10</v>
      </c>
      <c r="N11" s="2">
        <f t="shared" si="4"/>
        <v>9.9999999999999995E-8</v>
      </c>
      <c r="O11" s="2">
        <f t="shared" si="5"/>
        <v>17891.84299120534</v>
      </c>
      <c r="P11" s="2">
        <f t="shared" si="6"/>
        <v>17803.636570805953</v>
      </c>
      <c r="Q11" s="2">
        <f t="shared" si="7"/>
        <v>17746.778718813392</v>
      </c>
      <c r="R11" s="2">
        <f t="shared" si="8"/>
        <v>17687.970951702286</v>
      </c>
      <c r="S11" s="2">
        <f t="shared" si="9"/>
        <v>16418.835293796994</v>
      </c>
      <c r="T11" s="2">
        <f t="shared" si="10"/>
        <v>10259.878320774509</v>
      </c>
      <c r="U11" s="2">
        <f t="shared" si="11"/>
        <v>7348.3230024659915</v>
      </c>
      <c r="Z11" s="2">
        <v>9.9999999999999995E-8</v>
      </c>
      <c r="AA11" s="3">
        <f>IF('Modell einstellen'!$B$2="Ja",'creep_res-40'!P11,'creep_res-40'!L11)</f>
        <v>0.36077250741450745</v>
      </c>
      <c r="AB11" s="2">
        <f>IF('Modell einstellen'!$B$2="Ja",creep_res0!P11,creep_res0!L11)</f>
        <v>0.36035811760624514</v>
      </c>
      <c r="AC11" s="2">
        <f>IF('Modell einstellen'!$B$2="Ja",creep_res25!P11,creep_res25!L11)</f>
        <v>0.36009477084066338</v>
      </c>
      <c r="AD11" s="2">
        <f>IF('Modell einstellen'!$B$2="Ja",creep_res50!P11,creep_res50!L11)</f>
        <v>0.35983629328050659</v>
      </c>
      <c r="AE11" s="2">
        <f>IF('Modell einstellen'!$B$2="Ja",creep_res80!P11,creep_res80!L11)</f>
        <v>0.37754390267552423</v>
      </c>
      <c r="AF11" s="2">
        <f>IF('Modell einstellen'!$B$2="Ja",creep_res125!P11,creep_res125!L11)</f>
        <v>0.50802672786244374</v>
      </c>
      <c r="AG11" s="2">
        <f>IF('Modell einstellen'!$B$2="Ja",creep_res160!P11,creep_res160!L11)</f>
        <v>0.60421243665876778</v>
      </c>
      <c r="AL11" s="2">
        <f t="shared" si="12"/>
        <v>9.9999999999999995E-8</v>
      </c>
      <c r="AM11" s="2">
        <f t="shared" si="13"/>
        <v>6574.149203381603</v>
      </c>
      <c r="AN11" s="2">
        <f t="shared" si="14"/>
        <v>6543.7315146595847</v>
      </c>
      <c r="AO11" s="2">
        <f t="shared" si="15"/>
        <v>6524.0963715507314</v>
      </c>
      <c r="AP11" s="2">
        <f t="shared" si="16"/>
        <v>6503.7133657579243</v>
      </c>
      <c r="AQ11" s="2">
        <f t="shared" si="17"/>
        <v>5959.459898848826</v>
      </c>
      <c r="AR11" s="2">
        <f t="shared" si="18"/>
        <v>3401.7561264704505</v>
      </c>
      <c r="AS11" s="2">
        <f t="shared" si="19"/>
        <v>2290.3210430692648</v>
      </c>
      <c r="AX11" s="2">
        <f t="shared" si="28"/>
        <v>9.9999999999999995E-8</v>
      </c>
      <c r="AY11" s="37">
        <f t="shared" si="20"/>
        <v>21417.995659416745</v>
      </c>
      <c r="AZ11" s="37">
        <f t="shared" si="21"/>
        <v>21249.160430493426</v>
      </c>
      <c r="BA11" s="37">
        <f t="shared" si="22"/>
        <v>21141.42888659981</v>
      </c>
      <c r="BB11" s="37">
        <f t="shared" si="23"/>
        <v>21032.514247905889</v>
      </c>
      <c r="BC11" s="37">
        <f t="shared" si="24"/>
        <v>22346.560185690454</v>
      </c>
      <c r="BD11" s="37">
        <f t="shared" si="25"/>
        <v>-213035.71635085696</v>
      </c>
      <c r="BE11" s="37">
        <f t="shared" si="26"/>
        <v>-11752.153002824527</v>
      </c>
    </row>
    <row r="12" spans="1:308" x14ac:dyDescent="0.25">
      <c r="A12" s="2">
        <f>'creep_res-40'!A12</f>
        <v>9.9999999999999995E-7</v>
      </c>
      <c r="B12" s="3">
        <f>'creep_res-40'!O12</f>
        <v>-5.5891391428571438E-4</v>
      </c>
      <c r="C12" s="2">
        <f>IF('Modell einstellen'!$B$2="Ja",creep_res0!O12,creep_res0!C12)</f>
        <v>-5.61683E-4</v>
      </c>
      <c r="D12" s="2">
        <f>IF('Modell einstellen'!$B$2="Ja",creep_res25!O12,creep_res25!C12)</f>
        <v>-5.6348271428571437E-4</v>
      </c>
      <c r="E12" s="2">
        <f>IF('Modell einstellen'!$B$2="Ja",creep_res50!O12,creep_res50!C12)</f>
        <v>-5.6551417142857146E-4</v>
      </c>
      <c r="F12" s="2">
        <f>IF('Modell einstellen'!$B$2="Ja",creep_res80!O12,creep_res80!C12)</f>
        <v>-6.2686451428571436E-4</v>
      </c>
      <c r="G12" s="2">
        <f>IF('Modell einstellen'!$B$2="Ja",creep_res125!O12,creep_res125!C12)</f>
        <v>-1.1375140571428571E-3</v>
      </c>
      <c r="H12" s="2">
        <f>IF('Modell einstellen'!$B$2="Ja",creep_res160!O12,creep_res160!C12)</f>
        <v>-1.8943430571428572E-3</v>
      </c>
      <c r="M12" s="9">
        <f t="shared" si="27"/>
        <v>-10</v>
      </c>
      <c r="N12" s="2">
        <f t="shared" si="4"/>
        <v>9.9999999999999995E-7</v>
      </c>
      <c r="O12" s="2">
        <f t="shared" si="5"/>
        <v>17891.84299120534</v>
      </c>
      <c r="P12" s="2">
        <f t="shared" si="6"/>
        <v>17803.636570805953</v>
      </c>
      <c r="Q12" s="2">
        <f t="shared" si="7"/>
        <v>17746.773319703811</v>
      </c>
      <c r="R12" s="2">
        <f t="shared" si="8"/>
        <v>17683.02282282076</v>
      </c>
      <c r="S12" s="2">
        <f t="shared" si="9"/>
        <v>15952.410404654309</v>
      </c>
      <c r="T12" s="2">
        <f t="shared" si="10"/>
        <v>8791.100151427956</v>
      </c>
      <c r="U12" s="2">
        <f t="shared" si="11"/>
        <v>5278.8748913739519</v>
      </c>
      <c r="Z12" s="2">
        <v>9.9999999999999995E-7</v>
      </c>
      <c r="AA12" s="3">
        <f>IF('Modell einstellen'!$B$2="Ja",'creep_res-40'!P12,'creep_res-40'!L12)</f>
        <v>0.36077250741450745</v>
      </c>
      <c r="AB12" s="2">
        <f>IF('Modell einstellen'!$B$2="Ja",creep_res0!P12,creep_res0!L12)</f>
        <v>0.36035812269299844</v>
      </c>
      <c r="AC12" s="2">
        <f>IF('Modell einstellen'!$B$2="Ja",creep_res25!P12,creep_res25!L12)</f>
        <v>0.36009486410915376</v>
      </c>
      <c r="AD12" s="2">
        <f>IF('Modell einstellen'!$B$2="Ja",creep_res50!P12,creep_res50!L12)</f>
        <v>0.35991086948130546</v>
      </c>
      <c r="AE12" s="2">
        <f>IF('Modell einstellen'!$B$2="Ja",creep_res80!P12,creep_res80!L12)</f>
        <v>0.38508679341874646</v>
      </c>
      <c r="AF12" s="2">
        <f>IF('Modell einstellen'!$B$2="Ja",creep_res125!P12,creep_res125!L12)</f>
        <v>0.55481705569880313</v>
      </c>
      <c r="AG12" s="2">
        <f>IF('Modell einstellen'!$B$2="Ja",creep_res160!P12,creep_res160!L12)</f>
        <v>0.69534610015651555</v>
      </c>
      <c r="AL12" s="2">
        <f t="shared" si="12"/>
        <v>9.9999999999999995E-7</v>
      </c>
      <c r="AM12" s="2">
        <f t="shared" si="13"/>
        <v>6574.149203381603</v>
      </c>
      <c r="AN12" s="2">
        <f t="shared" si="14"/>
        <v>6543.731490190773</v>
      </c>
      <c r="AO12" s="2">
        <f t="shared" si="15"/>
        <v>6524.0939393325853</v>
      </c>
      <c r="AP12" s="2">
        <f t="shared" si="16"/>
        <v>6501.5374241274303</v>
      </c>
      <c r="AQ12" s="2">
        <f t="shared" si="17"/>
        <v>5758.6320512376351</v>
      </c>
      <c r="AR12" s="2">
        <f t="shared" si="18"/>
        <v>2827.0529060658037</v>
      </c>
      <c r="AS12" s="2">
        <f t="shared" si="19"/>
        <v>1556.8723374202477</v>
      </c>
      <c r="AX12" s="2">
        <f t="shared" si="28"/>
        <v>9.9999999999999995E-7</v>
      </c>
      <c r="AY12" s="37">
        <f t="shared" si="20"/>
        <v>21417.995659416745</v>
      </c>
      <c r="AZ12" s="37">
        <f t="shared" si="21"/>
        <v>21249.161204539429</v>
      </c>
      <c r="BA12" s="37">
        <f t="shared" si="22"/>
        <v>21141.436548774276</v>
      </c>
      <c r="BB12" s="37">
        <f t="shared" si="23"/>
        <v>21037.823987899148</v>
      </c>
      <c r="BC12" s="37">
        <f t="shared" si="24"/>
        <v>23136.897372735224</v>
      </c>
      <c r="BD12" s="37">
        <f t="shared" si="25"/>
        <v>-26728.603714542747</v>
      </c>
      <c r="BE12" s="37">
        <f t="shared" si="26"/>
        <v>-4503.8650947765718</v>
      </c>
    </row>
    <row r="13" spans="1:308" x14ac:dyDescent="0.25">
      <c r="A13" s="2">
        <f>'creep_res-40'!A13</f>
        <v>1.0000000000000001E-5</v>
      </c>
      <c r="B13" s="3">
        <f>'creep_res-40'!O13</f>
        <v>-5.5891391428571438E-4</v>
      </c>
      <c r="C13" s="2">
        <f>IF('Modell einstellen'!$B$2="Ja",creep_res0!O13,creep_res0!C13)</f>
        <v>-5.61683E-4</v>
      </c>
      <c r="D13" s="2">
        <f>IF('Modell einstellen'!$B$2="Ja",creep_res25!O13,creep_res25!C13)</f>
        <v>-5.6348448571428569E-4</v>
      </c>
      <c r="E13" s="2">
        <f>IF('Modell einstellen'!$B$2="Ja",creep_res50!O13,creep_res50!C13)</f>
        <v>-5.6699531428571425E-4</v>
      </c>
      <c r="F13" s="2">
        <f>IF('Modell einstellen'!$B$2="Ja",creep_res80!O13,creep_res80!C13)</f>
        <v>-6.4622380000000008E-4</v>
      </c>
      <c r="G13" s="2">
        <f>IF('Modell einstellen'!$B$2="Ja",creep_res125!O13,creep_res125!C13)</f>
        <v>-1.4322549714285717E-3</v>
      </c>
      <c r="H13" s="2">
        <f>IF('Modell einstellen'!$B$2="Ja",creep_res160!O13,creep_res160!C13)</f>
        <v>-2.9633485714285718E-3</v>
      </c>
      <c r="M13" s="9">
        <f t="shared" si="27"/>
        <v>-10</v>
      </c>
      <c r="N13" s="2">
        <f t="shared" si="4"/>
        <v>1.0000000000000001E-5</v>
      </c>
      <c r="O13" s="2">
        <f t="shared" si="5"/>
        <v>17891.84299120534</v>
      </c>
      <c r="P13" s="2">
        <f t="shared" si="6"/>
        <v>17803.636570805953</v>
      </c>
      <c r="Q13" s="2">
        <f t="shared" si="7"/>
        <v>17746.717529097139</v>
      </c>
      <c r="R13" s="2">
        <f t="shared" si="8"/>
        <v>17636.830054932176</v>
      </c>
      <c r="S13" s="2">
        <f t="shared" si="9"/>
        <v>15474.515175702285</v>
      </c>
      <c r="T13" s="2">
        <f t="shared" si="10"/>
        <v>6981.997060220162</v>
      </c>
      <c r="U13" s="2">
        <f t="shared" si="11"/>
        <v>3374.5608250126302</v>
      </c>
      <c r="Z13" s="2">
        <v>1.0000000000000001E-5</v>
      </c>
      <c r="AA13" s="3">
        <f>IF('Modell einstellen'!$B$2="Ja",'creep_res-40'!P13,'creep_res-40'!L13)</f>
        <v>0.3607725125264627</v>
      </c>
      <c r="AB13" s="2">
        <f>IF('Modell einstellen'!$B$2="Ja",creep_res0!P13,creep_res0!L13)</f>
        <v>0.36035814304001162</v>
      </c>
      <c r="AC13" s="2">
        <f>IF('Modell einstellen'!$B$2="Ja",creep_res25!P13,creep_res25!L13)</f>
        <v>0.36009570449829092</v>
      </c>
      <c r="AD13" s="2">
        <f>IF('Modell einstellen'!$B$2="Ja",creep_res50!P13,creep_res50!L13)</f>
        <v>0.36060759081103017</v>
      </c>
      <c r="AE13" s="2">
        <f>IF('Modell einstellen'!$B$2="Ja",creep_res80!P13,creep_res80!L13)</f>
        <v>0.39316898307631853</v>
      </c>
      <c r="AF13" s="2">
        <f>IF('Modell einstellen'!$B$2="Ja",creep_res125!P13,creep_res125!L13)</f>
        <v>0.62311995765159445</v>
      </c>
      <c r="AG13" s="2">
        <f>IF('Modell einstellen'!$B$2="Ja",creep_res160!P13,creep_res160!L13)</f>
        <v>0.79570910128696104</v>
      </c>
      <c r="AL13" s="2">
        <f t="shared" si="12"/>
        <v>1.0000000000000001E-5</v>
      </c>
      <c r="AM13" s="2">
        <f t="shared" si="13"/>
        <v>6574.1491786847801</v>
      </c>
      <c r="AN13" s="2">
        <f t="shared" si="14"/>
        <v>6543.7313923155243</v>
      </c>
      <c r="AO13" s="2">
        <f t="shared" si="15"/>
        <v>6524.06939835293</v>
      </c>
      <c r="AP13" s="2">
        <f t="shared" si="16"/>
        <v>6481.233154233405</v>
      </c>
      <c r="AQ13" s="2">
        <f t="shared" si="17"/>
        <v>5553.7107715147085</v>
      </c>
      <c r="AR13" s="2">
        <f t="shared" si="18"/>
        <v>2150.7951483518323</v>
      </c>
      <c r="AS13" s="2">
        <f t="shared" si="19"/>
        <v>939.61789874376836</v>
      </c>
      <c r="AX13" s="2">
        <f t="shared" si="28"/>
        <v>1.0000000000000001E-5</v>
      </c>
      <c r="AY13" s="37">
        <f t="shared" si="20"/>
        <v>21417.996445811998</v>
      </c>
      <c r="AZ13" s="37">
        <f t="shared" si="21"/>
        <v>21249.164300723998</v>
      </c>
      <c r="BA13" s="37">
        <f t="shared" si="22"/>
        <v>21141.497080147841</v>
      </c>
      <c r="BB13" s="37">
        <f t="shared" si="23"/>
        <v>21087.745688053081</v>
      </c>
      <c r="BC13" s="37">
        <f t="shared" si="24"/>
        <v>24141.732774663273</v>
      </c>
      <c r="BD13" s="37">
        <f t="shared" si="25"/>
        <v>-9451.4829187669911</v>
      </c>
      <c r="BE13" s="37">
        <f t="shared" si="26"/>
        <v>-1901.9597358384426</v>
      </c>
    </row>
    <row r="14" spans="1:308" x14ac:dyDescent="0.25">
      <c r="A14" s="2">
        <f>'creep_res-40'!A14</f>
        <v>1E-4</v>
      </c>
      <c r="B14" s="3">
        <f>'creep_res-40'!O14</f>
        <v>-5.5891394285714291E-4</v>
      </c>
      <c r="C14" s="2">
        <f>IF('Modell einstellen'!$B$2="Ja",creep_res0!O14,creep_res0!C14)</f>
        <v>-5.6168320000000006E-4</v>
      </c>
      <c r="D14" s="2">
        <f>IF('Modell einstellen'!$B$2="Ja",creep_res25!O14,creep_res25!C14)</f>
        <v>-5.6350217142857144E-4</v>
      </c>
      <c r="E14" s="2">
        <f>IF('Modell einstellen'!$B$2="Ja",creep_res50!O14,creep_res50!C14)</f>
        <v>-5.7573442857142862E-4</v>
      </c>
      <c r="F14" s="2">
        <f>IF('Modell einstellen'!$B$2="Ja",creep_res80!O14,creep_res80!C14)</f>
        <v>-6.724639142857144E-4</v>
      </c>
      <c r="G14" s="2">
        <f>IF('Modell einstellen'!$B$2="Ja",creep_res125!O14,creep_res125!C14)</f>
        <v>-2.0606296285714289E-3</v>
      </c>
      <c r="H14" s="2">
        <f>IF('Modell einstellen'!$B$2="Ja",creep_res160!O14,creep_res160!C14)</f>
        <v>-5.0025814285714291E-3</v>
      </c>
      <c r="M14" s="9">
        <f t="shared" si="27"/>
        <v>-10</v>
      </c>
      <c r="N14" s="2">
        <f t="shared" si="4"/>
        <v>1E-4</v>
      </c>
      <c r="O14" s="2">
        <f t="shared" si="5"/>
        <v>17891.842076582398</v>
      </c>
      <c r="P14" s="2">
        <f t="shared" si="6"/>
        <v>17803.630231418705</v>
      </c>
      <c r="Q14" s="2">
        <f t="shared" si="7"/>
        <v>17746.160542111738</v>
      </c>
      <c r="R14" s="2">
        <f t="shared" si="8"/>
        <v>17369.119343467137</v>
      </c>
      <c r="S14" s="2">
        <f t="shared" si="9"/>
        <v>14870.686422812616</v>
      </c>
      <c r="T14" s="2">
        <f t="shared" si="10"/>
        <v>4852.8856721004695</v>
      </c>
      <c r="U14" s="2">
        <f t="shared" si="11"/>
        <v>1998.967961398215</v>
      </c>
      <c r="Z14" s="2">
        <v>1E-4</v>
      </c>
      <c r="AA14" s="3">
        <f>IF('Modell einstellen'!$B$2="Ja",'creep_res-40'!P14,'creep_res-40'!L14)</f>
        <v>0.36077249919588944</v>
      </c>
      <c r="AB14" s="2">
        <f>IF('Modell einstellen'!$B$2="Ja",creep_res0!P14,creep_res0!L14)</f>
        <v>0.36035822836991183</v>
      </c>
      <c r="AC14" s="2">
        <f>IF('Modell einstellen'!$B$2="Ja",creep_res25!P14,creep_res25!L14)</f>
        <v>0.36010412635753059</v>
      </c>
      <c r="AD14" s="2">
        <f>IF('Modell einstellen'!$B$2="Ja",creep_res50!P14,creep_res50!L14)</f>
        <v>0.36448830450349007</v>
      </c>
      <c r="AE14" s="2">
        <f>IF('Modell einstellen'!$B$2="Ja",creep_res80!P14,creep_res80!L14)</f>
        <v>0.40389726276124766</v>
      </c>
      <c r="AF14" s="2">
        <f>IF('Modell einstellen'!$B$2="Ja",creep_res125!P14,creep_res125!L14)</f>
        <v>0.72024714166073811</v>
      </c>
      <c r="AG14" s="2">
        <f>IF('Modell einstellen'!$B$2="Ja",creep_res160!P14,creep_res160!L14)</f>
        <v>0.87793610555921553</v>
      </c>
      <c r="AL14" s="2">
        <f t="shared" si="12"/>
        <v>1E-4</v>
      </c>
      <c r="AM14" s="2">
        <f t="shared" si="13"/>
        <v>6574.1489070197567</v>
      </c>
      <c r="AN14" s="2">
        <f t="shared" si="14"/>
        <v>6543.7286518097571</v>
      </c>
      <c r="AO14" s="2">
        <f t="shared" si="15"/>
        <v>6523.8242419120506</v>
      </c>
      <c r="AP14" s="2">
        <f t="shared" si="16"/>
        <v>6364.7007036045688</v>
      </c>
      <c r="AQ14" s="2">
        <f t="shared" si="17"/>
        <v>5296.2160470219478</v>
      </c>
      <c r="AR14" s="2">
        <f t="shared" si="18"/>
        <v>1410.5199057082755</v>
      </c>
      <c r="AS14" s="2">
        <f t="shared" si="19"/>
        <v>532.22470015904992</v>
      </c>
      <c r="AX14" s="2">
        <f t="shared" si="28"/>
        <v>1E-4</v>
      </c>
      <c r="AY14" s="37">
        <f t="shared" si="20"/>
        <v>21417.993300231385</v>
      </c>
      <c r="AZ14" s="37">
        <f t="shared" si="21"/>
        <v>21249.169719049183</v>
      </c>
      <c r="BA14" s="37">
        <f t="shared" si="22"/>
        <v>21142.106244278795</v>
      </c>
      <c r="BB14" s="37">
        <f t="shared" si="23"/>
        <v>21362.386569694612</v>
      </c>
      <c r="BC14" s="37">
        <f t="shared" si="24"/>
        <v>25789.564463477425</v>
      </c>
      <c r="BD14" s="37">
        <f t="shared" si="25"/>
        <v>-3672.303179894539</v>
      </c>
      <c r="BE14" s="37">
        <f t="shared" si="26"/>
        <v>-881.52817896754868</v>
      </c>
    </row>
    <row r="15" spans="1:308" x14ac:dyDescent="0.25">
      <c r="A15" s="2">
        <f>'creep_res-40'!A15</f>
        <v>1E-3</v>
      </c>
      <c r="B15" s="3">
        <f>'creep_res-40'!O15</f>
        <v>-5.5891397142857145E-4</v>
      </c>
      <c r="C15" s="2">
        <f>IF('Modell einstellen'!$B$2="Ja",creep_res0!O15,creep_res0!C15)</f>
        <v>-5.6168508571428574E-4</v>
      </c>
      <c r="D15" s="2">
        <f>IF('Modell einstellen'!$B$2="Ja",creep_res25!O15,creep_res25!C15)</f>
        <v>-5.6367762857142858E-4</v>
      </c>
      <c r="E15" s="2">
        <f>IF('Modell einstellen'!$B$2="Ja",creep_res50!O15,creep_res50!C15)</f>
        <v>-5.8701614285714288E-4</v>
      </c>
      <c r="F15" s="2">
        <f>IF('Modell einstellen'!$B$2="Ja",creep_res80!O15,creep_res80!C15)</f>
        <v>-7.0394182857142862E-4</v>
      </c>
      <c r="G15" s="2">
        <f>IF('Modell einstellen'!$B$2="Ja",creep_res125!O15,creep_res125!C15)</f>
        <v>-3.3242445714285712E-3</v>
      </c>
      <c r="H15" s="2">
        <f>IF('Modell einstellen'!$B$2="Ja",creep_res160!O15,creep_res160!C15)</f>
        <v>-8.7717962857142857E-3</v>
      </c>
      <c r="M15" s="9">
        <f t="shared" si="27"/>
        <v>-10</v>
      </c>
      <c r="N15" s="2">
        <f t="shared" si="4"/>
        <v>1E-3</v>
      </c>
      <c r="O15" s="2">
        <f t="shared" si="5"/>
        <v>17891.841161959554</v>
      </c>
      <c r="P15" s="2">
        <f t="shared" si="6"/>
        <v>17803.570460275198</v>
      </c>
      <c r="Q15" s="2">
        <f t="shared" si="7"/>
        <v>17740.636656707073</v>
      </c>
      <c r="R15" s="2">
        <f t="shared" si="8"/>
        <v>17035.306646470905</v>
      </c>
      <c r="S15" s="2">
        <f t="shared" si="9"/>
        <v>14205.719271283941</v>
      </c>
      <c r="T15" s="2">
        <f t="shared" si="10"/>
        <v>3008.2022502040422</v>
      </c>
      <c r="U15" s="2">
        <f t="shared" si="11"/>
        <v>1140.0173549727735</v>
      </c>
      <c r="Z15" s="2">
        <v>1E-3</v>
      </c>
      <c r="AA15" s="3">
        <f>IF('Modell einstellen'!$B$2="Ja",'creep_res-40'!P15,'creep_res-40'!L15)</f>
        <v>0.36077253698486383</v>
      </c>
      <c r="AB15" s="2">
        <f>IF('Modell einstellen'!$B$2="Ja",creep_res0!P15,creep_res0!L15)</f>
        <v>0.36035913464067154</v>
      </c>
      <c r="AC15" s="2">
        <f>IF('Modell einstellen'!$B$2="Ja",creep_res25!P15,creep_res25!L15)</f>
        <v>0.36018776081587062</v>
      </c>
      <c r="AD15" s="2">
        <f>IF('Modell einstellen'!$B$2="Ja",creep_res50!P15,creep_res50!L15)</f>
        <v>0.36949596178055943</v>
      </c>
      <c r="AE15" s="2">
        <f>IF('Modell einstellen'!$B$2="Ja",creep_res80!P15,creep_res80!L15)</f>
        <v>0.4165064126240301</v>
      </c>
      <c r="AF15" s="2">
        <f>IF('Modell einstellen'!$B$2="Ja",creep_res125!P15,creep_res125!L15)</f>
        <v>0.81944840572156641</v>
      </c>
      <c r="AG15" s="2">
        <f>IF('Modell einstellen'!$B$2="Ja",creep_res160!P15,creep_res160!L15)</f>
        <v>0.93476335373171815</v>
      </c>
      <c r="AL15" s="2">
        <f t="shared" si="12"/>
        <v>1E-3</v>
      </c>
      <c r="AM15" s="2">
        <f t="shared" si="13"/>
        <v>6574.1483883865922</v>
      </c>
      <c r="AN15" s="2">
        <f t="shared" si="14"/>
        <v>6543.7023234963144</v>
      </c>
      <c r="AO15" s="2">
        <f t="shared" si="15"/>
        <v>6521.3925487999713</v>
      </c>
      <c r="AP15" s="2">
        <f t="shared" si="16"/>
        <v>6219.55344224686</v>
      </c>
      <c r="AQ15" s="2">
        <f t="shared" si="17"/>
        <v>5014.3504980568096</v>
      </c>
      <c r="AR15" s="2">
        <f t="shared" si="18"/>
        <v>826.67973456797017</v>
      </c>
      <c r="AS15" s="2">
        <f t="shared" si="19"/>
        <v>294.61415856723238</v>
      </c>
      <c r="AX15" s="2">
        <f t="shared" si="28"/>
        <v>1E-3</v>
      </c>
      <c r="AY15" s="37">
        <f t="shared" si="20"/>
        <v>21417.998018602641</v>
      </c>
      <c r="AZ15" s="37">
        <f t="shared" si="21"/>
        <v>21249.236287269807</v>
      </c>
      <c r="BA15" s="37">
        <f t="shared" si="22"/>
        <v>21148.168381910014</v>
      </c>
      <c r="BB15" s="37">
        <f t="shared" si="23"/>
        <v>21755.784825889568</v>
      </c>
      <c r="BC15" s="37">
        <f t="shared" si="24"/>
        <v>28356.906835083992</v>
      </c>
      <c r="BD15" s="37">
        <f t="shared" si="25"/>
        <v>-1569.4773638584659</v>
      </c>
      <c r="BE15" s="37">
        <f t="shared" si="26"/>
        <v>-437.02600705557256</v>
      </c>
    </row>
    <row r="16" spans="1:308" x14ac:dyDescent="0.25">
      <c r="A16" s="2">
        <f>'creep_res-40'!A16</f>
        <v>0.01</v>
      </c>
      <c r="B16" s="3">
        <f>'creep_res-40'!O16</f>
        <v>-5.5891448571428572E-4</v>
      </c>
      <c r="C16" s="2">
        <f>IF('Modell einstellen'!$B$2="Ja",creep_res0!O16,creep_res0!C16)</f>
        <v>-5.617039142857144E-4</v>
      </c>
      <c r="D16" s="2">
        <f>IF('Modell einstellen'!$B$2="Ja",creep_res25!O16,creep_res25!C16)</f>
        <v>-5.6530822857142854E-4</v>
      </c>
      <c r="E16" s="2">
        <f>IF('Modell einstellen'!$B$2="Ja",creep_res50!O16,creep_res50!C16)</f>
        <v>-5.9998348571428575E-4</v>
      </c>
      <c r="F16" s="2">
        <f>IF('Modell einstellen'!$B$2="Ja",creep_res80!O16,creep_res80!C16)</f>
        <v>-7.3808877142857144E-4</v>
      </c>
      <c r="G16" s="2">
        <f>IF('Modell einstellen'!$B$2="Ja",creep_res125!O16,creep_res125!C16)</f>
        <v>-5.6982420000000001E-3</v>
      </c>
      <c r="H16" s="2">
        <f>IF('Modell einstellen'!$B$2="Ja",creep_res160!O16,creep_res160!C16)</f>
        <v>-1.3274090285714286E-2</v>
      </c>
      <c r="M16" s="9">
        <f t="shared" si="27"/>
        <v>-10</v>
      </c>
      <c r="N16" s="2">
        <f t="shared" si="4"/>
        <v>0.01</v>
      </c>
      <c r="O16" s="2">
        <f t="shared" si="5"/>
        <v>17891.824698764292</v>
      </c>
      <c r="P16" s="2">
        <f t="shared" si="6"/>
        <v>17802.973676472251</v>
      </c>
      <c r="Q16" s="2">
        <f t="shared" si="7"/>
        <v>17689.464781488612</v>
      </c>
      <c r="R16" s="2">
        <f t="shared" si="8"/>
        <v>16667.125409451746</v>
      </c>
      <c r="S16" s="2">
        <f t="shared" si="9"/>
        <v>13548.505799166936</v>
      </c>
      <c r="T16" s="2">
        <f t="shared" si="10"/>
        <v>1754.9272214132006</v>
      </c>
      <c r="U16" s="2">
        <f t="shared" si="11"/>
        <v>753.34729422189514</v>
      </c>
      <c r="Z16" s="2">
        <v>0.01</v>
      </c>
      <c r="AA16" s="3">
        <f>IF('Modell einstellen'!$B$2="Ja",'creep_res-40'!P16,'creep_res-40'!L16)</f>
        <v>0.36077279289389885</v>
      </c>
      <c r="AB16" s="2">
        <f>IF('Modell einstellen'!$B$2="Ja",creep_res0!P16,creep_res0!L16)</f>
        <v>0.36036820517082785</v>
      </c>
      <c r="AC16" s="2">
        <f>IF('Modell einstellen'!$B$2="Ja",creep_res25!P16,creep_res25!L16)</f>
        <v>0.36096327323430338</v>
      </c>
      <c r="AD16" s="2">
        <f>IF('Modell einstellen'!$B$2="Ja",creep_res50!P16,creep_res50!L16)</f>
        <v>0.37518023115112409</v>
      </c>
      <c r="AE16" s="2">
        <f>IF('Modell einstellen'!$B$2="Ja",creep_res80!P16,creep_res80!L16)</f>
        <v>0.42985855321235655</v>
      </c>
      <c r="AF16" s="2">
        <f>IF('Modell einstellen'!$B$2="Ja",creep_res125!P16,creep_res125!L16)</f>
        <v>0.89472311936608828</v>
      </c>
      <c r="AG16" s="2">
        <f>IF('Modell einstellen'!$B$2="Ja",creep_res160!P16,creep_res160!L16)</f>
        <v>0.96331157781143395</v>
      </c>
      <c r="AL16" s="2">
        <f t="shared" si="12"/>
        <v>0.01</v>
      </c>
      <c r="AM16" s="2">
        <f t="shared" si="13"/>
        <v>6574.141102834109</v>
      </c>
      <c r="AN16" s="2">
        <f t="shared" si="14"/>
        <v>6543.4393456132884</v>
      </c>
      <c r="AO16" s="2">
        <f t="shared" si="15"/>
        <v>6498.8766153292054</v>
      </c>
      <c r="AP16" s="2">
        <f t="shared" si="16"/>
        <v>6059.9785511387736</v>
      </c>
      <c r="AQ16" s="2">
        <f t="shared" si="17"/>
        <v>4737.7084148388376</v>
      </c>
      <c r="AR16" s="2">
        <f t="shared" si="18"/>
        <v>463.10914863390207</v>
      </c>
      <c r="AS16" s="2">
        <f t="shared" si="19"/>
        <v>191.85627557437303</v>
      </c>
      <c r="AX16" s="2">
        <f t="shared" si="28"/>
        <v>0.01</v>
      </c>
      <c r="AY16" s="37">
        <f t="shared" si="20"/>
        <v>21418.017678505221</v>
      </c>
      <c r="AZ16" s="37">
        <f t="shared" si="21"/>
        <v>21249.904314716554</v>
      </c>
      <c r="BA16" s="37">
        <f t="shared" si="22"/>
        <v>21204.786669183137</v>
      </c>
      <c r="BB16" s="37">
        <f t="shared" si="23"/>
        <v>22254.922121125535</v>
      </c>
      <c r="BC16" s="37">
        <f t="shared" si="24"/>
        <v>32193.295166802207</v>
      </c>
      <c r="BD16" s="37">
        <f t="shared" si="25"/>
        <v>-740.99503141660125</v>
      </c>
      <c r="BE16" s="37">
        <f t="shared" si="26"/>
        <v>-271.00096000928653</v>
      </c>
    </row>
    <row r="17" spans="1:57" x14ac:dyDescent="0.25">
      <c r="A17" s="2">
        <f>'creep_res-40'!A17</f>
        <v>0.1</v>
      </c>
      <c r="B17" s="3">
        <f>'creep_res-40'!O17</f>
        <v>-5.5891965714285712E-4</v>
      </c>
      <c r="C17" s="2">
        <f>IF('Modell einstellen'!$B$2="Ja",creep_res0!O17,creep_res0!C17)</f>
        <v>-5.6189088571428577E-4</v>
      </c>
      <c r="D17" s="2">
        <f>IF('Modell einstellen'!$B$2="Ja",creep_res25!O17,creep_res25!C17)</f>
        <v>-5.7441494285714293E-4</v>
      </c>
      <c r="E17" s="2">
        <f>IF('Modell einstellen'!$B$2="Ja",creep_res50!O17,creep_res50!C17)</f>
        <v>-6.1619954285714292E-4</v>
      </c>
      <c r="F17" s="2">
        <f>IF('Modell einstellen'!$B$2="Ja",creep_res80!O17,creep_res80!C17)</f>
        <v>-7.7937257142857153E-4</v>
      </c>
      <c r="G17" s="2">
        <f>IF('Modell einstellen'!$B$2="Ja",creep_res125!O17,creep_res125!C17)</f>
        <v>-1.0000507142857143E-2</v>
      </c>
      <c r="H17" s="2">
        <f>IF('Modell einstellen'!$B$2="Ja",creep_res160!O17,creep_res160!C17)</f>
        <v>-1.5647893142857142E-2</v>
      </c>
      <c r="M17" s="9">
        <f t="shared" si="27"/>
        <v>-10</v>
      </c>
      <c r="N17" s="2">
        <f t="shared" si="4"/>
        <v>0.1</v>
      </c>
      <c r="O17" s="2">
        <f t="shared" si="5"/>
        <v>17891.659153873792</v>
      </c>
      <c r="P17" s="2">
        <f t="shared" si="6"/>
        <v>17797.049666124803</v>
      </c>
      <c r="Q17" s="2">
        <f t="shared" si="7"/>
        <v>17409.017861304143</v>
      </c>
      <c r="R17" s="2">
        <f t="shared" si="8"/>
        <v>16228.509280667151</v>
      </c>
      <c r="S17" s="2">
        <f t="shared" si="9"/>
        <v>12830.833886892166</v>
      </c>
      <c r="T17" s="2">
        <f t="shared" si="10"/>
        <v>999.94928828609397</v>
      </c>
      <c r="U17" s="2">
        <f t="shared" si="11"/>
        <v>639.0636687447435</v>
      </c>
      <c r="Z17" s="2">
        <v>0.1</v>
      </c>
      <c r="AA17" s="3">
        <f>IF('Modell einstellen'!$B$2="Ja",'creep_res-40'!P17,'creep_res-40'!L17)</f>
        <v>0.36077529773254408</v>
      </c>
      <c r="AB17" s="2">
        <f>IF('Modell einstellen'!$B$2="Ja",creep_res0!P17,creep_res0!L17)</f>
        <v>0.36045809300748322</v>
      </c>
      <c r="AC17" s="2">
        <f>IF('Modell einstellen'!$B$2="Ja",creep_res25!P17,creep_res25!L17)</f>
        <v>0.36504682055873694</v>
      </c>
      <c r="AD17" s="2">
        <f>IF('Modell einstellen'!$B$2="Ja",creep_res50!P17,creep_res50!L17)</f>
        <v>0.38217742453001313</v>
      </c>
      <c r="AE17" s="2">
        <f>IF('Modell einstellen'!$B$2="Ja",creep_res80!P17,creep_res80!L17)</f>
        <v>0.44536092035938063</v>
      </c>
      <c r="AF17" s="2">
        <f>IF('Modell einstellen'!$B$2="Ja",creep_res125!P17,creep_res125!L17)</f>
        <v>0.94335710117558313</v>
      </c>
      <c r="AG17" s="2">
        <f>IF('Modell einstellen'!$B$2="Ja",creep_res160!P17,creep_res160!L17)</f>
        <v>0.96903444381540293</v>
      </c>
      <c r="AL17" s="2">
        <f t="shared" si="12"/>
        <v>0.1</v>
      </c>
      <c r="AM17" s="2">
        <f t="shared" si="13"/>
        <v>6574.0681741087647</v>
      </c>
      <c r="AN17" s="2">
        <f t="shared" si="14"/>
        <v>6540.8297975507394</v>
      </c>
      <c r="AO17" s="2">
        <f t="shared" si="15"/>
        <v>6376.7108933957061</v>
      </c>
      <c r="AP17" s="2">
        <f t="shared" si="16"/>
        <v>5870.6317266704709</v>
      </c>
      <c r="AQ17" s="2">
        <f t="shared" si="17"/>
        <v>4438.626264954587</v>
      </c>
      <c r="AR17" s="2">
        <f t="shared" si="18"/>
        <v>257.27368574751409</v>
      </c>
      <c r="AS17" s="2">
        <f t="shared" si="19"/>
        <v>162.27843823453597</v>
      </c>
      <c r="AX17" s="2">
        <f t="shared" si="28"/>
        <v>0.1</v>
      </c>
      <c r="AY17" s="37">
        <f t="shared" si="20"/>
        <v>21418.204842585139</v>
      </c>
      <c r="AZ17" s="37">
        <f t="shared" si="21"/>
        <v>21256.517187436755</v>
      </c>
      <c r="BA17" s="37">
        <f t="shared" si="22"/>
        <v>21500.071275807713</v>
      </c>
      <c r="BB17" s="37">
        <f t="shared" si="23"/>
        <v>22956.140077474745</v>
      </c>
      <c r="BC17" s="37">
        <f t="shared" si="24"/>
        <v>39138.146699166959</v>
      </c>
      <c r="BD17" s="37">
        <f t="shared" si="25"/>
        <v>-375.90063240770604</v>
      </c>
      <c r="BE17" s="37">
        <f t="shared" si="26"/>
        <v>-227.08483963573565</v>
      </c>
    </row>
    <row r="18" spans="1:57" x14ac:dyDescent="0.25">
      <c r="A18" s="2">
        <f>'creep_res-40'!A18</f>
        <v>1</v>
      </c>
      <c r="B18" s="3">
        <f>'creep_res-40'!O18</f>
        <v>-5.5897102857142866E-4</v>
      </c>
      <c r="C18" s="2">
        <f>IF('Modell einstellen'!$B$2="Ja",creep_res0!O18,creep_res0!C18)</f>
        <v>-5.6361988571428567E-4</v>
      </c>
      <c r="D18" s="2">
        <f>IF('Modell einstellen'!$B$2="Ja",creep_res25!O18,creep_res25!C18)</f>
        <v>-5.8573588571428576E-4</v>
      </c>
      <c r="E18" s="2">
        <f>IF('Modell einstellen'!$B$2="Ja",creep_res50!O18,creep_res50!C18)</f>
        <v>-6.345624E-4</v>
      </c>
      <c r="F18" s="2">
        <f>IF('Modell einstellen'!$B$2="Ja",creep_res80!O18,creep_res80!C18)</f>
        <v>-8.3077111428571425E-4</v>
      </c>
      <c r="G18" s="2">
        <f>IF('Modell einstellen'!$B$2="Ja",creep_res125!O18,creep_res125!C18)</f>
        <v>-1.4185493714285716E-2</v>
      </c>
      <c r="H18" s="2">
        <f>IF('Modell einstellen'!$B$2="Ja",creep_res160!O18,creep_res160!C18)</f>
        <v>-1.7303699142857145E-2</v>
      </c>
      <c r="M18" s="9">
        <f t="shared" si="27"/>
        <v>-10</v>
      </c>
      <c r="N18" s="2">
        <f t="shared" si="4"/>
        <v>1</v>
      </c>
      <c r="O18" s="2">
        <f t="shared" si="5"/>
        <v>17890.014846667746</v>
      </c>
      <c r="P18" s="2">
        <f t="shared" si="6"/>
        <v>17742.454184927879</v>
      </c>
      <c r="Q18" s="2">
        <f t="shared" si="7"/>
        <v>17072.541129702728</v>
      </c>
      <c r="R18" s="2">
        <f t="shared" si="8"/>
        <v>15758.891481751834</v>
      </c>
      <c r="S18" s="2">
        <f t="shared" si="9"/>
        <v>12037.009746779489</v>
      </c>
      <c r="T18" s="2">
        <f t="shared" si="10"/>
        <v>704.94550287871539</v>
      </c>
      <c r="U18" s="2">
        <f t="shared" si="11"/>
        <v>577.91111122779409</v>
      </c>
      <c r="Z18" s="2">
        <v>1</v>
      </c>
      <c r="AA18" s="3">
        <f>IF('Modell einstellen'!$B$2="Ja",'creep_res-40'!P18,'creep_res-40'!L18)</f>
        <v>0.36080044220027546</v>
      </c>
      <c r="AB18" s="2">
        <f>IF('Modell einstellen'!$B$2="Ja",creep_res0!P18,creep_res0!L18)</f>
        <v>0.36128752630445571</v>
      </c>
      <c r="AC18" s="2">
        <f>IF('Modell einstellen'!$B$2="Ja",creep_res25!P18,creep_res25!L18)</f>
        <v>0.37010785358354592</v>
      </c>
      <c r="AD18" s="2">
        <f>IF('Modell einstellen'!$B$2="Ja",creep_res50!P18,creep_res50!L18)</f>
        <v>0.38988561025902041</v>
      </c>
      <c r="AE18" s="2">
        <f>IF('Modell einstellen'!$B$2="Ja",creep_res80!P18,creep_res80!L18)</f>
        <v>0.4624481234972439</v>
      </c>
      <c r="AF18" s="2">
        <f>IF('Modell einstellen'!$B$2="Ja",creep_res125!P18,creep_res125!L18)</f>
        <v>0.9583911757902861</v>
      </c>
      <c r="AG18" s="2">
        <f>IF('Modell einstellen'!$B$2="Ja",creep_res160!P18,creep_res160!L18)</f>
        <v>0.96155254796303102</v>
      </c>
      <c r="AL18" s="2">
        <f t="shared" si="12"/>
        <v>1</v>
      </c>
      <c r="AM18" s="2">
        <f t="shared" si="13"/>
        <v>6573.3425313051102</v>
      </c>
      <c r="AN18" s="2">
        <f t="shared" si="14"/>
        <v>6516.7915822655277</v>
      </c>
      <c r="AO18" s="2">
        <f t="shared" si="15"/>
        <v>6230.3639399807598</v>
      </c>
      <c r="AP18" s="2">
        <f t="shared" si="16"/>
        <v>5669.1325406322439</v>
      </c>
      <c r="AQ18" s="2">
        <f t="shared" si="17"/>
        <v>4115.3629839514006</v>
      </c>
      <c r="AR18" s="2">
        <f t="shared" si="18"/>
        <v>179.98076982609024</v>
      </c>
      <c r="AS18" s="2">
        <f t="shared" si="19"/>
        <v>147.30961753431595</v>
      </c>
      <c r="AX18" s="2">
        <f t="shared" si="28"/>
        <v>1</v>
      </c>
      <c r="AY18" s="37">
        <f t="shared" si="20"/>
        <v>21420.104979077681</v>
      </c>
      <c r="AZ18" s="37">
        <f t="shared" si="21"/>
        <v>21318.022948522812</v>
      </c>
      <c r="BA18" s="37">
        <f t="shared" si="22"/>
        <v>21906.047441038187</v>
      </c>
      <c r="BB18" s="37">
        <f t="shared" si="23"/>
        <v>23852.304133942343</v>
      </c>
      <c r="BC18" s="37">
        <f t="shared" si="24"/>
        <v>53423.91587229132</v>
      </c>
      <c r="BD18" s="37">
        <f t="shared" si="25"/>
        <v>-256.31147227887442</v>
      </c>
      <c r="BE18" s="37">
        <f t="shared" si="26"/>
        <v>-208.6837543483359</v>
      </c>
    </row>
    <row r="19" spans="1:57" x14ac:dyDescent="0.25">
      <c r="A19" s="2">
        <f>'creep_res-40'!A19</f>
        <v>10</v>
      </c>
      <c r="B19" s="3">
        <f>'creep_res-40'!O19</f>
        <v>-5.5947377142857152E-4</v>
      </c>
      <c r="C19" s="2">
        <f>IF('Modell einstellen'!$B$2="Ja",creep_res0!O19,creep_res0!C19)</f>
        <v>-5.7295888571428581E-4</v>
      </c>
      <c r="D19" s="2">
        <f>IF('Modell einstellen'!$B$2="Ja",creep_res25!O19,creep_res25!C19)</f>
        <v>-5.9907651428571431E-4</v>
      </c>
      <c r="E19" s="2">
        <f>IF('Modell einstellen'!$B$2="Ja",creep_res50!O19,creep_res50!C19)</f>
        <v>-6.5908922857142857E-4</v>
      </c>
      <c r="F19" s="2">
        <f>IF('Modell einstellen'!$B$2="Ja",creep_res80!O19,creep_res80!C19)</f>
        <v>-9.2215834285714292E-4</v>
      </c>
      <c r="G19" s="2">
        <f>IF('Modell einstellen'!$B$2="Ja",creep_res125!O19,creep_res125!C19)</f>
        <v>-1.6304024571428571E-2</v>
      </c>
      <c r="H19" s="2">
        <f>IF('Modell einstellen'!$B$2="Ja",creep_res160!O19,creep_res160!C19)</f>
        <v>-1.8197246571428575E-2</v>
      </c>
      <c r="M19" s="9">
        <f t="shared" si="27"/>
        <v>-10</v>
      </c>
      <c r="N19" s="2">
        <f t="shared" si="4"/>
        <v>10</v>
      </c>
      <c r="O19" s="2">
        <f t="shared" si="5"/>
        <v>17873.938888083707</v>
      </c>
      <c r="P19" s="2">
        <f t="shared" si="6"/>
        <v>17453.259298934485</v>
      </c>
      <c r="Q19" s="2">
        <f t="shared" si="7"/>
        <v>16692.358591161119</v>
      </c>
      <c r="R19" s="2">
        <f t="shared" si="8"/>
        <v>15172.452479120213</v>
      </c>
      <c r="S19" s="2">
        <f t="shared" si="9"/>
        <v>10844.124631586357</v>
      </c>
      <c r="T19" s="2">
        <f t="shared" si="10"/>
        <v>613.34549369633294</v>
      </c>
      <c r="U19" s="2">
        <f t="shared" si="11"/>
        <v>549.5336869095878</v>
      </c>
      <c r="Z19" s="2">
        <v>10</v>
      </c>
      <c r="AA19" s="3">
        <f>IF('Modell einstellen'!$B$2="Ja",'creep_res-40'!P19,'creep_res-40'!L19)</f>
        <v>0.36104632914746104</v>
      </c>
      <c r="AB19" s="2">
        <f>IF('Modell einstellen'!$B$2="Ja",creep_res0!P19,creep_res0!L19)</f>
        <v>0.36549577902897135</v>
      </c>
      <c r="AC19" s="2">
        <f>IF('Modell einstellen'!$B$2="Ja",creep_res25!P19,creep_res25!L19)</f>
        <v>0.37582354135732149</v>
      </c>
      <c r="AD19" s="2">
        <f>IF('Modell einstellen'!$B$2="Ja",creep_res50!P19,creep_res50!L19)</f>
        <v>0.3987869017344845</v>
      </c>
      <c r="AE19" s="2">
        <f>IF('Modell einstellen'!$B$2="Ja",creep_res80!P19,creep_res80!L19)</f>
        <v>0.48039075532798176</v>
      </c>
      <c r="AF19" s="2">
        <f>IF('Modell einstellen'!$B$2="Ja",creep_res125!P19,creep_res125!L19)</f>
        <v>0.94640564294677398</v>
      </c>
      <c r="AG19" s="2">
        <f>IF('Modell einstellen'!$B$2="Ja",creep_res160!P19,creep_res160!L19)</f>
        <v>0.93407994864152366</v>
      </c>
      <c r="AL19" s="2">
        <f t="shared" si="12"/>
        <v>10</v>
      </c>
      <c r="AM19" s="2">
        <f t="shared" si="13"/>
        <v>6566.2492544539882</v>
      </c>
      <c r="AN19" s="2">
        <f t="shared" si="14"/>
        <v>6390.814079024768</v>
      </c>
      <c r="AO19" s="2">
        <f t="shared" si="15"/>
        <v>6066.3152248046426</v>
      </c>
      <c r="AP19" s="2">
        <f t="shared" si="16"/>
        <v>5423.4324257349326</v>
      </c>
      <c r="AQ19" s="2">
        <f t="shared" si="17"/>
        <v>3662.5886079597385</v>
      </c>
      <c r="AR19" s="2">
        <f t="shared" si="18"/>
        <v>157.55849658546879</v>
      </c>
      <c r="AS19" s="2">
        <f t="shared" si="19"/>
        <v>142.06591803394016</v>
      </c>
      <c r="AX19" s="2">
        <f t="shared" si="28"/>
        <v>10</v>
      </c>
      <c r="AY19" s="37">
        <f t="shared" si="20"/>
        <v>21438.72699730254</v>
      </c>
      <c r="AZ19" s="37">
        <f t="shared" si="21"/>
        <v>21626.656240393881</v>
      </c>
      <c r="BA19" s="37">
        <f t="shared" si="22"/>
        <v>22404.083637132706</v>
      </c>
      <c r="BB19" s="37">
        <f t="shared" si="23"/>
        <v>24984.336248848347</v>
      </c>
      <c r="BC19" s="37">
        <f t="shared" si="24"/>
        <v>92168.471325335064</v>
      </c>
      <c r="BD19" s="37">
        <f t="shared" si="25"/>
        <v>-228.99407873653888</v>
      </c>
      <c r="BE19" s="37">
        <f t="shared" si="26"/>
        <v>-210.99557375293912</v>
      </c>
    </row>
    <row r="20" spans="1:57" x14ac:dyDescent="0.25">
      <c r="A20" s="2">
        <f>'creep_res-40'!A20</f>
        <v>100</v>
      </c>
      <c r="B20" s="3">
        <f>'creep_res-40'!O20</f>
        <v>-5.6355397142857143E-4</v>
      </c>
      <c r="C20" s="2">
        <f>IF('Modell einstellen'!$B$2="Ja",creep_res0!O20,creep_res0!C20)</f>
        <v>-5.846362000000001E-4</v>
      </c>
      <c r="D20" s="2">
        <f>IF('Modell einstellen'!$B$2="Ja",creep_res25!O20,creep_res25!C20)</f>
        <v>-6.1825137142857149E-4</v>
      </c>
      <c r="E20" s="2">
        <f>IF('Modell einstellen'!$B$2="Ja",creep_res50!O20,creep_res50!C20)</f>
        <v>-7.0183665714285723E-4</v>
      </c>
      <c r="F20" s="2">
        <f>IF('Modell einstellen'!$B$2="Ja",creep_res80!O20,creep_res80!C20)</f>
        <v>-1.1030462571428572E-3</v>
      </c>
      <c r="G20" s="2">
        <f>IF('Modell einstellen'!$B$2="Ja",creep_res125!O20,creep_res125!C20)</f>
        <v>-1.8261522000000002E-2</v>
      </c>
      <c r="H20" s="2">
        <f>IF('Modell einstellen'!$B$2="Ja",creep_res160!O20,creep_res160!C20)</f>
        <v>-1.9020716E-2</v>
      </c>
      <c r="M20" s="9">
        <f t="shared" si="27"/>
        <v>-10</v>
      </c>
      <c r="N20" s="2">
        <f t="shared" si="4"/>
        <v>100</v>
      </c>
      <c r="O20" s="2">
        <f t="shared" si="5"/>
        <v>17744.529374268575</v>
      </c>
      <c r="P20" s="2">
        <f t="shared" si="6"/>
        <v>17104.654142182775</v>
      </c>
      <c r="Q20" s="2">
        <f t="shared" si="7"/>
        <v>16174.650736145324</v>
      </c>
      <c r="R20" s="2">
        <f t="shared" si="8"/>
        <v>14248.329576727314</v>
      </c>
      <c r="S20" s="2">
        <f t="shared" si="9"/>
        <v>9065.8029391281325</v>
      </c>
      <c r="T20" s="2">
        <f t="shared" si="10"/>
        <v>547.59948267181665</v>
      </c>
      <c r="U20" s="2">
        <f t="shared" si="11"/>
        <v>525.74256405489677</v>
      </c>
      <c r="Z20" s="2">
        <v>100</v>
      </c>
      <c r="AA20" s="3">
        <f>IF('Modell einstellen'!$B$2="Ja",'creep_res-40'!P20,'creep_res-40'!L20)</f>
        <v>0.36303105764137994</v>
      </c>
      <c r="AB20" s="2">
        <f>IF('Modell einstellen'!$B$2="Ja",creep_res0!P20,creep_res0!L20)</f>
        <v>0.37053284467454167</v>
      </c>
      <c r="AC20" s="2">
        <f>IF('Modell einstellen'!$B$2="Ja",creep_res25!P20,creep_res25!L20)</f>
        <v>0.3822597308778426</v>
      </c>
      <c r="AD20" s="2">
        <f>IF('Modell einstellen'!$B$2="Ja",creep_res50!P20,creep_res50!L20)</f>
        <v>0.40657534762972719</v>
      </c>
      <c r="AE20" s="2">
        <f>IF('Modell einstellen'!$B$2="Ja",creep_res80!P20,creep_res80!L20)</f>
        <v>0.49119802487754749</v>
      </c>
      <c r="AF20" s="2">
        <f>IF('Modell einstellen'!$B$2="Ja",creep_res125!P20,creep_res125!L20)</f>
        <v>0.91293941123073641</v>
      </c>
      <c r="AG20" s="2">
        <f>IF('Modell einstellen'!$B$2="Ja",creep_res160!P20,creep_res160!L20)</f>
        <v>0.87443271250747268</v>
      </c>
      <c r="AL20" s="2">
        <f t="shared" si="12"/>
        <v>100</v>
      </c>
      <c r="AM20" s="2">
        <f t="shared" si="13"/>
        <v>6509.2168204054406</v>
      </c>
      <c r="AN20" s="2">
        <f t="shared" si="14"/>
        <v>6240.1474757230608</v>
      </c>
      <c r="AO20" s="2">
        <f t="shared" si="15"/>
        <v>5850.8000974148181</v>
      </c>
      <c r="AP20" s="2">
        <f t="shared" si="16"/>
        <v>5064.9009314494624</v>
      </c>
      <c r="AQ20" s="2">
        <f t="shared" si="17"/>
        <v>3039.7716426269371</v>
      </c>
      <c r="AR20" s="2">
        <f t="shared" si="18"/>
        <v>143.13037816485394</v>
      </c>
      <c r="AS20" s="2">
        <f t="shared" si="19"/>
        <v>140.2404472955443</v>
      </c>
      <c r="AX20" s="2">
        <f t="shared" si="28"/>
        <v>100</v>
      </c>
      <c r="AY20" s="37">
        <f t="shared" si="20"/>
        <v>21591.91354953156</v>
      </c>
      <c r="AZ20" s="37">
        <f t="shared" si="21"/>
        <v>22019.296579100948</v>
      </c>
      <c r="BA20" s="37">
        <f t="shared" si="22"/>
        <v>22895.94836830191</v>
      </c>
      <c r="BB20" s="37">
        <f t="shared" si="23"/>
        <v>25418.575674324286</v>
      </c>
      <c r="BC20" s="37">
        <f t="shared" si="24"/>
        <v>171662.28437377722</v>
      </c>
      <c r="BD20" s="37">
        <f t="shared" si="25"/>
        <v>-221.01688035368008</v>
      </c>
      <c r="BE20" s="37">
        <f t="shared" si="26"/>
        <v>-234.01737548256389</v>
      </c>
    </row>
    <row r="21" spans="1:57" x14ac:dyDescent="0.25">
      <c r="A21" s="2">
        <f>'creep_res-40'!A21</f>
        <v>1000</v>
      </c>
      <c r="B21" s="3">
        <f>'creep_res-40'!O21</f>
        <v>-5.7474800000000003E-4</v>
      </c>
      <c r="C21" s="2">
        <f>IF('Modell einstellen'!$B$2="Ja",creep_res0!O21,creep_res0!C21)</f>
        <v>-6.0134048571428575E-4</v>
      </c>
      <c r="D21" s="2">
        <f>IF('Modell einstellen'!$B$2="Ja",creep_res25!O21,creep_res25!C21)</f>
        <v>-6.5297140000000005E-4</v>
      </c>
      <c r="E21" s="2">
        <f>IF('Modell einstellen'!$B$2="Ja",creep_res50!O21,creep_res50!C21)</f>
        <v>-7.7553539999999997E-4</v>
      </c>
      <c r="F21" s="2">
        <f>IF('Modell einstellen'!$B$2="Ja",creep_res80!O21,creep_res80!C21)</f>
        <v>-1.4169130571428574E-3</v>
      </c>
      <c r="G21" s="2">
        <f>IF('Modell einstellen'!$B$2="Ja",creep_res125!O21,creep_res125!C21)</f>
        <v>-1.960208028571429E-2</v>
      </c>
      <c r="H21" s="2">
        <f>IF('Modell einstellen'!$B$2="Ja",creep_res160!O21,creep_res160!C21)</f>
        <v>-2.0558336000000003E-2</v>
      </c>
      <c r="M21" s="9">
        <f t="shared" si="27"/>
        <v>-10</v>
      </c>
      <c r="N21" s="2">
        <f t="shared" si="4"/>
        <v>1000</v>
      </c>
      <c r="O21" s="2">
        <f t="shared" si="5"/>
        <v>17398.92961784991</v>
      </c>
      <c r="P21" s="2">
        <f t="shared" si="6"/>
        <v>16629.513956842227</v>
      </c>
      <c r="Q21" s="2">
        <f t="shared" si="7"/>
        <v>15314.606428397934</v>
      </c>
      <c r="R21" s="2">
        <f t="shared" si="8"/>
        <v>12894.317912502769</v>
      </c>
      <c r="S21" s="2">
        <f t="shared" si="9"/>
        <v>7057.5960533277594</v>
      </c>
      <c r="T21" s="2">
        <f t="shared" si="10"/>
        <v>510.14993583552734</v>
      </c>
      <c r="U21" s="2">
        <f t="shared" si="11"/>
        <v>486.42069085747011</v>
      </c>
      <c r="Z21" s="2">
        <v>1000</v>
      </c>
      <c r="AA21" s="3">
        <f>IF('Modell einstellen'!$B$2="Ja",'creep_res-40'!P21,'creep_res-40'!L21)</f>
        <v>0.36808177298075478</v>
      </c>
      <c r="AB21" s="2">
        <f>IF('Modell einstellen'!$B$2="Ja",creep_res0!P21,creep_res0!L21)</f>
        <v>0.37560725877333956</v>
      </c>
      <c r="AC21" s="2">
        <f>IF('Modell einstellen'!$B$2="Ja",creep_res25!P21,creep_res25!L21)</f>
        <v>0.38615340361220812</v>
      </c>
      <c r="AD21" s="2">
        <f>IF('Modell einstellen'!$B$2="Ja",creep_res50!P21,creep_res50!L21)</f>
        <v>0.40761974612266944</v>
      </c>
      <c r="AE21" s="2">
        <f>IF('Modell einstellen'!$B$2="Ja",creep_res80!P21,creep_res80!L21)</f>
        <v>0.49746286479478913</v>
      </c>
      <c r="AF21" s="2">
        <f>IF('Modell einstellen'!$B$2="Ja",creep_res125!P21,creep_res125!L21)</f>
        <v>0.83455311397634313</v>
      </c>
      <c r="AG21" s="2">
        <f>IF('Modell einstellen'!$B$2="Ja",creep_res160!P21,creep_res160!L21)</f>
        <v>0.77355324032895589</v>
      </c>
      <c r="AL21" s="2">
        <f t="shared" si="12"/>
        <v>1000</v>
      </c>
      <c r="AM21" s="2">
        <f t="shared" si="13"/>
        <v>6358.877795711509</v>
      </c>
      <c r="AN21" s="2">
        <f t="shared" si="14"/>
        <v>6044.4265071962272</v>
      </c>
      <c r="AO21" s="2">
        <f t="shared" si="15"/>
        <v>5524.1383776461034</v>
      </c>
      <c r="AP21" s="2">
        <f t="shared" si="16"/>
        <v>4580.1850776889687</v>
      </c>
      <c r="AQ21" s="2">
        <f t="shared" si="17"/>
        <v>2356.5178874385392</v>
      </c>
      <c r="AR21" s="2">
        <f t="shared" si="18"/>
        <v>139.03929298884987</v>
      </c>
      <c r="AS21" s="2">
        <f t="shared" si="19"/>
        <v>137.13168564571805</v>
      </c>
      <c r="AX21" s="2">
        <f t="shared" si="28"/>
        <v>1000</v>
      </c>
      <c r="AY21" s="37">
        <f t="shared" si="20"/>
        <v>21981.9631335095</v>
      </c>
      <c r="AZ21" s="37">
        <f t="shared" si="21"/>
        <v>22280.927585826728</v>
      </c>
      <c r="BA21" s="37">
        <f t="shared" si="22"/>
        <v>22419.944782878854</v>
      </c>
      <c r="BB21" s="37">
        <f t="shared" si="23"/>
        <v>23263.120582790365</v>
      </c>
      <c r="BC21" s="37">
        <f t="shared" si="24"/>
        <v>463619.75761957688</v>
      </c>
      <c r="BD21" s="37">
        <f t="shared" si="25"/>
        <v>-254.14496459277763</v>
      </c>
      <c r="BE21" s="37">
        <f t="shared" si="26"/>
        <v>-296.35954977328169</v>
      </c>
    </row>
    <row r="22" spans="1:57" x14ac:dyDescent="0.25">
      <c r="A22" s="2">
        <f>'creep_res-40'!A22</f>
        <v>10000</v>
      </c>
      <c r="B22" s="3">
        <f>'creep_res-40'!O22</f>
        <v>-5.8737985714285719E-4</v>
      </c>
      <c r="C22" s="2">
        <f>IF('Modell einstellen'!$B$2="Ja",creep_res0!O22,creep_res0!C22)</f>
        <v>-6.3636051428571437E-4</v>
      </c>
      <c r="D22" s="2">
        <f>IF('Modell einstellen'!$B$2="Ja",creep_res25!O22,creep_res25!C22)</f>
        <v>-7.1575365714285713E-4</v>
      </c>
      <c r="E22" s="2">
        <f>IF('Modell einstellen'!$B$2="Ja",creep_res50!O22,creep_res50!C22)</f>
        <v>-8.7162931428571438E-4</v>
      </c>
      <c r="F22" s="2">
        <f>IF('Modell einstellen'!$B$2="Ja",creep_res80!O22,creep_res80!C22)</f>
        <v>-1.989220685714286E-3</v>
      </c>
      <c r="G22" s="2">
        <f>IF('Modell einstellen'!$B$2="Ja",creep_res125!O22,creep_res125!C22)</f>
        <v>-2.1330320857142857E-2</v>
      </c>
      <c r="H22" s="2">
        <f>IF('Modell einstellen'!$B$2="Ja",creep_res160!O22,creep_res160!C22)</f>
        <v>-2.2364219142857147E-2</v>
      </c>
      <c r="M22" s="9">
        <f t="shared" si="27"/>
        <v>-10</v>
      </c>
      <c r="N22" s="2">
        <f t="shared" si="4"/>
        <v>10000</v>
      </c>
      <c r="O22" s="2">
        <f t="shared" si="5"/>
        <v>17024.758132909366</v>
      </c>
      <c r="P22" s="2">
        <f t="shared" si="6"/>
        <v>15714.36281087387</v>
      </c>
      <c r="Q22" s="2">
        <f t="shared" si="7"/>
        <v>13971.287327986509</v>
      </c>
      <c r="R22" s="2">
        <f t="shared" si="8"/>
        <v>11472.766961945093</v>
      </c>
      <c r="S22" s="2">
        <f t="shared" si="9"/>
        <v>5027.0943147814778</v>
      </c>
      <c r="T22" s="2">
        <f t="shared" si="10"/>
        <v>468.8162014520899</v>
      </c>
      <c r="U22" s="2">
        <f t="shared" si="11"/>
        <v>447.1428193456008</v>
      </c>
      <c r="Z22" s="2">
        <v>10000</v>
      </c>
      <c r="AA22" s="3">
        <f>IF('Modell einstellen'!$B$2="Ja",'creep_res-40'!P22,'creep_res-40'!L22)</f>
        <v>0.37337068078846036</v>
      </c>
      <c r="AB22" s="2">
        <f>IF('Modell einstellen'!$B$2="Ja",creep_res0!P22,creep_res0!L22)</f>
        <v>0.378942421586901</v>
      </c>
      <c r="AC22" s="2">
        <f>IF('Modell einstellen'!$B$2="Ja",creep_res25!P22,creep_res25!L22)</f>
        <v>0.38663081927070042</v>
      </c>
      <c r="AD22" s="2">
        <f>IF('Modell einstellen'!$B$2="Ja",creep_res50!P22,creep_res50!L22)</f>
        <v>0.40395769813812726</v>
      </c>
      <c r="AE22" s="2">
        <f>IF('Modell einstellen'!$B$2="Ja",creep_res80!P22,creep_res80!L22)</f>
        <v>0.50999228355385806</v>
      </c>
      <c r="AF22" s="2">
        <f>IF('Modell einstellen'!$B$2="Ja",creep_res125!P22,creep_res125!L22)</f>
        <v>0.7285927639183728</v>
      </c>
      <c r="AG22" s="2">
        <f>IF('Modell einstellen'!$B$2="Ja",creep_res160!P22,creep_res160!L22)</f>
        <v>0.67354571620762527</v>
      </c>
      <c r="AL22" s="2">
        <f t="shared" si="12"/>
        <v>10000</v>
      </c>
      <c r="AM22" s="2">
        <f t="shared" si="13"/>
        <v>6198.1657141301985</v>
      </c>
      <c r="AN22" s="2">
        <f t="shared" si="14"/>
        <v>5697.9764219559002</v>
      </c>
      <c r="AO22" s="2">
        <f t="shared" si="15"/>
        <v>5037.8540321693981</v>
      </c>
      <c r="AP22" s="2">
        <f t="shared" si="16"/>
        <v>4085.8663253030418</v>
      </c>
      <c r="AQ22" s="2">
        <f t="shared" si="17"/>
        <v>1664.6092730189016</v>
      </c>
      <c r="AR22" s="2">
        <f t="shared" si="18"/>
        <v>135.60631839895524</v>
      </c>
      <c r="AS22" s="2">
        <f t="shared" si="19"/>
        <v>133.5914564553571</v>
      </c>
      <c r="AX22" s="2">
        <f t="shared" si="28"/>
        <v>10000</v>
      </c>
      <c r="AY22" s="37">
        <f t="shared" si="20"/>
        <v>22407.604388033797</v>
      </c>
      <c r="AZ22" s="37">
        <f t="shared" si="21"/>
        <v>21634.832802797777</v>
      </c>
      <c r="BA22" s="37">
        <f t="shared" si="22"/>
        <v>20539.514116784583</v>
      </c>
      <c r="BB22" s="37">
        <f t="shared" si="23"/>
        <v>19909.225309289814</v>
      </c>
      <c r="BC22" s="37">
        <f t="shared" si="24"/>
        <v>-83849.607344267439</v>
      </c>
      <c r="BD22" s="37">
        <f t="shared" si="25"/>
        <v>-341.81324131173977</v>
      </c>
      <c r="BE22" s="37">
        <f t="shared" si="26"/>
        <v>-429.41885776718681</v>
      </c>
    </row>
    <row r="23" spans="1:57" x14ac:dyDescent="0.25">
      <c r="A23" s="2">
        <f>'creep_res-40'!A23</f>
        <v>100000</v>
      </c>
      <c r="B23" s="3">
        <f>'creep_res-40'!O23</f>
        <v>-6.0804631428571431E-4</v>
      </c>
      <c r="C23" s="2">
        <f>IF('Modell einstellen'!$B$2="Ja",creep_res0!O23,creep_res0!C23)</f>
        <v>-6.9439380000000002E-4</v>
      </c>
      <c r="D23" s="2">
        <f>IF('Modell einstellen'!$B$2="Ja",creep_res25!O23,creep_res25!C23)</f>
        <v>-7.9640562857142866E-4</v>
      </c>
      <c r="E23" s="2">
        <f>IF('Modell einstellen'!$B$2="Ja",creep_res50!O23,creep_res50!C23)</f>
        <v>-9.803556571428573E-4</v>
      </c>
      <c r="F23" s="2">
        <f>IF('Modell einstellen'!$B$2="Ja",creep_res80!O23,creep_res80!C23)</f>
        <v>-3.1422751428571431E-3</v>
      </c>
      <c r="G23" s="2">
        <f>IF('Modell einstellen'!$B$2="Ja",creep_res125!O23,creep_res125!C23)</f>
        <v>-2.3068337428571433E-2</v>
      </c>
      <c r="H23" s="2">
        <f>IF('Modell einstellen'!$B$2="Ja",creep_res160!O23,creep_res160!C23)</f>
        <v>-2.3917288000000002E-2</v>
      </c>
      <c r="M23" s="9">
        <f t="shared" si="27"/>
        <v>-10</v>
      </c>
      <c r="N23" s="2">
        <f t="shared" si="4"/>
        <v>100000</v>
      </c>
      <c r="O23" s="2">
        <f t="shared" si="5"/>
        <v>16446.115641285032</v>
      </c>
      <c r="P23" s="2">
        <f t="shared" si="6"/>
        <v>14401.050239791886</v>
      </c>
      <c r="Q23" s="2">
        <f t="shared" si="7"/>
        <v>12556.415526517228</v>
      </c>
      <c r="R23" s="2">
        <f t="shared" si="8"/>
        <v>10200.379757223965</v>
      </c>
      <c r="S23" s="2">
        <f t="shared" si="9"/>
        <v>3182.4075058263061</v>
      </c>
      <c r="T23" s="2">
        <f t="shared" si="10"/>
        <v>433.49461273331463</v>
      </c>
      <c r="U23" s="2">
        <f t="shared" si="11"/>
        <v>418.10760484215433</v>
      </c>
      <c r="Z23" s="2">
        <v>100000</v>
      </c>
      <c r="AA23" s="3">
        <f>IF('Modell einstellen'!$B$2="Ja",'creep_res-40'!P23,'creep_res-40'!L23)</f>
        <v>0.3785011301535724</v>
      </c>
      <c r="AB23" s="2">
        <f>IF('Modell einstellen'!$B$2="Ja",creep_res0!P23,creep_res0!L23)</f>
        <v>0.37883927370483844</v>
      </c>
      <c r="AC23" s="2">
        <f>IF('Modell einstellen'!$B$2="Ja",creep_res25!P23,creep_res25!L23)</f>
        <v>0.38556651515378187</v>
      </c>
      <c r="AD23" s="2">
        <f>IF('Modell einstellen'!$B$2="Ja",creep_res50!P23,creep_res50!L23)</f>
        <v>0.40049611149866071</v>
      </c>
      <c r="AE23" s="2">
        <f>IF('Modell einstellen'!$B$2="Ja",creep_res80!P23,creep_res80!L23)</f>
        <v>0.53011916843146323</v>
      </c>
      <c r="AF23" s="2">
        <f>IF('Modell einstellen'!$B$2="Ja",creep_res125!P23,creep_res125!L23)</f>
        <v>0.63917667185650529</v>
      </c>
      <c r="AG23" s="2">
        <f>IF('Modell einstellen'!$B$2="Ja",creep_res160!P23,creep_res160!L23)</f>
        <v>0.60064505880193675</v>
      </c>
      <c r="AL23" s="2">
        <f t="shared" si="12"/>
        <v>100000</v>
      </c>
      <c r="AM23" s="2">
        <f t="shared" si="13"/>
        <v>5965.2165970487267</v>
      </c>
      <c r="AN23" s="2">
        <f t="shared" si="14"/>
        <v>5222.1642197271249</v>
      </c>
      <c r="AO23" s="2">
        <f t="shared" si="15"/>
        <v>4531.1485912762591</v>
      </c>
      <c r="AP23" s="2">
        <f t="shared" si="16"/>
        <v>3641.7022773125063</v>
      </c>
      <c r="AQ23" s="2">
        <f t="shared" si="17"/>
        <v>1039.9214556238178</v>
      </c>
      <c r="AR23" s="2">
        <f t="shared" si="18"/>
        <v>132.22937471479068</v>
      </c>
      <c r="AS23" s="2">
        <f t="shared" si="19"/>
        <v>130.60597118111332</v>
      </c>
      <c r="AX23" s="2">
        <f t="shared" si="28"/>
        <v>100000</v>
      </c>
      <c r="AY23" s="37">
        <f t="shared" si="20"/>
        <v>22560.039258077912</v>
      </c>
      <c r="AZ23" s="37">
        <f t="shared" si="21"/>
        <v>19809.843613170575</v>
      </c>
      <c r="BA23" s="37">
        <f t="shared" si="22"/>
        <v>18287.793331633096</v>
      </c>
      <c r="BB23" s="37">
        <f t="shared" si="23"/>
        <v>17085.395540575068</v>
      </c>
      <c r="BC23" s="37">
        <f t="shared" si="24"/>
        <v>-17610.089474348857</v>
      </c>
      <c r="BD23" s="37">
        <f t="shared" si="25"/>
        <v>-519.11790358595283</v>
      </c>
      <c r="BE23" s="37">
        <f t="shared" si="26"/>
        <v>-692.37975154011986</v>
      </c>
    </row>
    <row r="24" spans="1:57" x14ac:dyDescent="0.25">
      <c r="A24" s="2">
        <f>'creep_res-40'!A24</f>
        <v>1000000</v>
      </c>
      <c r="B24" s="3">
        <f>'creep_res-40'!O24</f>
        <v>-6.5085985714285718E-4</v>
      </c>
      <c r="C24" s="2">
        <f>IF('Modell einstellen'!$B$2="Ja",creep_res0!O24,creep_res0!C24)</f>
        <v>-7.6528542857142866E-4</v>
      </c>
      <c r="D24" s="2">
        <f>IF('Modell einstellen'!$B$2="Ja",creep_res25!O24,creep_res25!C24)</f>
        <v>-8.8083740000000001E-4</v>
      </c>
      <c r="E24" s="2">
        <f>IF('Modell einstellen'!$B$2="Ja",creep_res50!O24,creep_res50!C24)</f>
        <v>-1.1055107142857144E-3</v>
      </c>
      <c r="F24" s="2">
        <f>IF('Modell einstellen'!$B$2="Ja",creep_res80!O24,creep_res80!C24)</f>
        <v>-5.4349865714285722E-3</v>
      </c>
      <c r="G24" s="2">
        <f>IF('Modell einstellen'!$B$2="Ja",creep_res125!O24,creep_res125!C24)</f>
        <v>-2.4452565714285716E-2</v>
      </c>
      <c r="H24" s="2">
        <f>IF('Modell einstellen'!$B$2="Ja",creep_res160!O24,creep_res160!C24)</f>
        <v>-2.5069089428571428E-2</v>
      </c>
      <c r="M24" s="9">
        <f t="shared" si="27"/>
        <v>-10</v>
      </c>
      <c r="N24" s="2">
        <f t="shared" si="4"/>
        <v>1000000</v>
      </c>
      <c r="O24" s="2">
        <f t="shared" si="5"/>
        <v>15364.29062301979</v>
      </c>
      <c r="P24" s="2">
        <f t="shared" si="6"/>
        <v>13067.019998887436</v>
      </c>
      <c r="Q24" s="2">
        <f t="shared" si="7"/>
        <v>11352.833110855647</v>
      </c>
      <c r="R24" s="2">
        <f t="shared" si="8"/>
        <v>9045.5930193866425</v>
      </c>
      <c r="S24" s="2">
        <f t="shared" si="9"/>
        <v>1839.9309489685686</v>
      </c>
      <c r="T24" s="2">
        <f t="shared" si="10"/>
        <v>408.9550404176108</v>
      </c>
      <c r="U24" s="2">
        <f t="shared" si="11"/>
        <v>398.89761566700247</v>
      </c>
      <c r="Z24" s="2">
        <v>1000000</v>
      </c>
      <c r="AA24" s="3">
        <f>IF('Modell einstellen'!$B$2="Ja",'creep_res-40'!P24,'creep_res-40'!L24)</f>
        <v>0.3809584420082533</v>
      </c>
      <c r="AB24" s="2">
        <f>IF('Modell einstellen'!$B$2="Ja",creep_res0!P24,creep_res0!L24)</f>
        <v>0.37802082434975703</v>
      </c>
      <c r="AC24" s="2">
        <f>IF('Modell einstellen'!$B$2="Ja",creep_res25!P24,creep_res25!L24)</f>
        <v>0.38438805099394219</v>
      </c>
      <c r="AD24" s="2">
        <f>IF('Modell einstellen'!$B$2="Ja",creep_res50!P24,creep_res50!L24)</f>
        <v>0.39952771666618203</v>
      </c>
      <c r="AE24" s="2">
        <f>IF('Modell einstellen'!$B$2="Ja",creep_res80!P24,creep_res80!L24)</f>
        <v>0.54383764281084046</v>
      </c>
      <c r="AF24" s="2">
        <f>IF('Modell einstellen'!$B$2="Ja",creep_res125!P24,creep_res125!L24)</f>
        <v>0.57790711532695727</v>
      </c>
      <c r="AG24" s="2">
        <f>IF('Modell einstellen'!$B$2="Ja",creep_res160!P24,creep_res160!L24)</f>
        <v>0.55305926947281125</v>
      </c>
      <c r="AL24" s="2">
        <f t="shared" si="12"/>
        <v>1000000</v>
      </c>
      <c r="AM24" s="2">
        <f t="shared" si="13"/>
        <v>5562.9083959530062</v>
      </c>
      <c r="AN24" s="2">
        <f t="shared" si="14"/>
        <v>4741.2273341563377</v>
      </c>
      <c r="AO24" s="2">
        <f t="shared" si="15"/>
        <v>4100.3073895013431</v>
      </c>
      <c r="AP24" s="2">
        <f t="shared" si="16"/>
        <v>3231.6591203117327</v>
      </c>
      <c r="AQ24" s="2">
        <f t="shared" si="17"/>
        <v>595.89522173414423</v>
      </c>
      <c r="AR24" s="2">
        <f t="shared" si="18"/>
        <v>129.58780540541244</v>
      </c>
      <c r="AS24" s="2">
        <f t="shared" si="19"/>
        <v>128.42317853149575</v>
      </c>
      <c r="AX24" s="2">
        <f t="shared" si="28"/>
        <v>1000000</v>
      </c>
      <c r="AY24" s="37">
        <f t="shared" si="20"/>
        <v>21511.102064156192</v>
      </c>
      <c r="AZ24" s="37">
        <f t="shared" si="21"/>
        <v>17854.167769799165</v>
      </c>
      <c r="BA24" s="37">
        <f t="shared" si="22"/>
        <v>16366.291443716864</v>
      </c>
      <c r="BB24" s="37">
        <f t="shared" si="23"/>
        <v>15005.121676746025</v>
      </c>
      <c r="BC24" s="37">
        <f t="shared" si="24"/>
        <v>-6995.2474288968015</v>
      </c>
      <c r="BD24" s="37">
        <f t="shared" si="25"/>
        <v>-874.87738593436063</v>
      </c>
      <c r="BE24" s="37">
        <f t="shared" si="26"/>
        <v>-1252.9938049480259</v>
      </c>
    </row>
    <row r="25" spans="1:57" x14ac:dyDescent="0.25">
      <c r="A25" s="2">
        <f>'creep_res-40'!A25</f>
        <v>10000000</v>
      </c>
      <c r="B25" s="3">
        <f>'creep_res-40'!O25</f>
        <v>-7.1475934285714299E-4</v>
      </c>
      <c r="C25" s="2">
        <f>IF('Modell einstellen'!$B$2="Ja",creep_res0!O25,creep_res0!C25)</f>
        <v>-8.4155414285714278E-4</v>
      </c>
      <c r="D25" s="2">
        <f>IF('Modell einstellen'!$B$2="Ja",creep_res25!O25,creep_res25!C25)</f>
        <v>-9.6669668571428577E-4</v>
      </c>
      <c r="E25" s="2">
        <f>IF('Modell einstellen'!$B$2="Ja",creep_res50!O25,creep_res50!C25)</f>
        <v>-1.2797674857142859E-3</v>
      </c>
      <c r="F25" s="2">
        <f>IF('Modell einstellen'!$B$2="Ja",creep_res80!O25,creep_res80!C25)</f>
        <v>-9.7543965714285731E-3</v>
      </c>
      <c r="G25" s="2">
        <f>IF('Modell einstellen'!$B$2="Ja",creep_res125!O25,creep_res125!C25)</f>
        <v>-2.5445066857142859E-2</v>
      </c>
      <c r="H25" s="2">
        <f>IF('Modell einstellen'!$B$2="Ja",creep_res160!O25,creep_res160!C25)</f>
        <v>-2.5863646571428575E-2</v>
      </c>
      <c r="M25" s="9">
        <f t="shared" si="27"/>
        <v>-10</v>
      </c>
      <c r="N25" s="2">
        <f t="shared" si="4"/>
        <v>10000000</v>
      </c>
      <c r="O25" s="2">
        <f t="shared" si="5"/>
        <v>13990.723031372356</v>
      </c>
      <c r="P25" s="2">
        <f t="shared" si="6"/>
        <v>11882.776746899743</v>
      </c>
      <c r="Q25" s="2">
        <f t="shared" si="7"/>
        <v>10344.506345970418</v>
      </c>
      <c r="R25" s="2">
        <f t="shared" si="8"/>
        <v>7813.9194124146916</v>
      </c>
      <c r="S25" s="2">
        <f t="shared" si="9"/>
        <v>1025.1787413781001</v>
      </c>
      <c r="T25" s="2">
        <f t="shared" si="10"/>
        <v>393.00348692905209</v>
      </c>
      <c r="U25" s="2">
        <f t="shared" si="11"/>
        <v>386.6430811441316</v>
      </c>
      <c r="Z25" s="2">
        <v>10000000</v>
      </c>
      <c r="AA25" s="3">
        <f>IF('Modell einstellen'!$B$2="Ja",'creep_res-40'!P25,'creep_res-40'!L25)</f>
        <v>0.38013288148894225</v>
      </c>
      <c r="AB25" s="2">
        <f>IF('Modell einstellen'!$B$2="Ja",creep_res0!P25,creep_res0!L25)</f>
        <v>0.37813806734105387</v>
      </c>
      <c r="AC25" s="2">
        <f>IF('Modell einstellen'!$B$2="Ja",creep_res25!P25,creep_res25!L25)</f>
        <v>0.38410195379942486</v>
      </c>
      <c r="AD25" s="2">
        <f>IF('Modell einstellen'!$B$2="Ja",creep_res50!P25,creep_res50!L25)</f>
        <v>0.40249532381574127</v>
      </c>
      <c r="AE25" s="2">
        <f>IF('Modell einstellen'!$B$2="Ja",creep_res80!P25,creep_res80!L25)</f>
        <v>0.54526102632459827</v>
      </c>
      <c r="AF25" s="2">
        <f>IF('Modell einstellen'!$B$2="Ja",creep_res125!P25,creep_res125!L25)</f>
        <v>0.5386129069935689</v>
      </c>
      <c r="AG25" s="2">
        <f>IF('Modell einstellen'!$B$2="Ja",creep_res160!P25,creep_res160!L25)</f>
        <v>0.52310775136194199</v>
      </c>
      <c r="AL25" s="2">
        <f t="shared" si="12"/>
        <v>10000000</v>
      </c>
      <c r="AM25" s="2">
        <f t="shared" si="13"/>
        <v>5068.6144859756578</v>
      </c>
      <c r="AN25" s="2">
        <f t="shared" si="14"/>
        <v>4311.1706397553053</v>
      </c>
      <c r="AO25" s="2">
        <f t="shared" si="15"/>
        <v>3736.9018653482362</v>
      </c>
      <c r="AP25" s="2">
        <f t="shared" si="16"/>
        <v>2785.7203085552951</v>
      </c>
      <c r="AQ25" s="2">
        <f t="shared" si="17"/>
        <v>331.71701217899948</v>
      </c>
      <c r="AR25" s="2">
        <f t="shared" si="18"/>
        <v>127.7135675720335</v>
      </c>
      <c r="AS25" s="2">
        <f t="shared" si="19"/>
        <v>126.92571513683149</v>
      </c>
      <c r="AX25" s="2">
        <f t="shared" si="28"/>
        <v>10000000</v>
      </c>
      <c r="AY25" s="37">
        <f t="shared" si="20"/>
        <v>19453.10107442255</v>
      </c>
      <c r="AZ25" s="37">
        <f t="shared" si="21"/>
        <v>16251.693600598475</v>
      </c>
      <c r="BA25" s="37">
        <f t="shared" si="22"/>
        <v>14875.871056629718</v>
      </c>
      <c r="BB25" s="37">
        <f t="shared" si="23"/>
        <v>13356.486612068389</v>
      </c>
      <c r="BC25" s="37">
        <f t="shared" si="24"/>
        <v>-3775.0607407273196</v>
      </c>
      <c r="BD25" s="37">
        <f t="shared" si="25"/>
        <v>-1696.3390289612576</v>
      </c>
      <c r="BE25" s="37">
        <f t="shared" si="26"/>
        <v>-2788.6968539117224</v>
      </c>
    </row>
    <row r="26" spans="1:57" x14ac:dyDescent="0.25">
      <c r="A26" s="2">
        <f>'creep_res-40'!A26</f>
        <v>100000000</v>
      </c>
      <c r="B26" s="3">
        <f>'creep_res-40'!O26</f>
        <v>-7.9079345714285724E-4</v>
      </c>
      <c r="C26" s="2">
        <f>IF('Modell einstellen'!$B$2="Ja",creep_res0!O26,creep_res0!C26)</f>
        <v>-9.1760622857142856E-4</v>
      </c>
      <c r="D26" s="2">
        <f>IF('Modell einstellen'!$B$2="Ja",creep_res25!O26,creep_res25!C26)</f>
        <v>-1.0590879428571428E-3</v>
      </c>
      <c r="E26" s="2">
        <f>IF('Modell einstellen'!$B$2="Ja",creep_res50!O26,creep_res50!C26)</f>
        <v>-1.5468386571428571E-3</v>
      </c>
      <c r="F26" s="2">
        <f>IF('Modell einstellen'!$B$2="Ja",creep_res80!O26,creep_res80!C26)</f>
        <v>-1.6865644857142859E-2</v>
      </c>
      <c r="G26" s="2">
        <f>IF('Modell einstellen'!$B$2="Ja",creep_res125!O26,creep_res125!C26)</f>
        <v>-2.6120219142857143E-2</v>
      </c>
      <c r="H26" s="2">
        <f>IF('Modell einstellen'!$B$2="Ja",creep_res160!O26,creep_res160!C26)</f>
        <v>-2.6408451142857142E-2</v>
      </c>
      <c r="M26" s="9">
        <f t="shared" si="27"/>
        <v>-10</v>
      </c>
      <c r="N26" s="2">
        <f t="shared" si="4"/>
        <v>100000000</v>
      </c>
      <c r="O26" s="2">
        <f t="shared" si="5"/>
        <v>12645.526982646108</v>
      </c>
      <c r="P26" s="2">
        <f t="shared" si="6"/>
        <v>10897.920795032591</v>
      </c>
      <c r="Q26" s="2">
        <f t="shared" si="7"/>
        <v>9442.0865306261639</v>
      </c>
      <c r="R26" s="2">
        <f t="shared" si="8"/>
        <v>6464.7983510257318</v>
      </c>
      <c r="S26" s="2">
        <f t="shared" si="9"/>
        <v>592.92129561028003</v>
      </c>
      <c r="T26" s="2">
        <f t="shared" si="10"/>
        <v>382.84518002348415</v>
      </c>
      <c r="U26" s="2">
        <f t="shared" si="11"/>
        <v>378.66666037719375</v>
      </c>
      <c r="Z26" s="2">
        <v>100000000</v>
      </c>
      <c r="AA26" s="3">
        <f>IF('Modell einstellen'!$B$2="Ja",'creep_res-40'!P26,'creep_res-40'!L26)</f>
        <v>0.37957977179592961</v>
      </c>
      <c r="AB26" s="2">
        <f>IF('Modell einstellen'!$B$2="Ja",creep_res0!P26,creep_res0!L26)</f>
        <v>0.37869505680899296</v>
      </c>
      <c r="AC26" s="2">
        <f>IF('Modell einstellen'!$B$2="Ja",creep_res25!P26,creep_res25!L26)</f>
        <v>0.38495742886912027</v>
      </c>
      <c r="AD26" s="2">
        <f>IF('Modell einstellen'!$B$2="Ja",creep_res50!P26,creep_res50!L26)</f>
        <v>0.40835872198177181</v>
      </c>
      <c r="AE26" s="2">
        <f>IF('Modell einstellen'!$B$2="Ja",creep_res80!P26,creep_res80!L26)</f>
        <v>0.53824100953015952</v>
      </c>
      <c r="AF26" s="2">
        <f>IF('Modell einstellen'!$B$2="Ja",creep_res125!P26,creep_res125!L26)</f>
        <v>0.51397926906476299</v>
      </c>
      <c r="AG26" s="2">
        <f>IF('Modell einstellen'!$B$2="Ja",creep_res160!P26,creep_res160!L26)</f>
        <v>0.50409092526538513</v>
      </c>
      <c r="AL26" s="2">
        <f t="shared" si="12"/>
        <v>100000000</v>
      </c>
      <c r="AM26" s="2">
        <f t="shared" si="13"/>
        <v>4583.1082918040429</v>
      </c>
      <c r="AN26" s="2">
        <f t="shared" si="14"/>
        <v>3952.2593271118144</v>
      </c>
      <c r="AO26" s="2">
        <f t="shared" si="15"/>
        <v>3408.8002756648089</v>
      </c>
      <c r="AP26" s="2">
        <f t="shared" si="16"/>
        <v>2295.1533050928924</v>
      </c>
      <c r="AQ26" s="2">
        <f t="shared" si="17"/>
        <v>192.72704730170403</v>
      </c>
      <c r="AR26" s="2">
        <f t="shared" si="18"/>
        <v>126.4367312836393</v>
      </c>
      <c r="AS26" s="2">
        <f t="shared" si="19"/>
        <v>125.87891264299097</v>
      </c>
      <c r="AX26" s="2">
        <f t="shared" si="28"/>
        <v>100000000</v>
      </c>
      <c r="AY26" s="37">
        <f t="shared" si="20"/>
        <v>17501.941840447187</v>
      </c>
      <c r="AZ26" s="37">
        <f t="shared" si="21"/>
        <v>14973.174915431517</v>
      </c>
      <c r="BA26" s="37">
        <f t="shared" si="22"/>
        <v>13679.119589976604</v>
      </c>
      <c r="BB26" s="37">
        <f t="shared" si="23"/>
        <v>11757.435242482163</v>
      </c>
      <c r="BC26" s="37">
        <f t="shared" si="24"/>
        <v>-2584.1424467915831</v>
      </c>
      <c r="BD26" s="37">
        <f t="shared" si="25"/>
        <v>-4564.4396504786673</v>
      </c>
      <c r="BE26" s="37">
        <f t="shared" si="26"/>
        <v>-15427.099242529001</v>
      </c>
    </row>
    <row r="27" spans="1:57" x14ac:dyDescent="0.25">
      <c r="A27" s="2">
        <f>'creep_res-40'!A27</f>
        <v>1000000000</v>
      </c>
      <c r="B27" s="3">
        <f>'creep_res-40'!O27</f>
        <v>-8.6991351428571432E-4</v>
      </c>
      <c r="C27" s="2">
        <f>IF('Modell einstellen'!$B$2="Ja",creep_res0!O27,creep_res0!C27)</f>
        <v>-9.9569642857142869E-4</v>
      </c>
      <c r="D27" s="2">
        <f>IF('Modell einstellen'!$B$2="Ja",creep_res25!O27,creep_res25!C27)</f>
        <v>-1.1709494857142858E-3</v>
      </c>
      <c r="E27" s="2">
        <f>IF('Modell einstellen'!$B$2="Ja",creep_res50!O27,creep_res50!C27)</f>
        <v>-2.0103361428571429E-3</v>
      </c>
      <c r="F27" s="2">
        <f>IF('Modell einstellen'!$B$2="Ja",creep_res80!O27,creep_res80!C27)</f>
        <v>-2.2093246E-2</v>
      </c>
      <c r="G27" s="2">
        <f>IF('Modell einstellen'!$B$2="Ja",creep_res125!O27,creep_res125!C27)</f>
        <v>-2.6581952857142859E-2</v>
      </c>
      <c r="H27" s="2">
        <f>IF('Modell einstellen'!$B$2="Ja",creep_res160!O27,creep_res160!C27)</f>
        <v>-2.6778495142857142E-2</v>
      </c>
      <c r="M27" s="9">
        <f t="shared" si="27"/>
        <v>-10</v>
      </c>
      <c r="N27" s="2">
        <f t="shared" si="4"/>
        <v>1000000000</v>
      </c>
      <c r="O27" s="2">
        <f t="shared" si="5"/>
        <v>11495.395617817245</v>
      </c>
      <c r="P27" s="2">
        <f t="shared" si="6"/>
        <v>10043.221722053837</v>
      </c>
      <c r="Q27" s="2">
        <f t="shared" si="7"/>
        <v>8540.0780494813098</v>
      </c>
      <c r="R27" s="2">
        <f t="shared" si="8"/>
        <v>4974.2925010479767</v>
      </c>
      <c r="S27" s="2">
        <f t="shared" si="9"/>
        <v>452.62701551415307</v>
      </c>
      <c r="T27" s="2">
        <f t="shared" si="10"/>
        <v>376.19508445230321</v>
      </c>
      <c r="U27" s="2">
        <f t="shared" si="11"/>
        <v>373.43397926777772</v>
      </c>
      <c r="Z27" s="2">
        <v>1000000000</v>
      </c>
      <c r="AA27" s="3">
        <f>IF('Modell einstellen'!$B$2="Ja",'creep_res-40'!P27,'creep_res-40'!L27)</f>
        <v>0.37967610113491412</v>
      </c>
      <c r="AB27" s="2">
        <f>IF('Modell einstellen'!$B$2="Ja",creep_res0!P27,creep_res0!L27)</f>
        <v>0.37986015531125017</v>
      </c>
      <c r="AC27" s="2">
        <f>IF('Modell einstellen'!$B$2="Ja",creep_res25!P27,creep_res25!L27)</f>
        <v>0.38717310045239967</v>
      </c>
      <c r="AD27" s="2">
        <f>IF('Modell einstellen'!$B$2="Ja",creep_res50!P27,creep_res50!L27)</f>
        <v>0.41756908741558713</v>
      </c>
      <c r="AE27" s="2">
        <f>IF('Modell einstellen'!$B$2="Ja",creep_res80!P27,creep_res80!L27)</f>
        <v>0.51997413922012958</v>
      </c>
      <c r="AF27" s="2">
        <f>IF('Modell einstellen'!$B$2="Ja",creep_res125!P27,creep_res125!L27)</f>
        <v>0.49843173405458169</v>
      </c>
      <c r="AG27" s="2">
        <f>IF('Modell einstellen'!$B$2="Ja",creep_res160!P27,creep_res160!L27)</f>
        <v>0.49241029046196377</v>
      </c>
      <c r="AL27" s="2">
        <f t="shared" si="12"/>
        <v>1000000000</v>
      </c>
      <c r="AM27" s="2">
        <f t="shared" si="13"/>
        <v>4165.9762057055259</v>
      </c>
      <c r="AN27" s="2">
        <f t="shared" si="14"/>
        <v>3639.2172363975619</v>
      </c>
      <c r="AO27" s="2">
        <f t="shared" si="15"/>
        <v>3078.2308446927527</v>
      </c>
      <c r="AP27" s="2">
        <f t="shared" si="16"/>
        <v>1754.5150163075152</v>
      </c>
      <c r="AQ27" s="2">
        <f t="shared" si="17"/>
        <v>148.89299884614732</v>
      </c>
      <c r="AR27" s="2">
        <f t="shared" si="18"/>
        <v>125.52960401951817</v>
      </c>
      <c r="AS27" s="2">
        <f t="shared" si="19"/>
        <v>125.11103067782525</v>
      </c>
      <c r="AX27" s="2">
        <f t="shared" si="28"/>
        <v>1000000000</v>
      </c>
      <c r="AY27" s="37">
        <f t="shared" si="20"/>
        <v>15922.848974370625</v>
      </c>
      <c r="AZ27" s="37">
        <f t="shared" si="21"/>
        <v>13932.682294916583</v>
      </c>
      <c r="BA27" s="37">
        <f t="shared" si="22"/>
        <v>12615.310243278691</v>
      </c>
      <c r="BB27" s="37">
        <f t="shared" si="23"/>
        <v>10057.498142164573</v>
      </c>
      <c r="BC27" s="37">
        <f t="shared" si="24"/>
        <v>-3776.7753137016589</v>
      </c>
      <c r="BD27" s="37">
        <f t="shared" si="25"/>
        <v>39979.941492210644</v>
      </c>
      <c r="BE27" s="37">
        <f t="shared" si="26"/>
        <v>8200.4451201611373</v>
      </c>
    </row>
    <row r="28" spans="1:57" x14ac:dyDescent="0.25">
      <c r="A28" s="2">
        <f>'creep_res-40'!A28</f>
        <v>10000000000</v>
      </c>
      <c r="B28" s="3">
        <f>'creep_res-40'!O28</f>
        <v>-9.4754371428571436E-4</v>
      </c>
      <c r="C28" s="2">
        <f>IF('Modell einstellen'!$B$2="Ja",creep_res0!O28,creep_res0!C28)</f>
        <v>-1.0819888857142856E-3</v>
      </c>
      <c r="D28" s="2">
        <f>IF('Modell einstellen'!$B$2="Ja",creep_res25!O28,creep_res25!C28)</f>
        <v>-1.338241142857143E-3</v>
      </c>
      <c r="E28" s="2">
        <f>IF('Modell einstellen'!$B$2="Ja",creep_res50!O28,creep_res50!C28)</f>
        <v>-2.9789217142857146E-3</v>
      </c>
      <c r="F28" s="2">
        <f>IF('Modell einstellen'!$B$2="Ja",creep_res80!O28,creep_res80!C28)</f>
        <v>-2.4779278857142862E-2</v>
      </c>
      <c r="G28" s="2">
        <f>IF('Modell einstellen'!$B$2="Ja",creep_res125!O28,creep_res125!C28)</f>
        <v>-2.6895848857142857E-2</v>
      </c>
      <c r="H28" s="2">
        <f>IF('Modell einstellen'!$B$2="Ja",creep_res160!O28,creep_res160!C28)</f>
        <v>-2.6843666571428573E-2</v>
      </c>
      <c r="M28" s="9">
        <f t="shared" si="27"/>
        <v>-10</v>
      </c>
      <c r="N28" s="2">
        <f t="shared" si="4"/>
        <v>10000000000</v>
      </c>
      <c r="O28" s="2">
        <f t="shared" si="5"/>
        <v>10553.602804001805</v>
      </c>
      <c r="P28" s="2">
        <f t="shared" si="6"/>
        <v>9242.2391135731505</v>
      </c>
      <c r="Q28" s="2">
        <f t="shared" si="7"/>
        <v>7472.4948140885981</v>
      </c>
      <c r="R28" s="2">
        <f t="shared" si="8"/>
        <v>3356.9193685231835</v>
      </c>
      <c r="S28" s="2">
        <f t="shared" si="9"/>
        <v>403.56299542258085</v>
      </c>
      <c r="T28" s="2">
        <f t="shared" si="10"/>
        <v>371.80458787952523</v>
      </c>
      <c r="U28" s="2">
        <f t="shared" si="11"/>
        <v>372.52735103794049</v>
      </c>
      <c r="Z28" s="2">
        <v>10000000000</v>
      </c>
      <c r="AA28" s="3">
        <f>IF('Modell einstellen'!$B$2="Ja",'creep_res-40'!P28,'creep_res-40'!L28)</f>
        <v>0.38007223488822078</v>
      </c>
      <c r="AB28" s="2">
        <f>IF('Modell einstellen'!$B$2="Ja",creep_res0!P28,creep_res0!L28)</f>
        <v>0.38162361900152603</v>
      </c>
      <c r="AC28" s="2">
        <f>IF('Modell einstellen'!$B$2="Ja",creep_res25!P28,creep_res25!L28)</f>
        <v>0.39139655377079169</v>
      </c>
      <c r="AD28" s="2">
        <f>IF('Modell einstellen'!$B$2="Ja",creep_res50!P28,creep_res50!L28)</f>
        <v>0.43228462532847456</v>
      </c>
      <c r="AE28" s="2">
        <f>IF('Modell einstellen'!$B$2="Ja",creep_res80!P28,creep_res80!L28)</f>
        <v>0.50447018658769671</v>
      </c>
      <c r="AF28" s="2">
        <f>IF('Modell einstellen'!$B$2="Ja",creep_res125!P28,creep_res125!L28)</f>
        <v>0.48913303891579824</v>
      </c>
      <c r="AG28" s="2">
        <f>IF('Modell einstellen'!$B$2="Ja",creep_res160!P28,creep_res160!L28)</f>
        <v>0.49046885047095923</v>
      </c>
      <c r="AL28" s="2">
        <f t="shared" si="12"/>
        <v>10000000000</v>
      </c>
      <c r="AM28" s="2">
        <f t="shared" si="13"/>
        <v>3823.5689905233821</v>
      </c>
      <c r="AN28" s="2">
        <f t="shared" si="14"/>
        <v>3344.7021990881808</v>
      </c>
      <c r="AO28" s="2">
        <f t="shared" si="15"/>
        <v>2685.2498641877337</v>
      </c>
      <c r="AP28" s="2">
        <f t="shared" si="16"/>
        <v>1171.8757952014325</v>
      </c>
      <c r="AQ28" s="2">
        <f t="shared" si="17"/>
        <v>134.12130031566326</v>
      </c>
      <c r="AR28" s="2">
        <f t="shared" si="18"/>
        <v>124.83927834622055</v>
      </c>
      <c r="AS28" s="2">
        <f t="shared" si="19"/>
        <v>124.96985459314666</v>
      </c>
      <c r="AX28" s="2">
        <f t="shared" si="28"/>
        <v>10000000000</v>
      </c>
      <c r="AY28" s="37">
        <f t="shared" si="20"/>
        <v>14666.610346882935</v>
      </c>
      <c r="AZ28" s="37">
        <f t="shared" si="21"/>
        <v>13012.504459106436</v>
      </c>
      <c r="BA28" s="37">
        <f t="shared" si="22"/>
        <v>11467.553246143232</v>
      </c>
      <c r="BB28" s="37">
        <f t="shared" si="23"/>
        <v>8262.3268959892011</v>
      </c>
      <c r="BC28" s="37">
        <f t="shared" si="24"/>
        <v>-15046.463479224287</v>
      </c>
      <c r="BD28" s="37">
        <f t="shared" si="25"/>
        <v>5702.3698560346911</v>
      </c>
      <c r="BE28" s="37">
        <f t="shared" si="26"/>
        <v>6514.2081393728131</v>
      </c>
    </row>
    <row r="29" spans="1:57" x14ac:dyDescent="0.25">
      <c r="A29" s="2">
        <f>'creep_res-40'!A29</f>
        <v>100000000000</v>
      </c>
      <c r="B29" s="3">
        <f>'creep_res-40'!O29</f>
        <v>-1.0310119428571429E-3</v>
      </c>
      <c r="C29" s="2">
        <f>IF('Modell einstellen'!$B$2="Ja",creep_res0!O29,creep_res0!C29)</f>
        <v>-1.1905131142857144E-3</v>
      </c>
      <c r="D29" s="2">
        <f>IF('Modell einstellen'!$B$2="Ja",creep_res25!O29,creep_res25!C29)</f>
        <v>-1.6058572285714287E-3</v>
      </c>
      <c r="E29" s="2">
        <f>IF('Modell einstellen'!$B$2="Ja",creep_res50!O29,creep_res50!C29)</f>
        <v>-4.8967757142857147E-3</v>
      </c>
      <c r="F29" s="2">
        <f>IF('Modell einstellen'!$B$2="Ja",creep_res80!O29,creep_res80!C29)</f>
        <v>-2.6766490571428572E-2</v>
      </c>
      <c r="G29" s="2">
        <f>IF('Modell einstellen'!$B$2="Ja",creep_res125!O29,creep_res125!C29)</f>
        <v>-2.6954494571428574E-2</v>
      </c>
      <c r="H29" s="2">
        <f>IF('Modell einstellen'!$B$2="Ja",creep_res160!O29,creep_res160!C29)</f>
        <v>-2.693226342857143E-2</v>
      </c>
      <c r="M29" s="9">
        <f t="shared" si="27"/>
        <v>-10</v>
      </c>
      <c r="N29" s="2">
        <f t="shared" si="4"/>
        <v>100000000000</v>
      </c>
      <c r="O29" s="2">
        <f t="shared" si="5"/>
        <v>9699.2086942154856</v>
      </c>
      <c r="P29" s="2">
        <f t="shared" si="6"/>
        <v>8399.7394736804836</v>
      </c>
      <c r="Q29" s="2">
        <f t="shared" si="7"/>
        <v>6227.2036530271153</v>
      </c>
      <c r="R29" s="2">
        <f t="shared" si="8"/>
        <v>2042.1601036016993</v>
      </c>
      <c r="S29" s="2">
        <f t="shared" si="9"/>
        <v>373.60146162285196</v>
      </c>
      <c r="T29" s="2">
        <f t="shared" si="10"/>
        <v>370.99564132060834</v>
      </c>
      <c r="U29" s="2">
        <f t="shared" si="11"/>
        <v>371.30187837801162</v>
      </c>
      <c r="Z29" s="2">
        <v>100000000000</v>
      </c>
      <c r="AA29" s="3">
        <f>IF('Modell einstellen'!$B$2="Ja",'creep_res-40'!P29,'creep_res-40'!L29)</f>
        <v>0.38143371375107804</v>
      </c>
      <c r="AB29" s="2">
        <f>IF('Modell einstellen'!$B$2="Ja",creep_res0!P29,creep_res0!L29)</f>
        <v>0.38426244971585954</v>
      </c>
      <c r="AC29" s="2">
        <f>IF('Modell einstellen'!$B$2="Ja",creep_res25!P29,creep_res25!L29)</f>
        <v>0.39742728952438633</v>
      </c>
      <c r="AD29" s="2">
        <f>IF('Modell einstellen'!$B$2="Ja",creep_res50!P29,creep_res50!L29)</f>
        <v>0.44944640832174404</v>
      </c>
      <c r="AE29" s="2">
        <f>IF('Modell einstellen'!$B$2="Ja",creep_res80!P29,creep_res80!L29)</f>
        <v>0.49557765281295169</v>
      </c>
      <c r="AF29" s="2">
        <f>IF('Modell einstellen'!$B$2="Ja",creep_res125!P29,creep_res125!L29)</f>
        <v>0.48750283692417007</v>
      </c>
      <c r="AG29" s="2">
        <f>IF('Modell einstellen'!$B$2="Ja",creep_res160!P29,creep_res160!L29)</f>
        <v>0.48793238130258682</v>
      </c>
      <c r="AL29" s="2">
        <f t="shared" si="12"/>
        <v>100000000000</v>
      </c>
      <c r="AM29" s="2">
        <f t="shared" si="13"/>
        <v>3510.558848270296</v>
      </c>
      <c r="AN29" s="2">
        <f t="shared" si="14"/>
        <v>3034.0126163953428</v>
      </c>
      <c r="AO29" s="2">
        <f t="shared" si="15"/>
        <v>2228.0957655931211</v>
      </c>
      <c r="AP29" s="2">
        <f t="shared" si="16"/>
        <v>704.46209389908893</v>
      </c>
      <c r="AQ29" s="2">
        <f t="shared" si="17"/>
        <v>124.90206072555479</v>
      </c>
      <c r="AR29" s="2">
        <f t="shared" si="18"/>
        <v>124.70417941781746</v>
      </c>
      <c r="AS29" s="2">
        <f t="shared" si="19"/>
        <v>124.77108605330615</v>
      </c>
      <c r="AX29" s="2">
        <f t="shared" si="28"/>
        <v>100000000000</v>
      </c>
      <c r="AY29" s="37">
        <f t="shared" si="20"/>
        <v>13634.017168889319</v>
      </c>
      <c r="AZ29" s="37">
        <f t="shared" si="21"/>
        <v>12095.958273782331</v>
      </c>
      <c r="BA29" s="37">
        <f t="shared" si="22"/>
        <v>10118.356731455086</v>
      </c>
      <c r="BB29" s="37">
        <f t="shared" si="23"/>
        <v>6732.657482244631</v>
      </c>
      <c r="BC29" s="37">
        <f t="shared" si="24"/>
        <v>14080.059216706419</v>
      </c>
      <c r="BD29" s="37">
        <f t="shared" si="25"/>
        <v>4947.7314580582743</v>
      </c>
      <c r="BE29" s="37">
        <f t="shared" si="26"/>
        <v>5128.0743904844003</v>
      </c>
    </row>
    <row r="30" spans="1:57" x14ac:dyDescent="0.25">
      <c r="A30" s="2">
        <f>'creep_res-40'!A30</f>
        <v>1000000000000</v>
      </c>
      <c r="B30" s="3">
        <f>'creep_res-40'!O30</f>
        <v>-1.1241460285714286E-3</v>
      </c>
      <c r="C30" s="2">
        <f>IF('Modell einstellen'!$B$2="Ja",creep_res0!O30,creep_res0!C30)</f>
        <v>-1.357037342857143E-3</v>
      </c>
      <c r="D30" s="2">
        <f>IF('Modell einstellen'!$B$2="Ja",creep_res25!O30,creep_res25!C30)</f>
        <v>-2.0846555428571428E-3</v>
      </c>
      <c r="E30" s="2">
        <f>IF('Modell einstellen'!$B$2="Ja",creep_res50!O30,creep_res50!C30)</f>
        <v>-8.4642999999999993E-3</v>
      </c>
      <c r="F30" s="2">
        <f>IF('Modell einstellen'!$B$2="Ja",creep_res80!O30,creep_res80!C30)</f>
        <v>-2.6868412571428572E-2</v>
      </c>
      <c r="G30" s="2">
        <f>IF('Modell einstellen'!$B$2="Ja",creep_res125!O30,creep_res125!C30)</f>
        <v>-2.7217686571428569E-2</v>
      </c>
      <c r="H30" s="2">
        <f>IF('Modell einstellen'!$B$2="Ja",creep_res160!O30,creep_res160!C30)</f>
        <v>-2.7235974857142856E-2</v>
      </c>
      <c r="M30" s="9">
        <f t="shared" si="27"/>
        <v>-10</v>
      </c>
      <c r="N30" s="2">
        <f t="shared" si="4"/>
        <v>1000000000000</v>
      </c>
      <c r="O30" s="2">
        <f t="shared" si="5"/>
        <v>8895.6414432278507</v>
      </c>
      <c r="P30" s="2">
        <f t="shared" si="6"/>
        <v>7368.9939725208524</v>
      </c>
      <c r="Q30" s="2">
        <f t="shared" si="7"/>
        <v>4796.9555614422579</v>
      </c>
      <c r="R30" s="2">
        <f t="shared" si="8"/>
        <v>1181.4326051770379</v>
      </c>
      <c r="S30" s="2">
        <f t="shared" si="9"/>
        <v>372.18425068527625</v>
      </c>
      <c r="T30" s="2">
        <f t="shared" si="10"/>
        <v>367.40815475836132</v>
      </c>
      <c r="U30" s="2">
        <f t="shared" si="11"/>
        <v>367.16144923953101</v>
      </c>
      <c r="Z30" s="2">
        <v>1000000000000</v>
      </c>
      <c r="AA30" s="3">
        <f>IF('Modell einstellen'!$B$2="Ja",'creep_res-40'!P30,'creep_res-40'!L30)</f>
        <v>0.3832566389252276</v>
      </c>
      <c r="AB30" s="2">
        <f>IF('Modell einstellen'!$B$2="Ja",creep_res0!P30,creep_res0!L30)</f>
        <v>0.38851043724304701</v>
      </c>
      <c r="AC30" s="2">
        <f>IF('Modell einstellen'!$B$2="Ja",creep_res25!P30,creep_res25!L30)</f>
        <v>0.40676609759606197</v>
      </c>
      <c r="AD30" s="2">
        <f>IF('Modell einstellen'!$B$2="Ja",creep_res50!P30,creep_res50!L30)</f>
        <v>0.46486088631074041</v>
      </c>
      <c r="AE30" s="2">
        <f>IF('Modell einstellen'!$B$2="Ja",creep_res80!P30,creep_res80!L30)</f>
        <v>0.49303610302077072</v>
      </c>
      <c r="AF30" s="2">
        <f>IF('Modell einstellen'!$B$2="Ja",creep_res125!P30,creep_res125!L30)</f>
        <v>0.48236867575488179</v>
      </c>
      <c r="AG30" s="2">
        <f>IF('Modell einstellen'!$B$2="Ja",creep_res160!P30,creep_res160!L30)</f>
        <v>0.48125251610496006</v>
      </c>
      <c r="AL30" s="2">
        <f t="shared" si="12"/>
        <v>1000000000000</v>
      </c>
      <c r="AM30" s="2">
        <f t="shared" si="13"/>
        <v>3215.4703591878829</v>
      </c>
      <c r="AN30" s="2">
        <f t="shared" si="14"/>
        <v>2653.5608861364908</v>
      </c>
      <c r="AO30" s="2">
        <f t="shared" si="15"/>
        <v>1704.9584752004923</v>
      </c>
      <c r="AP30" s="2">
        <f t="shared" si="16"/>
        <v>403.25761176970258</v>
      </c>
      <c r="AQ30" s="2">
        <f t="shared" si="17"/>
        <v>124.64007063602084</v>
      </c>
      <c r="AR30" s="2">
        <f t="shared" si="18"/>
        <v>123.9260383626436</v>
      </c>
      <c r="AS30" s="2">
        <f t="shared" si="19"/>
        <v>123.93614365125383</v>
      </c>
      <c r="AX30" s="2">
        <f t="shared" si="28"/>
        <v>1000000000000</v>
      </c>
      <c r="AY30" s="37">
        <f t="shared" si="20"/>
        <v>12699.710660677774</v>
      </c>
      <c r="AZ30" s="37">
        <f t="shared" si="21"/>
        <v>11015.969851493697</v>
      </c>
      <c r="BA30" s="37">
        <f t="shared" si="22"/>
        <v>8575.1274263935629</v>
      </c>
      <c r="BB30" s="37">
        <f t="shared" si="23"/>
        <v>5603.5970610254153</v>
      </c>
      <c r="BC30" s="37">
        <f t="shared" si="24"/>
        <v>8907.4707211437271</v>
      </c>
      <c r="BD30" s="37">
        <f t="shared" si="25"/>
        <v>3473.062579328473</v>
      </c>
      <c r="BE30" s="37">
        <f t="shared" si="26"/>
        <v>3264.0953429193382</v>
      </c>
    </row>
    <row r="31" spans="1:57" x14ac:dyDescent="0.25">
      <c r="A31" s="2">
        <f>'creep_res-40'!A31</f>
        <v>10000000000000</v>
      </c>
      <c r="B31" s="3">
        <f>'creep_res-40'!O31</f>
        <v>-1.2562818285714286E-3</v>
      </c>
      <c r="C31" s="2">
        <f>IF('Modell einstellen'!$B$2="Ja",creep_res0!O31,creep_res0!C31)</f>
        <v>-1.6271212571428572E-3</v>
      </c>
      <c r="D31" s="2">
        <f>IF('Modell einstellen'!$B$2="Ja",creep_res25!O31,creep_res25!C31)</f>
        <v>-3.0967014285714287E-3</v>
      </c>
      <c r="E31" s="2">
        <f>IF('Modell einstellen'!$B$2="Ja",creep_res50!O31,creep_res50!C31)</f>
        <v>-1.4895274571428573E-2</v>
      </c>
      <c r="F31" s="2">
        <f>IF('Modell einstellen'!$B$2="Ja",creep_res80!O31,creep_res80!C31)</f>
        <v>-2.7191233999999998E-2</v>
      </c>
      <c r="G31" s="2">
        <f>IF('Modell einstellen'!$B$2="Ja",creep_res125!O31,creep_res125!C31)</f>
        <v>-2.7221723714285714E-2</v>
      </c>
      <c r="H31" s="2">
        <f>IF('Modell einstellen'!$B$2="Ja",creep_res160!O31,creep_res160!C31)</f>
        <v>-2.7240321142857141E-2</v>
      </c>
      <c r="M31" s="9">
        <f t="shared" si="27"/>
        <v>-10</v>
      </c>
      <c r="N31" s="2">
        <f t="shared" si="4"/>
        <v>10000000000000</v>
      </c>
      <c r="O31" s="2">
        <f t="shared" si="5"/>
        <v>7959.9973290797534</v>
      </c>
      <c r="P31" s="2">
        <f t="shared" si="6"/>
        <v>6145.8234634335095</v>
      </c>
      <c r="Q31" s="2">
        <f t="shared" si="7"/>
        <v>3229.2425442556155</v>
      </c>
      <c r="R31" s="2">
        <f t="shared" si="8"/>
        <v>671.35385467694152</v>
      </c>
      <c r="S31" s="2">
        <f t="shared" si="9"/>
        <v>367.76558209899559</v>
      </c>
      <c r="T31" s="2">
        <f t="shared" si="10"/>
        <v>367.35366595290549</v>
      </c>
      <c r="U31" s="2">
        <f t="shared" si="11"/>
        <v>367.10286738385844</v>
      </c>
      <c r="Z31" s="2">
        <v>10000000000000</v>
      </c>
      <c r="AA31" s="3">
        <f>IF('Modell einstellen'!$B$2="Ja",'creep_res-40'!P31,'creep_res-40'!L31)</f>
        <v>0.38666528511436832</v>
      </c>
      <c r="AB31" s="2">
        <f>IF('Modell einstellen'!$B$2="Ja",creep_res0!P31,creep_res0!L31)</f>
        <v>0.39466206083438088</v>
      </c>
      <c r="AC31" s="2">
        <f>IF('Modell einstellen'!$B$2="Ja",creep_res25!P31,creep_res25!L31)</f>
        <v>0.42195974426244331</v>
      </c>
      <c r="AD31" s="2">
        <f>IF('Modell einstellen'!$B$2="Ja",creep_res50!P31,creep_res50!L31)</f>
        <v>0.47751130507142042</v>
      </c>
      <c r="AE31" s="2">
        <f>IF('Modell einstellen'!$B$2="Ja",creep_res80!P31,creep_res80!L31)</f>
        <v>0.48418241807530432</v>
      </c>
      <c r="AF31" s="2">
        <f>IF('Modell einstellen'!$B$2="Ja",creep_res125!P31,creep_res125!L31)</f>
        <v>0.48229778836404746</v>
      </c>
      <c r="AG31" s="2">
        <f>IF('Modell einstellen'!$B$2="Ja",creep_res160!P31,creep_res160!L31)</f>
        <v>0.48117498593786245</v>
      </c>
      <c r="AL31" s="2">
        <f t="shared" si="12"/>
        <v>10000000000000</v>
      </c>
      <c r="AM31" s="2">
        <f t="shared" si="13"/>
        <v>2870.194204228324</v>
      </c>
      <c r="AN31" s="2">
        <f t="shared" si="14"/>
        <v>2203.3378680125074</v>
      </c>
      <c r="AO31" s="2">
        <f t="shared" si="15"/>
        <v>1135.4901421385146</v>
      </c>
      <c r="AP31" s="2">
        <f t="shared" si="16"/>
        <v>227.19076746573165</v>
      </c>
      <c r="AQ31" s="2">
        <f t="shared" si="17"/>
        <v>123.89500698166064</v>
      </c>
      <c r="AR31" s="2">
        <f t="shared" si="18"/>
        <v>123.91358498832378</v>
      </c>
      <c r="AS31" s="2">
        <f t="shared" si="19"/>
        <v>123.92285545904397</v>
      </c>
      <c r="AX31" s="2">
        <f t="shared" si="28"/>
        <v>10000000000000</v>
      </c>
      <c r="AY31" s="37">
        <f t="shared" si="20"/>
        <v>11705.735730239914</v>
      </c>
      <c r="AZ31" s="37">
        <f t="shared" si="21"/>
        <v>9723.9790210987012</v>
      </c>
      <c r="BA31" s="37">
        <f t="shared" si="22"/>
        <v>6896.5316120851512</v>
      </c>
      <c r="BB31" s="37">
        <f t="shared" si="23"/>
        <v>4975.4914399512863</v>
      </c>
      <c r="BC31" s="37">
        <f t="shared" si="24"/>
        <v>3875.0716749864532</v>
      </c>
      <c r="BD31" s="37">
        <f t="shared" si="25"/>
        <v>3458.6419059528112</v>
      </c>
      <c r="BE31" s="37">
        <f t="shared" si="26"/>
        <v>3250.133626922548</v>
      </c>
    </row>
    <row r="32" spans="1:57" x14ac:dyDescent="0.25">
      <c r="A32" s="2">
        <f>'creep_res-40'!A32</f>
        <v>100000000000000</v>
      </c>
      <c r="B32" s="3">
        <f>'creep_res-40'!O32</f>
        <v>-1.4614530285714286E-3</v>
      </c>
      <c r="C32" s="2">
        <f>IF('Modell einstellen'!$B$2="Ja",creep_res0!O32,creep_res0!C32)</f>
        <v>-2.1151075142857145E-3</v>
      </c>
      <c r="D32" s="2">
        <f>IF('Modell einstellen'!$B$2="Ja",creep_res25!O32,creep_res25!C32)</f>
        <v>-5.1020828571428575E-3</v>
      </c>
      <c r="E32" s="2">
        <f>IF('Modell einstellen'!$B$2="Ja",creep_res50!O32,creep_res50!C32)</f>
        <v>-2.1472374571428574E-2</v>
      </c>
      <c r="F32" s="2">
        <f>IF('Modell einstellen'!$B$2="Ja",creep_res80!O32,creep_res80!C32)</f>
        <v>-2.7195999142857145E-2</v>
      </c>
      <c r="G32" s="2">
        <f>IF('Modell einstellen'!$B$2="Ja",creep_res125!O32,creep_res125!C32)</f>
        <v>-2.7305871714285716E-2</v>
      </c>
      <c r="H32" s="2">
        <f>IF('Modell einstellen'!$B$2="Ja",creep_res160!O32,creep_res160!C32)</f>
        <v>-2.7359462000000005E-2</v>
      </c>
      <c r="M32" s="9">
        <v>-1</v>
      </c>
      <c r="N32" s="2">
        <f t="shared" si="4"/>
        <v>100000000000000</v>
      </c>
      <c r="O32" s="2">
        <f t="shared" si="5"/>
        <v>6842.5052358850062</v>
      </c>
      <c r="P32" s="2">
        <f t="shared" si="6"/>
        <v>4727.8920492025509</v>
      </c>
      <c r="Q32" s="2">
        <f t="shared" si="7"/>
        <v>1959.9838497330782</v>
      </c>
      <c r="R32" s="2">
        <f t="shared" si="8"/>
        <v>465.71467756091272</v>
      </c>
      <c r="S32" s="2">
        <f t="shared" si="9"/>
        <v>367.7011441084133</v>
      </c>
      <c r="T32" s="2">
        <f t="shared" si="10"/>
        <v>366.22159895258943</v>
      </c>
      <c r="U32" s="2">
        <f t="shared" si="11"/>
        <v>365.50426320517556</v>
      </c>
      <c r="Z32" s="2">
        <v>100000000000000</v>
      </c>
      <c r="AA32" s="3">
        <f>IF('Modell einstellen'!$B$2="Ja",'creep_res-40'!P32,'creep_res-40'!L32)</f>
        <v>0.39159123749561497</v>
      </c>
      <c r="AB32" s="2">
        <f>IF('Modell einstellen'!$B$2="Ja",creep_res0!P32,creep_res0!L32)</f>
        <v>0.4042193572787377</v>
      </c>
      <c r="AC32" s="2">
        <f>IF('Modell einstellen'!$B$2="Ja",creep_res25!P32,creep_res25!L32)</f>
        <v>0.44008362411093732</v>
      </c>
      <c r="AD32" s="2">
        <f>IF('Modell einstellen'!$B$2="Ja",creep_res50!P32,creep_res50!L32)</f>
        <v>0.48303823899388809</v>
      </c>
      <c r="AE32" s="2">
        <f>IF('Modell einstellen'!$B$2="Ja",creep_res80!P32,creep_res80!L32)</f>
        <v>0.48406377463273303</v>
      </c>
      <c r="AF32" s="2">
        <f>IF('Modell einstellen'!$B$2="Ja",creep_res125!P32,creep_res125!L32)</f>
        <v>0.48082397264822718</v>
      </c>
      <c r="AG32" s="2">
        <f>IF('Modell einstellen'!$B$2="Ja",creep_res160!P32,creep_res160!L32)</f>
        <v>0.48001299983791446</v>
      </c>
      <c r="AL32" s="2">
        <f t="shared" si="12"/>
        <v>100000000000000</v>
      </c>
      <c r="AM32" s="2">
        <f t="shared" si="13"/>
        <v>2458.5183678646754</v>
      </c>
      <c r="AN32" s="2">
        <f t="shared" si="14"/>
        <v>1683.4592204898881</v>
      </c>
      <c r="AO32" s="2">
        <f t="shared" si="15"/>
        <v>680.51042901870051</v>
      </c>
      <c r="AP32" s="2">
        <f t="shared" si="16"/>
        <v>157.01371189082064</v>
      </c>
      <c r="AQ32" s="2">
        <f t="shared" si="17"/>
        <v>123.88320178471095</v>
      </c>
      <c r="AR32" s="2">
        <f t="shared" si="18"/>
        <v>123.65466987195585</v>
      </c>
      <c r="AS32" s="2">
        <f t="shared" si="19"/>
        <v>123.48008539289999</v>
      </c>
      <c r="AX32" s="2">
        <f t="shared" si="28"/>
        <v>100000000000000</v>
      </c>
      <c r="AY32" s="37">
        <f t="shared" si="20"/>
        <v>10519.606653272505</v>
      </c>
      <c r="AZ32" s="37">
        <f t="shared" si="21"/>
        <v>8226.9442531679888</v>
      </c>
      <c r="BA32" s="37">
        <f t="shared" si="22"/>
        <v>5451.9982243309096</v>
      </c>
      <c r="BB32" s="37">
        <f t="shared" si="23"/>
        <v>4576.1234873460335</v>
      </c>
      <c r="BC32" s="37">
        <f t="shared" si="24"/>
        <v>3845.5482779470067</v>
      </c>
      <c r="BD32" s="37">
        <f t="shared" si="25"/>
        <v>3182.9811273773585</v>
      </c>
      <c r="BE32" s="37">
        <f t="shared" si="26"/>
        <v>3047.8499378020801</v>
      </c>
    </row>
    <row r="33" spans="1:60" x14ac:dyDescent="0.25">
      <c r="A33" s="2">
        <f>'creep_res-40'!A33</f>
        <v>1000000000000000</v>
      </c>
      <c r="B33" s="3">
        <f>'creep_res-40'!O33</f>
        <v>-1.802786285714286E-3</v>
      </c>
      <c r="C33" s="2">
        <f>IF('Modell einstellen'!$B$2="Ja",creep_res0!O33,creep_res0!C33)</f>
        <v>-3.1498225714285716E-3</v>
      </c>
      <c r="D33" s="2">
        <f>IF('Modell einstellen'!$B$2="Ja",creep_res25!O33,creep_res25!C33)</f>
        <v>-8.8143111428571428E-3</v>
      </c>
      <c r="E33" s="2">
        <f>IF('Modell einstellen'!$B$2="Ja",creep_res50!O33,creep_res50!C33)</f>
        <v>-2.4615299714285718E-2</v>
      </c>
      <c r="F33" s="2">
        <f>IF('Modell einstellen'!$B$2="Ja",creep_res80!O33,creep_res80!C33)</f>
        <v>-2.7336072000000003E-2</v>
      </c>
      <c r="G33" s="2">
        <f>IF('Modell einstellen'!$B$2="Ja",creep_res125!O33,creep_res125!C33)</f>
        <v>-2.7309677428571429E-2</v>
      </c>
      <c r="H33" s="2">
        <f>IF('Modell einstellen'!$B$2="Ja",creep_res160!O33,creep_res160!C33)</f>
        <v>-2.7362212285714289E-2</v>
      </c>
      <c r="M33" s="9">
        <f>M31</f>
        <v>-10</v>
      </c>
      <c r="N33" s="2">
        <f t="shared" si="4"/>
        <v>1000000000000000</v>
      </c>
      <c r="O33" s="2">
        <f t="shared" si="5"/>
        <v>5546.9691994233681</v>
      </c>
      <c r="P33" s="2">
        <f t="shared" si="6"/>
        <v>3174.7819990586318</v>
      </c>
      <c r="Q33" s="2">
        <f t="shared" si="7"/>
        <v>1134.5186070613929</v>
      </c>
      <c r="R33" s="2">
        <f t="shared" si="8"/>
        <v>406.25140120460964</v>
      </c>
      <c r="S33" s="2">
        <f t="shared" si="9"/>
        <v>365.81700545711175</v>
      </c>
      <c r="T33" s="2">
        <f t="shared" si="10"/>
        <v>366.17056448780988</v>
      </c>
      <c r="U33" s="2">
        <f t="shared" si="11"/>
        <v>365.4675249055415</v>
      </c>
      <c r="Z33" s="2">
        <v>1000000000000000</v>
      </c>
      <c r="AA33" s="3">
        <f>IF('Modell einstellen'!$B$2="Ja",'creep_res-40'!P33,'creep_res-40'!L33)</f>
        <v>0.39884466140666064</v>
      </c>
      <c r="AB33" s="2">
        <f>IF('Modell einstellen'!$B$2="Ja",creep_res0!P33,creep_res0!L33)</f>
        <v>0.41966918952985927</v>
      </c>
      <c r="AC33" s="2">
        <f>IF('Modell einstellen'!$B$2="Ja",creep_res25!P33,creep_res25!L33)</f>
        <v>0.45697800093866831</v>
      </c>
      <c r="AD33" s="2">
        <f>IF('Modell einstellen'!$B$2="Ja",creep_res50!P33,creep_res50!L33)</f>
        <v>0.48298510604595052</v>
      </c>
      <c r="AE33" s="2">
        <f>IF('Modell einstellen'!$B$2="Ja",creep_res80!P33,creep_res80!L33)</f>
        <v>0.48134369853869274</v>
      </c>
      <c r="AF33" s="2">
        <f>IF('Modell einstellen'!$B$2="Ja",creep_res125!P33,creep_res125!L33)</f>
        <v>0.48078199302055891</v>
      </c>
      <c r="AG33" s="2">
        <f>IF('Modell einstellen'!$B$2="Ja",creep_res160!P33,creep_res160!L33)</f>
        <v>0.4800012776744671</v>
      </c>
      <c r="AL33" s="2">
        <f t="shared" si="12"/>
        <v>1000000000000000</v>
      </c>
      <c r="AM33" s="2">
        <f t="shared" si="13"/>
        <v>1982.6966326072995</v>
      </c>
      <c r="AN33" s="2">
        <f t="shared" si="14"/>
        <v>1118.1414735463829</v>
      </c>
      <c r="AO33" s="2">
        <f t="shared" si="15"/>
        <v>389.33964903055204</v>
      </c>
      <c r="AP33" s="2">
        <f t="shared" si="16"/>
        <v>136.97082983111966</v>
      </c>
      <c r="AQ33" s="2">
        <f t="shared" si="17"/>
        <v>123.47472292148701</v>
      </c>
      <c r="AR33" s="2">
        <f t="shared" si="18"/>
        <v>123.64094316844046</v>
      </c>
      <c r="AS33" s="2">
        <f t="shared" si="19"/>
        <v>123.46865182434244</v>
      </c>
      <c r="AX33" s="2">
        <f>AL33</f>
        <v>1000000000000000</v>
      </c>
      <c r="AY33" s="37">
        <f t="shared" si="20"/>
        <v>9139.358134000011</v>
      </c>
      <c r="AZ33" s="37">
        <f t="shared" si="21"/>
        <v>6586.8915062561</v>
      </c>
      <c r="BA33" s="37">
        <f t="shared" si="22"/>
        <v>4395.1103769183901</v>
      </c>
      <c r="BB33" s="37">
        <f t="shared" si="23"/>
        <v>3979.3704886018731</v>
      </c>
      <c r="BC33" s="37">
        <f t="shared" si="24"/>
        <v>3268.0379353843514</v>
      </c>
      <c r="BD33" s="37">
        <f t="shared" si="25"/>
        <v>3175.5856619222559</v>
      </c>
      <c r="BE33" s="37">
        <f t="shared" si="26"/>
        <v>3045.7572818617796</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98" zoomScale="120" zoomScaleNormal="120" zoomScaleSheetLayoutView="110" workbookViewId="0">
      <selection activeCell="D70" sqref="D70"/>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80</v>
      </c>
      <c r="D2" s="11">
        <f>1</f>
        <v>1</v>
      </c>
      <c r="E2" s="11">
        <f>D2+1</f>
        <v>2</v>
      </c>
      <c r="F2" s="11">
        <f t="shared" ref="F2:J2" si="0">E2+1</f>
        <v>3</v>
      </c>
      <c r="G2" s="11">
        <f t="shared" si="0"/>
        <v>4</v>
      </c>
      <c r="H2" s="11">
        <f t="shared" si="0"/>
        <v>5</v>
      </c>
      <c r="I2" s="11">
        <f t="shared" si="0"/>
        <v>6</v>
      </c>
      <c r="J2" s="11">
        <f t="shared" si="0"/>
        <v>7</v>
      </c>
    </row>
    <row r="3" spans="1:36" x14ac:dyDescent="0.25">
      <c r="A3" s="11" t="s">
        <v>111</v>
      </c>
      <c r="B3" s="35">
        <v>5</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8" t="s">
        <v>26</v>
      </c>
      <c r="B15" s="118"/>
      <c r="C15" s="118"/>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6479.0859474371819</v>
      </c>
      <c r="G16" s="26">
        <f>INDEX(Comparison!$AM$3:$AS$33,G14,$B$3)</f>
        <v>6479.1324839978006</v>
      </c>
      <c r="H16" s="26">
        <f>INDEX(Comparison!$AM$3:$AS$33,H14,$B$3)</f>
        <v>6479.041978197979</v>
      </c>
      <c r="I16" s="26">
        <f>INDEX(Comparison!$AM$3:$AS$33,I14,$B$3)</f>
        <v>6478.4539559822069</v>
      </c>
      <c r="J16" s="26">
        <f>INDEX(Comparison!$AM$3:$AS$33,J14,$B$3)</f>
        <v>6472.7726535549082</v>
      </c>
      <c r="K16" s="26">
        <f>INDEX(Comparison!$AM$3:$AS$33,K14,$B$3)</f>
        <v>6425.3224026678754</v>
      </c>
      <c r="L16" s="26">
        <f>INDEX(Comparison!$AM$3:$AS$33,L14,$B$3)</f>
        <v>6280.1372572444334</v>
      </c>
      <c r="M16" s="26">
        <f>INDEX(Comparison!$AM$3:$AS$33,M14,$B$3)</f>
        <v>6130.7451181848783</v>
      </c>
      <c r="N16" s="26">
        <f>INDEX(Comparison!$AM$3:$AS$33,N14,$B$3)</f>
        <v>5959.459898848826</v>
      </c>
      <c r="O16" s="26">
        <f>INDEX(Comparison!$AM$3:$AS$33,O14,$B$3)</f>
        <v>5758.6320512376351</v>
      </c>
      <c r="P16" s="26">
        <f>INDEX(Comparison!$AM$3:$AS$33,P14,$B$3)</f>
        <v>5553.7107715147085</v>
      </c>
      <c r="Q16" s="26">
        <f>INDEX(Comparison!$AM$3:$AS$33,Q14,$B$3)</f>
        <v>5296.2160470219478</v>
      </c>
      <c r="R16" s="26">
        <f>INDEX(Comparison!$AM$3:$AS$33,R14,$B$3)</f>
        <v>5014.3504980568096</v>
      </c>
      <c r="S16" s="26">
        <f>INDEX(Comparison!$AM$3:$AS$33,S14,$B$3)</f>
        <v>4737.7084148388376</v>
      </c>
      <c r="T16" s="26">
        <f>INDEX(Comparison!$AM$3:$AS$33,T14,$B$3)</f>
        <v>4438.626264954587</v>
      </c>
      <c r="U16" s="26">
        <f>INDEX(Comparison!$AM$3:$AS$33,U14,$B$3)</f>
        <v>4115.3629839514006</v>
      </c>
      <c r="V16" s="26">
        <f>INDEX(Comparison!$AM$3:$AS$33,V14,$B$3)</f>
        <v>3662.5886079597385</v>
      </c>
      <c r="W16" s="26">
        <f>INDEX(Comparison!$AM$3:$AS$33,W14,$B$3)</f>
        <v>3039.7716426269371</v>
      </c>
      <c r="X16" s="26">
        <f>INDEX(Comparison!$AM$3:$AS$33,X14,$B$3)</f>
        <v>2356.5178874385392</v>
      </c>
      <c r="Y16" s="26">
        <f>INDEX(Comparison!$AM$3:$AS$33,Y14,$B$3)</f>
        <v>1664.6092730189016</v>
      </c>
      <c r="Z16" s="26">
        <f>INDEX(Comparison!$AM$3:$AS$33,Z14,$B$3)</f>
        <v>1039.9214556238178</v>
      </c>
      <c r="AA16" s="26">
        <f>INDEX(Comparison!$AM$3:$AS$33,AA14,$B$3)</f>
        <v>595.89522173414423</v>
      </c>
      <c r="AB16" s="26">
        <f>INDEX(Comparison!$AM$3:$AS$33,AB14,$B$3)</f>
        <v>331.71701217899948</v>
      </c>
      <c r="AC16" s="26">
        <f>INDEX(Comparison!$AM$3:$AS$33,AC14,$B$3)</f>
        <v>192.72704730170403</v>
      </c>
      <c r="AD16" s="26">
        <f>INDEX(Comparison!$AM$3:$AS$33,AD14,$B$3)</f>
        <v>148.89299884614732</v>
      </c>
      <c r="AE16" s="26">
        <f>INDEX(Comparison!$AM$3:$AS$33,AE14,$B$3)</f>
        <v>134.12130031566326</v>
      </c>
      <c r="AF16" s="26">
        <f>INDEX(Comparison!$AM$3:$AS$33,AF14,$B$3)</f>
        <v>124.90206072555479</v>
      </c>
      <c r="AG16" s="26">
        <f>INDEX(Comparison!$AM$3:$AS$33,AG14,$B$3)</f>
        <v>124.64007063602084</v>
      </c>
      <c r="AH16" s="26">
        <f>INDEX(Comparison!$AM$3:$AS$33,AH14,$B$3)</f>
        <v>123.89500698166064</v>
      </c>
      <c r="AI16" s="26">
        <f>INDEX(Comparison!$AM$3:$AS$33,AI14,$B$3)</f>
        <v>123.88320178471095</v>
      </c>
      <c r="AJ16" s="26">
        <f>INDEX(Comparison!$AM$3:$AS$33,AJ14,$B$3)</f>
        <v>123.47472292148701</v>
      </c>
    </row>
    <row r="17" spans="1:36" x14ac:dyDescent="0.25">
      <c r="A17" s="14" t="s">
        <v>20</v>
      </c>
      <c r="B17" s="105">
        <v>1.8914027922541488E-2</v>
      </c>
      <c r="C17" s="18">
        <f t="shared" ref="C17:C48" si="3">ABS(B17/$B$49)</f>
        <v>1.8841093385390424E-2</v>
      </c>
      <c r="D17" s="66"/>
      <c r="E17" s="65" t="s">
        <v>22</v>
      </c>
      <c r="F17" s="27">
        <f>($C$17+SUM(F18:F48))*$B$51</f>
        <v>6479.4168420395154</v>
      </c>
      <c r="G17" s="27">
        <f t="shared" ref="G17:M17" si="4">($C$17+SUM(G18:G48))*$B$51</f>
        <v>6479.4092702911275</v>
      </c>
      <c r="H17" s="27">
        <f t="shared" si="4"/>
        <v>6479.3335975834452</v>
      </c>
      <c r="I17" s="27">
        <f t="shared" si="4"/>
        <v>6478.5813215521612</v>
      </c>
      <c r="J17" s="27">
        <f t="shared" si="4"/>
        <v>6471.4782910098047</v>
      </c>
      <c r="K17" s="27">
        <f t="shared" si="4"/>
        <v>6425.6191994212886</v>
      </c>
      <c r="L17" s="27">
        <f t="shared" si="4"/>
        <v>6280.1277204805019</v>
      </c>
      <c r="M17" s="27">
        <f t="shared" si="4"/>
        <v>6130.6652527408769</v>
      </c>
      <c r="N17" s="27">
        <f t="shared" ref="N17" si="5">($C$17+SUM(N18:N48))*$B$51</f>
        <v>5959.6571048184533</v>
      </c>
      <c r="O17" s="27">
        <f t="shared" ref="O17" si="6">($C$17+SUM(O18:O48))*$B$51</f>
        <v>5758.2264585789098</v>
      </c>
      <c r="P17" s="27">
        <f t="shared" ref="P17" si="7">($C$17+SUM(P18:P48))*$B$51</f>
        <v>5554.4041954881977</v>
      </c>
      <c r="Q17" s="27">
        <f t="shared" ref="Q17" si="8">($C$17+SUM(Q18:Q48))*$B$51</f>
        <v>5295.2283399928001</v>
      </c>
      <c r="R17" s="27">
        <f t="shared" ref="R17" si="9">($C$17+SUM(R18:R48))*$B$51</f>
        <v>5015.5557295917479</v>
      </c>
      <c r="S17" s="27">
        <f t="shared" ref="S17:T17" si="10">($C$17+SUM(S18:S48))*$B$51</f>
        <v>4736.438170049908</v>
      </c>
      <c r="T17" s="27">
        <f t="shared" si="10"/>
        <v>4439.7710881614403</v>
      </c>
      <c r="U17" s="27">
        <f t="shared" ref="U17" si="11">($C$17+SUM(U18:U48))*$B$51</f>
        <v>4114.4811952595483</v>
      </c>
      <c r="V17" s="27">
        <f t="shared" ref="V17" si="12">($C$17+SUM(V18:V48))*$B$51</f>
        <v>3663.179188997502</v>
      </c>
      <c r="W17" s="27">
        <f t="shared" ref="W17" si="13">($C$17+SUM(W18:W48))*$B$51</f>
        <v>3039.426771013686</v>
      </c>
      <c r="X17" s="27">
        <f t="shared" ref="X17" si="14">($C$17+SUM(X18:X48))*$B$51</f>
        <v>2356.6862334252378</v>
      </c>
      <c r="Y17" s="27">
        <f t="shared" ref="Y17" si="15">($C$17+SUM(Y18:Y48))*$B$51</f>
        <v>1664.5405255786975</v>
      </c>
      <c r="Z17" s="27">
        <f t="shared" ref="Z17:AA17" si="16">($C$17+SUM(Z18:Z48))*$B$51</f>
        <v>1039.9506440089701</v>
      </c>
      <c r="AA17" s="27">
        <f t="shared" si="16"/>
        <v>595.88113308162872</v>
      </c>
      <c r="AB17" s="27">
        <f t="shared" ref="AB17" si="17">($C$17+SUM(AB18:AB48))*$B$51</f>
        <v>331.72946358291387</v>
      </c>
      <c r="AC17" s="27">
        <f t="shared" ref="AC17" si="18">($C$17+SUM(AC18:AC48))*$B$51</f>
        <v>192.70104558319764</v>
      </c>
      <c r="AD17" s="27">
        <f t="shared" ref="AD17" si="19">($C$17+SUM(AD18:AD48))*$B$51</f>
        <v>148.93393818982372</v>
      </c>
      <c r="AE17" s="27">
        <f t="shared" ref="AE17" si="20">($C$17+SUM(AE18:AE48))*$B$51</f>
        <v>134.06511112856666</v>
      </c>
      <c r="AF17" s="27">
        <f t="shared" ref="AF17" si="21">($C$17+SUM(AF18:AF48))*$B$51</f>
        <v>124.98882630534726</v>
      </c>
      <c r="AG17" s="27">
        <f t="shared" ref="AG17:AH17" si="22">($C$17+SUM(AG18:AG48))*$B$51</f>
        <v>124.50135958051906</v>
      </c>
      <c r="AH17" s="27">
        <f t="shared" si="22"/>
        <v>124.08488504926439</v>
      </c>
      <c r="AI17" s="27">
        <f t="shared" ref="AI17" si="23">($C$17+SUM(AI18:AI48))*$B$51</f>
        <v>123.76177886987016</v>
      </c>
      <c r="AJ17" s="27">
        <f t="shared" ref="AJ17" si="24">($C$17+SUM(AJ18:AJ48))*$B$51</f>
        <v>123.49174863064643</v>
      </c>
    </row>
    <row r="18" spans="1:36" x14ac:dyDescent="0.25">
      <c r="A18" s="3">
        <f>0.000000000000001/10^5</f>
        <v>1.0000000000000001E-20</v>
      </c>
      <c r="B18" s="106">
        <v>6.8741445643994894E-3</v>
      </c>
      <c r="C18" s="18">
        <f t="shared" si="3"/>
        <v>6.8476371195460078E-3</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0</v>
      </c>
      <c r="C19" s="18">
        <f t="shared" si="3"/>
        <v>0</v>
      </c>
      <c r="D19" s="17"/>
      <c r="F19" s="3">
        <f t="shared" si="25"/>
        <v>0</v>
      </c>
      <c r="G19" s="3">
        <f t="shared" si="25"/>
        <v>0</v>
      </c>
      <c r="H19" s="3">
        <f t="shared" si="25"/>
        <v>0</v>
      </c>
      <c r="I19" s="3">
        <f t="shared" si="25"/>
        <v>0</v>
      </c>
      <c r="J19" s="3">
        <f t="shared" si="25"/>
        <v>0</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0</v>
      </c>
      <c r="C20" s="18">
        <f t="shared" si="3"/>
        <v>0</v>
      </c>
      <c r="D20" s="17"/>
      <c r="F20" s="3">
        <f t="shared" si="25"/>
        <v>0</v>
      </c>
      <c r="G20" s="3">
        <f t="shared" si="25"/>
        <v>0</v>
      </c>
      <c r="H20" s="3">
        <f t="shared" si="25"/>
        <v>0</v>
      </c>
      <c r="I20" s="3">
        <f t="shared" si="25"/>
        <v>0</v>
      </c>
      <c r="J20" s="3">
        <f t="shared" si="25"/>
        <v>0</v>
      </c>
      <c r="K20" s="3">
        <f t="shared" si="25"/>
        <v>0</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0</v>
      </c>
      <c r="C21" s="18">
        <f t="shared" si="3"/>
        <v>0</v>
      </c>
      <c r="D21" s="17"/>
      <c r="F21" s="3">
        <f t="shared" si="25"/>
        <v>0</v>
      </c>
      <c r="G21" s="3">
        <f t="shared" si="25"/>
        <v>0</v>
      </c>
      <c r="H21" s="3">
        <f t="shared" si="25"/>
        <v>0</v>
      </c>
      <c r="I21" s="3">
        <f t="shared" si="25"/>
        <v>0</v>
      </c>
      <c r="J21" s="3">
        <f t="shared" si="25"/>
        <v>0</v>
      </c>
      <c r="K21" s="3">
        <f t="shared" si="25"/>
        <v>0</v>
      </c>
      <c r="L21" s="3">
        <f t="shared" si="25"/>
        <v>0</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4.1466598711170826E-3</v>
      </c>
      <c r="C22" s="18">
        <f t="shared" si="3"/>
        <v>4.1306699022082196E-3</v>
      </c>
      <c r="D22" s="17"/>
      <c r="F22" s="3">
        <f t="shared" si="25"/>
        <v>4.1305922313524058E-3</v>
      </c>
      <c r="G22" s="3">
        <f t="shared" si="25"/>
        <v>4.1298932593683982E-3</v>
      </c>
      <c r="H22" s="3">
        <f t="shared" si="25"/>
        <v>4.1229100415655232E-3</v>
      </c>
      <c r="I22" s="3">
        <f t="shared" si="25"/>
        <v>4.05372401430029E-3</v>
      </c>
      <c r="J22" s="3">
        <f t="shared" si="25"/>
        <v>3.4226096088462552E-3</v>
      </c>
      <c r="K22" s="3">
        <f t="shared" si="25"/>
        <v>6.3007063714888589E-4</v>
      </c>
      <c r="L22" s="3">
        <f t="shared" si="25"/>
        <v>2.8164885950929358E-11</v>
      </c>
      <c r="M22" s="3">
        <f t="shared" si="25"/>
        <v>8.9721300042328299E-85</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2.8105904640267625E-2</v>
      </c>
      <c r="C23" s="18">
        <f t="shared" si="3"/>
        <v>2.7997525232425744E-2</v>
      </c>
      <c r="D23" s="17"/>
      <c r="F23" s="3">
        <f t="shared" si="25"/>
        <v>2.7997477741837317E-2</v>
      </c>
      <c r="G23" s="3">
        <f t="shared" si="25"/>
        <v>2.7997050330166459E-2</v>
      </c>
      <c r="H23" s="3">
        <f t="shared" si="25"/>
        <v>2.7992776572310942E-2</v>
      </c>
      <c r="I23" s="3">
        <f t="shared" si="25"/>
        <v>2.795007485879954E-2</v>
      </c>
      <c r="J23" s="3">
        <f t="shared" si="25"/>
        <v>2.7526624052182456E-2</v>
      </c>
      <c r="K23" s="3">
        <f t="shared" si="25"/>
        <v>2.3629400989644205E-2</v>
      </c>
      <c r="L23" s="3">
        <f t="shared" si="25"/>
        <v>5.133934465953411E-3</v>
      </c>
      <c r="M23" s="3">
        <f t="shared" si="25"/>
        <v>1.2034454355494637E-9</v>
      </c>
      <c r="N23" s="3">
        <f t="shared" si="25"/>
        <v>6.0281942462827448E-76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2.2064681428809175E-2</v>
      </c>
      <c r="C24" s="18">
        <f t="shared" si="3"/>
        <v>2.197959763100649E-2</v>
      </c>
      <c r="D24" s="17"/>
      <c r="F24" s="3">
        <f t="shared" si="25"/>
        <v>2.1979594267791967E-2</v>
      </c>
      <c r="G24" s="3">
        <f t="shared" si="25"/>
        <v>2.1979563998884417E-2</v>
      </c>
      <c r="H24" s="3">
        <f t="shared" si="25"/>
        <v>2.1979261312101525E-2</v>
      </c>
      <c r="I24" s="3">
        <f t="shared" si="25"/>
        <v>2.1976234673524355E-2</v>
      </c>
      <c r="J24" s="3">
        <f t="shared" si="25"/>
        <v>2.194599120124692E-2</v>
      </c>
      <c r="K24" s="3">
        <f t="shared" si="25"/>
        <v>2.1645836195419075E-2</v>
      </c>
      <c r="L24" s="3">
        <f t="shared" si="25"/>
        <v>1.8861057376793937E-2</v>
      </c>
      <c r="M24" s="3">
        <f t="shared" si="25"/>
        <v>4.758638593248308E-3</v>
      </c>
      <c r="N24" s="3">
        <f t="shared" si="25"/>
        <v>4.9733564245226216E-9</v>
      </c>
      <c r="O24" s="3">
        <f t="shared" si="25"/>
        <v>7.7324693744376964E-69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2.8360278661513871E-2</v>
      </c>
      <c r="C25" s="18">
        <f t="shared" si="3"/>
        <v>2.8250918359936459E-2</v>
      </c>
      <c r="D25" s="17"/>
      <c r="F25" s="3">
        <f t="shared" si="25"/>
        <v>2.825091796998188E-2</v>
      </c>
      <c r="G25" s="3">
        <f t="shared" si="25"/>
        <v>2.8250914460390922E-2</v>
      </c>
      <c r="H25" s="3">
        <f t="shared" si="25"/>
        <v>2.8250879364505301E-2</v>
      </c>
      <c r="I25" s="3">
        <f t="shared" si="25"/>
        <v>2.8250528408047055E-2</v>
      </c>
      <c r="J25" s="3">
        <f t="shared" si="25"/>
        <v>2.8247019083249052E-2</v>
      </c>
      <c r="K25" s="3">
        <f t="shared" si="25"/>
        <v>2.8211949802695729E-2</v>
      </c>
      <c r="L25" s="3">
        <f t="shared" si="25"/>
        <v>2.7863642759760759E-2</v>
      </c>
      <c r="M25" s="3">
        <f t="shared" si="25"/>
        <v>2.4608537433303931E-2</v>
      </c>
      <c r="N25" s="3">
        <f t="shared" si="25"/>
        <v>7.1050133479904415E-3</v>
      </c>
      <c r="O25" s="3">
        <f t="shared" si="25"/>
        <v>2.8599329450667244E-8</v>
      </c>
      <c r="P25" s="3">
        <f t="shared" si="25"/>
        <v>3.1934886383892606E-62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3.4571213347893447E-2</v>
      </c>
      <c r="C26" s="18">
        <f t="shared" si="3"/>
        <v>3.4437903010475883E-2</v>
      </c>
      <c r="D26" s="17"/>
      <c r="F26" s="3">
        <f t="shared" si="25"/>
        <v>3.4437902967594899E-2</v>
      </c>
      <c r="G26" s="3">
        <f t="shared" si="25"/>
        <v>3.4437902581666041E-2</v>
      </c>
      <c r="H26" s="3">
        <f t="shared" si="25"/>
        <v>3.4437898722377722E-2</v>
      </c>
      <c r="I26" s="3">
        <f t="shared" si="25"/>
        <v>3.4437860129518286E-2</v>
      </c>
      <c r="J26" s="3">
        <f t="shared" si="25"/>
        <v>3.4437474203302607E-2</v>
      </c>
      <c r="K26" s="3">
        <f t="shared" si="25"/>
        <v>3.4433615179005367E-2</v>
      </c>
      <c r="L26" s="3">
        <f t="shared" si="25"/>
        <v>3.4395048712122789E-2</v>
      </c>
      <c r="M26" s="3">
        <f t="shared" si="25"/>
        <v>3.4011751823221532E-2</v>
      </c>
      <c r="N26" s="3">
        <f t="shared" si="25"/>
        <v>3.0406030546486024E-2</v>
      </c>
      <c r="O26" s="3">
        <f t="shared" si="25"/>
        <v>9.9144125758535012E-3</v>
      </c>
      <c r="P26" s="3">
        <f t="shared" si="25"/>
        <v>1.3469131362304966E-7</v>
      </c>
      <c r="Q26" s="3">
        <f t="shared" si="25"/>
        <v>2.8844671565549191E-56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2.951488258663101E-2</v>
      </c>
      <c r="C27" s="18">
        <f t="shared" si="3"/>
        <v>2.9401070007452231E-2</v>
      </c>
      <c r="D27" s="17"/>
      <c r="F27" s="3">
        <f t="shared" si="25"/>
        <v>2.9401070004149772E-2</v>
      </c>
      <c r="G27" s="3">
        <f t="shared" si="25"/>
        <v>2.9401069974427613E-2</v>
      </c>
      <c r="H27" s="3">
        <f t="shared" si="25"/>
        <v>2.9401069677206074E-2</v>
      </c>
      <c r="I27" s="3">
        <f t="shared" si="25"/>
        <v>2.9401066704990833E-2</v>
      </c>
      <c r="J27" s="3">
        <f t="shared" si="25"/>
        <v>2.9401036982854949E-2</v>
      </c>
      <c r="K27" s="3">
        <f t="shared" si="25"/>
        <v>2.9400739763148685E-2</v>
      </c>
      <c r="L27" s="3">
        <f t="shared" si="25"/>
        <v>2.939776773133625E-2</v>
      </c>
      <c r="M27" s="3">
        <f t="shared" si="25"/>
        <v>2.9368063932055499E-2</v>
      </c>
      <c r="N27" s="3">
        <f t="shared" si="25"/>
        <v>2.9072671661560041E-2</v>
      </c>
      <c r="O27" s="3">
        <f t="shared" si="25"/>
        <v>2.6277328449065197E-2</v>
      </c>
      <c r="P27" s="3">
        <f t="shared" si="25"/>
        <v>9.5618927718533423E-3</v>
      </c>
      <c r="Q27" s="3">
        <f t="shared" si="25"/>
        <v>3.8919787993479721E-7</v>
      </c>
      <c r="R27" s="3">
        <f t="shared" si="25"/>
        <v>4.8577642354881967E-51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4.9231751569827856E-2</v>
      </c>
      <c r="C28" s="18">
        <f t="shared" si="3"/>
        <v>4.9041908611543852E-2</v>
      </c>
      <c r="D28" s="17"/>
      <c r="F28" s="3">
        <f t="shared" si="25"/>
        <v>4.904190861104693E-2</v>
      </c>
      <c r="G28" s="3">
        <f t="shared" si="25"/>
        <v>4.9041908606574626E-2</v>
      </c>
      <c r="H28" s="3">
        <f t="shared" si="25"/>
        <v>4.9041908561851609E-2</v>
      </c>
      <c r="I28" s="3">
        <f t="shared" si="25"/>
        <v>4.9041908114621433E-2</v>
      </c>
      <c r="J28" s="3">
        <f t="shared" si="25"/>
        <v>4.904190364231989E-2</v>
      </c>
      <c r="K28" s="3">
        <f t="shared" si="25"/>
        <v>4.9041858919326907E-2</v>
      </c>
      <c r="L28" s="3">
        <f t="shared" si="25"/>
        <v>4.9041411691640162E-2</v>
      </c>
      <c r="M28" s="3">
        <f t="shared" si="25"/>
        <v>4.9036939639078909E-2</v>
      </c>
      <c r="N28" s="3">
        <f t="shared" si="25"/>
        <v>4.8992241536518266E-2</v>
      </c>
      <c r="O28" s="3">
        <f t="shared" si="25"/>
        <v>4.8547495268625132E-2</v>
      </c>
      <c r="P28" s="3">
        <f t="shared" si="25"/>
        <v>4.4316148352967447E-2</v>
      </c>
      <c r="Q28" s="3">
        <f t="shared" si="25"/>
        <v>1.7803844898245363E-2</v>
      </c>
      <c r="R28" s="3">
        <f t="shared" si="25"/>
        <v>1.9499871458805731E-6</v>
      </c>
      <c r="S28" s="3">
        <f t="shared" si="25"/>
        <v>4.8440789433570623E-46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4.1951629099065628E-2</v>
      </c>
      <c r="C29" s="18">
        <f t="shared" si="3"/>
        <v>4.178985908034704E-2</v>
      </c>
      <c r="D29" s="17"/>
      <c r="F29" s="3">
        <f t="shared" si="25"/>
        <v>4.1789859080308842E-2</v>
      </c>
      <c r="G29" s="3">
        <f t="shared" si="25"/>
        <v>4.1789859079965061E-2</v>
      </c>
      <c r="H29" s="3">
        <f t="shared" si="25"/>
        <v>4.1789859076527255E-2</v>
      </c>
      <c r="I29" s="3">
        <f t="shared" si="25"/>
        <v>4.1789859042149206E-2</v>
      </c>
      <c r="J29" s="3">
        <f t="shared" si="25"/>
        <v>4.1789858698368709E-2</v>
      </c>
      <c r="K29" s="3">
        <f t="shared" si="25"/>
        <v>4.1789855260563911E-2</v>
      </c>
      <c r="L29" s="3">
        <f t="shared" si="25"/>
        <v>4.1789820882531421E-2</v>
      </c>
      <c r="M29" s="3">
        <f t="shared" si="25"/>
        <v>4.1789477103761997E-2</v>
      </c>
      <c r="N29" s="3">
        <f t="shared" si="25"/>
        <v>4.1786039471606848E-2</v>
      </c>
      <c r="O29" s="3">
        <f t="shared" si="25"/>
        <v>4.1751678699231638E-2</v>
      </c>
      <c r="P29" s="3">
        <f t="shared" si="25"/>
        <v>4.140962117068888E-2</v>
      </c>
      <c r="Q29" s="3">
        <f t="shared" si="25"/>
        <v>3.8139449000818094E-2</v>
      </c>
      <c r="R29" s="3">
        <f t="shared" si="25"/>
        <v>1.6753516790395179E-2</v>
      </c>
      <c r="S29" s="3">
        <f t="shared" si="25"/>
        <v>4.4814823724042213E-6</v>
      </c>
      <c r="T29" s="3">
        <f t="shared" si="25"/>
        <v>8.4057944339695315E-42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4.7107444895960651E-2</v>
      </c>
      <c r="C30" s="18">
        <f t="shared" si="3"/>
        <v>4.6925793493946939E-2</v>
      </c>
      <c r="D30" s="17"/>
      <c r="F30" s="3">
        <f t="shared" si="25"/>
        <v>4.6925793493943067E-2</v>
      </c>
      <c r="G30" s="3">
        <f t="shared" si="25"/>
        <v>4.6925793493908248E-2</v>
      </c>
      <c r="H30" s="3">
        <f t="shared" si="25"/>
        <v>4.692579349356002E-2</v>
      </c>
      <c r="I30" s="3">
        <f t="shared" si="25"/>
        <v>4.6925793490077694E-2</v>
      </c>
      <c r="J30" s="3">
        <f t="shared" si="25"/>
        <v>4.6925793455254508E-2</v>
      </c>
      <c r="K30" s="3">
        <f t="shared" si="25"/>
        <v>4.6925793107022613E-2</v>
      </c>
      <c r="L30" s="3">
        <f t="shared" si="25"/>
        <v>4.6925789624703826E-2</v>
      </c>
      <c r="M30" s="3">
        <f t="shared" si="25"/>
        <v>4.692575480153019E-2</v>
      </c>
      <c r="N30" s="3">
        <f t="shared" si="25"/>
        <v>4.6925406571215106E-2</v>
      </c>
      <c r="O30" s="3">
        <f t="shared" si="25"/>
        <v>4.6921924410190739E-2</v>
      </c>
      <c r="P30" s="3">
        <f t="shared" si="25"/>
        <v>4.6887117008690367E-2</v>
      </c>
      <c r="Q30" s="3">
        <f t="shared" si="25"/>
        <v>4.6540459974400719E-2</v>
      </c>
      <c r="R30" s="3">
        <f t="shared" si="25"/>
        <v>4.3211773074323355E-2</v>
      </c>
      <c r="S30" s="3">
        <f t="shared" si="25"/>
        <v>2.0573881858801497E-2</v>
      </c>
      <c r="T30" s="3">
        <f t="shared" si="25"/>
        <v>1.2315662839361913E-5</v>
      </c>
      <c r="U30" s="3">
        <f t="shared" si="25"/>
        <v>7.2756748682045489E-38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4.7244647526269182E-2</v>
      </c>
      <c r="C31" s="18">
        <f t="shared" si="3"/>
        <v>4.7062467056075051E-2</v>
      </c>
      <c r="D31" s="17"/>
      <c r="F31" s="3">
        <f t="shared" si="25"/>
        <v>4.7062467056074704E-2</v>
      </c>
      <c r="G31" s="3">
        <f t="shared" si="25"/>
        <v>4.7062467056071547E-2</v>
      </c>
      <c r="H31" s="3">
        <f t="shared" si="25"/>
        <v>4.7062467056040044E-2</v>
      </c>
      <c r="I31" s="3">
        <f t="shared" si="25"/>
        <v>4.7062467055724998E-2</v>
      </c>
      <c r="J31" s="3">
        <f t="shared" si="25"/>
        <v>4.7062467052574504E-2</v>
      </c>
      <c r="K31" s="3">
        <f t="shared" si="25"/>
        <v>4.7062467021069601E-2</v>
      </c>
      <c r="L31" s="3">
        <f t="shared" si="25"/>
        <v>4.7062466706020531E-2</v>
      </c>
      <c r="M31" s="3">
        <f t="shared" si="25"/>
        <v>4.7062463555529968E-2</v>
      </c>
      <c r="N31" s="3">
        <f t="shared" si="25"/>
        <v>4.7062432050635948E-2</v>
      </c>
      <c r="O31" s="3">
        <f t="shared" si="25"/>
        <v>4.7062117002855695E-2</v>
      </c>
      <c r="P31" s="3">
        <f t="shared" si="25"/>
        <v>4.7058966641046342E-2</v>
      </c>
      <c r="Q31" s="3">
        <f t="shared" si="25"/>
        <v>4.702747461939813E-2</v>
      </c>
      <c r="R31" s="3">
        <f t="shared" si="25"/>
        <v>4.6713711180284917E-2</v>
      </c>
      <c r="S31" s="3">
        <f t="shared" si="25"/>
        <v>4.3688939908414465E-2</v>
      </c>
      <c r="T31" s="3">
        <f t="shared" si="25"/>
        <v>2.2368809092531243E-2</v>
      </c>
      <c r="U31" s="3">
        <f t="shared" si="25"/>
        <v>2.7692133999062936E-5</v>
      </c>
      <c r="V31" s="3">
        <f t="shared" si="26"/>
        <v>2.3414885512078237E-34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5.2075806185583162E-2</v>
      </c>
      <c r="C32" s="18">
        <f t="shared" si="3"/>
        <v>5.1874996245126884E-2</v>
      </c>
      <c r="D32" s="17"/>
      <c r="F32" s="3">
        <f t="shared" si="25"/>
        <v>5.1874996245126849E-2</v>
      </c>
      <c r="G32" s="3">
        <f t="shared" si="25"/>
        <v>5.1874996245126537E-2</v>
      </c>
      <c r="H32" s="3">
        <f t="shared" si="25"/>
        <v>5.1874996245123407E-2</v>
      </c>
      <c r="I32" s="3">
        <f t="shared" si="25"/>
        <v>5.1874996245092071E-2</v>
      </c>
      <c r="J32" s="3">
        <f t="shared" si="25"/>
        <v>5.1874996244778815E-2</v>
      </c>
      <c r="K32" s="3">
        <f t="shared" si="25"/>
        <v>5.1874996241646196E-2</v>
      </c>
      <c r="L32" s="3">
        <f t="shared" si="25"/>
        <v>5.1874996210319956E-2</v>
      </c>
      <c r="M32" s="3">
        <f t="shared" si="25"/>
        <v>5.187499589705763E-2</v>
      </c>
      <c r="N32" s="3">
        <f t="shared" si="25"/>
        <v>5.1874992764434393E-2</v>
      </c>
      <c r="O32" s="3">
        <f t="shared" si="25"/>
        <v>5.1874961438212484E-2</v>
      </c>
      <c r="P32" s="3">
        <f t="shared" si="25"/>
        <v>5.18746481770338E-2</v>
      </c>
      <c r="Q32" s="3">
        <f t="shared" si="25"/>
        <v>5.1871515669289381E-2</v>
      </c>
      <c r="R32" s="3">
        <f t="shared" si="25"/>
        <v>5.1840200993756795E-2</v>
      </c>
      <c r="S32" s="3">
        <f t="shared" si="25"/>
        <v>5.1528092109185165E-2</v>
      </c>
      <c r="T32" s="3">
        <f t="shared" si="25"/>
        <v>4.8508508351244206E-2</v>
      </c>
      <c r="U32" s="3">
        <f t="shared" si="25"/>
        <v>2.6518960541713071E-2</v>
      </c>
      <c r="V32" s="3">
        <f t="shared" si="26"/>
        <v>6.3232778659137596E-5</v>
      </c>
      <c r="W32" s="3">
        <f t="shared" si="26"/>
        <v>3.7566433108778045E-31</v>
      </c>
      <c r="X32" s="3">
        <f t="shared" si="26"/>
        <v>2.0576756005667362E-293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9.4081875018034861E-2</v>
      </c>
      <c r="C33" s="18">
        <f t="shared" si="3"/>
        <v>9.3719085133360594E-2</v>
      </c>
      <c r="D33" s="17"/>
      <c r="F33" s="3">
        <f t="shared" si="25"/>
        <v>9.371908513336058E-2</v>
      </c>
      <c r="G33" s="3">
        <f t="shared" si="25"/>
        <v>9.3719085133360538E-2</v>
      </c>
      <c r="H33" s="3">
        <f t="shared" si="25"/>
        <v>9.3719085133360025E-2</v>
      </c>
      <c r="I33" s="3">
        <f t="shared" si="25"/>
        <v>9.3719085133354918E-2</v>
      </c>
      <c r="J33" s="3">
        <f t="shared" si="25"/>
        <v>9.3719085133303862E-2</v>
      </c>
      <c r="K33" s="3">
        <f t="shared" si="25"/>
        <v>9.3719085132793326E-2</v>
      </c>
      <c r="L33" s="3">
        <f t="shared" si="25"/>
        <v>9.3719085127687993E-2</v>
      </c>
      <c r="M33" s="3">
        <f t="shared" si="25"/>
        <v>9.3719085076634581E-2</v>
      </c>
      <c r="N33" s="3">
        <f t="shared" si="25"/>
        <v>9.3719084566100508E-2</v>
      </c>
      <c r="O33" s="3">
        <f t="shared" si="25"/>
        <v>9.3719079460759941E-2</v>
      </c>
      <c r="P33" s="3">
        <f t="shared" si="25"/>
        <v>9.3719028407369481E-2</v>
      </c>
      <c r="Q33" s="3">
        <f t="shared" si="25"/>
        <v>9.3718517874994509E-2</v>
      </c>
      <c r="R33" s="3">
        <f t="shared" si="25"/>
        <v>9.3713412704203622E-2</v>
      </c>
      <c r="S33" s="3">
        <f t="shared" si="25"/>
        <v>9.366237628908948E-2</v>
      </c>
      <c r="T33" s="3">
        <f t="shared" si="25"/>
        <v>9.3153538339531966E-2</v>
      </c>
      <c r="U33" s="3">
        <f t="shared" ref="P33:AE48" si="27">$C33*EXP(-U$15/$A33)</f>
        <v>8.8214747142112498E-2</v>
      </c>
      <c r="V33" s="3">
        <f t="shared" si="27"/>
        <v>5.1163420580480699E-2</v>
      </c>
      <c r="W33" s="3">
        <f t="shared" si="27"/>
        <v>2.2036537433508735E-4</v>
      </c>
      <c r="X33" s="3">
        <f t="shared" si="27"/>
        <v>4.8415139913869232E-28</v>
      </c>
      <c r="Y33" s="3">
        <f t="shared" si="27"/>
        <v>1.2687017777979735E-264</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0.10724011539771409</v>
      </c>
      <c r="C34" s="18">
        <f t="shared" si="3"/>
        <v>0.10682658591512105</v>
      </c>
      <c r="D34" s="17"/>
      <c r="F34" s="3">
        <f t="shared" ref="F34:O48" si="28">$C34*EXP(-F$15/$A34)</f>
        <v>0.10682658591512105</v>
      </c>
      <c r="G34" s="3">
        <f t="shared" si="28"/>
        <v>0.10682658591512105</v>
      </c>
      <c r="H34" s="3">
        <f t="shared" si="28"/>
        <v>0.10682658591512099</v>
      </c>
      <c r="I34" s="3">
        <f t="shared" si="28"/>
        <v>0.10682658591512047</v>
      </c>
      <c r="J34" s="3">
        <f t="shared" si="28"/>
        <v>0.10682658591511522</v>
      </c>
      <c r="K34" s="3">
        <f t="shared" si="28"/>
        <v>0.10682658591506272</v>
      </c>
      <c r="L34" s="3">
        <f t="shared" si="28"/>
        <v>0.10682658591453777</v>
      </c>
      <c r="M34" s="3">
        <f t="shared" si="28"/>
        <v>0.10682658590928822</v>
      </c>
      <c r="N34" s="3">
        <f t="shared" si="28"/>
        <v>0.10682658585679264</v>
      </c>
      <c r="O34" s="3">
        <f t="shared" si="28"/>
        <v>0.10682658533183696</v>
      </c>
      <c r="P34" s="3">
        <f t="shared" si="27"/>
        <v>0.10682658008228041</v>
      </c>
      <c r="Q34" s="3">
        <f t="shared" si="27"/>
        <v>0.10682652758672892</v>
      </c>
      <c r="R34" s="3">
        <f t="shared" si="27"/>
        <v>0.10682600263263292</v>
      </c>
      <c r="S34" s="3">
        <f t="shared" si="27"/>
        <v>0.10682075323355253</v>
      </c>
      <c r="T34" s="3">
        <f t="shared" si="27"/>
        <v>0.1067682734281253</v>
      </c>
      <c r="U34" s="3">
        <f t="shared" si="27"/>
        <v>0.10624489133569996</v>
      </c>
      <c r="V34" s="3">
        <f t="shared" si="27"/>
        <v>0.10115012556498371</v>
      </c>
      <c r="W34" s="3">
        <f t="shared" si="27"/>
        <v>6.1879973894700332E-2</v>
      </c>
      <c r="X34" s="3">
        <f t="shared" si="27"/>
        <v>4.5434638573098351E-4</v>
      </c>
      <c r="Y34" s="3">
        <f t="shared" si="27"/>
        <v>2.0689816360971718E-25</v>
      </c>
      <c r="Z34" s="3">
        <f t="shared" si="27"/>
        <v>7.9332697060020008E-239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0.11314861468507266</v>
      </c>
      <c r="C35" s="18">
        <f t="shared" si="3"/>
        <v>0.11271230139024535</v>
      </c>
      <c r="D35" s="17"/>
      <c r="F35" s="3">
        <f t="shared" si="28"/>
        <v>0.11271230139024535</v>
      </c>
      <c r="G35" s="3">
        <f t="shared" si="28"/>
        <v>0.11271230139024535</v>
      </c>
      <c r="H35" s="3">
        <f t="shared" si="28"/>
        <v>0.11271230139024535</v>
      </c>
      <c r="I35" s="3">
        <f t="shared" si="28"/>
        <v>0.1127123013902453</v>
      </c>
      <c r="J35" s="3">
        <f t="shared" si="28"/>
        <v>0.1127123013902448</v>
      </c>
      <c r="K35" s="3">
        <f t="shared" si="28"/>
        <v>0.1127123013902398</v>
      </c>
      <c r="L35" s="3">
        <f t="shared" si="28"/>
        <v>0.11271230139018984</v>
      </c>
      <c r="M35" s="3">
        <f t="shared" si="28"/>
        <v>0.11271230138969018</v>
      </c>
      <c r="N35" s="3">
        <f t="shared" si="28"/>
        <v>0.11271230138469374</v>
      </c>
      <c r="O35" s="3">
        <f t="shared" si="28"/>
        <v>0.11271230133472929</v>
      </c>
      <c r="P35" s="3">
        <f t="shared" si="27"/>
        <v>0.11271230083508468</v>
      </c>
      <c r="Q35" s="3">
        <f t="shared" si="27"/>
        <v>0.11271229583863888</v>
      </c>
      <c r="R35" s="3">
        <f t="shared" si="27"/>
        <v>0.11271224587419308</v>
      </c>
      <c r="S35" s="3">
        <f t="shared" si="27"/>
        <v>0.11271174623095326</v>
      </c>
      <c r="T35" s="3">
        <f t="shared" si="27"/>
        <v>0.11270674992037129</v>
      </c>
      <c r="U35" s="3">
        <f t="shared" si="27"/>
        <v>0.11265679899419606</v>
      </c>
      <c r="V35" s="3">
        <f t="shared" si="27"/>
        <v>0.11215850570157977</v>
      </c>
      <c r="W35" s="3">
        <f t="shared" si="27"/>
        <v>0.1072951987080541</v>
      </c>
      <c r="X35" s="3">
        <f t="shared" si="27"/>
        <v>6.8874907293338006E-2</v>
      </c>
      <c r="Y35" s="3">
        <f t="shared" si="27"/>
        <v>8.1821684485011475E-4</v>
      </c>
      <c r="Z35" s="3">
        <f t="shared" si="27"/>
        <v>4.5808102786968597E-23</v>
      </c>
      <c r="AA35" s="3">
        <f t="shared" si="27"/>
        <v>1.3857382187603094E-215</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0.10962845322332215</v>
      </c>
      <c r="C36" s="18">
        <f t="shared" si="3"/>
        <v>0.10920571405178373</v>
      </c>
      <c r="D36" s="17"/>
      <c r="F36" s="3">
        <f t="shared" si="28"/>
        <v>0.10920571405178373</v>
      </c>
      <c r="G36" s="3">
        <f t="shared" si="28"/>
        <v>0.10920571405178373</v>
      </c>
      <c r="H36" s="3">
        <f t="shared" si="28"/>
        <v>0.10920571405178373</v>
      </c>
      <c r="I36" s="3">
        <f t="shared" si="28"/>
        <v>0.10920571405178373</v>
      </c>
      <c r="J36" s="3">
        <f t="shared" si="28"/>
        <v>0.10920571405178368</v>
      </c>
      <c r="K36" s="3">
        <f t="shared" si="28"/>
        <v>0.10920571405178324</v>
      </c>
      <c r="L36" s="3">
        <f t="shared" si="28"/>
        <v>0.10920571405177888</v>
      </c>
      <c r="M36" s="3">
        <f t="shared" si="28"/>
        <v>0.10920571405173521</v>
      </c>
      <c r="N36" s="3">
        <f t="shared" si="28"/>
        <v>0.1092057140512985</v>
      </c>
      <c r="O36" s="3">
        <f t="shared" si="28"/>
        <v>0.10920571404693152</v>
      </c>
      <c r="P36" s="3">
        <f t="shared" si="27"/>
        <v>0.10920571400326166</v>
      </c>
      <c r="Q36" s="3">
        <f t="shared" si="27"/>
        <v>0.10920571356656303</v>
      </c>
      <c r="R36" s="3">
        <f t="shared" si="27"/>
        <v>0.10920570919957684</v>
      </c>
      <c r="S36" s="3">
        <f t="shared" si="27"/>
        <v>0.10920566552972459</v>
      </c>
      <c r="T36" s="3">
        <f t="shared" si="27"/>
        <v>0.10920522883216256</v>
      </c>
      <c r="U36" s="3">
        <f t="shared" si="27"/>
        <v>0.10920086195258696</v>
      </c>
      <c r="V36" s="3">
        <f t="shared" si="27"/>
        <v>0.10915720275988997</v>
      </c>
      <c r="W36" s="3">
        <f t="shared" si="27"/>
        <v>0.10872156971947236</v>
      </c>
      <c r="X36" s="3">
        <f t="shared" si="27"/>
        <v>0.10445972426964226</v>
      </c>
      <c r="Y36" s="3">
        <f t="shared" si="27"/>
        <v>7.0029412925930096E-2</v>
      </c>
      <c r="Z36" s="3">
        <f t="shared" si="27"/>
        <v>1.2840933289395957E-3</v>
      </c>
      <c r="AA36" s="3">
        <f t="shared" si="27"/>
        <v>5.5176942530583101E-21</v>
      </c>
      <c r="AB36" s="3">
        <f t="shared" si="27"/>
        <v>1.184044570290169E-194</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8.592681608923361E-2</v>
      </c>
      <c r="C37" s="18">
        <f t="shared" si="3"/>
        <v>8.5595472993728092E-2</v>
      </c>
      <c r="D37" s="17"/>
      <c r="F37" s="3">
        <f t="shared" si="28"/>
        <v>8.5595472993728092E-2</v>
      </c>
      <c r="G37" s="3">
        <f t="shared" si="28"/>
        <v>8.5595472993728092E-2</v>
      </c>
      <c r="H37" s="3">
        <f t="shared" si="28"/>
        <v>8.5595472993728092E-2</v>
      </c>
      <c r="I37" s="3">
        <f t="shared" si="28"/>
        <v>8.5595472993728092E-2</v>
      </c>
      <c r="J37" s="3">
        <f t="shared" si="28"/>
        <v>8.5595472993728092E-2</v>
      </c>
      <c r="K37" s="3">
        <f t="shared" si="28"/>
        <v>8.559547299372805E-2</v>
      </c>
      <c r="L37" s="3">
        <f t="shared" si="28"/>
        <v>8.5595472993727745E-2</v>
      </c>
      <c r="M37" s="3">
        <f t="shared" si="28"/>
        <v>8.5595472993724664E-2</v>
      </c>
      <c r="N37" s="3">
        <f t="shared" si="28"/>
        <v>8.5595472993693786E-2</v>
      </c>
      <c r="O37" s="3">
        <f t="shared" si="28"/>
        <v>8.5595472993385019E-2</v>
      </c>
      <c r="P37" s="3">
        <f t="shared" si="27"/>
        <v>8.5595472990297322E-2</v>
      </c>
      <c r="Q37" s="3">
        <f t="shared" si="27"/>
        <v>8.559547295942041E-2</v>
      </c>
      <c r="R37" s="3">
        <f t="shared" si="27"/>
        <v>8.5595472650651303E-2</v>
      </c>
      <c r="S37" s="3">
        <f t="shared" si="27"/>
        <v>8.5595469562960214E-2</v>
      </c>
      <c r="T37" s="3">
        <f t="shared" si="27"/>
        <v>8.5595438686055528E-2</v>
      </c>
      <c r="U37" s="3">
        <f t="shared" si="27"/>
        <v>8.559512991762129E-2</v>
      </c>
      <c r="V37" s="3">
        <f t="shared" si="27"/>
        <v>8.5592042294538304E-2</v>
      </c>
      <c r="W37" s="3">
        <f t="shared" si="27"/>
        <v>8.556117218883677E-2</v>
      </c>
      <c r="X37" s="3">
        <f t="shared" si="27"/>
        <v>8.5253082827923432E-2</v>
      </c>
      <c r="Y37" s="3">
        <f t="shared" si="27"/>
        <v>8.223255021400111E-2</v>
      </c>
      <c r="Z37" s="3">
        <f t="shared" si="27"/>
        <v>5.7329799601444652E-2</v>
      </c>
      <c r="AA37" s="3">
        <f t="shared" si="27"/>
        <v>1.5550597174768582E-3</v>
      </c>
      <c r="AB37" s="3">
        <f t="shared" si="27"/>
        <v>3.3528455614341028E-19</v>
      </c>
      <c r="AC37" s="3">
        <f t="shared" si="27"/>
        <v>7.2791107828103116E-176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3.0448010381568334E-2</v>
      </c>
      <c r="C38" s="18">
        <f t="shared" si="3"/>
        <v>3.0330599560697977E-2</v>
      </c>
      <c r="D38" s="17"/>
      <c r="F38" s="3">
        <f t="shared" si="28"/>
        <v>3.0330599560697977E-2</v>
      </c>
      <c r="G38" s="3">
        <f t="shared" si="28"/>
        <v>3.0330599560697977E-2</v>
      </c>
      <c r="H38" s="3">
        <f t="shared" si="28"/>
        <v>3.0330599560697977E-2</v>
      </c>
      <c r="I38" s="3">
        <f t="shared" si="28"/>
        <v>3.0330599560697977E-2</v>
      </c>
      <c r="J38" s="3">
        <f t="shared" si="28"/>
        <v>3.0330599560697977E-2</v>
      </c>
      <c r="K38" s="3">
        <f t="shared" si="28"/>
        <v>3.0330599560697977E-2</v>
      </c>
      <c r="L38" s="3">
        <f t="shared" si="28"/>
        <v>3.0330599560697967E-2</v>
      </c>
      <c r="M38" s="3">
        <f t="shared" si="28"/>
        <v>3.0330599560697866E-2</v>
      </c>
      <c r="N38" s="3">
        <f t="shared" si="28"/>
        <v>3.0330599560696881E-2</v>
      </c>
      <c r="O38" s="3">
        <f t="shared" si="28"/>
        <v>3.033059956068701E-2</v>
      </c>
      <c r="P38" s="3">
        <f t="shared" si="27"/>
        <v>3.0330599560588312E-2</v>
      </c>
      <c r="Q38" s="3">
        <f t="shared" si="27"/>
        <v>3.0330599559601327E-2</v>
      </c>
      <c r="R38" s="3">
        <f t="shared" si="27"/>
        <v>3.0330599549731475E-2</v>
      </c>
      <c r="S38" s="3">
        <f t="shared" si="27"/>
        <v>3.0330599451032954E-2</v>
      </c>
      <c r="T38" s="3">
        <f t="shared" si="27"/>
        <v>3.0330598464047769E-2</v>
      </c>
      <c r="U38" s="3">
        <f t="shared" si="27"/>
        <v>3.0330588594197672E-2</v>
      </c>
      <c r="V38" s="3">
        <f t="shared" si="27"/>
        <v>3.0330489895873357E-2</v>
      </c>
      <c r="W38" s="3">
        <f t="shared" si="27"/>
        <v>3.0329502930294541E-2</v>
      </c>
      <c r="X38" s="3">
        <f t="shared" si="27"/>
        <v>3.0319635040726711E-2</v>
      </c>
      <c r="Y38" s="3">
        <f t="shared" si="27"/>
        <v>3.0221132554612149E-2</v>
      </c>
      <c r="Z38" s="3">
        <f t="shared" si="27"/>
        <v>2.9253538086432739E-2</v>
      </c>
      <c r="AA38" s="3">
        <f t="shared" si="27"/>
        <v>2.1127837021344506E-2</v>
      </c>
      <c r="AB38" s="3">
        <f t="shared" si="27"/>
        <v>8.158708620886637E-4</v>
      </c>
      <c r="AC38" s="3">
        <f t="shared" si="27"/>
        <v>6.0156875711698578E-18</v>
      </c>
      <c r="AD38" s="3">
        <f t="shared" si="27"/>
        <v>2.8570890058950825E-159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3.2251957824665237E-2</v>
      </c>
      <c r="C39" s="18">
        <f t="shared" si="3"/>
        <v>3.2127590787364095E-2</v>
      </c>
      <c r="D39" s="17"/>
      <c r="F39" s="3">
        <f t="shared" si="28"/>
        <v>3.2127590787364095E-2</v>
      </c>
      <c r="G39" s="3">
        <f t="shared" si="28"/>
        <v>3.2127590787364095E-2</v>
      </c>
      <c r="H39" s="3">
        <f t="shared" si="28"/>
        <v>3.2127590787364095E-2</v>
      </c>
      <c r="I39" s="3">
        <f t="shared" si="28"/>
        <v>3.2127590787364095E-2</v>
      </c>
      <c r="J39" s="3">
        <f t="shared" si="28"/>
        <v>3.2127590787364095E-2</v>
      </c>
      <c r="K39" s="3">
        <f t="shared" si="28"/>
        <v>3.2127590787364095E-2</v>
      </c>
      <c r="L39" s="3">
        <f t="shared" si="28"/>
        <v>3.2127590787364088E-2</v>
      </c>
      <c r="M39" s="3">
        <f t="shared" si="28"/>
        <v>3.212759078736406E-2</v>
      </c>
      <c r="N39" s="3">
        <f t="shared" si="28"/>
        <v>3.2127590787363776E-2</v>
      </c>
      <c r="O39" s="3">
        <f t="shared" si="28"/>
        <v>3.2127590787360882E-2</v>
      </c>
      <c r="P39" s="3">
        <f t="shared" si="27"/>
        <v>3.2127590787331968E-2</v>
      </c>
      <c r="Q39" s="3">
        <f t="shared" si="27"/>
        <v>3.2127590787042817E-2</v>
      </c>
      <c r="R39" s="3">
        <f t="shared" si="27"/>
        <v>3.2127590784151339E-2</v>
      </c>
      <c r="S39" s="3">
        <f t="shared" si="27"/>
        <v>3.2127590755236503E-2</v>
      </c>
      <c r="T39" s="3">
        <f t="shared" si="27"/>
        <v>3.2127590466088186E-2</v>
      </c>
      <c r="U39" s="3">
        <f t="shared" si="27"/>
        <v>3.2127587574605182E-2</v>
      </c>
      <c r="V39" s="3">
        <f t="shared" si="27"/>
        <v>3.2127558659789369E-2</v>
      </c>
      <c r="W39" s="3">
        <f t="shared" si="27"/>
        <v>3.2127269513062592E-2</v>
      </c>
      <c r="X39" s="3">
        <f t="shared" si="27"/>
        <v>3.212437818891796E-2</v>
      </c>
      <c r="Y39" s="3">
        <f t="shared" si="27"/>
        <v>3.2095479255018863E-2</v>
      </c>
      <c r="Z39" s="3">
        <f t="shared" si="27"/>
        <v>3.1807915917791127E-2</v>
      </c>
      <c r="AA39" s="3">
        <f t="shared" si="27"/>
        <v>2.9070246295754408E-2</v>
      </c>
      <c r="AB39" s="3">
        <f t="shared" si="27"/>
        <v>1.1819080145040283E-2</v>
      </c>
      <c r="AC39" s="3">
        <f t="shared" si="27"/>
        <v>1.4585903651841854E-6</v>
      </c>
      <c r="AD39" s="3">
        <f t="shared" si="27"/>
        <v>1.1951707865550151E-45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1.6001059853235956E-2</v>
      </c>
      <c r="C40" s="18">
        <f t="shared" si="3"/>
        <v>1.5939358035986794E-2</v>
      </c>
      <c r="D40" s="17"/>
      <c r="F40" s="3">
        <f t="shared" si="28"/>
        <v>1.5939358035986794E-2</v>
      </c>
      <c r="G40" s="3">
        <f t="shared" si="28"/>
        <v>1.5939358035986794E-2</v>
      </c>
      <c r="H40" s="3">
        <f t="shared" si="28"/>
        <v>1.5939358035986794E-2</v>
      </c>
      <c r="I40" s="3">
        <f t="shared" si="28"/>
        <v>1.5939358035986794E-2</v>
      </c>
      <c r="J40" s="3">
        <f t="shared" si="28"/>
        <v>1.5939358035986794E-2</v>
      </c>
      <c r="K40" s="3">
        <f t="shared" si="28"/>
        <v>1.5939358035986794E-2</v>
      </c>
      <c r="L40" s="3">
        <f t="shared" si="28"/>
        <v>1.5939358035986794E-2</v>
      </c>
      <c r="M40" s="3">
        <f t="shared" si="28"/>
        <v>1.5939358035986791E-2</v>
      </c>
      <c r="N40" s="3">
        <f t="shared" si="28"/>
        <v>1.5939358035986777E-2</v>
      </c>
      <c r="O40" s="3">
        <f t="shared" si="28"/>
        <v>1.5939358035986635E-2</v>
      </c>
      <c r="P40" s="3">
        <f t="shared" si="27"/>
        <v>1.5939358035985198E-2</v>
      </c>
      <c r="Q40" s="3">
        <f t="shared" si="27"/>
        <v>1.5939358035970855E-2</v>
      </c>
      <c r="R40" s="3">
        <f t="shared" si="27"/>
        <v>1.5939358035827401E-2</v>
      </c>
      <c r="S40" s="3">
        <f t="shared" si="27"/>
        <v>1.5939358034392857E-2</v>
      </c>
      <c r="T40" s="3">
        <f t="shared" si="27"/>
        <v>1.5939358020047437E-2</v>
      </c>
      <c r="U40" s="3">
        <f t="shared" si="27"/>
        <v>1.5939357876593216E-2</v>
      </c>
      <c r="V40" s="3">
        <f t="shared" si="27"/>
        <v>1.5939356442051071E-2</v>
      </c>
      <c r="W40" s="3">
        <f t="shared" si="27"/>
        <v>1.5939342096636729E-2</v>
      </c>
      <c r="X40" s="3">
        <f t="shared" si="27"/>
        <v>1.5939198643203398E-2</v>
      </c>
      <c r="Y40" s="3">
        <f t="shared" si="27"/>
        <v>1.5937764179877328E-2</v>
      </c>
      <c r="Z40" s="3">
        <f t="shared" si="27"/>
        <v>1.5923426644973929E-2</v>
      </c>
      <c r="AA40" s="3">
        <f t="shared" si="27"/>
        <v>1.5780758773597192E-2</v>
      </c>
      <c r="AB40" s="3">
        <f t="shared" si="27"/>
        <v>1.4422527570433014E-2</v>
      </c>
      <c r="AC40" s="3">
        <f t="shared" si="27"/>
        <v>5.8637621269103605E-3</v>
      </c>
      <c r="AD40" s="3">
        <f t="shared" si="27"/>
        <v>7.2364573529289895E-7</v>
      </c>
      <c r="AE40" s="3">
        <f t="shared" si="27"/>
        <v>5.9295622902869131E-46</v>
      </c>
      <c r="AF40" s="3">
        <f t="shared" si="29"/>
        <v>0</v>
      </c>
      <c r="AG40" s="3">
        <f t="shared" si="29"/>
        <v>0</v>
      </c>
      <c r="AH40" s="3">
        <f t="shared" si="29"/>
        <v>0</v>
      </c>
      <c r="AI40" s="3">
        <f t="shared" si="29"/>
        <v>0</v>
      </c>
      <c r="AJ40" s="3">
        <f t="shared" si="29"/>
        <v>0</v>
      </c>
    </row>
    <row r="41" spans="1:36" x14ac:dyDescent="0.25">
      <c r="A41" s="3">
        <f t="shared" si="30"/>
        <v>1000000000</v>
      </c>
      <c r="B41" s="106">
        <v>1.0137317525355824E-3</v>
      </c>
      <c r="C41" s="18">
        <f t="shared" si="3"/>
        <v>1.0098226932664881E-3</v>
      </c>
      <c r="D41" s="17"/>
      <c r="F41" s="3">
        <f t="shared" si="28"/>
        <v>1.0098226932664881E-3</v>
      </c>
      <c r="G41" s="3">
        <f t="shared" si="28"/>
        <v>1.0098226932664881E-3</v>
      </c>
      <c r="H41" s="3">
        <f t="shared" si="28"/>
        <v>1.0098226932664881E-3</v>
      </c>
      <c r="I41" s="3">
        <f t="shared" si="28"/>
        <v>1.0098226932664881E-3</v>
      </c>
      <c r="J41" s="3">
        <f t="shared" si="28"/>
        <v>1.0098226932664881E-3</v>
      </c>
      <c r="K41" s="3">
        <f t="shared" si="28"/>
        <v>1.0098226932664881E-3</v>
      </c>
      <c r="L41" s="3">
        <f t="shared" si="28"/>
        <v>1.0098226932664881E-3</v>
      </c>
      <c r="M41" s="3">
        <f t="shared" si="28"/>
        <v>1.0098226932664881E-3</v>
      </c>
      <c r="N41" s="3">
        <f t="shared" si="28"/>
        <v>1.0098226932664879E-3</v>
      </c>
      <c r="O41" s="3">
        <f t="shared" si="28"/>
        <v>1.009822693266487E-3</v>
      </c>
      <c r="P41" s="3">
        <f t="shared" si="27"/>
        <v>1.0098226932664779E-3</v>
      </c>
      <c r="Q41" s="3">
        <f t="shared" si="27"/>
        <v>1.0098226932663871E-3</v>
      </c>
      <c r="R41" s="3">
        <f t="shared" si="27"/>
        <v>1.0098226932654783E-3</v>
      </c>
      <c r="S41" s="3">
        <f t="shared" si="27"/>
        <v>1.0098226932563899E-3</v>
      </c>
      <c r="T41" s="3">
        <f t="shared" si="27"/>
        <v>1.0098226931655057E-3</v>
      </c>
      <c r="U41" s="3">
        <f t="shared" si="27"/>
        <v>1.0098226922566655E-3</v>
      </c>
      <c r="V41" s="3">
        <f t="shared" si="27"/>
        <v>1.0098226831682612E-3</v>
      </c>
      <c r="W41" s="3">
        <f t="shared" si="27"/>
        <v>1.0098225922842239E-3</v>
      </c>
      <c r="X41" s="3">
        <f t="shared" si="27"/>
        <v>1.0098216834442998E-3</v>
      </c>
      <c r="Y41" s="3">
        <f t="shared" si="27"/>
        <v>1.0098125950900464E-3</v>
      </c>
      <c r="Z41" s="3">
        <f t="shared" si="27"/>
        <v>1.0097217160461066E-3</v>
      </c>
      <c r="AA41" s="3">
        <f t="shared" si="27"/>
        <v>1.0088133753163066E-3</v>
      </c>
      <c r="AB41" s="3">
        <f t="shared" si="27"/>
        <v>9.9977478958462374E-4</v>
      </c>
      <c r="AC41" s="3">
        <f t="shared" si="27"/>
        <v>9.1372535844936784E-4</v>
      </c>
      <c r="AD41" s="3">
        <f t="shared" si="27"/>
        <v>3.7149300808111648E-4</v>
      </c>
      <c r="AE41" s="3">
        <f t="shared" si="27"/>
        <v>4.5845879346861848E-8</v>
      </c>
      <c r="AF41" s="3">
        <f t="shared" si="29"/>
        <v>3.7566171412613202E-47</v>
      </c>
      <c r="AG41" s="3">
        <f t="shared" si="29"/>
        <v>0</v>
      </c>
      <c r="AH41" s="3">
        <f t="shared" si="29"/>
        <v>0</v>
      </c>
      <c r="AI41" s="3">
        <f t="shared" si="29"/>
        <v>0</v>
      </c>
      <c r="AJ41" s="3">
        <f t="shared" si="29"/>
        <v>0</v>
      </c>
    </row>
    <row r="42" spans="1:36" x14ac:dyDescent="0.25">
      <c r="A42" s="3">
        <f t="shared" si="30"/>
        <v>10000000000</v>
      </c>
      <c r="B42" s="106">
        <v>3.5369178328215236E-3</v>
      </c>
      <c r="C42" s="18">
        <f t="shared" si="3"/>
        <v>3.5232790951536608E-3</v>
      </c>
      <c r="D42" s="17"/>
      <c r="F42" s="3">
        <f t="shared" si="28"/>
        <v>3.5232790951536608E-3</v>
      </c>
      <c r="G42" s="3">
        <f t="shared" si="28"/>
        <v>3.5232790951536608E-3</v>
      </c>
      <c r="H42" s="3">
        <f t="shared" si="28"/>
        <v>3.5232790951536608E-3</v>
      </c>
      <c r="I42" s="3">
        <f t="shared" si="28"/>
        <v>3.5232790951536608E-3</v>
      </c>
      <c r="J42" s="3">
        <f t="shared" si="28"/>
        <v>3.5232790951536608E-3</v>
      </c>
      <c r="K42" s="3">
        <f t="shared" si="28"/>
        <v>3.5232790951536608E-3</v>
      </c>
      <c r="L42" s="3">
        <f t="shared" si="28"/>
        <v>3.5232790951536608E-3</v>
      </c>
      <c r="M42" s="3">
        <f t="shared" si="28"/>
        <v>3.5232790951536608E-3</v>
      </c>
      <c r="N42" s="3">
        <f t="shared" si="28"/>
        <v>3.5232790951536608E-3</v>
      </c>
      <c r="O42" s="3">
        <f t="shared" si="28"/>
        <v>3.5232790951536604E-3</v>
      </c>
      <c r="P42" s="3">
        <f t="shared" si="27"/>
        <v>3.5232790951536573E-3</v>
      </c>
      <c r="Q42" s="3">
        <f t="shared" si="27"/>
        <v>3.5232790951536257E-3</v>
      </c>
      <c r="R42" s="3">
        <f t="shared" si="27"/>
        <v>3.5232790951533082E-3</v>
      </c>
      <c r="S42" s="3">
        <f t="shared" si="27"/>
        <v>3.5232790951501376E-3</v>
      </c>
      <c r="T42" s="3">
        <f t="shared" si="27"/>
        <v>3.5232790951184281E-3</v>
      </c>
      <c r="U42" s="3">
        <f t="shared" si="27"/>
        <v>3.5232790948013328E-3</v>
      </c>
      <c r="V42" s="3">
        <f t="shared" si="27"/>
        <v>3.5232790916303819E-3</v>
      </c>
      <c r="W42" s="3">
        <f t="shared" si="27"/>
        <v>3.5232790599208702E-3</v>
      </c>
      <c r="X42" s="3">
        <f t="shared" si="27"/>
        <v>3.5232787428257691E-3</v>
      </c>
      <c r="Y42" s="3">
        <f t="shared" si="27"/>
        <v>3.5232755718763273E-3</v>
      </c>
      <c r="Z42" s="3">
        <f t="shared" si="27"/>
        <v>3.5232438625388725E-3</v>
      </c>
      <c r="AA42" s="3">
        <f t="shared" si="27"/>
        <v>3.5229267848599535E-3</v>
      </c>
      <c r="AB42" s="3">
        <f t="shared" si="27"/>
        <v>3.5197575771109884E-3</v>
      </c>
      <c r="AC42" s="3">
        <f t="shared" si="27"/>
        <v>3.4882218824088015E-3</v>
      </c>
      <c r="AD42" s="3">
        <f t="shared" si="27"/>
        <v>3.1879947594789103E-3</v>
      </c>
      <c r="AE42" s="3">
        <f t="shared" si="27"/>
        <v>1.2961419446161537E-3</v>
      </c>
      <c r="AF42" s="3">
        <f t="shared" si="29"/>
        <v>1.5995662345360739E-7</v>
      </c>
      <c r="AG42" s="3">
        <f t="shared" si="29"/>
        <v>1.3106865918697563E-46</v>
      </c>
      <c r="AH42" s="3">
        <f t="shared" si="29"/>
        <v>0</v>
      </c>
      <c r="AI42" s="3">
        <f t="shared" si="29"/>
        <v>0</v>
      </c>
      <c r="AJ42" s="3">
        <f t="shared" si="29"/>
        <v>0</v>
      </c>
    </row>
    <row r="43" spans="1:36" x14ac:dyDescent="0.25">
      <c r="A43" s="3">
        <f t="shared" si="30"/>
        <v>100000000000</v>
      </c>
      <c r="B43" s="106">
        <v>1.7593900414668377E-4</v>
      </c>
      <c r="C43" s="18">
        <f t="shared" si="3"/>
        <v>1.7526056431954549E-4</v>
      </c>
      <c r="D43" s="17"/>
      <c r="F43" s="3">
        <f t="shared" si="28"/>
        <v>1.7526056431954549E-4</v>
      </c>
      <c r="G43" s="3">
        <f t="shared" si="28"/>
        <v>1.7526056431954549E-4</v>
      </c>
      <c r="H43" s="3">
        <f t="shared" si="28"/>
        <v>1.7526056431954549E-4</v>
      </c>
      <c r="I43" s="3">
        <f t="shared" si="28"/>
        <v>1.7526056431954549E-4</v>
      </c>
      <c r="J43" s="3">
        <f t="shared" si="28"/>
        <v>1.7526056431954549E-4</v>
      </c>
      <c r="K43" s="3">
        <f t="shared" si="28"/>
        <v>1.7526056431954549E-4</v>
      </c>
      <c r="L43" s="3">
        <f t="shared" si="28"/>
        <v>1.7526056431954549E-4</v>
      </c>
      <c r="M43" s="3">
        <f t="shared" si="28"/>
        <v>1.7526056431954549E-4</v>
      </c>
      <c r="N43" s="3">
        <f t="shared" si="28"/>
        <v>1.7526056431954549E-4</v>
      </c>
      <c r="O43" s="3">
        <f t="shared" si="28"/>
        <v>1.7526056431954549E-4</v>
      </c>
      <c r="P43" s="3">
        <f t="shared" si="27"/>
        <v>1.7526056431954546E-4</v>
      </c>
      <c r="Q43" s="3">
        <f t="shared" si="27"/>
        <v>1.7526056431954533E-4</v>
      </c>
      <c r="R43" s="3">
        <f t="shared" si="27"/>
        <v>1.7526056431954373E-4</v>
      </c>
      <c r="S43" s="3">
        <f t="shared" si="27"/>
        <v>1.7526056431952796E-4</v>
      </c>
      <c r="T43" s="3">
        <f t="shared" si="27"/>
        <v>1.7526056431937023E-4</v>
      </c>
      <c r="U43" s="3">
        <f t="shared" si="27"/>
        <v>1.7526056431779288E-4</v>
      </c>
      <c r="V43" s="3">
        <f t="shared" si="27"/>
        <v>1.7526056430201945E-4</v>
      </c>
      <c r="W43" s="3">
        <f t="shared" si="27"/>
        <v>1.7526056414428494E-4</v>
      </c>
      <c r="X43" s="3">
        <f t="shared" si="27"/>
        <v>1.7526056256693986E-4</v>
      </c>
      <c r="Y43" s="3">
        <f t="shared" si="27"/>
        <v>1.7526054679348993E-4</v>
      </c>
      <c r="Z43" s="3">
        <f t="shared" si="27"/>
        <v>1.7526038905906881E-4</v>
      </c>
      <c r="AA43" s="3">
        <f t="shared" si="27"/>
        <v>1.7525881172266529E-4</v>
      </c>
      <c r="AB43" s="3">
        <f t="shared" si="27"/>
        <v>1.7524303913938715E-4</v>
      </c>
      <c r="AC43" s="3">
        <f t="shared" si="27"/>
        <v>1.7508539135630531E-4</v>
      </c>
      <c r="AD43" s="3">
        <f t="shared" si="27"/>
        <v>1.7351669256735139E-4</v>
      </c>
      <c r="AE43" s="3">
        <f t="shared" si="27"/>
        <v>1.5858231650242276E-4</v>
      </c>
      <c r="AF43" s="3">
        <f t="shared" si="29"/>
        <v>6.4474758461266021E-5</v>
      </c>
      <c r="AG43" s="3">
        <f t="shared" si="29"/>
        <v>7.9568173102408246E-9</v>
      </c>
      <c r="AH43" s="3">
        <f t="shared" si="29"/>
        <v>6.5198261486899574E-48</v>
      </c>
      <c r="AI43" s="3">
        <f t="shared" si="29"/>
        <v>0</v>
      </c>
      <c r="AJ43" s="3">
        <f t="shared" si="29"/>
        <v>0</v>
      </c>
    </row>
    <row r="44" spans="1:36" x14ac:dyDescent="0.25">
      <c r="A44" s="3">
        <f t="shared" si="30"/>
        <v>1000000000000</v>
      </c>
      <c r="B44" s="106">
        <v>0</v>
      </c>
      <c r="C44" s="18">
        <f t="shared" si="3"/>
        <v>0</v>
      </c>
      <c r="D44" s="17"/>
      <c r="F44" s="3">
        <f t="shared" si="28"/>
        <v>0</v>
      </c>
      <c r="G44" s="3">
        <f t="shared" si="28"/>
        <v>0</v>
      </c>
      <c r="H44" s="3">
        <f t="shared" si="28"/>
        <v>0</v>
      </c>
      <c r="I44" s="3">
        <f t="shared" si="28"/>
        <v>0</v>
      </c>
      <c r="J44" s="3">
        <f t="shared" si="28"/>
        <v>0</v>
      </c>
      <c r="K44" s="3">
        <f t="shared" si="28"/>
        <v>0</v>
      </c>
      <c r="L44" s="3">
        <f t="shared" si="28"/>
        <v>0</v>
      </c>
      <c r="M44" s="3">
        <f t="shared" si="28"/>
        <v>0</v>
      </c>
      <c r="N44" s="3">
        <f t="shared" si="28"/>
        <v>0</v>
      </c>
      <c r="O44" s="3">
        <f t="shared" si="28"/>
        <v>0</v>
      </c>
      <c r="P44" s="3">
        <f t="shared" si="27"/>
        <v>0</v>
      </c>
      <c r="Q44" s="3">
        <f t="shared" si="27"/>
        <v>0</v>
      </c>
      <c r="R44" s="3">
        <f t="shared" si="27"/>
        <v>0</v>
      </c>
      <c r="S44" s="3">
        <f t="shared" si="27"/>
        <v>0</v>
      </c>
      <c r="T44" s="3">
        <f t="shared" si="27"/>
        <v>0</v>
      </c>
      <c r="U44" s="3">
        <f t="shared" si="27"/>
        <v>0</v>
      </c>
      <c r="V44" s="3">
        <f t="shared" si="27"/>
        <v>0</v>
      </c>
      <c r="W44" s="3">
        <f t="shared" si="27"/>
        <v>0</v>
      </c>
      <c r="X44" s="3">
        <f t="shared" si="27"/>
        <v>0</v>
      </c>
      <c r="Y44" s="3">
        <f t="shared" si="27"/>
        <v>0</v>
      </c>
      <c r="Z44" s="3">
        <f t="shared" si="27"/>
        <v>0</v>
      </c>
      <c r="AA44" s="3">
        <f t="shared" si="27"/>
        <v>0</v>
      </c>
      <c r="AB44" s="3">
        <f t="shared" si="27"/>
        <v>0</v>
      </c>
      <c r="AC44" s="3">
        <f t="shared" si="27"/>
        <v>0</v>
      </c>
      <c r="AD44" s="3">
        <f t="shared" si="27"/>
        <v>0</v>
      </c>
      <c r="AE44" s="3">
        <f t="shared" si="27"/>
        <v>0</v>
      </c>
      <c r="AF44" s="3">
        <f t="shared" si="29"/>
        <v>0</v>
      </c>
      <c r="AG44" s="3">
        <f t="shared" si="29"/>
        <v>0</v>
      </c>
      <c r="AH44" s="3">
        <f t="shared" si="29"/>
        <v>0</v>
      </c>
      <c r="AI44" s="3">
        <f t="shared" si="29"/>
        <v>0</v>
      </c>
      <c r="AJ44" s="3">
        <f t="shared" si="29"/>
        <v>0</v>
      </c>
    </row>
    <row r="45" spans="1:36" x14ac:dyDescent="0.25">
      <c r="A45" s="3">
        <f t="shared" si="30"/>
        <v>10000000000000</v>
      </c>
      <c r="B45" s="106">
        <v>1.1810892988233631E-4</v>
      </c>
      <c r="C45" s="18">
        <f t="shared" si="3"/>
        <v>1.1765348907566872E-4</v>
      </c>
      <c r="D45" s="17"/>
      <c r="F45" s="3">
        <f t="shared" si="28"/>
        <v>1.1765348907566872E-4</v>
      </c>
      <c r="G45" s="3">
        <f t="shared" si="28"/>
        <v>1.1765348907566872E-4</v>
      </c>
      <c r="H45" s="3">
        <f t="shared" si="28"/>
        <v>1.1765348907566872E-4</v>
      </c>
      <c r="I45" s="3">
        <f t="shared" si="28"/>
        <v>1.1765348907566872E-4</v>
      </c>
      <c r="J45" s="3">
        <f t="shared" si="28"/>
        <v>1.1765348907566872E-4</v>
      </c>
      <c r="K45" s="3">
        <f t="shared" si="28"/>
        <v>1.1765348907566872E-4</v>
      </c>
      <c r="L45" s="3">
        <f t="shared" si="28"/>
        <v>1.1765348907566872E-4</v>
      </c>
      <c r="M45" s="3">
        <f t="shared" si="28"/>
        <v>1.1765348907566872E-4</v>
      </c>
      <c r="N45" s="3">
        <f t="shared" si="28"/>
        <v>1.1765348907566872E-4</v>
      </c>
      <c r="O45" s="3">
        <f t="shared" si="28"/>
        <v>1.1765348907566872E-4</v>
      </c>
      <c r="P45" s="3">
        <f t="shared" si="27"/>
        <v>1.1765348907566872E-4</v>
      </c>
      <c r="Q45" s="3">
        <f t="shared" si="27"/>
        <v>1.1765348907566872E-4</v>
      </c>
      <c r="R45" s="3">
        <f t="shared" si="27"/>
        <v>1.1765348907566871E-4</v>
      </c>
      <c r="S45" s="3">
        <f t="shared" si="27"/>
        <v>1.176534890756686E-4</v>
      </c>
      <c r="T45" s="3">
        <f t="shared" si="27"/>
        <v>1.1765348907566754E-4</v>
      </c>
      <c r="U45" s="3">
        <f t="shared" si="27"/>
        <v>1.1765348907565696E-4</v>
      </c>
      <c r="V45" s="3">
        <f t="shared" si="27"/>
        <v>1.1765348907555107E-4</v>
      </c>
      <c r="W45" s="3">
        <f t="shared" si="27"/>
        <v>1.1765348907449219E-4</v>
      </c>
      <c r="X45" s="3">
        <f t="shared" si="27"/>
        <v>1.1765348906390337E-4</v>
      </c>
      <c r="Y45" s="3">
        <f t="shared" si="27"/>
        <v>1.1765348895801524E-4</v>
      </c>
      <c r="Z45" s="3">
        <f t="shared" si="27"/>
        <v>1.1765348789913383E-4</v>
      </c>
      <c r="AA45" s="3">
        <f t="shared" si="27"/>
        <v>1.1765347731032041E-4</v>
      </c>
      <c r="AB45" s="3">
        <f t="shared" si="27"/>
        <v>1.1765337142223847E-4</v>
      </c>
      <c r="AC45" s="3">
        <f t="shared" si="27"/>
        <v>1.1765231254666062E-4</v>
      </c>
      <c r="AD45" s="3">
        <f t="shared" si="27"/>
        <v>1.1764172431500899E-4</v>
      </c>
      <c r="AE45" s="3">
        <f t="shared" si="27"/>
        <v>1.1753589439373359E-4</v>
      </c>
      <c r="AF45" s="3">
        <f t="shared" si="29"/>
        <v>1.1648281729937538E-4</v>
      </c>
      <c r="AG45" s="3">
        <f t="shared" si="29"/>
        <v>1.0645727927815006E-4</v>
      </c>
      <c r="AH45" s="3">
        <f t="shared" si="29"/>
        <v>4.3282299813027408E-5</v>
      </c>
      <c r="AI45" s="3">
        <f t="shared" si="29"/>
        <v>5.3414601403466392E-9</v>
      </c>
      <c r="AJ45" s="3">
        <f t="shared" si="29"/>
        <v>4.376799182054251E-48</v>
      </c>
    </row>
    <row r="46" spans="1:36" x14ac:dyDescent="0.25">
      <c r="A46" s="3">
        <f t="shared" si="30"/>
        <v>100000000000000</v>
      </c>
      <c r="B46" s="106">
        <v>0</v>
      </c>
      <c r="C46" s="18">
        <f t="shared" si="3"/>
        <v>0</v>
      </c>
      <c r="D46" s="17"/>
      <c r="F46" s="3">
        <f t="shared" si="28"/>
        <v>0</v>
      </c>
      <c r="G46" s="3">
        <f t="shared" si="28"/>
        <v>0</v>
      </c>
      <c r="H46" s="3">
        <f t="shared" si="28"/>
        <v>0</v>
      </c>
      <c r="I46" s="3">
        <f t="shared" si="28"/>
        <v>0</v>
      </c>
      <c r="J46" s="3">
        <f t="shared" si="28"/>
        <v>0</v>
      </c>
      <c r="K46" s="3">
        <f t="shared" si="28"/>
        <v>0</v>
      </c>
      <c r="L46" s="3">
        <f t="shared" si="28"/>
        <v>0</v>
      </c>
      <c r="M46" s="3">
        <f t="shared" si="28"/>
        <v>0</v>
      </c>
      <c r="N46" s="3">
        <f t="shared" si="28"/>
        <v>0</v>
      </c>
      <c r="O46" s="3">
        <f t="shared" si="28"/>
        <v>0</v>
      </c>
      <c r="P46" s="3">
        <f t="shared" si="27"/>
        <v>0</v>
      </c>
      <c r="Q46" s="3">
        <f t="shared" si="27"/>
        <v>0</v>
      </c>
      <c r="R46" s="3">
        <f t="shared" si="27"/>
        <v>0</v>
      </c>
      <c r="S46" s="3">
        <f t="shared" si="27"/>
        <v>0</v>
      </c>
      <c r="T46" s="3">
        <f t="shared" si="27"/>
        <v>0</v>
      </c>
      <c r="U46" s="3">
        <f t="shared" si="27"/>
        <v>0</v>
      </c>
      <c r="V46" s="3">
        <f t="shared" si="27"/>
        <v>0</v>
      </c>
      <c r="W46" s="3">
        <f t="shared" si="27"/>
        <v>0</v>
      </c>
      <c r="X46" s="3">
        <f t="shared" si="27"/>
        <v>0</v>
      </c>
      <c r="Y46" s="3">
        <f t="shared" si="27"/>
        <v>0</v>
      </c>
      <c r="Z46" s="3">
        <f t="shared" si="27"/>
        <v>0</v>
      </c>
      <c r="AA46" s="3">
        <f t="shared" si="27"/>
        <v>0</v>
      </c>
      <c r="AB46" s="3">
        <f t="shared" si="27"/>
        <v>0</v>
      </c>
      <c r="AC46" s="3">
        <f t="shared" si="27"/>
        <v>0</v>
      </c>
      <c r="AD46" s="3">
        <f t="shared" si="27"/>
        <v>0</v>
      </c>
      <c r="AE46" s="3">
        <f t="shared" si="27"/>
        <v>0</v>
      </c>
      <c r="AF46" s="3">
        <f t="shared" si="29"/>
        <v>0</v>
      </c>
      <c r="AG46" s="3">
        <f t="shared" si="29"/>
        <v>0</v>
      </c>
      <c r="AH46" s="3">
        <f t="shared" si="29"/>
        <v>0</v>
      </c>
      <c r="AI46" s="3">
        <f t="shared" si="29"/>
        <v>0</v>
      </c>
      <c r="AJ46" s="3">
        <f t="shared" si="29"/>
        <v>0</v>
      </c>
    </row>
    <row r="47" spans="1:36" x14ac:dyDescent="0.25">
      <c r="A47" s="3">
        <f t="shared" si="30"/>
        <v>1000000000000000</v>
      </c>
      <c r="B47" s="106">
        <v>6.6242470451004874E-5</v>
      </c>
      <c r="C47" s="18">
        <f t="shared" si="3"/>
        <v>6.5987032321069097E-5</v>
      </c>
      <c r="D47" s="17"/>
      <c r="F47" s="3">
        <f t="shared" si="28"/>
        <v>6.5987032321069097E-5</v>
      </c>
      <c r="G47" s="3">
        <f t="shared" si="28"/>
        <v>6.5987032321069097E-5</v>
      </c>
      <c r="H47" s="3">
        <f t="shared" si="28"/>
        <v>6.5987032321069097E-5</v>
      </c>
      <c r="I47" s="3">
        <f t="shared" si="28"/>
        <v>6.5987032321069097E-5</v>
      </c>
      <c r="J47" s="3">
        <f t="shared" si="28"/>
        <v>6.5987032321069097E-5</v>
      </c>
      <c r="K47" s="3">
        <f t="shared" si="28"/>
        <v>6.5987032321069097E-5</v>
      </c>
      <c r="L47" s="3">
        <f t="shared" si="28"/>
        <v>6.5987032321069097E-5</v>
      </c>
      <c r="M47" s="3">
        <f t="shared" si="28"/>
        <v>6.5987032321069097E-5</v>
      </c>
      <c r="N47" s="3">
        <f t="shared" si="28"/>
        <v>6.5987032321069097E-5</v>
      </c>
      <c r="O47" s="3">
        <f t="shared" si="28"/>
        <v>6.5987032321069097E-5</v>
      </c>
      <c r="P47" s="3">
        <f t="shared" si="27"/>
        <v>6.5987032321069097E-5</v>
      </c>
      <c r="Q47" s="3">
        <f t="shared" si="27"/>
        <v>6.5987032321069097E-5</v>
      </c>
      <c r="R47" s="3">
        <f t="shared" si="27"/>
        <v>6.5987032321069097E-5</v>
      </c>
      <c r="S47" s="3">
        <f t="shared" si="27"/>
        <v>6.5987032321069097E-5</v>
      </c>
      <c r="T47" s="3">
        <f t="shared" si="27"/>
        <v>6.5987032321069083E-5</v>
      </c>
      <c r="U47" s="3">
        <f t="shared" si="27"/>
        <v>6.5987032321069029E-5</v>
      </c>
      <c r="V47" s="3">
        <f t="shared" si="27"/>
        <v>6.5987032321068433E-5</v>
      </c>
      <c r="W47" s="3">
        <f t="shared" si="27"/>
        <v>6.5987032321062497E-5</v>
      </c>
      <c r="X47" s="3">
        <f t="shared" si="27"/>
        <v>6.598703232100311E-5</v>
      </c>
      <c r="Y47" s="3">
        <f t="shared" si="27"/>
        <v>6.5987032320409224E-5</v>
      </c>
      <c r="Z47" s="3">
        <f t="shared" si="27"/>
        <v>6.5987032314470398E-5</v>
      </c>
      <c r="AA47" s="3">
        <f t="shared" si="27"/>
        <v>6.5987032255082072E-5</v>
      </c>
      <c r="AB47" s="3">
        <f t="shared" si="27"/>
        <v>6.5987031661198772E-5</v>
      </c>
      <c r="AC47" s="3">
        <f t="shared" si="27"/>
        <v>6.5987025722366203E-5</v>
      </c>
      <c r="AD47" s="3">
        <f t="shared" si="27"/>
        <v>6.5986966334069771E-5</v>
      </c>
      <c r="AE47" s="3">
        <f t="shared" si="27"/>
        <v>6.5986372454045227E-5</v>
      </c>
      <c r="AF47" s="3">
        <f t="shared" si="29"/>
        <v>6.598043394776115E-5</v>
      </c>
      <c r="AG47" s="3">
        <f t="shared" si="29"/>
        <v>6.5921078271269099E-5</v>
      </c>
      <c r="AH47" s="3">
        <f t="shared" si="29"/>
        <v>6.5330450379075437E-5</v>
      </c>
      <c r="AI47" s="3">
        <f t="shared" si="29"/>
        <v>5.9707535949251568E-5</v>
      </c>
      <c r="AJ47" s="3">
        <f t="shared" si="29"/>
        <v>2.4275272574836803E-5</v>
      </c>
    </row>
    <row r="48" spans="1:36" x14ac:dyDescent="0.25">
      <c r="A48" s="3">
        <f t="shared" si="30"/>
        <v>1E+16</v>
      </c>
      <c r="B48" s="106">
        <v>7.0120514381566082E-5</v>
      </c>
      <c r="C48" s="18">
        <f t="shared" si="3"/>
        <v>6.9850122094838041E-5</v>
      </c>
      <c r="D48" s="17"/>
      <c r="F48" s="3">
        <f t="shared" si="28"/>
        <v>6.9850122094838041E-5</v>
      </c>
      <c r="G48" s="3">
        <f t="shared" si="28"/>
        <v>6.9850122094838041E-5</v>
      </c>
      <c r="H48" s="3">
        <f t="shared" si="28"/>
        <v>6.9850122094838041E-5</v>
      </c>
      <c r="I48" s="3">
        <f t="shared" si="28"/>
        <v>6.9850122094838041E-5</v>
      </c>
      <c r="J48" s="3">
        <f t="shared" si="28"/>
        <v>6.9850122094838041E-5</v>
      </c>
      <c r="K48" s="3">
        <f t="shared" si="28"/>
        <v>6.9850122094838041E-5</v>
      </c>
      <c r="L48" s="3">
        <f t="shared" si="28"/>
        <v>6.9850122094838041E-5</v>
      </c>
      <c r="M48" s="3">
        <f t="shared" si="28"/>
        <v>6.9850122094838041E-5</v>
      </c>
      <c r="N48" s="3">
        <f t="shared" si="28"/>
        <v>6.9850122094838041E-5</v>
      </c>
      <c r="O48" s="3">
        <f t="shared" si="28"/>
        <v>6.9850122094838041E-5</v>
      </c>
      <c r="P48" s="3">
        <f t="shared" si="27"/>
        <v>6.9850122094838041E-5</v>
      </c>
      <c r="Q48" s="3">
        <f t="shared" si="27"/>
        <v>6.9850122094838041E-5</v>
      </c>
      <c r="R48" s="3">
        <f t="shared" si="27"/>
        <v>6.9850122094838041E-5</v>
      </c>
      <c r="S48" s="3">
        <f t="shared" si="27"/>
        <v>6.9850122094838041E-5</v>
      </c>
      <c r="T48" s="3">
        <f t="shared" si="27"/>
        <v>6.9850122094838041E-5</v>
      </c>
      <c r="U48" s="3">
        <f t="shared" si="27"/>
        <v>6.9850122094838028E-5</v>
      </c>
      <c r="V48" s="3">
        <f t="shared" si="27"/>
        <v>6.9850122094837974E-5</v>
      </c>
      <c r="W48" s="3">
        <f t="shared" si="27"/>
        <v>6.985012209483735E-5</v>
      </c>
      <c r="X48" s="3">
        <f t="shared" si="27"/>
        <v>6.9850122094831048E-5</v>
      </c>
      <c r="Y48" s="3">
        <f t="shared" si="27"/>
        <v>6.9850122094768192E-5</v>
      </c>
      <c r="Z48" s="3">
        <f t="shared" si="27"/>
        <v>6.9850122094139544E-5</v>
      </c>
      <c r="AA48" s="3">
        <f t="shared" si="27"/>
        <v>6.9850122087853028E-5</v>
      </c>
      <c r="AB48" s="3">
        <f t="shared" si="27"/>
        <v>6.9850122024987923E-5</v>
      </c>
      <c r="AC48" s="3">
        <f t="shared" si="27"/>
        <v>6.9850121396336821E-5</v>
      </c>
      <c r="AD48" s="3">
        <f t="shared" si="27"/>
        <v>6.9850115109826189E-5</v>
      </c>
      <c r="AE48" s="3">
        <f t="shared" si="27"/>
        <v>6.9850052244750874E-5</v>
      </c>
      <c r="AF48" s="3">
        <f t="shared" si="29"/>
        <v>6.9849423597109593E-5</v>
      </c>
      <c r="AG48" s="3">
        <f t="shared" si="29"/>
        <v>6.9843137431867524E-5</v>
      </c>
      <c r="AH48" s="3">
        <f t="shared" si="29"/>
        <v>6.9780306886165473E-5</v>
      </c>
      <c r="AI48" s="3">
        <f t="shared" si="29"/>
        <v>6.9155101767353494E-5</v>
      </c>
      <c r="AJ48" s="3">
        <f t="shared" si="29"/>
        <v>6.3203004125789782E-5</v>
      </c>
    </row>
    <row r="49" spans="1:36" x14ac:dyDescent="0.25">
      <c r="B49" s="16">
        <f>SUM(B17:B48)</f>
        <v>1.0038710352769451</v>
      </c>
      <c r="C49" s="18">
        <f>SUM(C17:C48)</f>
        <v>0.99999999999999989</v>
      </c>
      <c r="F49" s="3">
        <f t="shared" ref="F49:AJ49" si="31">F16-F17</f>
        <v>-0.3308946023335011</v>
      </c>
      <c r="G49" s="3">
        <f t="shared" si="31"/>
        <v>-0.27678629332694982</v>
      </c>
      <c r="H49" s="3">
        <f t="shared" si="31"/>
        <v>-0.29161938546621968</v>
      </c>
      <c r="I49" s="3">
        <f t="shared" si="31"/>
        <v>-0.12736556995423598</v>
      </c>
      <c r="J49" s="3">
        <f t="shared" si="31"/>
        <v>1.2943625451034677</v>
      </c>
      <c r="K49" s="3">
        <f t="shared" si="31"/>
        <v>-0.29679675341321854</v>
      </c>
      <c r="L49" s="3">
        <f t="shared" si="31"/>
        <v>9.5367639314645203E-3</v>
      </c>
      <c r="M49" s="3">
        <f t="shared" si="31"/>
        <v>7.9865444001370633E-2</v>
      </c>
      <c r="N49" s="3">
        <f t="shared" si="31"/>
        <v>-0.19720596962724812</v>
      </c>
      <c r="O49" s="3">
        <f t="shared" si="31"/>
        <v>0.4055926587252543</v>
      </c>
      <c r="P49" s="3">
        <f t="shared" si="31"/>
        <v>-0.69342397348918894</v>
      </c>
      <c r="Q49" s="3">
        <f t="shared" si="31"/>
        <v>0.98770702914771391</v>
      </c>
      <c r="R49" s="3">
        <f t="shared" si="31"/>
        <v>-1.2052315349383207</v>
      </c>
      <c r="S49" s="3">
        <f t="shared" si="31"/>
        <v>1.2702447889296309</v>
      </c>
      <c r="T49" s="3">
        <f t="shared" si="31"/>
        <v>-1.1448232068532889</v>
      </c>
      <c r="U49" s="3">
        <f t="shared" si="31"/>
        <v>0.88178869185230724</v>
      </c>
      <c r="V49" s="3">
        <f t="shared" si="31"/>
        <v>-0.59058103776351345</v>
      </c>
      <c r="W49" s="3">
        <f t="shared" si="31"/>
        <v>0.34487161325114357</v>
      </c>
      <c r="X49" s="3">
        <f t="shared" si="31"/>
        <v>-0.16834598669856859</v>
      </c>
      <c r="Y49" s="3">
        <f t="shared" si="31"/>
        <v>6.8747440204106169E-2</v>
      </c>
      <c r="Z49" s="3">
        <f t="shared" si="31"/>
        <v>-2.9188385152338014E-2</v>
      </c>
      <c r="AA49" s="3">
        <f t="shared" si="31"/>
        <v>1.4088652515511058E-2</v>
      </c>
      <c r="AB49" s="3">
        <f t="shared" si="31"/>
        <v>-1.2451403914383263E-2</v>
      </c>
      <c r="AC49" s="3">
        <f t="shared" si="31"/>
        <v>2.600171850639299E-2</v>
      </c>
      <c r="AD49" s="3">
        <f t="shared" si="31"/>
        <v>-4.0939343676399176E-2</v>
      </c>
      <c r="AE49" s="3">
        <f t="shared" si="31"/>
        <v>5.6189187096606474E-2</v>
      </c>
      <c r="AF49" s="3">
        <f t="shared" si="31"/>
        <v>-8.6765579792469794E-2</v>
      </c>
      <c r="AG49" s="3">
        <f t="shared" si="31"/>
        <v>0.13871105550177276</v>
      </c>
      <c r="AH49" s="3">
        <f t="shared" si="31"/>
        <v>-0.18987806760374326</v>
      </c>
      <c r="AI49" s="3">
        <f t="shared" si="31"/>
        <v>0.12142291484079237</v>
      </c>
      <c r="AJ49" s="3">
        <f t="shared" si="31"/>
        <v>-1.7025709159412372E-2</v>
      </c>
    </row>
    <row r="50" spans="1:36" x14ac:dyDescent="0.25">
      <c r="F50" s="57">
        <f t="shared" ref="F50:AJ50" si="32">F49/F17</f>
        <v>-5.1068577682269621E-5</v>
      </c>
      <c r="G50" s="57">
        <f t="shared" si="32"/>
        <v>-4.2717828397728836E-5</v>
      </c>
      <c r="H50" s="57">
        <f t="shared" si="32"/>
        <v>-4.500762016250916E-5</v>
      </c>
      <c r="I50" s="57">
        <f t="shared" si="32"/>
        <v>-1.9659484636016159E-5</v>
      </c>
      <c r="J50" s="57">
        <f t="shared" si="32"/>
        <v>2.0001033564488654E-4</v>
      </c>
      <c r="K50" s="57">
        <f t="shared" si="32"/>
        <v>-4.6189595773112262E-5</v>
      </c>
      <c r="L50" s="57">
        <f t="shared" si="32"/>
        <v>1.518562098723503E-6</v>
      </c>
      <c r="M50" s="57">
        <f t="shared" si="32"/>
        <v>1.3027206788963834E-5</v>
      </c>
      <c r="N50" s="57">
        <f t="shared" si="32"/>
        <v>-3.3090153704951371E-5</v>
      </c>
      <c r="O50" s="57">
        <f t="shared" si="32"/>
        <v>7.0437080174396571E-5</v>
      </c>
      <c r="P50" s="57">
        <f t="shared" si="32"/>
        <v>-1.2484218812387694E-4</v>
      </c>
      <c r="Q50" s="57">
        <f t="shared" si="32"/>
        <v>1.8652775021767181E-4</v>
      </c>
      <c r="R50" s="57">
        <f t="shared" si="32"/>
        <v>-2.4029870265969972E-4</v>
      </c>
      <c r="S50" s="57">
        <f t="shared" si="32"/>
        <v>2.6818565836282123E-4</v>
      </c>
      <c r="T50" s="57">
        <f t="shared" si="32"/>
        <v>-2.5785635883479146E-4</v>
      </c>
      <c r="U50" s="57">
        <f t="shared" si="32"/>
        <v>2.1431345776188012E-4</v>
      </c>
      <c r="V50" s="57">
        <f t="shared" si="32"/>
        <v>-1.6122089783031802E-4</v>
      </c>
      <c r="W50" s="57">
        <f t="shared" si="32"/>
        <v>1.1346600501782271E-4</v>
      </c>
      <c r="X50" s="57">
        <f t="shared" si="32"/>
        <v>-7.1433347516055366E-5</v>
      </c>
      <c r="Y50" s="57">
        <f t="shared" si="32"/>
        <v>4.1301151367405307E-5</v>
      </c>
      <c r="Z50" s="57">
        <f t="shared" si="32"/>
        <v>-2.806708695310568E-5</v>
      </c>
      <c r="AA50" s="57">
        <f t="shared" si="32"/>
        <v>2.3643394182747313E-5</v>
      </c>
      <c r="AB50" s="57">
        <f t="shared" si="32"/>
        <v>-3.7534814604344323E-5</v>
      </c>
      <c r="AC50" s="57">
        <f t="shared" si="32"/>
        <v>1.3493293940206925E-4</v>
      </c>
      <c r="AD50" s="57">
        <f t="shared" si="32"/>
        <v>-2.7488256990975383E-4</v>
      </c>
      <c r="AE50" s="57">
        <f t="shared" si="32"/>
        <v>4.1911864036514162E-4</v>
      </c>
      <c r="AF50" s="57">
        <f t="shared" si="32"/>
        <v>-6.9418669138073018E-4</v>
      </c>
      <c r="AG50" s="57">
        <f t="shared" si="32"/>
        <v>1.1141328574172222E-3</v>
      </c>
      <c r="AH50" s="57">
        <f t="shared" si="32"/>
        <v>-1.5302272112220402E-3</v>
      </c>
      <c r="AI50" s="57">
        <f t="shared" si="32"/>
        <v>9.8110188742893726E-4</v>
      </c>
      <c r="AJ50" s="57">
        <f t="shared" si="32"/>
        <v>-1.378692046084379E-4</v>
      </c>
    </row>
    <row r="51" spans="1:36" x14ac:dyDescent="0.25">
      <c r="A51" s="13" t="s">
        <v>21</v>
      </c>
      <c r="B51" s="3">
        <f>STUTT!D8</f>
        <v>6524.0923000000003</v>
      </c>
      <c r="E51" s="11" t="s">
        <v>24</v>
      </c>
      <c r="F51" s="20">
        <f t="shared" ref="F51:AJ51" si="33">(F16-F17)^2</f>
        <v>0.10949123785344583</v>
      </c>
      <c r="G51" s="20">
        <f t="shared" si="33"/>
        <v>7.66106521736723E-2</v>
      </c>
      <c r="H51" s="20">
        <f t="shared" si="33"/>
        <v>8.5041865979695624E-2</v>
      </c>
      <c r="I51" s="20">
        <f t="shared" si="33"/>
        <v>1.6221988409767379E-2</v>
      </c>
      <c r="J51" s="20">
        <f t="shared" si="33"/>
        <v>1.6753743981667264</v>
      </c>
      <c r="K51" s="20">
        <f t="shared" si="33"/>
        <v>8.8088312836626853E-2</v>
      </c>
      <c r="L51" s="20">
        <f t="shared" si="33"/>
        <v>9.094986628448261E-5</v>
      </c>
      <c r="M51" s="20">
        <f t="shared" si="33"/>
        <v>6.3784891455360686E-3</v>
      </c>
      <c r="N51" s="20">
        <f t="shared" si="33"/>
        <v>3.889019445662311E-2</v>
      </c>
      <c r="O51" s="20">
        <f t="shared" si="33"/>
        <v>0.1645054048118206</v>
      </c>
      <c r="P51" s="20">
        <f t="shared" si="33"/>
        <v>0.48083680700953541</v>
      </c>
      <c r="Q51" s="20">
        <f t="shared" si="33"/>
        <v>0.97556517542780297</v>
      </c>
      <c r="R51" s="20">
        <f t="shared" si="33"/>
        <v>1.4525830528097805</v>
      </c>
      <c r="S51" s="20">
        <f t="shared" si="33"/>
        <v>1.6135218238028826</v>
      </c>
      <c r="T51" s="20">
        <f t="shared" si="33"/>
        <v>1.3106201749498483</v>
      </c>
      <c r="U51" s="20">
        <f t="shared" si="33"/>
        <v>0.77755129707860327</v>
      </c>
      <c r="V51" s="20">
        <f t="shared" si="33"/>
        <v>0.34878596216582852</v>
      </c>
      <c r="W51" s="20">
        <f t="shared" si="33"/>
        <v>0.11893642962644635</v>
      </c>
      <c r="X51" s="20">
        <f t="shared" si="33"/>
        <v>2.8340371237514633E-2</v>
      </c>
      <c r="Y51" s="20">
        <f t="shared" si="33"/>
        <v>4.7262105346171533E-3</v>
      </c>
      <c r="Z51" s="20">
        <f t="shared" si="33"/>
        <v>8.5196182780122626E-4</v>
      </c>
      <c r="AA51" s="20">
        <f t="shared" si="33"/>
        <v>1.9849012970281604E-4</v>
      </c>
      <c r="AB51" s="20">
        <f t="shared" si="33"/>
        <v>1.5503745943911884E-4</v>
      </c>
      <c r="AC51" s="20">
        <f t="shared" si="33"/>
        <v>6.7608936528569974E-4</v>
      </c>
      <c r="AD51" s="20">
        <f t="shared" si="33"/>
        <v>1.6760298606543253E-3</v>
      </c>
      <c r="AE51" s="20">
        <f t="shared" si="33"/>
        <v>3.1572247465774476E-3</v>
      </c>
      <c r="AF51" s="20">
        <f t="shared" si="33"/>
        <v>7.5282658367234424E-3</v>
      </c>
      <c r="AG51" s="20">
        <f t="shared" si="33"/>
        <v>1.9240756918415883E-2</v>
      </c>
      <c r="AH51" s="20">
        <f t="shared" si="33"/>
        <v>3.6053680556931693E-2</v>
      </c>
      <c r="AI51" s="20">
        <f t="shared" si="33"/>
        <v>1.4743524248434317E-2</v>
      </c>
      <c r="AJ51" s="20">
        <f t="shared" si="33"/>
        <v>2.8987477238089836E-4</v>
      </c>
    </row>
    <row r="52" spans="1:36" x14ac:dyDescent="0.25">
      <c r="A52" s="13"/>
    </row>
    <row r="53" spans="1:36" x14ac:dyDescent="0.25">
      <c r="E53" s="119" t="s">
        <v>25</v>
      </c>
      <c r="F53" s="119"/>
      <c r="G53" s="104">
        <f>SUM(F51:AJ51)</f>
        <v>9.4567317340654053</v>
      </c>
      <c r="I53" s="3">
        <f>G53+C123</f>
        <v>9.4567317340654053</v>
      </c>
      <c r="K53" s="3">
        <f>SUM(Z51:AJ51)</f>
        <v>8.4570935722346877E-2</v>
      </c>
    </row>
    <row r="55" spans="1:36" x14ac:dyDescent="0.25">
      <c r="E55" s="30" t="s">
        <v>30</v>
      </c>
      <c r="F55" s="31">
        <f t="shared" ref="F55:AJ55" si="34">ABS(F17-F16)/F16</f>
        <v>5.1071185815089741E-5</v>
      </c>
      <c r="G55" s="31">
        <f t="shared" si="34"/>
        <v>4.271965328854723E-5</v>
      </c>
      <c r="H55" s="31">
        <f t="shared" si="34"/>
        <v>4.5009645939557256E-5</v>
      </c>
      <c r="I55" s="31">
        <f t="shared" si="34"/>
        <v>1.9659871138950763E-5</v>
      </c>
      <c r="J55" s="31">
        <f t="shared" si="34"/>
        <v>1.9997033951016209E-4</v>
      </c>
      <c r="K55" s="31">
        <f t="shared" si="34"/>
        <v>4.6191729350419021E-5</v>
      </c>
      <c r="L55" s="31">
        <f t="shared" si="34"/>
        <v>1.5185597926961573E-6</v>
      </c>
      <c r="M55" s="31">
        <f t="shared" si="34"/>
        <v>1.3027037083057906E-5</v>
      </c>
      <c r="N55" s="31">
        <f t="shared" si="34"/>
        <v>3.3091248699457132E-5</v>
      </c>
      <c r="O55" s="31">
        <f t="shared" si="34"/>
        <v>7.0432119141573742E-5</v>
      </c>
      <c r="P55" s="31">
        <f t="shared" si="34"/>
        <v>1.2485777564179233E-4</v>
      </c>
      <c r="Q55" s="31">
        <f t="shared" si="34"/>
        <v>1.8649296410464593E-4</v>
      </c>
      <c r="R55" s="31">
        <f t="shared" si="34"/>
        <v>2.4035646000521486E-4</v>
      </c>
      <c r="S55" s="31">
        <f t="shared" si="34"/>
        <v>2.6811375409916202E-4</v>
      </c>
      <c r="T55" s="31">
        <f t="shared" si="34"/>
        <v>2.5792286588584903E-4</v>
      </c>
      <c r="U55" s="31">
        <f t="shared" si="34"/>
        <v>2.1426753734506558E-4</v>
      </c>
      <c r="V55" s="31">
        <f t="shared" si="34"/>
        <v>1.6124689419937319E-4</v>
      </c>
      <c r="W55" s="31">
        <f t="shared" si="34"/>
        <v>1.1345313194418424E-4</v>
      </c>
      <c r="X55" s="31">
        <f t="shared" si="34"/>
        <v>7.143845060372335E-5</v>
      </c>
      <c r="Y55" s="31">
        <f t="shared" si="34"/>
        <v>4.129944565274901E-5</v>
      </c>
      <c r="Z55" s="31">
        <f t="shared" si="34"/>
        <v>2.80678747365865E-5</v>
      </c>
      <c r="AA55" s="31">
        <f t="shared" si="34"/>
        <v>2.3642835185875416E-5</v>
      </c>
      <c r="AB55" s="31">
        <f t="shared" si="34"/>
        <v>3.7536223519535076E-5</v>
      </c>
      <c r="AC55" s="31">
        <f t="shared" si="34"/>
        <v>1.3491473496031239E-4</v>
      </c>
      <c r="AD55" s="31">
        <f t="shared" si="34"/>
        <v>2.7495815111294942E-4</v>
      </c>
      <c r="AE55" s="31">
        <f t="shared" si="34"/>
        <v>4.18943053522159E-4</v>
      </c>
      <c r="AF55" s="31">
        <f t="shared" si="34"/>
        <v>6.9466892130081305E-4</v>
      </c>
      <c r="AG55" s="31">
        <f t="shared" si="34"/>
        <v>1.112892946818384E-3</v>
      </c>
      <c r="AH55" s="31">
        <f t="shared" si="34"/>
        <v>1.5325723952043496E-3</v>
      </c>
      <c r="AI55" s="31">
        <f t="shared" si="34"/>
        <v>9.8014026996013433E-4</v>
      </c>
      <c r="AJ55" s="31">
        <f t="shared" si="34"/>
        <v>1.3788821514698507E-4</v>
      </c>
    </row>
    <row r="56" spans="1:36" x14ac:dyDescent="0.25">
      <c r="E56" s="13" t="s">
        <v>31</v>
      </c>
      <c r="F56" s="32">
        <f>AVERAGE(F55:AJ55)</f>
        <v>2.4446342873255981E-4</v>
      </c>
    </row>
    <row r="57" spans="1:36" x14ac:dyDescent="0.25">
      <c r="A57" s="42"/>
      <c r="B57" s="15"/>
      <c r="C57" s="15"/>
      <c r="D57" s="15"/>
      <c r="F57" s="60">
        <f>AVERAGE(S55:X55)</f>
        <v>1.8107377234622625E-4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20"/>
      <c r="D63" s="120"/>
      <c r="E63" s="120"/>
      <c r="F63" s="120"/>
      <c r="G63" s="120"/>
      <c r="H63" s="120"/>
      <c r="I63" s="120"/>
    </row>
    <row r="64" spans="1:36" x14ac:dyDescent="0.25">
      <c r="A64" s="42">
        <f>10^A65</f>
        <v>1.0000000000000001E-5</v>
      </c>
      <c r="B64" s="42">
        <f>10^B65</f>
        <v>100000</v>
      </c>
      <c r="C64" s="15"/>
      <c r="D64" s="15"/>
      <c r="E64" s="15"/>
      <c r="F64" s="15"/>
      <c r="G64" s="15"/>
      <c r="H64" s="15"/>
      <c r="I64" s="15"/>
    </row>
    <row r="65" spans="1:13" x14ac:dyDescent="0.25">
      <c r="A65" s="15">
        <f>-A67</f>
        <v>-5</v>
      </c>
      <c r="B65" s="101">
        <f>A67</f>
        <v>5</v>
      </c>
      <c r="C65" s="15"/>
      <c r="D65" s="15"/>
      <c r="E65" s="15"/>
      <c r="F65" s="15"/>
      <c r="G65" s="15"/>
      <c r="H65" s="15"/>
      <c r="I65" s="15"/>
    </row>
    <row r="66" spans="1:13" x14ac:dyDescent="0.25">
      <c r="A66" s="15"/>
      <c r="B66" s="15"/>
      <c r="C66" s="15"/>
      <c r="D66" s="15"/>
      <c r="E66" s="15"/>
      <c r="F66" s="15"/>
      <c r="G66" s="15"/>
      <c r="H66" s="15"/>
      <c r="I66" s="15"/>
    </row>
    <row r="67" spans="1:13" x14ac:dyDescent="0.25">
      <c r="A67" s="102">
        <v>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1"/>
    </row>
    <row r="101" spans="1:9" x14ac:dyDescent="0.25">
      <c r="A101" s="12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-24.635258353926584</v>
      </c>
    </row>
    <row r="119" spans="1:14" x14ac:dyDescent="0.25">
      <c r="L119" s="11">
        <f>L118+1</f>
        <v>2</v>
      </c>
      <c r="M119" s="11">
        <f t="shared" ref="M119:M124" si="35">INDEX($B$125:$K$126,1,L119)</f>
        <v>0</v>
      </c>
      <c r="N119" s="11">
        <f t="shared" ref="N119:N124" si="36">IF(L119=$B$3,0,INDEX($B$125:$K$126,2,L119))</f>
        <v>-21.515320311547747</v>
      </c>
    </row>
    <row r="120" spans="1:14" x14ac:dyDescent="0.25">
      <c r="L120" s="11">
        <f t="shared" ref="L120:L124" si="37">L119+1</f>
        <v>3</v>
      </c>
      <c r="M120" s="11">
        <f t="shared" si="35"/>
        <v>25</v>
      </c>
      <c r="N120" s="11">
        <f t="shared" si="36"/>
        <v>-17.307980119238746</v>
      </c>
    </row>
    <row r="121" spans="1:14" x14ac:dyDescent="0.25">
      <c r="A121" s="103">
        <f>(A165+A204+A243+A282+A321+A360+A399)*10^9</f>
        <v>1417371933736523.5</v>
      </c>
      <c r="L121" s="11">
        <f t="shared" si="37"/>
        <v>4</v>
      </c>
      <c r="M121" s="11">
        <f t="shared" si="35"/>
        <v>50</v>
      </c>
      <c r="N121" s="11">
        <f t="shared" si="36"/>
        <v>-10.743887226601039</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0</v>
      </c>
    </row>
    <row r="123" spans="1:14" x14ac:dyDescent="0.25">
      <c r="A123" s="119"/>
      <c r="B123" s="119"/>
      <c r="C123" s="3"/>
      <c r="D123" s="3"/>
      <c r="E123" s="3"/>
      <c r="F123" s="3"/>
      <c r="G123" s="3"/>
      <c r="H123" s="3"/>
      <c r="I123" s="3"/>
      <c r="J123" s="3"/>
      <c r="K123" s="3"/>
      <c r="L123" s="11">
        <f t="shared" si="37"/>
        <v>6</v>
      </c>
      <c r="M123" s="11">
        <f t="shared" si="35"/>
        <v>125</v>
      </c>
      <c r="N123" s="11">
        <f t="shared" si="36"/>
        <v>19.264403481926625</v>
      </c>
    </row>
    <row r="124" spans="1:14" x14ac:dyDescent="0.25">
      <c r="B124" s="3"/>
      <c r="C124" s="3"/>
      <c r="D124" s="3"/>
      <c r="E124" s="3"/>
      <c r="F124" s="3"/>
      <c r="G124" s="3"/>
      <c r="H124" s="3"/>
      <c r="I124" s="3"/>
      <c r="J124" s="3"/>
      <c r="K124" s="3"/>
      <c r="L124" s="11">
        <f t="shared" si="37"/>
        <v>7</v>
      </c>
      <c r="M124" s="11">
        <f t="shared" si="35"/>
        <v>160</v>
      </c>
      <c r="N124" s="11">
        <f t="shared" si="36"/>
        <v>23.522139954401055</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-24.635258353926584</v>
      </c>
      <c r="C126" s="107">
        <v>-21.515320311547747</v>
      </c>
      <c r="D126" s="107">
        <v>-17.307980119238746</v>
      </c>
      <c r="E126" s="107">
        <v>-10.743887226601039</v>
      </c>
      <c r="F126" s="107">
        <v>2.950541394532718E-5</v>
      </c>
      <c r="G126" s="107">
        <v>19.264403481926625</v>
      </c>
      <c r="H126" s="107">
        <v>23.522139954401055</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6574.1423129756067</v>
      </c>
      <c r="C130" s="26">
        <f>INDEX(Comparison!$AM$3:$AS$33,G14,$B$122)</f>
        <v>6574.1983504239388</v>
      </c>
      <c r="D130" s="26">
        <f>INDEX(Comparison!$AM$3:$AS$33,H14,$B$122)</f>
        <v>6574.1641202956771</v>
      </c>
      <c r="E130" s="26">
        <f>INDEX(Comparison!$AM$3:$AS$33,I14,$B$122)</f>
        <v>6574.1538463873376</v>
      </c>
      <c r="F130" s="26">
        <f>INDEX(Comparison!$AM$3:$AS$33,J14,$B$122)</f>
        <v>6574.1506604943988</v>
      </c>
      <c r="G130" s="26">
        <f>INDEX(Comparison!$AM$3:$AS$33,K14,$B$122)</f>
        <v>6574.149598530772</v>
      </c>
      <c r="H130" s="26">
        <f>INDEX(Comparison!$AM$3:$AS$33,L14,$B$122)</f>
        <v>6574.1492527752453</v>
      </c>
      <c r="I130" s="26">
        <f>INDEX(Comparison!$AM$3:$AS$33,M14,$B$122)</f>
        <v>6574.149203381603</v>
      </c>
      <c r="J130" s="26">
        <f>INDEX(Comparison!$AM$3:$AS$33,N14,$B$122)</f>
        <v>6574.149203381603</v>
      </c>
      <c r="K130" s="26">
        <f>INDEX(Comparison!$AM$3:$AS$33,O14,$B$122)</f>
        <v>6574.149203381603</v>
      </c>
      <c r="L130" s="26">
        <f>INDEX(Comparison!$AM$3:$AS$33,P14,$B$122)</f>
        <v>6574.1491786847801</v>
      </c>
      <c r="M130" s="26">
        <f>INDEX(Comparison!$AM$3:$AS$33,Q14,$B$122)</f>
        <v>6574.1489070197567</v>
      </c>
      <c r="N130" s="26">
        <f>INDEX(Comparison!$AM$3:$AS$33,R14,$B$122)</f>
        <v>6574.1483883865922</v>
      </c>
      <c r="O130" s="26">
        <f>INDEX(Comparison!$AM$3:$AS$33,S14,$B$122)</f>
        <v>6574.141102834109</v>
      </c>
      <c r="P130" s="26">
        <f>INDEX(Comparison!$AM$3:$AS$33,T14,$B$122)</f>
        <v>6574.0681741087647</v>
      </c>
      <c r="Q130" s="26">
        <f>INDEX(Comparison!$AM$3:$AS$33,U14,$B$122)</f>
        <v>6573.3425313051102</v>
      </c>
      <c r="R130" s="26">
        <f>INDEX(Comparison!$AM$3:$AS$33,V14,$B$122)</f>
        <v>6566.2492544539882</v>
      </c>
      <c r="S130" s="26">
        <f>INDEX(Comparison!$AM$3:$AS$33,W14,$B$122)</f>
        <v>6509.2168204054406</v>
      </c>
      <c r="T130" s="26">
        <f>INDEX(Comparison!$AM$3:$AS$33,X14,$B$122)</f>
        <v>6358.877795711509</v>
      </c>
      <c r="U130" s="26">
        <f>INDEX(Comparison!$AM$3:$AS$33,Y14,$B$122)</f>
        <v>6198.1657141301985</v>
      </c>
      <c r="V130" s="26">
        <f>INDEX(Comparison!$AM$3:$AS$33,Z14,$B$122)</f>
        <v>5965.2165970487267</v>
      </c>
      <c r="W130" s="26">
        <f>INDEX(Comparison!$AM$3:$AS$33,AA14,$B$122)</f>
        <v>5562.9083959530062</v>
      </c>
      <c r="X130" s="26">
        <f>INDEX(Comparison!$AM$3:$AS$33,AB14,$B$122)</f>
        <v>5068.6144859756578</v>
      </c>
      <c r="Y130" s="26">
        <f>INDEX(Comparison!$AM$3:$AS$33,AC14,$B$122)</f>
        <v>4583.1082918040429</v>
      </c>
      <c r="Z130" s="26">
        <f>INDEX(Comparison!$AM$3:$AS$33,AD14,$B$122)</f>
        <v>4165.9762057055259</v>
      </c>
      <c r="AA130" s="26">
        <f>INDEX(Comparison!$AM$3:$AS$33,AE14,$B$122)</f>
        <v>3823.5689905233821</v>
      </c>
      <c r="AB130" s="26">
        <f>INDEX(Comparison!$AM$3:$AS$33,AF14,$B$122)</f>
        <v>3510.558848270296</v>
      </c>
      <c r="AC130" s="26">
        <f>INDEX(Comparison!$AM$3:$AS$33,AG14,$B$122)</f>
        <v>3215.4703591878829</v>
      </c>
      <c r="AD130" s="26">
        <f>INDEX(Comparison!$AM$3:$AS$33,AH14,$B$122)</f>
        <v>2870.194204228324</v>
      </c>
      <c r="AE130" s="26">
        <f>INDEX(Comparison!$AM$3:$AS$33,AI14,$B$122)</f>
        <v>2458.5183678646754</v>
      </c>
      <c r="AF130" s="26">
        <f>INDEX(Comparison!$AM$3:$AS$33,AJ14,$B$122)</f>
        <v>1982.6966326072995</v>
      </c>
    </row>
    <row r="131" spans="1:33" x14ac:dyDescent="0.25">
      <c r="A131" s="68" t="s">
        <v>22</v>
      </c>
      <c r="B131" s="27">
        <f>($C$17+SUM(B132:B162))*$B$51</f>
        <v>6524.0922106481312</v>
      </c>
      <c r="C131" s="27">
        <f t="shared" ref="C131:AF131" si="40">($C$17+SUM(C132:C162))*$B$51</f>
        <v>6524.0914064893614</v>
      </c>
      <c r="D131" s="27">
        <f t="shared" si="40"/>
        <v>6524.0833656977484</v>
      </c>
      <c r="E131" s="27">
        <f t="shared" si="40"/>
        <v>6524.0030373377522</v>
      </c>
      <c r="F131" s="27">
        <f t="shared" si="40"/>
        <v>6523.2076566193618</v>
      </c>
      <c r="G131" s="27">
        <f t="shared" si="40"/>
        <v>6515.9939428550733</v>
      </c>
      <c r="H131" s="27">
        <f t="shared" si="40"/>
        <v>6485.4633666061918</v>
      </c>
      <c r="I131" s="27">
        <f t="shared" si="40"/>
        <v>6479.4176833189231</v>
      </c>
      <c r="J131" s="27">
        <f t="shared" si="40"/>
        <v>6479.4176817124026</v>
      </c>
      <c r="K131" s="27">
        <f t="shared" si="40"/>
        <v>6479.4176665674504</v>
      </c>
      <c r="L131" s="27">
        <f t="shared" si="40"/>
        <v>6479.417515118108</v>
      </c>
      <c r="M131" s="27">
        <f t="shared" si="40"/>
        <v>6479.4160006426091</v>
      </c>
      <c r="N131" s="27">
        <f t="shared" si="40"/>
        <v>6479.4008576797214</v>
      </c>
      <c r="O131" s="27">
        <f t="shared" si="40"/>
        <v>6479.2496070479874</v>
      </c>
      <c r="P131" s="27">
        <f t="shared" si="40"/>
        <v>6477.7547889308062</v>
      </c>
      <c r="Q131" s="27">
        <f t="shared" si="40"/>
        <v>6464.3823449556912</v>
      </c>
      <c r="R131" s="27">
        <f t="shared" si="40"/>
        <v>6395.6533937335125</v>
      </c>
      <c r="S131" s="27">
        <f t="shared" si="40"/>
        <v>6232.5183256022237</v>
      </c>
      <c r="T131" s="27">
        <f t="shared" si="40"/>
        <v>6082.6433876459332</v>
      </c>
      <c r="U131" s="27">
        <f t="shared" si="40"/>
        <v>5899.2640073820621</v>
      </c>
      <c r="V131" s="27">
        <f t="shared" si="40"/>
        <v>5690.4786023511106</v>
      </c>
      <c r="W131" s="27">
        <f t="shared" si="40"/>
        <v>5481.709615121038</v>
      </c>
      <c r="X131" s="27">
        <f t="shared" si="40"/>
        <v>5196.7520364063439</v>
      </c>
      <c r="Y131" s="27">
        <f t="shared" si="40"/>
        <v>4925.2171299625916</v>
      </c>
      <c r="Z131" s="27">
        <f t="shared" si="40"/>
        <v>4637.9365606093879</v>
      </c>
      <c r="AA131" s="27">
        <f t="shared" si="40"/>
        <v>4338.4882983846128</v>
      </c>
      <c r="AB131" s="27">
        <f t="shared" si="40"/>
        <v>3991.7560098550184</v>
      </c>
      <c r="AC131" s="27">
        <f t="shared" si="40"/>
        <v>3472.188777694495</v>
      </c>
      <c r="AD131" s="27">
        <f t="shared" si="40"/>
        <v>2831.103003607856</v>
      </c>
      <c r="AE131" s="27">
        <f t="shared" si="40"/>
        <v>2147.0234539086682</v>
      </c>
      <c r="AF131" s="27">
        <f t="shared" si="40"/>
        <v>1473.3226061395221</v>
      </c>
    </row>
    <row r="132" spans="1:33" x14ac:dyDescent="0.25">
      <c r="B132" s="3">
        <f t="shared" ref="B132:Z133" si="41">$C18*EXP(-B$129/$A18/EXP(-$B$126))</f>
        <v>6.847623423867911E-3</v>
      </c>
      <c r="C132" s="3">
        <f t="shared" ref="C132:AF132" si="42">$C18*EXP(-C$129/$A18/EXP(-$B$126))</f>
        <v>6.8475001639976786E-3</v>
      </c>
      <c r="D132" s="3">
        <f t="shared" si="42"/>
        <v>6.8462676873186591E-3</v>
      </c>
      <c r="E132" s="3">
        <f t="shared" si="42"/>
        <v>6.8339551147357999E-3</v>
      </c>
      <c r="F132" s="3">
        <f t="shared" si="42"/>
        <v>6.7120407270073587E-3</v>
      </c>
      <c r="G132" s="3">
        <f t="shared" si="42"/>
        <v>5.6063369093630397E-3</v>
      </c>
      <c r="H132" s="3">
        <f t="shared" si="42"/>
        <v>9.266704010064405E-4</v>
      </c>
      <c r="I132" s="3">
        <f t="shared" si="42"/>
        <v>1.4105428247733575E-11</v>
      </c>
      <c r="J132" s="3">
        <f t="shared" si="42"/>
        <v>9.418811893203737E-90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0</v>
      </c>
      <c r="C133" s="3">
        <f t="shared" si="41"/>
        <v>0</v>
      </c>
      <c r="D133" s="3">
        <f t="shared" si="41"/>
        <v>0</v>
      </c>
      <c r="E133" s="3">
        <f t="shared" si="41"/>
        <v>0</v>
      </c>
      <c r="F133" s="3">
        <f t="shared" si="41"/>
        <v>0</v>
      </c>
      <c r="G133" s="3">
        <f t="shared" si="41"/>
        <v>0</v>
      </c>
      <c r="H133" s="3">
        <f t="shared" si="41"/>
        <v>0</v>
      </c>
      <c r="I133" s="3">
        <f t="shared" si="41"/>
        <v>0</v>
      </c>
      <c r="J133" s="3">
        <f t="shared" si="41"/>
        <v>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0</v>
      </c>
      <c r="C134" s="3">
        <f t="shared" si="44"/>
        <v>0</v>
      </c>
      <c r="D134" s="3">
        <f t="shared" si="44"/>
        <v>0</v>
      </c>
      <c r="E134" s="3">
        <f t="shared" si="44"/>
        <v>0</v>
      </c>
      <c r="F134" s="3">
        <f t="shared" si="44"/>
        <v>0</v>
      </c>
      <c r="G134" s="3">
        <f t="shared" si="44"/>
        <v>0</v>
      </c>
      <c r="H134" s="3">
        <f t="shared" si="44"/>
        <v>0</v>
      </c>
      <c r="I134" s="3">
        <f t="shared" si="44"/>
        <v>0</v>
      </c>
      <c r="J134" s="3">
        <f t="shared" si="44"/>
        <v>0</v>
      </c>
      <c r="K134" s="3">
        <f t="shared" si="44"/>
        <v>0</v>
      </c>
      <c r="L134" s="3">
        <f t="shared" si="44"/>
        <v>0</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0</v>
      </c>
      <c r="C135" s="3">
        <f t="shared" si="47"/>
        <v>0</v>
      </c>
      <c r="D135" s="3">
        <f t="shared" si="47"/>
        <v>0</v>
      </c>
      <c r="E135" s="3">
        <f t="shared" si="47"/>
        <v>0</v>
      </c>
      <c r="F135" s="3">
        <f t="shared" si="47"/>
        <v>0</v>
      </c>
      <c r="G135" s="3">
        <f t="shared" si="47"/>
        <v>0</v>
      </c>
      <c r="H135" s="3">
        <f t="shared" si="47"/>
        <v>0</v>
      </c>
      <c r="I135" s="3">
        <f t="shared" si="47"/>
        <v>0</v>
      </c>
      <c r="J135" s="3">
        <f t="shared" si="47"/>
        <v>0</v>
      </c>
      <c r="K135" s="3">
        <f t="shared" si="47"/>
        <v>0</v>
      </c>
      <c r="L135" s="3">
        <f t="shared" si="47"/>
        <v>0</v>
      </c>
      <c r="M135" s="3">
        <f t="shared" si="47"/>
        <v>0</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4.1306699022082179E-3</v>
      </c>
      <c r="C136" s="3">
        <f t="shared" si="49"/>
        <v>4.130669902208204E-3</v>
      </c>
      <c r="D136" s="3">
        <f t="shared" si="49"/>
        <v>4.1306699022080643E-3</v>
      </c>
      <c r="E136" s="3">
        <f t="shared" si="49"/>
        <v>4.1306699022066662E-3</v>
      </c>
      <c r="F136" s="3">
        <f t="shared" si="49"/>
        <v>4.1306699021926843E-3</v>
      </c>
      <c r="G136" s="3">
        <f t="shared" si="49"/>
        <v>4.1306699020528716E-3</v>
      </c>
      <c r="H136" s="3">
        <f t="shared" si="49"/>
        <v>4.1306699006547409E-3</v>
      </c>
      <c r="I136" s="3">
        <f t="shared" si="49"/>
        <v>4.1306698866734291E-3</v>
      </c>
      <c r="J136" s="3">
        <f t="shared" si="49"/>
        <v>4.1306697468603141E-3</v>
      </c>
      <c r="K136" s="3">
        <f t="shared" si="49"/>
        <v>4.1306683487294278E-3</v>
      </c>
      <c r="L136" s="3">
        <f t="shared" si="49"/>
        <v>4.1306543674465941E-3</v>
      </c>
      <c r="M136" s="3">
        <f t="shared" si="49"/>
        <v>4.1305145572210055E-3</v>
      </c>
      <c r="N136" s="3">
        <f t="shared" si="49"/>
        <v>4.1291167152072532E-3</v>
      </c>
      <c r="O136" s="3">
        <f t="shared" si="49"/>
        <v>4.1151642867206942E-3</v>
      </c>
      <c r="P136" s="3">
        <f t="shared" si="49"/>
        <v>3.9782069086563964E-3</v>
      </c>
      <c r="Q136" s="3">
        <f t="shared" si="49"/>
        <v>2.8358892132459581E-3</v>
      </c>
      <c r="R136" s="3">
        <f t="shared" si="49"/>
        <v>9.6096638285932893E-5</v>
      </c>
      <c r="S136" s="3">
        <f t="shared" si="49"/>
        <v>1.9182161351265237E-19</v>
      </c>
      <c r="T136" s="3">
        <f t="shared" si="49"/>
        <v>1.9265974697706312E-166</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2.7997525232425744E-2</v>
      </c>
      <c r="C137" s="3">
        <f t="shared" si="51"/>
        <v>2.7997525232425734E-2</v>
      </c>
      <c r="D137" s="3">
        <f t="shared" si="51"/>
        <v>2.7997525232425647E-2</v>
      </c>
      <c r="E137" s="3">
        <f t="shared" si="51"/>
        <v>2.7997525232424793E-2</v>
      </c>
      <c r="F137" s="3">
        <f t="shared" si="51"/>
        <v>2.7997525232416245E-2</v>
      </c>
      <c r="G137" s="3">
        <f t="shared" si="51"/>
        <v>2.7997525232330758E-2</v>
      </c>
      <c r="H137" s="3">
        <f t="shared" si="51"/>
        <v>2.7997525231475903E-2</v>
      </c>
      <c r="I137" s="3">
        <f t="shared" si="51"/>
        <v>2.7997525222927328E-2</v>
      </c>
      <c r="J137" s="3">
        <f t="shared" si="51"/>
        <v>2.7997525137441592E-2</v>
      </c>
      <c r="K137" s="3">
        <f t="shared" si="51"/>
        <v>2.7997524282584226E-2</v>
      </c>
      <c r="L137" s="3">
        <f t="shared" si="51"/>
        <v>2.7997515734012025E-2</v>
      </c>
      <c r="M137" s="3">
        <f t="shared" si="51"/>
        <v>2.7997430248433579E-2</v>
      </c>
      <c r="N137" s="3">
        <f t="shared" si="51"/>
        <v>2.7996575407004839E-2</v>
      </c>
      <c r="O137" s="3">
        <f t="shared" si="51"/>
        <v>2.798802842812706E-2</v>
      </c>
      <c r="P137" s="3">
        <f t="shared" si="51"/>
        <v>2.7902702018283505E-2</v>
      </c>
      <c r="Q137" s="3">
        <f t="shared" si="51"/>
        <v>2.7063615147802002E-2</v>
      </c>
      <c r="R137" s="3">
        <f t="shared" si="51"/>
        <v>1.9942577472211231E-2</v>
      </c>
      <c r="S137" s="3">
        <f t="shared" si="51"/>
        <v>9.4131737727612202E-4</v>
      </c>
      <c r="T137" s="3">
        <f t="shared" si="51"/>
        <v>5.1675413260193197E-17</v>
      </c>
      <c r="U137" s="3">
        <f t="shared" si="51"/>
        <v>1.284584809785091E-149</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2.197959763100649E-2</v>
      </c>
      <c r="C138" s="3">
        <f t="shared" si="53"/>
        <v>2.197959763100649E-2</v>
      </c>
      <c r="D138" s="3">
        <f t="shared" si="53"/>
        <v>2.1979597631006483E-2</v>
      </c>
      <c r="E138" s="3">
        <f t="shared" si="53"/>
        <v>2.1979597631006421E-2</v>
      </c>
      <c r="F138" s="3">
        <f t="shared" si="53"/>
        <v>2.1979597631005817E-2</v>
      </c>
      <c r="G138" s="3">
        <f t="shared" si="53"/>
        <v>2.1979597630999763E-2</v>
      </c>
      <c r="H138" s="3">
        <f t="shared" si="53"/>
        <v>2.1979597630939225E-2</v>
      </c>
      <c r="I138" s="3">
        <f t="shared" si="53"/>
        <v>2.1979597630333827E-2</v>
      </c>
      <c r="J138" s="3">
        <f t="shared" si="53"/>
        <v>2.1979597624279854E-2</v>
      </c>
      <c r="K138" s="3">
        <f t="shared" si="53"/>
        <v>2.1979597563740145E-2</v>
      </c>
      <c r="L138" s="3">
        <f t="shared" si="53"/>
        <v>2.1979596958343034E-2</v>
      </c>
      <c r="M138" s="3">
        <f t="shared" si="53"/>
        <v>2.1979590904372875E-2</v>
      </c>
      <c r="N138" s="3">
        <f t="shared" si="53"/>
        <v>2.1979530364762991E-2</v>
      </c>
      <c r="O138" s="3">
        <f t="shared" si="53"/>
        <v>2.1978924977835192E-2</v>
      </c>
      <c r="P138" s="3">
        <f t="shared" si="53"/>
        <v>2.1972872025568042E-2</v>
      </c>
      <c r="Q138" s="3">
        <f t="shared" si="53"/>
        <v>2.1912434110596436E-2</v>
      </c>
      <c r="R138" s="3">
        <f t="shared" si="53"/>
        <v>2.1317123056107862E-2</v>
      </c>
      <c r="S138" s="3">
        <f t="shared" si="53"/>
        <v>1.6184835232957925E-2</v>
      </c>
      <c r="T138" s="3">
        <f t="shared" si="53"/>
        <v>1.0301611918670252E-3</v>
      </c>
      <c r="U138" s="3">
        <f t="shared" si="53"/>
        <v>1.1242792925107318E-15</v>
      </c>
      <c r="V138" s="3">
        <f t="shared" si="53"/>
        <v>2.6950354191029757E-135</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2.8250918359936459E-2</v>
      </c>
      <c r="C139" s="3">
        <f t="shared" si="55"/>
        <v>2.8250918359936459E-2</v>
      </c>
      <c r="D139" s="3">
        <f t="shared" si="55"/>
        <v>2.8250918359936459E-2</v>
      </c>
      <c r="E139" s="3">
        <f t="shared" si="55"/>
        <v>2.8250918359936452E-2</v>
      </c>
      <c r="F139" s="3">
        <f t="shared" si="55"/>
        <v>2.8250918359936379E-2</v>
      </c>
      <c r="G139" s="3">
        <f t="shared" si="55"/>
        <v>2.8250918359935678E-2</v>
      </c>
      <c r="H139" s="3">
        <f t="shared" si="55"/>
        <v>2.825091835992866E-2</v>
      </c>
      <c r="I139" s="3">
        <f t="shared" si="55"/>
        <v>2.8250918359858466E-2</v>
      </c>
      <c r="J139" s="3">
        <f t="shared" si="55"/>
        <v>2.8250918359156527E-2</v>
      </c>
      <c r="K139" s="3">
        <f t="shared" si="55"/>
        <v>2.8250918352137128E-2</v>
      </c>
      <c r="L139" s="3">
        <f t="shared" si="55"/>
        <v>2.8250918281943163E-2</v>
      </c>
      <c r="M139" s="3">
        <f t="shared" si="55"/>
        <v>2.8250917580003528E-2</v>
      </c>
      <c r="N139" s="3">
        <f t="shared" si="55"/>
        <v>2.8250910560608133E-2</v>
      </c>
      <c r="O139" s="3">
        <f t="shared" si="55"/>
        <v>2.8250840366750119E-2</v>
      </c>
      <c r="P139" s="3">
        <f t="shared" si="55"/>
        <v>2.8250138437762293E-2</v>
      </c>
      <c r="Q139" s="3">
        <f t="shared" si="55"/>
        <v>2.8243120107031346E-2</v>
      </c>
      <c r="R139" s="3">
        <f t="shared" si="55"/>
        <v>2.817303262633241E-2</v>
      </c>
      <c r="S139" s="3">
        <f t="shared" si="55"/>
        <v>2.7481652967060944E-2</v>
      </c>
      <c r="T139" s="3">
        <f t="shared" si="55"/>
        <v>2.1435586970685871E-2</v>
      </c>
      <c r="U139" s="3">
        <f t="shared" si="55"/>
        <v>1.7867371688774509E-3</v>
      </c>
      <c r="V139" s="3">
        <f t="shared" si="55"/>
        <v>2.8927678946742515E-14</v>
      </c>
      <c r="W139" s="3">
        <f t="shared" si="55"/>
        <v>3.5796680637783218E-122</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3.4437903010475883E-2</v>
      </c>
      <c r="C140" s="3">
        <f t="shared" si="57"/>
        <v>3.4437903010475883E-2</v>
      </c>
      <c r="D140" s="3">
        <f t="shared" si="57"/>
        <v>3.4437903010475883E-2</v>
      </c>
      <c r="E140" s="3">
        <f t="shared" si="57"/>
        <v>3.4437903010475883E-2</v>
      </c>
      <c r="F140" s="3">
        <f t="shared" si="57"/>
        <v>3.4437903010475876E-2</v>
      </c>
      <c r="G140" s="3">
        <f t="shared" si="57"/>
        <v>3.44379030104758E-2</v>
      </c>
      <c r="H140" s="3">
        <f t="shared" si="57"/>
        <v>3.4437903010475029E-2</v>
      </c>
      <c r="I140" s="3">
        <f t="shared" si="57"/>
        <v>3.4437903010467306E-2</v>
      </c>
      <c r="J140" s="3">
        <f t="shared" si="57"/>
        <v>3.4437903010390118E-2</v>
      </c>
      <c r="K140" s="3">
        <f t="shared" si="57"/>
        <v>3.4437903009618236E-2</v>
      </c>
      <c r="L140" s="3">
        <f t="shared" si="57"/>
        <v>3.4437903001899424E-2</v>
      </c>
      <c r="M140" s="3">
        <f t="shared" si="57"/>
        <v>3.44379029247113E-2</v>
      </c>
      <c r="N140" s="3">
        <f t="shared" si="57"/>
        <v>3.4437902152830061E-2</v>
      </c>
      <c r="O140" s="3">
        <f t="shared" si="57"/>
        <v>3.4437894434018616E-2</v>
      </c>
      <c r="P140" s="3">
        <f t="shared" si="57"/>
        <v>3.4437817245999293E-2</v>
      </c>
      <c r="Q140" s="3">
        <f t="shared" si="57"/>
        <v>3.4437045375321433E-2</v>
      </c>
      <c r="R140" s="3">
        <f t="shared" si="57"/>
        <v>3.4429327619994982E-2</v>
      </c>
      <c r="S140" s="3">
        <f t="shared" si="57"/>
        <v>3.4352245133089182E-2</v>
      </c>
      <c r="T140" s="3">
        <f t="shared" si="57"/>
        <v>3.3590848531117407E-2</v>
      </c>
      <c r="U140" s="3">
        <f t="shared" si="57"/>
        <v>2.6845992150712025E-2</v>
      </c>
      <c r="V140" s="3">
        <f t="shared" si="57"/>
        <v>2.8540679037615284E-3</v>
      </c>
      <c r="W140" s="3">
        <f t="shared" si="57"/>
        <v>5.2639617989874309E-13</v>
      </c>
      <c r="X140" s="3">
        <f t="shared" si="57"/>
        <v>2.3977119178288293E-110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2.9401070007452231E-2</v>
      </c>
      <c r="C141" s="3">
        <f t="shared" si="59"/>
        <v>2.9401070007452231E-2</v>
      </c>
      <c r="D141" s="3">
        <f t="shared" si="59"/>
        <v>2.9401070007452231E-2</v>
      </c>
      <c r="E141" s="3">
        <f t="shared" si="59"/>
        <v>2.9401070007452231E-2</v>
      </c>
      <c r="F141" s="3">
        <f t="shared" si="59"/>
        <v>2.9401070007452231E-2</v>
      </c>
      <c r="G141" s="3">
        <f t="shared" si="59"/>
        <v>2.9401070007452224E-2</v>
      </c>
      <c r="H141" s="3">
        <f t="shared" si="59"/>
        <v>2.9401070007452165E-2</v>
      </c>
      <c r="I141" s="3">
        <f t="shared" si="59"/>
        <v>2.9401070007451572E-2</v>
      </c>
      <c r="J141" s="3">
        <f t="shared" si="59"/>
        <v>2.9401070007445625E-2</v>
      </c>
      <c r="K141" s="3">
        <f t="shared" si="59"/>
        <v>2.940107000738618E-2</v>
      </c>
      <c r="L141" s="3">
        <f t="shared" si="59"/>
        <v>2.9401070006791718E-2</v>
      </c>
      <c r="M141" s="3">
        <f t="shared" si="59"/>
        <v>2.9401070000847105E-2</v>
      </c>
      <c r="N141" s="3">
        <f t="shared" si="59"/>
        <v>2.9401069941400983E-2</v>
      </c>
      <c r="O141" s="3">
        <f t="shared" si="59"/>
        <v>2.9401069346939784E-2</v>
      </c>
      <c r="P141" s="3">
        <f t="shared" si="59"/>
        <v>2.9401063402328429E-2</v>
      </c>
      <c r="Q141" s="3">
        <f t="shared" si="59"/>
        <v>2.9401003956281001E-2</v>
      </c>
      <c r="R141" s="3">
        <f t="shared" si="59"/>
        <v>2.9400409502417329E-2</v>
      </c>
      <c r="S141" s="3">
        <f t="shared" si="59"/>
        <v>2.9394465624794384E-2</v>
      </c>
      <c r="T141" s="3">
        <f t="shared" si="59"/>
        <v>2.9335092900516103E-2</v>
      </c>
      <c r="U141" s="3">
        <f t="shared" si="59"/>
        <v>2.8747921705217915E-2</v>
      </c>
      <c r="V141" s="3">
        <f t="shared" si="59"/>
        <v>2.3485310596831333E-2</v>
      </c>
      <c r="W141" s="3">
        <f t="shared" si="59"/>
        <v>3.1095307505935549E-3</v>
      </c>
      <c r="X141" s="3">
        <f t="shared" si="59"/>
        <v>5.1484954586315791E-12</v>
      </c>
      <c r="Y141" s="3">
        <f t="shared" si="59"/>
        <v>7.971409396705914E-100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4.9041908611543852E-2</v>
      </c>
      <c r="C142" s="3">
        <f t="shared" si="61"/>
        <v>4.9041908611543852E-2</v>
      </c>
      <c r="D142" s="3">
        <f t="shared" si="61"/>
        <v>4.9041908611543852E-2</v>
      </c>
      <c r="E142" s="3">
        <f t="shared" si="61"/>
        <v>4.9041908611543852E-2</v>
      </c>
      <c r="F142" s="3">
        <f t="shared" si="61"/>
        <v>4.9041908611543852E-2</v>
      </c>
      <c r="G142" s="3">
        <f t="shared" si="61"/>
        <v>4.9041908611543852E-2</v>
      </c>
      <c r="H142" s="3">
        <f t="shared" si="61"/>
        <v>4.9041908611543839E-2</v>
      </c>
      <c r="I142" s="3">
        <f t="shared" si="61"/>
        <v>4.9041908611543755E-2</v>
      </c>
      <c r="J142" s="3">
        <f t="shared" si="61"/>
        <v>4.9041908611542853E-2</v>
      </c>
      <c r="K142" s="3">
        <f t="shared" si="61"/>
        <v>4.9041908611533916E-2</v>
      </c>
      <c r="L142" s="3">
        <f t="shared" si="61"/>
        <v>4.9041908611444467E-2</v>
      </c>
      <c r="M142" s="3">
        <f t="shared" si="61"/>
        <v>4.9041908610549981E-2</v>
      </c>
      <c r="N142" s="3">
        <f t="shared" si="61"/>
        <v>4.9041908601605101E-2</v>
      </c>
      <c r="O142" s="3">
        <f t="shared" si="61"/>
        <v>4.904190851215634E-2</v>
      </c>
      <c r="P142" s="3">
        <f t="shared" si="61"/>
        <v>4.9041907617668717E-2</v>
      </c>
      <c r="Q142" s="3">
        <f t="shared" si="61"/>
        <v>4.9041898672793426E-2</v>
      </c>
      <c r="R142" s="3">
        <f t="shared" si="61"/>
        <v>4.9041809224130185E-2</v>
      </c>
      <c r="S142" s="3">
        <f t="shared" si="61"/>
        <v>4.9040914746470904E-2</v>
      </c>
      <c r="T142" s="3">
        <f t="shared" si="61"/>
        <v>4.903197086712386E-2</v>
      </c>
      <c r="U142" s="3">
        <f t="shared" si="61"/>
        <v>4.8942621737713105E-2</v>
      </c>
      <c r="V142" s="3">
        <f t="shared" si="61"/>
        <v>4.8058036633660609E-2</v>
      </c>
      <c r="W142" s="3">
        <f t="shared" si="61"/>
        <v>4.0045522821454654E-2</v>
      </c>
      <c r="X142" s="3">
        <f t="shared" si="61"/>
        <v>6.4629888572054995E-3</v>
      </c>
      <c r="Y142" s="3">
        <f t="shared" si="61"/>
        <v>7.7486812891117438E-11</v>
      </c>
      <c r="Z142" s="3">
        <f t="shared" si="61"/>
        <v>4.7552319935239256E-90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4.178985908034704E-2</v>
      </c>
      <c r="C143" s="3">
        <f t="shared" si="63"/>
        <v>4.178985908034704E-2</v>
      </c>
      <c r="D143" s="3">
        <f t="shared" si="63"/>
        <v>4.178985908034704E-2</v>
      </c>
      <c r="E143" s="3">
        <f t="shared" si="63"/>
        <v>4.178985908034704E-2</v>
      </c>
      <c r="F143" s="3">
        <f t="shared" si="63"/>
        <v>4.178985908034704E-2</v>
      </c>
      <c r="G143" s="3">
        <f t="shared" si="63"/>
        <v>4.178985908034704E-2</v>
      </c>
      <c r="H143" s="3">
        <f t="shared" si="63"/>
        <v>4.178985908034704E-2</v>
      </c>
      <c r="I143" s="3">
        <f t="shared" si="63"/>
        <v>4.1789859080347033E-2</v>
      </c>
      <c r="J143" s="3">
        <f t="shared" si="63"/>
        <v>4.1789859080346964E-2</v>
      </c>
      <c r="K143" s="3">
        <f t="shared" si="63"/>
        <v>4.1789859080346277E-2</v>
      </c>
      <c r="L143" s="3">
        <f t="shared" si="63"/>
        <v>4.17898590803394E-2</v>
      </c>
      <c r="M143" s="3">
        <f t="shared" si="63"/>
        <v>4.1789859080270643E-2</v>
      </c>
      <c r="N143" s="3">
        <f t="shared" si="63"/>
        <v>4.1789859079583061E-2</v>
      </c>
      <c r="O143" s="3">
        <f t="shared" si="63"/>
        <v>4.1789859072707242E-2</v>
      </c>
      <c r="P143" s="3">
        <f t="shared" si="63"/>
        <v>4.1789859003949048E-2</v>
      </c>
      <c r="Q143" s="3">
        <f t="shared" si="63"/>
        <v>4.1789858316367091E-2</v>
      </c>
      <c r="R143" s="3">
        <f t="shared" si="63"/>
        <v>4.1789851440548198E-2</v>
      </c>
      <c r="S143" s="3">
        <f t="shared" si="63"/>
        <v>4.1789782682421499E-2</v>
      </c>
      <c r="T143" s="3">
        <f t="shared" si="63"/>
        <v>4.1789095107376592E-2</v>
      </c>
      <c r="U143" s="3">
        <f t="shared" si="63"/>
        <v>4.1782219979100817E-2</v>
      </c>
      <c r="V143" s="3">
        <f t="shared" si="63"/>
        <v>4.1713530875810985E-2</v>
      </c>
      <c r="W143" s="3">
        <f t="shared" si="63"/>
        <v>4.1032820102548141E-2</v>
      </c>
      <c r="X143" s="3">
        <f t="shared" si="63"/>
        <v>3.4807713990649532E-2</v>
      </c>
      <c r="Y143" s="3">
        <f t="shared" si="63"/>
        <v>6.7160954192578603E-3</v>
      </c>
      <c r="Z143" s="3">
        <f t="shared" si="63"/>
        <v>4.8031972039786875E-10</v>
      </c>
      <c r="AA143" s="3">
        <f t="shared" ref="AA143" si="64">$C29*EXP(-AA$129/$A29/EXP(-$B$126))</f>
        <v>1.6813805435627006E-81</v>
      </c>
      <c r="AB143" s="3">
        <f t="shared" si="46"/>
        <v>0</v>
      </c>
      <c r="AC143" s="3">
        <f t="shared" si="46"/>
        <v>0</v>
      </c>
      <c r="AD143" s="3">
        <f t="shared" si="46"/>
        <v>0</v>
      </c>
      <c r="AE143" s="3">
        <f t="shared" si="46"/>
        <v>0</v>
      </c>
      <c r="AF143" s="3">
        <f t="shared" si="46"/>
        <v>0</v>
      </c>
    </row>
    <row r="144" spans="1:33" x14ac:dyDescent="0.25">
      <c r="B144" s="3">
        <f t="shared" ref="B144:Z144" si="65">$C30*EXP(-B$129/$A30/EXP(-$B$126))</f>
        <v>4.6925793493946939E-2</v>
      </c>
      <c r="C144" s="3">
        <f t="shared" si="65"/>
        <v>4.6925793493946939E-2</v>
      </c>
      <c r="D144" s="3">
        <f t="shared" si="65"/>
        <v>4.6925793493946939E-2</v>
      </c>
      <c r="E144" s="3">
        <f t="shared" si="65"/>
        <v>4.6925793493946939E-2</v>
      </c>
      <c r="F144" s="3">
        <f t="shared" si="65"/>
        <v>4.6925793493946939E-2</v>
      </c>
      <c r="G144" s="3">
        <f t="shared" si="65"/>
        <v>4.6925793493946939E-2</v>
      </c>
      <c r="H144" s="3">
        <f t="shared" si="65"/>
        <v>4.6925793493946939E-2</v>
      </c>
      <c r="I144" s="3">
        <f t="shared" si="65"/>
        <v>4.6925793493946939E-2</v>
      </c>
      <c r="J144" s="3">
        <f t="shared" si="65"/>
        <v>4.6925793493946932E-2</v>
      </c>
      <c r="K144" s="3">
        <f t="shared" si="65"/>
        <v>4.6925793493946863E-2</v>
      </c>
      <c r="L144" s="3">
        <f t="shared" si="65"/>
        <v>4.6925793493946162E-2</v>
      </c>
      <c r="M144" s="3">
        <f t="shared" si="65"/>
        <v>4.6925793493939202E-2</v>
      </c>
      <c r="N144" s="3">
        <f t="shared" si="65"/>
        <v>4.692579349386955E-2</v>
      </c>
      <c r="O144" s="3">
        <f t="shared" si="65"/>
        <v>4.6925793493173072E-2</v>
      </c>
      <c r="P144" s="3">
        <f t="shared" si="65"/>
        <v>4.6925793486208213E-2</v>
      </c>
      <c r="Q144" s="3">
        <f t="shared" si="65"/>
        <v>4.6925793416559711E-2</v>
      </c>
      <c r="R144" s="3">
        <f t="shared" si="65"/>
        <v>4.6925792720074702E-2</v>
      </c>
      <c r="S144" s="3">
        <f t="shared" si="65"/>
        <v>4.6925785755225095E-2</v>
      </c>
      <c r="T144" s="3">
        <f t="shared" si="65"/>
        <v>4.6925716106785968E-2</v>
      </c>
      <c r="U144" s="3">
        <f t="shared" si="65"/>
        <v>4.6925019628080204E-2</v>
      </c>
      <c r="V144" s="3">
        <f t="shared" si="65"/>
        <v>4.6918055409545661E-2</v>
      </c>
      <c r="W144" s="3">
        <f t="shared" si="65"/>
        <v>4.6848470045303174E-2</v>
      </c>
      <c r="X144" s="3">
        <f t="shared" si="65"/>
        <v>4.6158267432575256E-2</v>
      </c>
      <c r="Y144" s="3">
        <f t="shared" si="65"/>
        <v>3.9791504945235548E-2</v>
      </c>
      <c r="Z144" s="3">
        <f t="shared" si="65"/>
        <v>9.0198439162563881E-3</v>
      </c>
      <c r="AA144" s="3">
        <f t="shared" ref="AA144" si="66">$C30*EXP(-AA$129/$A30/EXP(-$B$126))</f>
        <v>3.2306179214823771E-9</v>
      </c>
      <c r="AB144" s="3">
        <f t="shared" ref="AB144:AF153" si="67">$C30*EXP(-AB$129/$A30/EXP(-$B$126))</f>
        <v>1.1224095512680052E-73</v>
      </c>
      <c r="AC144" s="3">
        <f t="shared" si="67"/>
        <v>0</v>
      </c>
      <c r="AD144" s="3">
        <f t="shared" si="67"/>
        <v>0</v>
      </c>
      <c r="AE144" s="3">
        <f t="shared" si="67"/>
        <v>0</v>
      </c>
      <c r="AF144" s="3">
        <f t="shared" si="67"/>
        <v>0</v>
      </c>
    </row>
    <row r="145" spans="1:32" x14ac:dyDescent="0.25">
      <c r="B145" s="3">
        <f t="shared" ref="B145:Z145" si="68">$C31*EXP(-B$129/$A31/EXP(-$B$126))</f>
        <v>4.7062467056075051E-2</v>
      </c>
      <c r="C145" s="3">
        <f t="shared" si="68"/>
        <v>4.7062467056075051E-2</v>
      </c>
      <c r="D145" s="3">
        <f t="shared" si="68"/>
        <v>4.7062467056075051E-2</v>
      </c>
      <c r="E145" s="3">
        <f t="shared" si="68"/>
        <v>4.7062467056075051E-2</v>
      </c>
      <c r="F145" s="3">
        <f t="shared" si="68"/>
        <v>4.7062467056075051E-2</v>
      </c>
      <c r="G145" s="3">
        <f t="shared" si="68"/>
        <v>4.7062467056075051E-2</v>
      </c>
      <c r="H145" s="3">
        <f t="shared" si="68"/>
        <v>4.7062467056075051E-2</v>
      </c>
      <c r="I145" s="3">
        <f t="shared" si="68"/>
        <v>4.7062467056075051E-2</v>
      </c>
      <c r="J145" s="3">
        <f t="shared" si="68"/>
        <v>4.7062467056075051E-2</v>
      </c>
      <c r="K145" s="3">
        <f t="shared" si="68"/>
        <v>4.7062467056075044E-2</v>
      </c>
      <c r="L145" s="3">
        <f t="shared" si="68"/>
        <v>4.7062467056074982E-2</v>
      </c>
      <c r="M145" s="3">
        <f t="shared" si="68"/>
        <v>4.706246705607435E-2</v>
      </c>
      <c r="N145" s="3">
        <f t="shared" si="68"/>
        <v>4.706246705606805E-2</v>
      </c>
      <c r="O145" s="3">
        <f t="shared" si="68"/>
        <v>4.7062467056005038E-2</v>
      </c>
      <c r="P145" s="3">
        <f t="shared" si="68"/>
        <v>4.7062467055374917E-2</v>
      </c>
      <c r="Q145" s="3">
        <f t="shared" si="68"/>
        <v>4.7062467049073749E-2</v>
      </c>
      <c r="R145" s="3">
        <f t="shared" si="68"/>
        <v>4.7062466986062014E-2</v>
      </c>
      <c r="S145" s="3">
        <f t="shared" si="68"/>
        <v>4.7062466355944667E-2</v>
      </c>
      <c r="T145" s="3">
        <f t="shared" si="68"/>
        <v>4.7062460054771695E-2</v>
      </c>
      <c r="U145" s="3">
        <f t="shared" si="68"/>
        <v>4.706239704308833E-2</v>
      </c>
      <c r="V145" s="3">
        <f t="shared" si="68"/>
        <v>4.7061766930894811E-2</v>
      </c>
      <c r="W145" s="3">
        <f t="shared" si="68"/>
        <v>4.7055466272947828E-2</v>
      </c>
      <c r="X145" s="3">
        <f t="shared" si="68"/>
        <v>4.6992506069324279E-2</v>
      </c>
      <c r="Y145" s="3">
        <f t="shared" si="68"/>
        <v>4.6367518725569032E-2</v>
      </c>
      <c r="Z145" s="3">
        <f t="shared" si="68"/>
        <v>4.0557049652675176E-2</v>
      </c>
      <c r="AA145" s="3">
        <f t="shared" ref="AA145" si="69">$C31*EXP(-AA$129/$A31/EXP(-$B$126))</f>
        <v>1.063142154742802E-2</v>
      </c>
      <c r="AB145" s="3">
        <f t="shared" si="67"/>
        <v>1.6287003195026163E-8</v>
      </c>
      <c r="AC145" s="3">
        <f t="shared" si="67"/>
        <v>1.1596838520015262E-66</v>
      </c>
      <c r="AD145" s="3">
        <f t="shared" si="67"/>
        <v>0</v>
      </c>
      <c r="AE145" s="3">
        <f t="shared" si="67"/>
        <v>0</v>
      </c>
      <c r="AF145" s="3">
        <f t="shared" si="67"/>
        <v>0</v>
      </c>
    </row>
    <row r="146" spans="1:32" x14ac:dyDescent="0.25">
      <c r="B146" s="3">
        <f t="shared" ref="B146:Z146" si="70">$C32*EXP(-B$129/$A32/EXP(-$B$126))</f>
        <v>5.1874996245126884E-2</v>
      </c>
      <c r="C146" s="3">
        <f t="shared" si="70"/>
        <v>5.1874996245126884E-2</v>
      </c>
      <c r="D146" s="3">
        <f t="shared" si="70"/>
        <v>5.1874996245126884E-2</v>
      </c>
      <c r="E146" s="3">
        <f t="shared" si="70"/>
        <v>5.1874996245126884E-2</v>
      </c>
      <c r="F146" s="3">
        <f t="shared" si="70"/>
        <v>5.1874996245126884E-2</v>
      </c>
      <c r="G146" s="3">
        <f t="shared" si="70"/>
        <v>5.1874996245126884E-2</v>
      </c>
      <c r="H146" s="3">
        <f t="shared" si="70"/>
        <v>5.1874996245126884E-2</v>
      </c>
      <c r="I146" s="3">
        <f t="shared" si="70"/>
        <v>5.1874996245126884E-2</v>
      </c>
      <c r="J146" s="3">
        <f t="shared" si="70"/>
        <v>5.1874996245126884E-2</v>
      </c>
      <c r="K146" s="3">
        <f t="shared" si="70"/>
        <v>5.1874996245126884E-2</v>
      </c>
      <c r="L146" s="3">
        <f t="shared" si="70"/>
        <v>5.1874996245126877E-2</v>
      </c>
      <c r="M146" s="3">
        <f t="shared" si="70"/>
        <v>5.1874996245126814E-2</v>
      </c>
      <c r="N146" s="3">
        <f t="shared" si="70"/>
        <v>5.187499624512619E-2</v>
      </c>
      <c r="O146" s="3">
        <f t="shared" si="70"/>
        <v>5.1874996245119924E-2</v>
      </c>
      <c r="P146" s="3">
        <f t="shared" si="70"/>
        <v>5.1874996245057266E-2</v>
      </c>
      <c r="Q146" s="3">
        <f t="shared" si="70"/>
        <v>5.1874996244430725E-2</v>
      </c>
      <c r="R146" s="3">
        <f t="shared" si="70"/>
        <v>5.1874996238165286E-2</v>
      </c>
      <c r="S146" s="3">
        <f t="shared" si="70"/>
        <v>5.1874996175510911E-2</v>
      </c>
      <c r="T146" s="3">
        <f t="shared" si="70"/>
        <v>5.1874995548967143E-2</v>
      </c>
      <c r="U146" s="3">
        <f t="shared" si="70"/>
        <v>5.187498928352989E-2</v>
      </c>
      <c r="V146" s="3">
        <f t="shared" si="70"/>
        <v>5.1874926629198979E-2</v>
      </c>
      <c r="W146" s="3">
        <f t="shared" si="70"/>
        <v>5.1874300090051943E-2</v>
      </c>
      <c r="X146" s="3">
        <f t="shared" si="70"/>
        <v>5.1868035114766071E-2</v>
      </c>
      <c r="Y146" s="3">
        <f t="shared" si="70"/>
        <v>5.1805426961762754E-2</v>
      </c>
      <c r="Z146" s="3">
        <f t="shared" si="70"/>
        <v>5.1183486886856658E-2</v>
      </c>
      <c r="AA146" s="3">
        <f t="shared" ref="AA146" si="71">$C32*EXP(-AA$129/$A32/EXP(-$B$126))</f>
        <v>4.5360306993038224E-2</v>
      </c>
      <c r="AB146" s="3">
        <f t="shared" si="67"/>
        <v>1.3556174384861704E-2</v>
      </c>
      <c r="AC146" s="3">
        <f t="shared" si="67"/>
        <v>7.7045763727265189E-8</v>
      </c>
      <c r="AD146" s="3">
        <f t="shared" si="67"/>
        <v>2.7093489326746205E-60</v>
      </c>
      <c r="AE146" s="3">
        <f t="shared" si="67"/>
        <v>0</v>
      </c>
      <c r="AF146" s="3">
        <f t="shared" si="67"/>
        <v>0</v>
      </c>
    </row>
    <row r="147" spans="1:32" x14ac:dyDescent="0.25">
      <c r="B147" s="3">
        <f t="shared" ref="B147:Z147" si="72">$C33*EXP(-B$129/$A33/EXP(-$B$126))</f>
        <v>9.3719085133360594E-2</v>
      </c>
      <c r="C147" s="3">
        <f t="shared" si="72"/>
        <v>9.3719085133360594E-2</v>
      </c>
      <c r="D147" s="3">
        <f t="shared" si="72"/>
        <v>9.3719085133360594E-2</v>
      </c>
      <c r="E147" s="3">
        <f t="shared" si="72"/>
        <v>9.3719085133360594E-2</v>
      </c>
      <c r="F147" s="3">
        <f t="shared" si="72"/>
        <v>9.3719085133360594E-2</v>
      </c>
      <c r="G147" s="3">
        <f t="shared" si="72"/>
        <v>9.3719085133360594E-2</v>
      </c>
      <c r="H147" s="3">
        <f t="shared" si="72"/>
        <v>9.3719085133360594E-2</v>
      </c>
      <c r="I147" s="3">
        <f t="shared" si="72"/>
        <v>9.3719085133360594E-2</v>
      </c>
      <c r="J147" s="3">
        <f t="shared" si="72"/>
        <v>9.3719085133360594E-2</v>
      </c>
      <c r="K147" s="3">
        <f t="shared" si="72"/>
        <v>9.3719085133360594E-2</v>
      </c>
      <c r="L147" s="3">
        <f t="shared" si="72"/>
        <v>9.3719085133360594E-2</v>
      </c>
      <c r="M147" s="3">
        <f t="shared" si="72"/>
        <v>9.371908513336058E-2</v>
      </c>
      <c r="N147" s="3">
        <f t="shared" si="72"/>
        <v>9.3719085133360483E-2</v>
      </c>
      <c r="O147" s="3">
        <f t="shared" si="72"/>
        <v>9.3719085133359456E-2</v>
      </c>
      <c r="P147" s="3">
        <f t="shared" si="72"/>
        <v>9.3719085133349256E-2</v>
      </c>
      <c r="Q147" s="3">
        <f t="shared" si="72"/>
        <v>9.3719085133247143E-2</v>
      </c>
      <c r="R147" s="3">
        <f t="shared" si="72"/>
        <v>9.3719085132226043E-2</v>
      </c>
      <c r="S147" s="3">
        <f t="shared" si="72"/>
        <v>9.3719085122015044E-2</v>
      </c>
      <c r="T147" s="3">
        <f t="shared" si="72"/>
        <v>9.3719085019905113E-2</v>
      </c>
      <c r="U147" s="3">
        <f t="shared" si="72"/>
        <v>9.3719083998805838E-2</v>
      </c>
      <c r="V147" s="3">
        <f t="shared" si="72"/>
        <v>9.3719073787813731E-2</v>
      </c>
      <c r="W147" s="3">
        <f t="shared" si="72"/>
        <v>9.3718971677953677E-2</v>
      </c>
      <c r="X147" s="3">
        <f t="shared" si="72"/>
        <v>9.371795058547204E-2</v>
      </c>
      <c r="Y147" s="3">
        <f t="shared" si="72"/>
        <v>9.3707740272514384E-2</v>
      </c>
      <c r="Z147" s="3">
        <f t="shared" si="72"/>
        <v>9.360569830414886E-2</v>
      </c>
      <c r="AA147" s="3">
        <f t="shared" ref="AA147" si="73">$C33*EXP(-AA$129/$A33/EXP(-$B$126))</f>
        <v>9.2591370157572656E-2</v>
      </c>
      <c r="AB147" s="3">
        <f t="shared" si="67"/>
        <v>8.3033385150258085E-2</v>
      </c>
      <c r="AC147" s="3">
        <f t="shared" si="67"/>
        <v>2.7930266160804143E-2</v>
      </c>
      <c r="AD147" s="3">
        <f t="shared" si="67"/>
        <v>5.1796257247192147E-7</v>
      </c>
      <c r="AE147" s="3">
        <f t="shared" si="67"/>
        <v>2.4919046889287638E-54</v>
      </c>
      <c r="AF147" s="3">
        <f t="shared" si="67"/>
        <v>0</v>
      </c>
    </row>
    <row r="148" spans="1:32" x14ac:dyDescent="0.25">
      <c r="B148" s="3">
        <f t="shared" ref="B148:Z148" si="74">$C34*EXP(-B$129/$A34/EXP(-$B$126))</f>
        <v>0.10682658591512105</v>
      </c>
      <c r="C148" s="3">
        <f t="shared" si="74"/>
        <v>0.10682658591512105</v>
      </c>
      <c r="D148" s="3">
        <f t="shared" si="74"/>
        <v>0.10682658591512105</v>
      </c>
      <c r="E148" s="3">
        <f t="shared" si="74"/>
        <v>0.10682658591512105</v>
      </c>
      <c r="F148" s="3">
        <f t="shared" si="74"/>
        <v>0.10682658591512105</v>
      </c>
      <c r="G148" s="3">
        <f t="shared" si="74"/>
        <v>0.10682658591512105</v>
      </c>
      <c r="H148" s="3">
        <f t="shared" si="74"/>
        <v>0.10682658591512105</v>
      </c>
      <c r="I148" s="3">
        <f t="shared" si="74"/>
        <v>0.10682658591512105</v>
      </c>
      <c r="J148" s="3">
        <f t="shared" si="74"/>
        <v>0.10682658591512105</v>
      </c>
      <c r="K148" s="3">
        <f t="shared" si="74"/>
        <v>0.10682658591512105</v>
      </c>
      <c r="L148" s="3">
        <f t="shared" si="74"/>
        <v>0.10682658591512105</v>
      </c>
      <c r="M148" s="3">
        <f t="shared" si="74"/>
        <v>0.10682658591512105</v>
      </c>
      <c r="N148" s="3">
        <f t="shared" si="74"/>
        <v>0.10682658591512104</v>
      </c>
      <c r="O148" s="3">
        <f t="shared" si="74"/>
        <v>0.10682658591512093</v>
      </c>
      <c r="P148" s="3">
        <f t="shared" si="74"/>
        <v>0.10682658591511988</v>
      </c>
      <c r="Q148" s="3">
        <f t="shared" si="74"/>
        <v>0.10682658591510938</v>
      </c>
      <c r="R148" s="3">
        <f t="shared" si="74"/>
        <v>0.10682658591500439</v>
      </c>
      <c r="S148" s="3">
        <f t="shared" si="74"/>
        <v>0.10682658591395446</v>
      </c>
      <c r="T148" s="3">
        <f t="shared" si="74"/>
        <v>0.10682658590345501</v>
      </c>
      <c r="U148" s="3">
        <f t="shared" si="74"/>
        <v>0.10682658579846067</v>
      </c>
      <c r="V148" s="3">
        <f t="shared" si="74"/>
        <v>0.10682658474851733</v>
      </c>
      <c r="W148" s="3">
        <f t="shared" si="74"/>
        <v>0.1068265742490844</v>
      </c>
      <c r="X148" s="3">
        <f t="shared" si="74"/>
        <v>0.1068264692548119</v>
      </c>
      <c r="Y148" s="3">
        <f t="shared" si="74"/>
        <v>0.10682541931776257</v>
      </c>
      <c r="Z148" s="3">
        <f t="shared" si="74"/>
        <v>0.10681492051481059</v>
      </c>
      <c r="AA148" s="3">
        <f>$C34*EXP(-AA$129/$A34/EXP(-$B$126))</f>
        <v>0.1067099892187954</v>
      </c>
      <c r="AB148" s="3">
        <f t="shared" si="67"/>
        <v>0.10566632903186539</v>
      </c>
      <c r="AC148" s="3">
        <f t="shared" si="67"/>
        <v>9.5774977262871486E-2</v>
      </c>
      <c r="AD148" s="3">
        <f t="shared" si="67"/>
        <v>3.5843171898276016E-2</v>
      </c>
      <c r="AE148" s="3">
        <f t="shared" si="67"/>
        <v>1.9317468382733358E-6</v>
      </c>
      <c r="AF148" s="3">
        <f t="shared" si="67"/>
        <v>3.9938151540309461E-49</v>
      </c>
    </row>
    <row r="149" spans="1:32" x14ac:dyDescent="0.25">
      <c r="B149" s="3">
        <f t="shared" ref="B149:Z149" si="75">$C35*EXP(-B$129/$A35/EXP(-$B$126))</f>
        <v>0.11271230139024535</v>
      </c>
      <c r="C149" s="3">
        <f t="shared" si="75"/>
        <v>0.11271230139024535</v>
      </c>
      <c r="D149" s="3">
        <f t="shared" si="75"/>
        <v>0.11271230139024535</v>
      </c>
      <c r="E149" s="3">
        <f t="shared" si="75"/>
        <v>0.11271230139024535</v>
      </c>
      <c r="F149" s="3">
        <f t="shared" si="75"/>
        <v>0.11271230139024535</v>
      </c>
      <c r="G149" s="3">
        <f t="shared" si="75"/>
        <v>0.11271230139024535</v>
      </c>
      <c r="H149" s="3">
        <f t="shared" si="75"/>
        <v>0.11271230139024535</v>
      </c>
      <c r="I149" s="3">
        <f t="shared" si="75"/>
        <v>0.11271230139024535</v>
      </c>
      <c r="J149" s="3">
        <f t="shared" si="75"/>
        <v>0.11271230139024535</v>
      </c>
      <c r="K149" s="3">
        <f t="shared" si="75"/>
        <v>0.11271230139024535</v>
      </c>
      <c r="L149" s="3">
        <f t="shared" si="75"/>
        <v>0.11271230139024535</v>
      </c>
      <c r="M149" s="3">
        <f t="shared" si="75"/>
        <v>0.11271230139024535</v>
      </c>
      <c r="N149" s="3">
        <f t="shared" si="75"/>
        <v>0.11271230139024535</v>
      </c>
      <c r="O149" s="3">
        <f t="shared" si="75"/>
        <v>0.11271230139024534</v>
      </c>
      <c r="P149" s="3">
        <f t="shared" si="75"/>
        <v>0.11271230139024524</v>
      </c>
      <c r="Q149" s="3">
        <f t="shared" si="75"/>
        <v>0.11271230139024424</v>
      </c>
      <c r="R149" s="3">
        <f t="shared" si="75"/>
        <v>0.11271230139023425</v>
      </c>
      <c r="S149" s="3">
        <f t="shared" si="75"/>
        <v>0.11271230139013431</v>
      </c>
      <c r="T149" s="3">
        <f t="shared" si="75"/>
        <v>0.11271230138913499</v>
      </c>
      <c r="U149" s="3">
        <f t="shared" si="75"/>
        <v>0.1127123013791418</v>
      </c>
      <c r="V149" s="3">
        <f t="shared" si="75"/>
        <v>0.11271230127920984</v>
      </c>
      <c r="W149" s="3">
        <f t="shared" si="75"/>
        <v>0.1127123002798902</v>
      </c>
      <c r="X149" s="3">
        <f t="shared" si="75"/>
        <v>0.11271229028669419</v>
      </c>
      <c r="Y149" s="3">
        <f t="shared" si="75"/>
        <v>0.11271219035478293</v>
      </c>
      <c r="Z149" s="3">
        <f t="shared" si="75"/>
        <v>0.1127111910405434</v>
      </c>
      <c r="AA149" s="3">
        <f t="shared" ref="AA149" si="76">$C35*EXP(-AA$129/$A35/EXP(-$B$126))</f>
        <v>0.11270119838543471</v>
      </c>
      <c r="AB149" s="3">
        <f t="shared" si="67"/>
        <v>0.11260132054701856</v>
      </c>
      <c r="AC149" s="3">
        <f t="shared" si="67"/>
        <v>0.11160739748777003</v>
      </c>
      <c r="AD149" s="3">
        <f t="shared" si="67"/>
        <v>0.10213814239836792</v>
      </c>
      <c r="AE149" s="3">
        <f t="shared" si="67"/>
        <v>4.2086004122122642E-2</v>
      </c>
      <c r="AF149" s="3">
        <f t="shared" si="67"/>
        <v>5.9379300487627583E-6</v>
      </c>
    </row>
    <row r="150" spans="1:32" x14ac:dyDescent="0.25">
      <c r="B150" s="3">
        <f t="shared" ref="B150:Z150" si="77">$C36*EXP(-B$129/$A36/EXP(-$B$126))</f>
        <v>0.10920571405178373</v>
      </c>
      <c r="C150" s="3">
        <f t="shared" si="77"/>
        <v>0.10920571405178373</v>
      </c>
      <c r="D150" s="3">
        <f t="shared" si="77"/>
        <v>0.10920571405178373</v>
      </c>
      <c r="E150" s="3">
        <f t="shared" si="77"/>
        <v>0.10920571405178373</v>
      </c>
      <c r="F150" s="3">
        <f t="shared" si="77"/>
        <v>0.10920571405178373</v>
      </c>
      <c r="G150" s="3">
        <f t="shared" si="77"/>
        <v>0.10920571405178373</v>
      </c>
      <c r="H150" s="3">
        <f t="shared" si="77"/>
        <v>0.10920571405178373</v>
      </c>
      <c r="I150" s="3">
        <f t="shared" si="77"/>
        <v>0.10920571405178373</v>
      </c>
      <c r="J150" s="3">
        <f t="shared" si="77"/>
        <v>0.10920571405178373</v>
      </c>
      <c r="K150" s="3">
        <f t="shared" si="77"/>
        <v>0.10920571405178373</v>
      </c>
      <c r="L150" s="3">
        <f t="shared" si="77"/>
        <v>0.10920571405178373</v>
      </c>
      <c r="M150" s="3">
        <f t="shared" si="77"/>
        <v>0.10920571405178373</v>
      </c>
      <c r="N150" s="3">
        <f t="shared" si="77"/>
        <v>0.10920571405178373</v>
      </c>
      <c r="O150" s="3">
        <f t="shared" si="77"/>
        <v>0.10920571405178373</v>
      </c>
      <c r="P150" s="3">
        <f t="shared" si="77"/>
        <v>0.10920571405178371</v>
      </c>
      <c r="Q150" s="3">
        <f t="shared" si="77"/>
        <v>0.10920571405178363</v>
      </c>
      <c r="R150" s="3">
        <f t="shared" si="77"/>
        <v>0.10920571405178275</v>
      </c>
      <c r="S150" s="3">
        <f t="shared" si="77"/>
        <v>0.10920571405177402</v>
      </c>
      <c r="T150" s="3">
        <f t="shared" si="77"/>
        <v>0.10920571405168668</v>
      </c>
      <c r="U150" s="3">
        <f t="shared" si="77"/>
        <v>0.10920571405081325</v>
      </c>
      <c r="V150" s="3">
        <f t="shared" si="77"/>
        <v>0.10920571404207902</v>
      </c>
      <c r="W150" s="3">
        <f t="shared" si="77"/>
        <v>0.10920571395473663</v>
      </c>
      <c r="X150" s="3">
        <f t="shared" si="77"/>
        <v>0.10920571308131274</v>
      </c>
      <c r="Y150" s="3">
        <f t="shared" si="77"/>
        <v>0.1092057043470743</v>
      </c>
      <c r="Z150" s="3">
        <f t="shared" si="77"/>
        <v>0.10920561700472825</v>
      </c>
      <c r="AA150" s="3">
        <f t="shared" ref="AA150" si="78">$C36*EXP(-AA$129/$A36/EXP(-$B$126))</f>
        <v>0.10920474358510986</v>
      </c>
      <c r="AB150" s="3">
        <f t="shared" si="67"/>
        <v>0.10919600977312222</v>
      </c>
      <c r="AC150" s="3">
        <f t="shared" si="67"/>
        <v>0.10910871006150887</v>
      </c>
      <c r="AD150" s="3">
        <f t="shared" si="67"/>
        <v>0.10823954242999741</v>
      </c>
      <c r="AE150" s="3">
        <f t="shared" si="67"/>
        <v>9.9919720549834487E-2</v>
      </c>
      <c r="AF150" s="3">
        <f t="shared" si="67"/>
        <v>4.4905945161877882E-2</v>
      </c>
    </row>
    <row r="151" spans="1:32" x14ac:dyDescent="0.25">
      <c r="B151" s="3">
        <f t="shared" ref="B151:Z151" si="79">$C37*EXP(-B$129/$A37/EXP(-$B$126))</f>
        <v>8.5595472993728092E-2</v>
      </c>
      <c r="C151" s="3">
        <f t="shared" si="79"/>
        <v>8.5595472993728092E-2</v>
      </c>
      <c r="D151" s="3">
        <f t="shared" si="79"/>
        <v>8.5595472993728092E-2</v>
      </c>
      <c r="E151" s="3">
        <f t="shared" si="79"/>
        <v>8.5595472993728092E-2</v>
      </c>
      <c r="F151" s="3">
        <f t="shared" si="79"/>
        <v>8.5595472993728092E-2</v>
      </c>
      <c r="G151" s="3">
        <f t="shared" si="79"/>
        <v>8.5595472993728092E-2</v>
      </c>
      <c r="H151" s="3">
        <f t="shared" si="79"/>
        <v>8.5595472993728092E-2</v>
      </c>
      <c r="I151" s="3">
        <f t="shared" si="79"/>
        <v>8.5595472993728092E-2</v>
      </c>
      <c r="J151" s="3">
        <f t="shared" si="79"/>
        <v>8.5595472993728092E-2</v>
      </c>
      <c r="K151" s="3">
        <f t="shared" si="79"/>
        <v>8.5595472993728092E-2</v>
      </c>
      <c r="L151" s="3">
        <f t="shared" si="79"/>
        <v>8.5595472993728092E-2</v>
      </c>
      <c r="M151" s="3">
        <f t="shared" si="79"/>
        <v>8.5595472993728092E-2</v>
      </c>
      <c r="N151" s="3">
        <f t="shared" si="79"/>
        <v>8.5595472993728092E-2</v>
      </c>
      <c r="O151" s="3">
        <f t="shared" si="79"/>
        <v>8.5595472993728092E-2</v>
      </c>
      <c r="P151" s="3">
        <f t="shared" si="79"/>
        <v>8.5595472993728092E-2</v>
      </c>
      <c r="Q151" s="3">
        <f t="shared" si="79"/>
        <v>8.5595472993728078E-2</v>
      </c>
      <c r="R151" s="3">
        <f t="shared" si="79"/>
        <v>8.5595472993728022E-2</v>
      </c>
      <c r="S151" s="3">
        <f t="shared" si="79"/>
        <v>8.5595472993727412E-2</v>
      </c>
      <c r="T151" s="3">
        <f t="shared" si="79"/>
        <v>8.5595472993721236E-2</v>
      </c>
      <c r="U151" s="3">
        <f t="shared" si="79"/>
        <v>8.5595472993659466E-2</v>
      </c>
      <c r="V151" s="3">
        <f t="shared" si="79"/>
        <v>8.5595472993041918E-2</v>
      </c>
      <c r="W151" s="3">
        <f t="shared" si="79"/>
        <v>8.5595472986866344E-2</v>
      </c>
      <c r="X151" s="3">
        <f t="shared" si="79"/>
        <v>8.5595472925110647E-2</v>
      </c>
      <c r="Y151" s="3">
        <f t="shared" si="79"/>
        <v>8.5595472307553586E-2</v>
      </c>
      <c r="Z151" s="3">
        <f t="shared" si="79"/>
        <v>8.559546613198328E-2</v>
      </c>
      <c r="AA151" s="3">
        <f t="shared" ref="AA151" si="80">$C37*EXP(-AA$129/$A37/EXP(-$B$126))</f>
        <v>8.559540437630471E-2</v>
      </c>
      <c r="AB151" s="3">
        <f t="shared" si="67"/>
        <v>8.5594786821969665E-2</v>
      </c>
      <c r="AC151" s="3">
        <f t="shared" si="67"/>
        <v>8.5588611523668229E-2</v>
      </c>
      <c r="AD151" s="3">
        <f t="shared" si="67"/>
        <v>8.5526883039028154E-2</v>
      </c>
      <c r="AE151" s="3">
        <f t="shared" si="67"/>
        <v>8.4912041502833657E-2</v>
      </c>
      <c r="AF151" s="3">
        <f t="shared" si="67"/>
        <v>7.9001558738821018E-2</v>
      </c>
    </row>
    <row r="152" spans="1:32" x14ac:dyDescent="0.25">
      <c r="B152" s="3">
        <f t="shared" ref="B152:Z152" si="81">$C38*EXP(-B$129/$A38/EXP(-$B$126))</f>
        <v>3.0330599560697977E-2</v>
      </c>
      <c r="C152" s="3">
        <f t="shared" si="81"/>
        <v>3.0330599560697977E-2</v>
      </c>
      <c r="D152" s="3">
        <f t="shared" si="81"/>
        <v>3.0330599560697977E-2</v>
      </c>
      <c r="E152" s="3">
        <f t="shared" si="81"/>
        <v>3.0330599560697977E-2</v>
      </c>
      <c r="F152" s="3">
        <f t="shared" si="81"/>
        <v>3.0330599560697977E-2</v>
      </c>
      <c r="G152" s="3">
        <f t="shared" si="81"/>
        <v>3.0330599560697977E-2</v>
      </c>
      <c r="H152" s="3">
        <f t="shared" si="81"/>
        <v>3.0330599560697977E-2</v>
      </c>
      <c r="I152" s="3">
        <f t="shared" si="81"/>
        <v>3.0330599560697977E-2</v>
      </c>
      <c r="J152" s="3">
        <f t="shared" si="81"/>
        <v>3.0330599560697977E-2</v>
      </c>
      <c r="K152" s="3">
        <f t="shared" si="81"/>
        <v>3.0330599560697977E-2</v>
      </c>
      <c r="L152" s="3">
        <f t="shared" si="81"/>
        <v>3.0330599560697977E-2</v>
      </c>
      <c r="M152" s="3">
        <f t="shared" si="81"/>
        <v>3.0330599560697977E-2</v>
      </c>
      <c r="N152" s="3">
        <f t="shared" si="81"/>
        <v>3.0330599560697977E-2</v>
      </c>
      <c r="O152" s="3">
        <f t="shared" si="81"/>
        <v>3.0330599560697977E-2</v>
      </c>
      <c r="P152" s="3">
        <f t="shared" si="81"/>
        <v>3.0330599560697977E-2</v>
      </c>
      <c r="Q152" s="3">
        <f t="shared" si="81"/>
        <v>3.0330599560697977E-2</v>
      </c>
      <c r="R152" s="3">
        <f t="shared" si="81"/>
        <v>3.0330599560697974E-2</v>
      </c>
      <c r="S152" s="3">
        <f t="shared" si="81"/>
        <v>3.0330599560697953E-2</v>
      </c>
      <c r="T152" s="3">
        <f t="shared" si="81"/>
        <v>3.0330599560697759E-2</v>
      </c>
      <c r="U152" s="3">
        <f t="shared" si="81"/>
        <v>3.0330599560695785E-2</v>
      </c>
      <c r="V152" s="3">
        <f t="shared" si="81"/>
        <v>3.0330599560676044E-2</v>
      </c>
      <c r="W152" s="3">
        <f t="shared" si="81"/>
        <v>3.0330599560478639E-2</v>
      </c>
      <c r="X152" s="3">
        <f t="shared" si="81"/>
        <v>3.033059955850461E-2</v>
      </c>
      <c r="Y152" s="3">
        <f t="shared" si="81"/>
        <v>3.0330599538764304E-2</v>
      </c>
      <c r="Z152" s="3">
        <f t="shared" si="81"/>
        <v>3.0330599341361245E-2</v>
      </c>
      <c r="AA152" s="3">
        <f t="shared" ref="AA152" si="82">$C38*EXP(-AA$129/$A38/EXP(-$B$126))</f>
        <v>3.0330597367330726E-2</v>
      </c>
      <c r="AB152" s="3">
        <f t="shared" si="67"/>
        <v>3.0330577627032618E-2</v>
      </c>
      <c r="AC152" s="3">
        <f t="shared" si="67"/>
        <v>3.0330380224758164E-2</v>
      </c>
      <c r="AD152" s="3">
        <f t="shared" si="67"/>
        <v>3.032840627267426E-2</v>
      </c>
      <c r="AE152" s="3">
        <f t="shared" si="67"/>
        <v>3.0308673816202333E-2</v>
      </c>
      <c r="AF152" s="3">
        <f t="shared" si="67"/>
        <v>3.0112053989975251E-2</v>
      </c>
    </row>
    <row r="153" spans="1:32" x14ac:dyDescent="0.25">
      <c r="B153" s="3">
        <f t="shared" ref="B153:Z153" si="83">$C39*EXP(-B$129/$A39/EXP(-$B$126))</f>
        <v>3.2127590787364095E-2</v>
      </c>
      <c r="C153" s="3">
        <f t="shared" si="83"/>
        <v>3.2127590787364095E-2</v>
      </c>
      <c r="D153" s="3">
        <f t="shared" si="83"/>
        <v>3.2127590787364095E-2</v>
      </c>
      <c r="E153" s="3">
        <f t="shared" si="83"/>
        <v>3.2127590787364095E-2</v>
      </c>
      <c r="F153" s="3">
        <f t="shared" si="83"/>
        <v>3.2127590787364095E-2</v>
      </c>
      <c r="G153" s="3">
        <f t="shared" si="83"/>
        <v>3.2127590787364095E-2</v>
      </c>
      <c r="H153" s="3">
        <f t="shared" si="83"/>
        <v>3.2127590787364095E-2</v>
      </c>
      <c r="I153" s="3">
        <f t="shared" si="83"/>
        <v>3.2127590787364095E-2</v>
      </c>
      <c r="J153" s="3">
        <f t="shared" si="83"/>
        <v>3.2127590787364095E-2</v>
      </c>
      <c r="K153" s="3">
        <f t="shared" si="83"/>
        <v>3.2127590787364095E-2</v>
      </c>
      <c r="L153" s="3">
        <f t="shared" si="83"/>
        <v>3.2127590787364095E-2</v>
      </c>
      <c r="M153" s="3">
        <f t="shared" si="83"/>
        <v>3.2127590787364095E-2</v>
      </c>
      <c r="N153" s="3">
        <f t="shared" si="83"/>
        <v>3.2127590787364095E-2</v>
      </c>
      <c r="O153" s="3">
        <f t="shared" si="83"/>
        <v>3.2127590787364095E-2</v>
      </c>
      <c r="P153" s="3">
        <f t="shared" si="83"/>
        <v>3.2127590787364095E-2</v>
      </c>
      <c r="Q153" s="3">
        <f t="shared" si="83"/>
        <v>3.2127590787364095E-2</v>
      </c>
      <c r="R153" s="3">
        <f t="shared" si="83"/>
        <v>3.2127590787364095E-2</v>
      </c>
      <c r="S153" s="3">
        <f t="shared" si="83"/>
        <v>3.2127590787364088E-2</v>
      </c>
      <c r="T153" s="3">
        <f t="shared" si="83"/>
        <v>3.2127590787364033E-2</v>
      </c>
      <c r="U153" s="3">
        <f t="shared" si="83"/>
        <v>3.212759078736345E-2</v>
      </c>
      <c r="V153" s="3">
        <f t="shared" si="83"/>
        <v>3.212759078735767E-2</v>
      </c>
      <c r="W153" s="3">
        <f t="shared" si="83"/>
        <v>3.2127590787299841E-2</v>
      </c>
      <c r="X153" s="3">
        <f t="shared" si="83"/>
        <v>3.2127590786721526E-2</v>
      </c>
      <c r="Y153" s="3">
        <f t="shared" si="83"/>
        <v>3.2127590780938381E-2</v>
      </c>
      <c r="Z153" s="3">
        <f t="shared" si="83"/>
        <v>3.2127590723106954E-2</v>
      </c>
      <c r="AA153" s="3">
        <f t="shared" ref="AA153" si="84">$C39*EXP(-AA$129/$A39/EXP(-$B$126))</f>
        <v>3.2127590144792696E-2</v>
      </c>
      <c r="AB153" s="3">
        <f t="shared" si="67"/>
        <v>3.2127584361650675E-2</v>
      </c>
      <c r="AC153" s="3">
        <f t="shared" si="67"/>
        <v>3.2127526530287713E-2</v>
      </c>
      <c r="AD153" s="3">
        <f t="shared" si="67"/>
        <v>3.212694822238351E-2</v>
      </c>
      <c r="AE153" s="3">
        <f t="shared" si="67"/>
        <v>3.2121165715847715E-2</v>
      </c>
      <c r="AF153" s="3">
        <f t="shared" si="67"/>
        <v>3.2063397862999221E-2</v>
      </c>
    </row>
    <row r="154" spans="1:32" x14ac:dyDescent="0.25">
      <c r="B154" s="3">
        <f t="shared" ref="B154:Z154" si="85">$C40*EXP(-B$129/$A40/EXP(-$B$126))</f>
        <v>1.5939358035986794E-2</v>
      </c>
      <c r="C154" s="3">
        <f t="shared" si="85"/>
        <v>1.5939358035986794E-2</v>
      </c>
      <c r="D154" s="3">
        <f t="shared" si="85"/>
        <v>1.5939358035986794E-2</v>
      </c>
      <c r="E154" s="3">
        <f t="shared" si="85"/>
        <v>1.5939358035986794E-2</v>
      </c>
      <c r="F154" s="3">
        <f t="shared" si="85"/>
        <v>1.5939358035986794E-2</v>
      </c>
      <c r="G154" s="3">
        <f t="shared" si="85"/>
        <v>1.5939358035986794E-2</v>
      </c>
      <c r="H154" s="3">
        <f t="shared" si="85"/>
        <v>1.5939358035986794E-2</v>
      </c>
      <c r="I154" s="3">
        <f t="shared" si="85"/>
        <v>1.5939358035986794E-2</v>
      </c>
      <c r="J154" s="3">
        <f t="shared" si="85"/>
        <v>1.5939358035986794E-2</v>
      </c>
      <c r="K154" s="3">
        <f t="shared" si="85"/>
        <v>1.5939358035986794E-2</v>
      </c>
      <c r="L154" s="3">
        <f t="shared" si="85"/>
        <v>1.5939358035986794E-2</v>
      </c>
      <c r="M154" s="3">
        <f t="shared" si="85"/>
        <v>1.5939358035986794E-2</v>
      </c>
      <c r="N154" s="3">
        <f t="shared" si="85"/>
        <v>1.5939358035986794E-2</v>
      </c>
      <c r="O154" s="3">
        <f t="shared" si="85"/>
        <v>1.5939358035986794E-2</v>
      </c>
      <c r="P154" s="3">
        <f t="shared" si="85"/>
        <v>1.5939358035986794E-2</v>
      </c>
      <c r="Q154" s="3">
        <f t="shared" si="85"/>
        <v>1.5939358035986794E-2</v>
      </c>
      <c r="R154" s="3">
        <f t="shared" si="85"/>
        <v>1.5939358035986794E-2</v>
      </c>
      <c r="S154" s="3">
        <f t="shared" si="85"/>
        <v>1.5939358035986794E-2</v>
      </c>
      <c r="T154" s="3">
        <f t="shared" si="85"/>
        <v>1.5939358035986791E-2</v>
      </c>
      <c r="U154" s="3">
        <f t="shared" si="85"/>
        <v>1.5939358035986763E-2</v>
      </c>
      <c r="V154" s="3">
        <f t="shared" si="85"/>
        <v>1.5939358035986475E-2</v>
      </c>
      <c r="W154" s="3">
        <f t="shared" si="85"/>
        <v>1.5939358035983606E-2</v>
      </c>
      <c r="X154" s="3">
        <f t="shared" si="85"/>
        <v>1.5939358035954913E-2</v>
      </c>
      <c r="Y154" s="3">
        <f t="shared" si="85"/>
        <v>1.5939358035667997E-2</v>
      </c>
      <c r="Z154" s="3">
        <f t="shared" si="85"/>
        <v>1.5939358032798823E-2</v>
      </c>
      <c r="AA154" s="3">
        <f t="shared" ref="AA154:AF154" si="86">$C40*EXP(-AA$129/$A40/EXP(-$B$126))</f>
        <v>1.5939358004107104E-2</v>
      </c>
      <c r="AB154" s="3">
        <f t="shared" si="86"/>
        <v>1.5939357717189916E-2</v>
      </c>
      <c r="AC154" s="3">
        <f t="shared" si="86"/>
        <v>1.5939354848018311E-2</v>
      </c>
      <c r="AD154" s="3">
        <f t="shared" si="86"/>
        <v>1.5939326156330657E-2</v>
      </c>
      <c r="AE154" s="3">
        <f t="shared" si="86"/>
        <v>1.5939039242294645E-2</v>
      </c>
      <c r="AF154" s="3">
        <f t="shared" si="86"/>
        <v>1.5936170385970203E-2</v>
      </c>
    </row>
    <row r="155" spans="1:32" x14ac:dyDescent="0.25">
      <c r="B155" s="3">
        <f t="shared" ref="B155:Z155" si="87">$C41*EXP(-B$129/$A41/EXP(-$B$126))</f>
        <v>1.0098226932664881E-3</v>
      </c>
      <c r="C155" s="3">
        <f t="shared" si="87"/>
        <v>1.0098226932664881E-3</v>
      </c>
      <c r="D155" s="3">
        <f t="shared" si="87"/>
        <v>1.0098226932664881E-3</v>
      </c>
      <c r="E155" s="3">
        <f t="shared" si="87"/>
        <v>1.0098226932664881E-3</v>
      </c>
      <c r="F155" s="3">
        <f t="shared" si="87"/>
        <v>1.0098226932664881E-3</v>
      </c>
      <c r="G155" s="3">
        <f t="shared" si="87"/>
        <v>1.0098226932664881E-3</v>
      </c>
      <c r="H155" s="3">
        <f t="shared" si="87"/>
        <v>1.0098226932664881E-3</v>
      </c>
      <c r="I155" s="3">
        <f t="shared" si="87"/>
        <v>1.0098226932664881E-3</v>
      </c>
      <c r="J155" s="3">
        <f t="shared" si="87"/>
        <v>1.0098226932664881E-3</v>
      </c>
      <c r="K155" s="3">
        <f t="shared" si="87"/>
        <v>1.0098226932664881E-3</v>
      </c>
      <c r="L155" s="3">
        <f t="shared" si="87"/>
        <v>1.0098226932664881E-3</v>
      </c>
      <c r="M155" s="3">
        <f t="shared" si="87"/>
        <v>1.0098226932664881E-3</v>
      </c>
      <c r="N155" s="3">
        <f t="shared" si="87"/>
        <v>1.0098226932664881E-3</v>
      </c>
      <c r="O155" s="3">
        <f t="shared" si="87"/>
        <v>1.0098226932664881E-3</v>
      </c>
      <c r="P155" s="3">
        <f t="shared" si="87"/>
        <v>1.0098226932664881E-3</v>
      </c>
      <c r="Q155" s="3">
        <f t="shared" si="87"/>
        <v>1.0098226932664881E-3</v>
      </c>
      <c r="R155" s="3">
        <f t="shared" si="87"/>
        <v>1.0098226932664881E-3</v>
      </c>
      <c r="S155" s="3">
        <f t="shared" si="87"/>
        <v>1.0098226932664881E-3</v>
      </c>
      <c r="T155" s="3">
        <f t="shared" si="87"/>
        <v>1.0098226932664881E-3</v>
      </c>
      <c r="U155" s="3">
        <f t="shared" si="87"/>
        <v>1.0098226932664879E-3</v>
      </c>
      <c r="V155" s="3">
        <f t="shared" si="87"/>
        <v>1.0098226932664862E-3</v>
      </c>
      <c r="W155" s="3">
        <f t="shared" si="87"/>
        <v>1.009822693266468E-3</v>
      </c>
      <c r="X155" s="3">
        <f t="shared" si="87"/>
        <v>1.0098226932662862E-3</v>
      </c>
      <c r="Y155" s="3">
        <f t="shared" si="87"/>
        <v>1.0098226932644685E-3</v>
      </c>
      <c r="Z155" s="3">
        <f t="shared" si="87"/>
        <v>1.0098226932462912E-3</v>
      </c>
      <c r="AA155" s="3">
        <f t="shared" ref="AA155:AF155" si="88">$C41*EXP(-AA$129/$A41/EXP(-$B$126))</f>
        <v>1.0098226930645173E-3</v>
      </c>
      <c r="AB155" s="3">
        <f t="shared" si="88"/>
        <v>1.0098226912467812E-3</v>
      </c>
      <c r="AC155" s="3">
        <f t="shared" si="88"/>
        <v>1.0098226730694186E-3</v>
      </c>
      <c r="AD155" s="3">
        <f t="shared" si="88"/>
        <v>1.009822491295812E-3</v>
      </c>
      <c r="AE155" s="3">
        <f t="shared" si="88"/>
        <v>1.0098206735615447E-3</v>
      </c>
      <c r="AF155" s="3">
        <f t="shared" si="88"/>
        <v>1.0098024963988304E-3</v>
      </c>
    </row>
    <row r="156" spans="1:32" x14ac:dyDescent="0.25">
      <c r="B156" s="3">
        <f t="shared" ref="B156:Z156" si="89">$C42*EXP(-B$129/$A42/EXP(-$B$126))</f>
        <v>3.5232790951536608E-3</v>
      </c>
      <c r="C156" s="3">
        <f t="shared" si="89"/>
        <v>3.5232790951536608E-3</v>
      </c>
      <c r="D156" s="3">
        <f t="shared" si="89"/>
        <v>3.5232790951536608E-3</v>
      </c>
      <c r="E156" s="3">
        <f t="shared" si="89"/>
        <v>3.5232790951536608E-3</v>
      </c>
      <c r="F156" s="3">
        <f t="shared" si="89"/>
        <v>3.5232790951536608E-3</v>
      </c>
      <c r="G156" s="3">
        <f t="shared" si="89"/>
        <v>3.5232790951536608E-3</v>
      </c>
      <c r="H156" s="3">
        <f t="shared" si="89"/>
        <v>3.5232790951536608E-3</v>
      </c>
      <c r="I156" s="3">
        <f t="shared" si="89"/>
        <v>3.5232790951536608E-3</v>
      </c>
      <c r="J156" s="3">
        <f t="shared" si="89"/>
        <v>3.5232790951536608E-3</v>
      </c>
      <c r="K156" s="3">
        <f t="shared" si="89"/>
        <v>3.5232790951536608E-3</v>
      </c>
      <c r="L156" s="3">
        <f t="shared" si="89"/>
        <v>3.5232790951536608E-3</v>
      </c>
      <c r="M156" s="3">
        <f t="shared" si="89"/>
        <v>3.5232790951536608E-3</v>
      </c>
      <c r="N156" s="3">
        <f t="shared" si="89"/>
        <v>3.5232790951536608E-3</v>
      </c>
      <c r="O156" s="3">
        <f t="shared" si="89"/>
        <v>3.5232790951536608E-3</v>
      </c>
      <c r="P156" s="3">
        <f t="shared" si="89"/>
        <v>3.5232790951536608E-3</v>
      </c>
      <c r="Q156" s="3">
        <f t="shared" si="89"/>
        <v>3.5232790951536608E-3</v>
      </c>
      <c r="R156" s="3">
        <f t="shared" si="89"/>
        <v>3.5232790951536608E-3</v>
      </c>
      <c r="S156" s="3">
        <f t="shared" si="89"/>
        <v>3.5232790951536608E-3</v>
      </c>
      <c r="T156" s="3">
        <f t="shared" si="89"/>
        <v>3.5232790951536608E-3</v>
      </c>
      <c r="U156" s="3">
        <f t="shared" si="89"/>
        <v>3.5232790951536608E-3</v>
      </c>
      <c r="V156" s="3">
        <f t="shared" si="89"/>
        <v>3.5232790951536599E-3</v>
      </c>
      <c r="W156" s="3">
        <f t="shared" si="89"/>
        <v>3.5232790951536539E-3</v>
      </c>
      <c r="X156" s="3">
        <f t="shared" si="89"/>
        <v>3.5232790951535906E-3</v>
      </c>
      <c r="Y156" s="3">
        <f t="shared" si="89"/>
        <v>3.5232790951529565E-3</v>
      </c>
      <c r="Z156" s="3">
        <f t="shared" si="89"/>
        <v>3.5232790951466139E-3</v>
      </c>
      <c r="AA156" s="3">
        <f t="shared" ref="AA156:AF156" si="90">$C42*EXP(-AA$129/$A42/EXP(-$B$126))</f>
        <v>3.5232790950831933E-3</v>
      </c>
      <c r="AB156" s="3">
        <f t="shared" si="90"/>
        <v>3.5232790944489836E-3</v>
      </c>
      <c r="AC156" s="3">
        <f t="shared" si="90"/>
        <v>3.5232790881068875E-3</v>
      </c>
      <c r="AD156" s="3">
        <f t="shared" si="90"/>
        <v>3.5232790246859311E-3</v>
      </c>
      <c r="AE156" s="3">
        <f t="shared" si="90"/>
        <v>3.523278390476428E-3</v>
      </c>
      <c r="AF156" s="3">
        <f t="shared" si="90"/>
        <v>3.5232720483876758E-3</v>
      </c>
    </row>
    <row r="157" spans="1:32" x14ac:dyDescent="0.25">
      <c r="B157" s="3">
        <f t="shared" ref="B157:Z157" si="91">$C43*EXP(-B$129/$A43/EXP(-$B$126))</f>
        <v>1.7526056431954549E-4</v>
      </c>
      <c r="C157" s="3">
        <f t="shared" si="91"/>
        <v>1.7526056431954549E-4</v>
      </c>
      <c r="D157" s="3">
        <f t="shared" si="91"/>
        <v>1.7526056431954549E-4</v>
      </c>
      <c r="E157" s="3">
        <f t="shared" si="91"/>
        <v>1.7526056431954549E-4</v>
      </c>
      <c r="F157" s="3">
        <f t="shared" si="91"/>
        <v>1.7526056431954549E-4</v>
      </c>
      <c r="G157" s="3">
        <f t="shared" si="91"/>
        <v>1.7526056431954549E-4</v>
      </c>
      <c r="H157" s="3">
        <f t="shared" si="91"/>
        <v>1.7526056431954549E-4</v>
      </c>
      <c r="I157" s="3">
        <f t="shared" si="91"/>
        <v>1.7526056431954549E-4</v>
      </c>
      <c r="J157" s="3">
        <f t="shared" si="91"/>
        <v>1.7526056431954549E-4</v>
      </c>
      <c r="K157" s="3">
        <f t="shared" si="91"/>
        <v>1.7526056431954549E-4</v>
      </c>
      <c r="L157" s="3">
        <f t="shared" si="91"/>
        <v>1.7526056431954549E-4</v>
      </c>
      <c r="M157" s="3">
        <f t="shared" si="91"/>
        <v>1.7526056431954549E-4</v>
      </c>
      <c r="N157" s="3">
        <f t="shared" si="91"/>
        <v>1.7526056431954549E-4</v>
      </c>
      <c r="O157" s="3">
        <f t="shared" si="91"/>
        <v>1.7526056431954549E-4</v>
      </c>
      <c r="P157" s="3">
        <f t="shared" si="91"/>
        <v>1.7526056431954549E-4</v>
      </c>
      <c r="Q157" s="3">
        <f t="shared" si="91"/>
        <v>1.7526056431954549E-4</v>
      </c>
      <c r="R157" s="3">
        <f t="shared" si="91"/>
        <v>1.7526056431954549E-4</v>
      </c>
      <c r="S157" s="3">
        <f t="shared" si="91"/>
        <v>1.7526056431954549E-4</v>
      </c>
      <c r="T157" s="3">
        <f t="shared" si="91"/>
        <v>1.7526056431954549E-4</v>
      </c>
      <c r="U157" s="3">
        <f t="shared" si="91"/>
        <v>1.7526056431954549E-4</v>
      </c>
      <c r="V157" s="3">
        <f t="shared" si="91"/>
        <v>1.7526056431954549E-4</v>
      </c>
      <c r="W157" s="3">
        <f t="shared" si="91"/>
        <v>1.7526056431954546E-4</v>
      </c>
      <c r="X157" s="3">
        <f t="shared" si="91"/>
        <v>1.7526056431954514E-4</v>
      </c>
      <c r="Y157" s="3">
        <f t="shared" si="91"/>
        <v>1.75260564319542E-4</v>
      </c>
      <c r="Z157" s="3">
        <f t="shared" si="91"/>
        <v>1.7526056431951045E-4</v>
      </c>
      <c r="AA157" s="3">
        <f t="shared" ref="AA157:AF157" si="92">$C43*EXP(-AA$129/$A43/EXP(-$B$126))</f>
        <v>1.7526056431919497E-4</v>
      </c>
      <c r="AB157" s="3">
        <f t="shared" si="92"/>
        <v>1.7526056431604019E-4</v>
      </c>
      <c r="AC157" s="3">
        <f t="shared" si="92"/>
        <v>1.7526056428449231E-4</v>
      </c>
      <c r="AD157" s="3">
        <f t="shared" si="92"/>
        <v>1.7526056396901366E-4</v>
      </c>
      <c r="AE157" s="3">
        <f t="shared" si="92"/>
        <v>1.7526056081422736E-4</v>
      </c>
      <c r="AF157" s="3">
        <f t="shared" si="92"/>
        <v>1.7526052926636744E-4</v>
      </c>
    </row>
    <row r="158" spans="1:32" x14ac:dyDescent="0.25">
      <c r="B158" s="3">
        <f t="shared" ref="B158:Z158" si="93">$C44*EXP(-B$129/$A44/EXP(-$B$126))</f>
        <v>0</v>
      </c>
      <c r="C158" s="3">
        <f t="shared" si="93"/>
        <v>0</v>
      </c>
      <c r="D158" s="3">
        <f t="shared" si="93"/>
        <v>0</v>
      </c>
      <c r="E158" s="3">
        <f t="shared" si="93"/>
        <v>0</v>
      </c>
      <c r="F158" s="3">
        <f t="shared" si="93"/>
        <v>0</v>
      </c>
      <c r="G158" s="3">
        <f t="shared" si="93"/>
        <v>0</v>
      </c>
      <c r="H158" s="3">
        <f t="shared" si="93"/>
        <v>0</v>
      </c>
      <c r="I158" s="3">
        <f t="shared" si="93"/>
        <v>0</v>
      </c>
      <c r="J158" s="3">
        <f t="shared" si="93"/>
        <v>0</v>
      </c>
      <c r="K158" s="3">
        <f t="shared" si="93"/>
        <v>0</v>
      </c>
      <c r="L158" s="3">
        <f t="shared" si="93"/>
        <v>0</v>
      </c>
      <c r="M158" s="3">
        <f t="shared" si="93"/>
        <v>0</v>
      </c>
      <c r="N158" s="3">
        <f t="shared" si="93"/>
        <v>0</v>
      </c>
      <c r="O158" s="3">
        <f t="shared" si="93"/>
        <v>0</v>
      </c>
      <c r="P158" s="3">
        <f t="shared" si="93"/>
        <v>0</v>
      </c>
      <c r="Q158" s="3">
        <f t="shared" si="93"/>
        <v>0</v>
      </c>
      <c r="R158" s="3">
        <f t="shared" si="93"/>
        <v>0</v>
      </c>
      <c r="S158" s="3">
        <f t="shared" si="93"/>
        <v>0</v>
      </c>
      <c r="T158" s="3">
        <f t="shared" si="93"/>
        <v>0</v>
      </c>
      <c r="U158" s="3">
        <f t="shared" si="93"/>
        <v>0</v>
      </c>
      <c r="V158" s="3">
        <f t="shared" si="93"/>
        <v>0</v>
      </c>
      <c r="W158" s="3">
        <f t="shared" si="93"/>
        <v>0</v>
      </c>
      <c r="X158" s="3">
        <f t="shared" si="93"/>
        <v>0</v>
      </c>
      <c r="Y158" s="3">
        <f t="shared" si="93"/>
        <v>0</v>
      </c>
      <c r="Z158" s="3">
        <f t="shared" si="93"/>
        <v>0</v>
      </c>
      <c r="AA158" s="3">
        <f t="shared" ref="AA158:AF158" si="94">$C44*EXP(-AA$129/$A44/EXP(-$B$126))</f>
        <v>0</v>
      </c>
      <c r="AB158" s="3">
        <f t="shared" si="94"/>
        <v>0</v>
      </c>
      <c r="AC158" s="3">
        <f t="shared" si="94"/>
        <v>0</v>
      </c>
      <c r="AD158" s="3">
        <f t="shared" si="94"/>
        <v>0</v>
      </c>
      <c r="AE158" s="3">
        <f t="shared" si="94"/>
        <v>0</v>
      </c>
      <c r="AF158" s="3">
        <f t="shared" si="94"/>
        <v>0</v>
      </c>
    </row>
    <row r="159" spans="1:32" x14ac:dyDescent="0.25">
      <c r="A159" s="11" t="s">
        <v>75</v>
      </c>
      <c r="B159" s="3">
        <f t="shared" ref="B159:Z159" si="95">$C45*EXP(-B$129/$A45/EXP(-$B$126))</f>
        <v>1.1765348907566872E-4</v>
      </c>
      <c r="C159" s="3">
        <f t="shared" si="95"/>
        <v>1.1765348907566872E-4</v>
      </c>
      <c r="D159" s="3">
        <f t="shared" si="95"/>
        <v>1.1765348907566872E-4</v>
      </c>
      <c r="E159" s="3">
        <f t="shared" si="95"/>
        <v>1.1765348907566872E-4</v>
      </c>
      <c r="F159" s="3">
        <f t="shared" si="95"/>
        <v>1.1765348907566872E-4</v>
      </c>
      <c r="G159" s="3">
        <f t="shared" si="95"/>
        <v>1.1765348907566872E-4</v>
      </c>
      <c r="H159" s="3">
        <f t="shared" si="95"/>
        <v>1.1765348907566872E-4</v>
      </c>
      <c r="I159" s="3">
        <f t="shared" si="95"/>
        <v>1.1765348907566872E-4</v>
      </c>
      <c r="J159" s="3">
        <f t="shared" si="95"/>
        <v>1.1765348907566872E-4</v>
      </c>
      <c r="K159" s="3">
        <f t="shared" si="95"/>
        <v>1.1765348907566872E-4</v>
      </c>
      <c r="L159" s="3">
        <f t="shared" si="95"/>
        <v>1.1765348907566872E-4</v>
      </c>
      <c r="M159" s="3">
        <f t="shared" si="95"/>
        <v>1.1765348907566872E-4</v>
      </c>
      <c r="N159" s="3">
        <f t="shared" si="95"/>
        <v>1.1765348907566872E-4</v>
      </c>
      <c r="O159" s="3">
        <f t="shared" si="95"/>
        <v>1.1765348907566872E-4</v>
      </c>
      <c r="P159" s="3">
        <f t="shared" si="95"/>
        <v>1.1765348907566872E-4</v>
      </c>
      <c r="Q159" s="3">
        <f t="shared" si="95"/>
        <v>1.1765348907566872E-4</v>
      </c>
      <c r="R159" s="3">
        <f t="shared" si="95"/>
        <v>1.1765348907566872E-4</v>
      </c>
      <c r="S159" s="3">
        <f t="shared" si="95"/>
        <v>1.1765348907566872E-4</v>
      </c>
      <c r="T159" s="3">
        <f t="shared" si="95"/>
        <v>1.1765348907566872E-4</v>
      </c>
      <c r="U159" s="3">
        <f t="shared" si="95"/>
        <v>1.1765348907566872E-4</v>
      </c>
      <c r="V159" s="3">
        <f t="shared" si="95"/>
        <v>1.1765348907566872E-4</v>
      </c>
      <c r="W159" s="3">
        <f t="shared" si="95"/>
        <v>1.1765348907566872E-4</v>
      </c>
      <c r="X159" s="3">
        <f t="shared" si="95"/>
        <v>1.1765348907566872E-4</v>
      </c>
      <c r="Y159" s="3">
        <f t="shared" si="95"/>
        <v>1.176534890756687E-4</v>
      </c>
      <c r="Z159" s="3">
        <f t="shared" si="95"/>
        <v>1.1765348907566849E-4</v>
      </c>
      <c r="AA159" s="3">
        <f t="shared" ref="AA159:AF159" si="96">$C45*EXP(-AA$129/$A45/EXP(-$B$126))</f>
        <v>1.1765348907566638E-4</v>
      </c>
      <c r="AB159" s="3">
        <f t="shared" si="96"/>
        <v>1.176534890756452E-4</v>
      </c>
      <c r="AC159" s="3">
        <f t="shared" si="96"/>
        <v>1.1765348907543341E-4</v>
      </c>
      <c r="AD159" s="3">
        <f t="shared" si="96"/>
        <v>1.1765348907331558E-4</v>
      </c>
      <c r="AE159" s="3">
        <f t="shared" si="96"/>
        <v>1.1765348905213731E-4</v>
      </c>
      <c r="AF159" s="3">
        <f t="shared" si="96"/>
        <v>1.1765348884035457E-4</v>
      </c>
    </row>
    <row r="160" spans="1:32" x14ac:dyDescent="0.25">
      <c r="B160" s="3">
        <f t="shared" ref="B160:Z160" si="97">$C46*EXP(-B$129/$A46/EXP(-$B$126))</f>
        <v>0</v>
      </c>
      <c r="C160" s="3">
        <f t="shared" si="97"/>
        <v>0</v>
      </c>
      <c r="D160" s="3">
        <f t="shared" si="97"/>
        <v>0</v>
      </c>
      <c r="E160" s="3">
        <f t="shared" si="97"/>
        <v>0</v>
      </c>
      <c r="F160" s="3">
        <f t="shared" si="97"/>
        <v>0</v>
      </c>
      <c r="G160" s="3">
        <f t="shared" si="97"/>
        <v>0</v>
      </c>
      <c r="H160" s="3">
        <f t="shared" si="97"/>
        <v>0</v>
      </c>
      <c r="I160" s="3">
        <f t="shared" si="97"/>
        <v>0</v>
      </c>
      <c r="J160" s="3">
        <f t="shared" si="97"/>
        <v>0</v>
      </c>
      <c r="K160" s="3">
        <f t="shared" si="97"/>
        <v>0</v>
      </c>
      <c r="L160" s="3">
        <f t="shared" si="97"/>
        <v>0</v>
      </c>
      <c r="M160" s="3">
        <f t="shared" si="97"/>
        <v>0</v>
      </c>
      <c r="N160" s="3">
        <f t="shared" si="97"/>
        <v>0</v>
      </c>
      <c r="O160" s="3">
        <f t="shared" si="97"/>
        <v>0</v>
      </c>
      <c r="P160" s="3">
        <f t="shared" si="97"/>
        <v>0</v>
      </c>
      <c r="Q160" s="3">
        <f t="shared" si="97"/>
        <v>0</v>
      </c>
      <c r="R160" s="3">
        <f t="shared" si="97"/>
        <v>0</v>
      </c>
      <c r="S160" s="3">
        <f t="shared" si="97"/>
        <v>0</v>
      </c>
      <c r="T160" s="3">
        <f t="shared" si="97"/>
        <v>0</v>
      </c>
      <c r="U160" s="3">
        <f t="shared" si="97"/>
        <v>0</v>
      </c>
      <c r="V160" s="3">
        <f t="shared" si="97"/>
        <v>0</v>
      </c>
      <c r="W160" s="3">
        <f t="shared" si="97"/>
        <v>0</v>
      </c>
      <c r="X160" s="3">
        <f t="shared" si="97"/>
        <v>0</v>
      </c>
      <c r="Y160" s="3">
        <f t="shared" si="97"/>
        <v>0</v>
      </c>
      <c r="Z160" s="3">
        <f t="shared" si="97"/>
        <v>0</v>
      </c>
      <c r="AA160" s="3">
        <f t="shared" ref="AA160:AF160" si="98">$C46*EXP(-AA$129/$A46/EXP(-$B$126))</f>
        <v>0</v>
      </c>
      <c r="AB160" s="3">
        <f t="shared" si="98"/>
        <v>0</v>
      </c>
      <c r="AC160" s="3">
        <f t="shared" si="98"/>
        <v>0</v>
      </c>
      <c r="AD160" s="3">
        <f t="shared" si="98"/>
        <v>0</v>
      </c>
      <c r="AE160" s="3">
        <f t="shared" si="98"/>
        <v>0</v>
      </c>
      <c r="AF160" s="3">
        <f t="shared" si="98"/>
        <v>0</v>
      </c>
    </row>
    <row r="161" spans="1:34" x14ac:dyDescent="0.25">
      <c r="A161" s="11" t="s">
        <v>75</v>
      </c>
      <c r="B161" s="3">
        <f t="shared" ref="B161:Z161" si="99">$C47*EXP(-B$129/$A47/EXP(-$B$126))</f>
        <v>6.5987032321069097E-5</v>
      </c>
      <c r="C161" s="3">
        <f t="shared" si="99"/>
        <v>6.5987032321069097E-5</v>
      </c>
      <c r="D161" s="3">
        <f t="shared" si="99"/>
        <v>6.5987032321069097E-5</v>
      </c>
      <c r="E161" s="3">
        <f t="shared" si="99"/>
        <v>6.5987032321069097E-5</v>
      </c>
      <c r="F161" s="3">
        <f t="shared" si="99"/>
        <v>6.5987032321069097E-5</v>
      </c>
      <c r="G161" s="3">
        <f t="shared" si="99"/>
        <v>6.5987032321069097E-5</v>
      </c>
      <c r="H161" s="3">
        <f t="shared" si="99"/>
        <v>6.5987032321069097E-5</v>
      </c>
      <c r="I161" s="3">
        <f t="shared" si="99"/>
        <v>6.5987032321069097E-5</v>
      </c>
      <c r="J161" s="3">
        <f t="shared" si="99"/>
        <v>6.5987032321069097E-5</v>
      </c>
      <c r="K161" s="3">
        <f t="shared" si="99"/>
        <v>6.5987032321069097E-5</v>
      </c>
      <c r="L161" s="3">
        <f t="shared" si="99"/>
        <v>6.5987032321069097E-5</v>
      </c>
      <c r="M161" s="3">
        <f t="shared" si="99"/>
        <v>6.5987032321069097E-5</v>
      </c>
      <c r="N161" s="3">
        <f t="shared" si="99"/>
        <v>6.5987032321069097E-5</v>
      </c>
      <c r="O161" s="3">
        <f t="shared" si="99"/>
        <v>6.5987032321069097E-5</v>
      </c>
      <c r="P161" s="3">
        <f t="shared" si="99"/>
        <v>6.5987032321069097E-5</v>
      </c>
      <c r="Q161" s="3">
        <f t="shared" si="99"/>
        <v>6.5987032321069097E-5</v>
      </c>
      <c r="R161" s="3">
        <f t="shared" si="99"/>
        <v>6.5987032321069097E-5</v>
      </c>
      <c r="S161" s="3">
        <f t="shared" si="99"/>
        <v>6.5987032321069097E-5</v>
      </c>
      <c r="T161" s="3">
        <f t="shared" si="99"/>
        <v>6.5987032321069097E-5</v>
      </c>
      <c r="U161" s="3">
        <f t="shared" si="99"/>
        <v>6.5987032321069097E-5</v>
      </c>
      <c r="V161" s="3">
        <f t="shared" si="99"/>
        <v>6.5987032321069097E-5</v>
      </c>
      <c r="W161" s="3">
        <f t="shared" si="99"/>
        <v>6.5987032321069097E-5</v>
      </c>
      <c r="X161" s="3">
        <f t="shared" si="99"/>
        <v>6.5987032321069097E-5</v>
      </c>
      <c r="Y161" s="3">
        <f t="shared" si="99"/>
        <v>6.5987032321069097E-5</v>
      </c>
      <c r="Z161" s="3">
        <f t="shared" si="99"/>
        <v>6.5987032321069097E-5</v>
      </c>
      <c r="AA161" s="3">
        <f t="shared" ref="AA161:AF161" si="100">$C47*EXP(-AA$129/$A47/EXP(-$B$126))</f>
        <v>6.5987032321069083E-5</v>
      </c>
      <c r="AB161" s="3">
        <f t="shared" si="100"/>
        <v>6.5987032321068961E-5</v>
      </c>
      <c r="AC161" s="3">
        <f t="shared" si="100"/>
        <v>6.5987032321067782E-5</v>
      </c>
      <c r="AD161" s="3">
        <f t="shared" si="100"/>
        <v>6.5987032321055897E-5</v>
      </c>
      <c r="AE161" s="3">
        <f t="shared" si="100"/>
        <v>6.5987032320937122E-5</v>
      </c>
      <c r="AF161" s="3">
        <f t="shared" si="100"/>
        <v>6.5987032319749325E-5</v>
      </c>
    </row>
    <row r="162" spans="1:34" x14ac:dyDescent="0.25">
      <c r="B162" s="3">
        <f t="shared" ref="B162:Z162" si="101">$C48*EXP(-B$129/$A48/EXP(-$B$126))</f>
        <v>6.9850122094838041E-5</v>
      </c>
      <c r="C162" s="3">
        <f t="shared" si="101"/>
        <v>6.9850122094838041E-5</v>
      </c>
      <c r="D162" s="3">
        <f t="shared" si="101"/>
        <v>6.9850122094838041E-5</v>
      </c>
      <c r="E162" s="3">
        <f t="shared" si="101"/>
        <v>6.9850122094838041E-5</v>
      </c>
      <c r="F162" s="3">
        <f t="shared" si="101"/>
        <v>6.9850122094838041E-5</v>
      </c>
      <c r="G162" s="3">
        <f t="shared" si="101"/>
        <v>6.9850122094838041E-5</v>
      </c>
      <c r="H162" s="3">
        <f t="shared" si="101"/>
        <v>6.9850122094838041E-5</v>
      </c>
      <c r="I162" s="3">
        <f t="shared" si="101"/>
        <v>6.9850122094838041E-5</v>
      </c>
      <c r="J162" s="3">
        <f t="shared" si="101"/>
        <v>6.9850122094838041E-5</v>
      </c>
      <c r="K162" s="3">
        <f t="shared" si="101"/>
        <v>6.9850122094838041E-5</v>
      </c>
      <c r="L162" s="3">
        <f t="shared" si="101"/>
        <v>6.9850122094838041E-5</v>
      </c>
      <c r="M162" s="3">
        <f t="shared" si="101"/>
        <v>6.9850122094838041E-5</v>
      </c>
      <c r="N162" s="3">
        <f t="shared" si="101"/>
        <v>6.9850122094838041E-5</v>
      </c>
      <c r="O162" s="3">
        <f t="shared" si="101"/>
        <v>6.9850122094838041E-5</v>
      </c>
      <c r="P162" s="3">
        <f t="shared" si="101"/>
        <v>6.9850122094838041E-5</v>
      </c>
      <c r="Q162" s="3">
        <f t="shared" si="101"/>
        <v>6.9850122094838041E-5</v>
      </c>
      <c r="R162" s="3">
        <f t="shared" si="101"/>
        <v>6.9850122094838041E-5</v>
      </c>
      <c r="S162" s="3">
        <f t="shared" si="101"/>
        <v>6.9850122094838041E-5</v>
      </c>
      <c r="T162" s="3">
        <f t="shared" si="101"/>
        <v>6.9850122094838041E-5</v>
      </c>
      <c r="U162" s="3">
        <f t="shared" si="101"/>
        <v>6.9850122094838041E-5</v>
      </c>
      <c r="V162" s="3">
        <f t="shared" si="101"/>
        <v>6.9850122094838041E-5</v>
      </c>
      <c r="W162" s="3">
        <f t="shared" si="101"/>
        <v>6.9850122094838041E-5</v>
      </c>
      <c r="X162" s="3">
        <f t="shared" si="101"/>
        <v>6.9850122094838041E-5</v>
      </c>
      <c r="Y162" s="3">
        <f t="shared" si="101"/>
        <v>6.9850122094838041E-5</v>
      </c>
      <c r="Z162" s="3">
        <f t="shared" si="101"/>
        <v>6.9850122094838041E-5</v>
      </c>
      <c r="AA162" s="3">
        <f t="shared" ref="AA162:AF162" si="102">$C48*EXP(-AA$129/$A48/EXP(-$B$126))</f>
        <v>6.9850122094838041E-5</v>
      </c>
      <c r="AB162" s="3">
        <f t="shared" si="102"/>
        <v>6.9850122094838028E-5</v>
      </c>
      <c r="AC162" s="3">
        <f t="shared" si="102"/>
        <v>6.9850122094837906E-5</v>
      </c>
      <c r="AD162" s="3">
        <f t="shared" si="102"/>
        <v>6.9850122094836645E-5</v>
      </c>
      <c r="AE162" s="3">
        <f t="shared" si="102"/>
        <v>6.9850122094824069E-5</v>
      </c>
      <c r="AF162" s="3">
        <f t="shared" si="102"/>
        <v>6.9850122094698342E-5</v>
      </c>
    </row>
    <row r="163" spans="1:34" x14ac:dyDescent="0.25">
      <c r="A163" s="79">
        <f>AVERAGE(B163:AF163)</f>
        <v>9.5194667223748603E-3</v>
      </c>
      <c r="B163" s="80">
        <f>IF($A$64&lt;=B129,IF($B$64&gt;=B129,ABS((B131-B130)/B130),0),0)</f>
        <v>0</v>
      </c>
      <c r="C163" s="80">
        <f t="shared" ref="C163:AF163" si="103">IF($A$64&lt;=C129,IF($B$64&gt;=C129,ABS((C131-C130)/C130),0),0)</f>
        <v>0</v>
      </c>
      <c r="D163" s="80">
        <f t="shared" si="103"/>
        <v>0</v>
      </c>
      <c r="E163" s="80">
        <f t="shared" si="103"/>
        <v>0</v>
      </c>
      <c r="F163" s="80">
        <f t="shared" si="103"/>
        <v>0</v>
      </c>
      <c r="G163" s="80">
        <f t="shared" si="103"/>
        <v>0</v>
      </c>
      <c r="H163" s="80">
        <f t="shared" si="103"/>
        <v>0</v>
      </c>
      <c r="I163" s="80">
        <f t="shared" si="103"/>
        <v>0</v>
      </c>
      <c r="J163" s="80">
        <f t="shared" si="103"/>
        <v>0</v>
      </c>
      <c r="K163" s="80">
        <f t="shared" si="103"/>
        <v>0</v>
      </c>
      <c r="L163" s="80">
        <f t="shared" si="103"/>
        <v>1.4409722230493105E-2</v>
      </c>
      <c r="M163" s="80">
        <f t="shared" si="103"/>
        <v>1.4409911871024635E-2</v>
      </c>
      <c r="N163" s="80">
        <f t="shared" si="103"/>
        <v>1.441213752860291E-2</v>
      </c>
      <c r="O163" s="80">
        <f t="shared" si="103"/>
        <v>1.4434052190515642E-2</v>
      </c>
      <c r="P163" s="80">
        <f t="shared" si="103"/>
        <v>1.4650499907694603E-2</v>
      </c>
      <c r="Q163" s="80">
        <f t="shared" si="103"/>
        <v>1.657607006336629E-2</v>
      </c>
      <c r="R163" s="80">
        <f t="shared" si="103"/>
        <v>2.5980716556679277E-2</v>
      </c>
      <c r="S163" s="80">
        <f t="shared" si="103"/>
        <v>4.2508723005785828E-2</v>
      </c>
      <c r="T163" s="80">
        <f t="shared" si="103"/>
        <v>4.3440748028193116E-2</v>
      </c>
      <c r="U163" s="80">
        <f t="shared" si="103"/>
        <v>4.8224219960224447E-2</v>
      </c>
      <c r="V163" s="80">
        <f t="shared" si="103"/>
        <v>4.6056667051040855E-2</v>
      </c>
      <c r="W163" s="80">
        <f t="shared" si="103"/>
        <v>0</v>
      </c>
      <c r="X163" s="80">
        <f t="shared" si="103"/>
        <v>0</v>
      </c>
      <c r="Y163" s="80">
        <f t="shared" si="103"/>
        <v>0</v>
      </c>
      <c r="Z163" s="80">
        <f t="shared" si="103"/>
        <v>0</v>
      </c>
      <c r="AA163" s="80">
        <f t="shared" si="103"/>
        <v>0</v>
      </c>
      <c r="AB163" s="80">
        <f t="shared" si="103"/>
        <v>0</v>
      </c>
      <c r="AC163" s="80">
        <f t="shared" si="103"/>
        <v>0</v>
      </c>
      <c r="AD163" s="80">
        <f t="shared" si="103"/>
        <v>0</v>
      </c>
      <c r="AE163" s="80">
        <f t="shared" si="103"/>
        <v>0</v>
      </c>
      <c r="AF163" s="80">
        <f t="shared" si="103"/>
        <v>0</v>
      </c>
    </row>
    <row r="164" spans="1:34" x14ac:dyDescent="0.25">
      <c r="B164" s="21">
        <f>(B131-B130)^2</f>
        <v>2505.0127429907725</v>
      </c>
      <c r="C164" s="21">
        <f t="shared" ref="C164:AF164" si="104">(C131-C130)^2</f>
        <v>2510.7058304628858</v>
      </c>
      <c r="D164" s="21">
        <f t="shared" si="104"/>
        <v>2508.0819810979583</v>
      </c>
      <c r="E164" s="21">
        <f t="shared" si="104"/>
        <v>2515.1036483279772</v>
      </c>
      <c r="F164" s="21">
        <f t="shared" si="104"/>
        <v>2595.1896438120343</v>
      </c>
      <c r="G164" s="21">
        <f t="shared" si="104"/>
        <v>3382.080287070421</v>
      </c>
      <c r="H164" s="21">
        <f t="shared" si="104"/>
        <v>7865.1864055903052</v>
      </c>
      <c r="I164" s="21">
        <f t="shared" si="104"/>
        <v>8974.0608933859276</v>
      </c>
      <c r="J164" s="21">
        <f t="shared" si="104"/>
        <v>8974.0611977621938</v>
      </c>
      <c r="K164" s="21">
        <f t="shared" si="104"/>
        <v>8974.0640671711499</v>
      </c>
      <c r="L164" s="21">
        <f t="shared" si="104"/>
        <v>8974.088082109145</v>
      </c>
      <c r="M164" s="21">
        <f t="shared" si="104"/>
        <v>8974.3235506614183</v>
      </c>
      <c r="N164" s="21">
        <f t="shared" si="104"/>
        <v>8977.0945750494157</v>
      </c>
      <c r="O164" s="21">
        <f t="shared" si="104"/>
        <v>9004.3959725275326</v>
      </c>
      <c r="P164" s="21">
        <f t="shared" si="104"/>
        <v>9276.2681644377917</v>
      </c>
      <c r="Q164" s="21">
        <f t="shared" si="104"/>
        <v>11872.322209300119</v>
      </c>
      <c r="R164" s="21">
        <f t="shared" si="104"/>
        <v>29102.947694959938</v>
      </c>
      <c r="S164" s="21">
        <f t="shared" si="104"/>
        <v>76562.057026365801</v>
      </c>
      <c r="T164" s="21">
        <f t="shared" si="104"/>
        <v>76305.448199339007</v>
      </c>
      <c r="U164" s="21">
        <f t="shared" si="104"/>
        <v>89342.230296948896</v>
      </c>
      <c r="V164" s="21">
        <f t="shared" si="104"/>
        <v>75480.96573046736</v>
      </c>
      <c r="W164" s="21">
        <f t="shared" si="104"/>
        <v>6593.2420085980029</v>
      </c>
      <c r="X164" s="21">
        <f t="shared" si="104"/>
        <v>16419.231830376633</v>
      </c>
      <c r="Y164" s="21">
        <f t="shared" si="104"/>
        <v>117038.45714619206</v>
      </c>
      <c r="Z164" s="21">
        <f t="shared" si="104"/>
        <v>222746.5766009794</v>
      </c>
      <c r="AA164" s="21">
        <f t="shared" si="104"/>
        <v>265141.89360828884</v>
      </c>
      <c r="AB164" s="21">
        <f t="shared" si="104"/>
        <v>231550.70831719341</v>
      </c>
      <c r="AC164" s="21">
        <f t="shared" si="104"/>
        <v>65904.346400536044</v>
      </c>
      <c r="AD164" s="21">
        <f t="shared" si="104"/>
        <v>1528.1219659496812</v>
      </c>
      <c r="AE164" s="21">
        <f t="shared" si="104"/>
        <v>97029.081420460308</v>
      </c>
      <c r="AF164" s="21">
        <f t="shared" si="104"/>
        <v>259461.89883999599</v>
      </c>
    </row>
    <row r="165" spans="1:34" x14ac:dyDescent="0.25">
      <c r="A165" s="71">
        <f>SUM(B165:AF165)</f>
        <v>403872.1415021664</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8974.088082109145</v>
      </c>
      <c r="M165" s="60">
        <f t="shared" si="105"/>
        <v>8974.3235506614183</v>
      </c>
      <c r="N165" s="60">
        <f t="shared" si="105"/>
        <v>8977.0945750494157</v>
      </c>
      <c r="O165" s="60">
        <f t="shared" si="105"/>
        <v>9004.3959725275326</v>
      </c>
      <c r="P165" s="60">
        <f t="shared" si="105"/>
        <v>9276.2681644377917</v>
      </c>
      <c r="Q165" s="60">
        <f t="shared" si="105"/>
        <v>11872.322209300119</v>
      </c>
      <c r="R165" s="60">
        <f t="shared" si="105"/>
        <v>29102.947694959938</v>
      </c>
      <c r="S165" s="60">
        <f t="shared" si="105"/>
        <v>76562.057026365801</v>
      </c>
      <c r="T165" s="60">
        <f t="shared" si="105"/>
        <v>76305.448199339007</v>
      </c>
      <c r="U165" s="60">
        <f t="shared" si="105"/>
        <v>89342.230296948896</v>
      </c>
      <c r="V165" s="60">
        <f t="shared" si="105"/>
        <v>75480.96573046736</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6543.7252261807771</v>
      </c>
      <c r="C169" s="26">
        <f>INDEX(Comparison!$AM$3:$AS$33,G$14,$C$122)</f>
        <v>6543.7799387981568</v>
      </c>
      <c r="D169" s="26">
        <f>INDEX(Comparison!$AM$3:$AS$33,H$14,$C$122)</f>
        <v>6543.7462938558028</v>
      </c>
      <c r="E169" s="26">
        <f>INDEX(Comparison!$AM$3:$AS$33,I$14,$C$122)</f>
        <v>6543.7363350192272</v>
      </c>
      <c r="F169" s="26">
        <f>INDEX(Comparison!$AM$3:$AS$33,J$14,$C$122)</f>
        <v>6543.7332030080934</v>
      </c>
      <c r="G169" s="26">
        <f>INDEX(Comparison!$AM$3:$AS$33,K$14,$C$122)</f>
        <v>6543.7321508487757</v>
      </c>
      <c r="H169" s="26">
        <f>INDEX(Comparison!$AM$3:$AS$33,L$14,$C$122)</f>
        <v>6543.7318082853499</v>
      </c>
      <c r="I169" s="26">
        <f>INDEX(Comparison!$AM$3:$AS$33,M$14,$C$122)</f>
        <v>6543.7317593477201</v>
      </c>
      <c r="J169" s="26">
        <f>INDEX(Comparison!$AM$3:$AS$33,N$14,$C$122)</f>
        <v>6543.7315146595847</v>
      </c>
      <c r="K169" s="26">
        <f>INDEX(Comparison!$AM$3:$AS$33,O$14,$C$122)</f>
        <v>6543.731490190773</v>
      </c>
      <c r="L169" s="26">
        <f>INDEX(Comparison!$AM$3:$AS$33,P$14,$C$122)</f>
        <v>6543.7313923155243</v>
      </c>
      <c r="M169" s="26">
        <f>INDEX(Comparison!$AM$3:$AS$33,Q$14,$C$122)</f>
        <v>6543.7286518097571</v>
      </c>
      <c r="N169" s="26">
        <f>INDEX(Comparison!$AM$3:$AS$33,R$14,$C$122)</f>
        <v>6543.7023234963144</v>
      </c>
      <c r="O169" s="26">
        <f>INDEX(Comparison!$AM$3:$AS$33,S$14,$C$122)</f>
        <v>6543.4393456132884</v>
      </c>
      <c r="P169" s="26">
        <f>INDEX(Comparison!$AM$3:$AS$33,T$14,$C$122)</f>
        <v>6540.8297975507394</v>
      </c>
      <c r="Q169" s="26">
        <f>INDEX(Comparison!$AM$3:$AS$33,U$14,$C$122)</f>
        <v>6516.7915822655277</v>
      </c>
      <c r="R169" s="26">
        <f>INDEX(Comparison!$AM$3:$AS$33,V$14,$C$122)</f>
        <v>6390.814079024768</v>
      </c>
      <c r="S169" s="26">
        <f>INDEX(Comparison!$AM$3:$AS$33,W$14,$C$122)</f>
        <v>6240.1474757230608</v>
      </c>
      <c r="T169" s="26">
        <f>INDEX(Comparison!$AM$3:$AS$33,X$14,$C$122)</f>
        <v>6044.4265071962272</v>
      </c>
      <c r="U169" s="26">
        <f>INDEX(Comparison!$AM$3:$AS$33,Y$14,$C$122)</f>
        <v>5697.9764219559002</v>
      </c>
      <c r="V169" s="26">
        <f>INDEX(Comparison!$AM$3:$AS$33,Z$14,$C$122)</f>
        <v>5222.1642197271249</v>
      </c>
      <c r="W169" s="26">
        <f>INDEX(Comparison!$AM$3:$AS$33,AA$14,$C$122)</f>
        <v>4741.2273341563377</v>
      </c>
      <c r="X169" s="26">
        <f>INDEX(Comparison!$AM$3:$AS$33,AB$14,$C$122)</f>
        <v>4311.1706397553053</v>
      </c>
      <c r="Y169" s="26">
        <f>INDEX(Comparison!$AM$3:$AS$33,AC$14,$C$122)</f>
        <v>3952.2593271118144</v>
      </c>
      <c r="Z169" s="26">
        <f>INDEX(Comparison!$AM$3:$AS$33,AD$14,$C$122)</f>
        <v>3639.2172363975619</v>
      </c>
      <c r="AA169" s="26">
        <f>INDEX(Comparison!$AM$3:$AS$33,AE$14,$C$122)</f>
        <v>3344.7021990881808</v>
      </c>
      <c r="AB169" s="26">
        <f>INDEX(Comparison!$AM$3:$AS$33,AF$14,$C$122)</f>
        <v>3034.0126163953428</v>
      </c>
      <c r="AC169" s="26">
        <f>INDEX(Comparison!$AM$3:$AS$33,AG$14,$C$122)</f>
        <v>2653.5608861364908</v>
      </c>
      <c r="AD169" s="26">
        <f>INDEX(Comparison!$AM$3:$AS$33,AH$14,$C$122)</f>
        <v>2203.3378680125074</v>
      </c>
      <c r="AE169" s="26">
        <f>INDEX(Comparison!$AM$3:$AS$33,AI$14,$C$122)</f>
        <v>1683.4592204898881</v>
      </c>
      <c r="AF169" s="26">
        <f>INDEX(Comparison!$AM$3:$AS$33,AJ$14,$C$122)</f>
        <v>1118.1414735463829</v>
      </c>
      <c r="AG169" s="26"/>
      <c r="AH169" s="26"/>
    </row>
    <row r="170" spans="1:34" x14ac:dyDescent="0.25">
      <c r="A170" s="70" t="s">
        <v>22</v>
      </c>
      <c r="B170" s="27">
        <f>($C$17+SUM(B171:B201))*$B$51</f>
        <v>6524.0902766728377</v>
      </c>
      <c r="C170" s="27">
        <f t="shared" ref="C170:AF170" si="106">($C$17+SUM(C171:C201))*$B$51</f>
        <v>6524.0720708515546</v>
      </c>
      <c r="D170" s="27">
        <f t="shared" si="106"/>
        <v>6523.8904202171707</v>
      </c>
      <c r="E170" s="27">
        <f t="shared" si="106"/>
        <v>6522.1140636522268</v>
      </c>
      <c r="F170" s="27">
        <f t="shared" si="106"/>
        <v>6507.8206085755082</v>
      </c>
      <c r="G170" s="27">
        <f t="shared" si="106"/>
        <v>6479.899723483195</v>
      </c>
      <c r="H170" s="27">
        <f t="shared" si="106"/>
        <v>6479.4176830141114</v>
      </c>
      <c r="I170" s="27">
        <f t="shared" si="106"/>
        <v>6479.4176795845415</v>
      </c>
      <c r="J170" s="27">
        <f t="shared" si="106"/>
        <v>6479.4176452888378</v>
      </c>
      <c r="K170" s="27">
        <f t="shared" si="106"/>
        <v>6479.4173023327276</v>
      </c>
      <c r="L170" s="27">
        <f t="shared" si="106"/>
        <v>6479.4138728635307</v>
      </c>
      <c r="M170" s="27">
        <f t="shared" si="106"/>
        <v>6479.3795873598547</v>
      </c>
      <c r="N170" s="27">
        <f t="shared" si="106"/>
        <v>6479.0376486763516</v>
      </c>
      <c r="O170" s="27">
        <f t="shared" si="106"/>
        <v>6475.7074728574707</v>
      </c>
      <c r="P170" s="27">
        <f t="shared" si="106"/>
        <v>6449.3416626790849</v>
      </c>
      <c r="Q170" s="27">
        <f t="shared" si="106"/>
        <v>6343.6490847167561</v>
      </c>
      <c r="R170" s="27">
        <f t="shared" si="106"/>
        <v>6185.6579431198534</v>
      </c>
      <c r="S170" s="27">
        <f t="shared" si="106"/>
        <v>6027.4276823255777</v>
      </c>
      <c r="T170" s="27">
        <f t="shared" si="106"/>
        <v>5834.5070334238444</v>
      </c>
      <c r="U170" s="27">
        <f t="shared" si="106"/>
        <v>5626.1357042350464</v>
      </c>
      <c r="V170" s="27">
        <f t="shared" si="106"/>
        <v>5396.7278237656965</v>
      </c>
      <c r="W170" s="27">
        <f t="shared" si="106"/>
        <v>5104.1093200917721</v>
      </c>
      <c r="X170" s="27">
        <f t="shared" si="106"/>
        <v>4830.5638540528798</v>
      </c>
      <c r="Y170" s="27">
        <f t="shared" si="106"/>
        <v>4534.3704226384471</v>
      </c>
      <c r="Z170" s="27">
        <f t="shared" si="106"/>
        <v>4223.2730764578091</v>
      </c>
      <c r="AA170" s="27">
        <f t="shared" si="106"/>
        <v>3832.1754210101058</v>
      </c>
      <c r="AB170" s="27">
        <f t="shared" si="106"/>
        <v>3238.9298357408693</v>
      </c>
      <c r="AC170" s="27">
        <f t="shared" si="106"/>
        <v>2569.5074431305943</v>
      </c>
      <c r="AD170" s="27">
        <f t="shared" si="106"/>
        <v>1876.3335505318259</v>
      </c>
      <c r="AE170" s="27">
        <f t="shared" si="106"/>
        <v>1223.5206211543525</v>
      </c>
      <c r="AF170" s="27">
        <f t="shared" si="106"/>
        <v>718.02385378542374</v>
      </c>
      <c r="AG170" s="27"/>
      <c r="AH170" s="27"/>
    </row>
    <row r="171" spans="1:34" x14ac:dyDescent="0.25">
      <c r="B171" s="3">
        <f t="shared" ref="B171:AF171" si="107">$C18*EXP(-B$168/$A18/EXP(-$C$126))</f>
        <v>6.847326987949421E-3</v>
      </c>
      <c r="C171" s="3">
        <f t="shared" si="107"/>
        <v>6.8445364355718148E-3</v>
      </c>
      <c r="D171" s="3">
        <f t="shared" si="107"/>
        <v>6.8166933846158864E-3</v>
      </c>
      <c r="E171" s="3">
        <f t="shared" si="107"/>
        <v>6.5444169539773632E-3</v>
      </c>
      <c r="F171" s="3">
        <f t="shared" si="107"/>
        <v>4.3535443519313582E-3</v>
      </c>
      <c r="G171" s="3">
        <f t="shared" si="107"/>
        <v>7.3886159784333731E-5</v>
      </c>
      <c r="H171" s="3">
        <f t="shared" si="107"/>
        <v>1.464752711353971E-22</v>
      </c>
      <c r="I171" s="3">
        <f t="shared" si="107"/>
        <v>1.3733349373078984E-199</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0</v>
      </c>
      <c r="C172" s="3">
        <f t="shared" si="108"/>
        <v>0</v>
      </c>
      <c r="D172" s="3">
        <f t="shared" si="108"/>
        <v>0</v>
      </c>
      <c r="E172" s="3">
        <f t="shared" si="108"/>
        <v>0</v>
      </c>
      <c r="F172" s="3">
        <f t="shared" si="108"/>
        <v>0</v>
      </c>
      <c r="G172" s="3">
        <f t="shared" si="108"/>
        <v>0</v>
      </c>
      <c r="H172" s="3">
        <f t="shared" si="108"/>
        <v>0</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0</v>
      </c>
      <c r="C173" s="3">
        <f t="shared" si="109"/>
        <v>0</v>
      </c>
      <c r="D173" s="3">
        <f t="shared" si="109"/>
        <v>0</v>
      </c>
      <c r="E173" s="3">
        <f t="shared" si="109"/>
        <v>0</v>
      </c>
      <c r="F173" s="3">
        <f t="shared" si="109"/>
        <v>0</v>
      </c>
      <c r="G173" s="3">
        <f t="shared" si="109"/>
        <v>0</v>
      </c>
      <c r="H173" s="3">
        <f t="shared" si="109"/>
        <v>0</v>
      </c>
      <c r="I173" s="3">
        <f t="shared" si="109"/>
        <v>0</v>
      </c>
      <c r="J173" s="3">
        <f t="shared" si="109"/>
        <v>0</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0</v>
      </c>
      <c r="C174" s="3">
        <f t="shared" si="110"/>
        <v>0</v>
      </c>
      <c r="D174" s="3">
        <f t="shared" si="110"/>
        <v>0</v>
      </c>
      <c r="E174" s="3">
        <f t="shared" si="110"/>
        <v>0</v>
      </c>
      <c r="F174" s="3">
        <f t="shared" si="110"/>
        <v>0</v>
      </c>
      <c r="G174" s="3">
        <f t="shared" si="110"/>
        <v>0</v>
      </c>
      <c r="H174" s="3">
        <f t="shared" si="110"/>
        <v>0</v>
      </c>
      <c r="I174" s="3">
        <f t="shared" si="110"/>
        <v>0</v>
      </c>
      <c r="J174" s="3">
        <f t="shared" si="110"/>
        <v>0</v>
      </c>
      <c r="K174" s="3">
        <f t="shared" si="110"/>
        <v>0</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4.130669902208184E-3</v>
      </c>
      <c r="C175" s="3">
        <f t="shared" si="111"/>
        <v>4.1306699022078674E-3</v>
      </c>
      <c r="D175" s="3">
        <f t="shared" si="111"/>
        <v>4.1306699022047016E-3</v>
      </c>
      <c r="E175" s="3">
        <f t="shared" si="111"/>
        <v>4.1306699021730411E-3</v>
      </c>
      <c r="F175" s="3">
        <f t="shared" si="111"/>
        <v>4.130669901856435E-3</v>
      </c>
      <c r="G175" s="3">
        <f t="shared" si="111"/>
        <v>4.1306698986903704E-3</v>
      </c>
      <c r="H175" s="3">
        <f t="shared" si="111"/>
        <v>4.1306698670297223E-3</v>
      </c>
      <c r="I175" s="3">
        <f t="shared" si="111"/>
        <v>4.1306695504232599E-3</v>
      </c>
      <c r="J175" s="3">
        <f t="shared" si="111"/>
        <v>4.1306663843599725E-3</v>
      </c>
      <c r="K175" s="3">
        <f t="shared" si="111"/>
        <v>4.1306347238605629E-3</v>
      </c>
      <c r="L175" s="3">
        <f t="shared" si="111"/>
        <v>4.1303181322129897E-3</v>
      </c>
      <c r="M175" s="3">
        <f t="shared" si="111"/>
        <v>4.1271535500110321E-3</v>
      </c>
      <c r="N175" s="3">
        <f t="shared" si="111"/>
        <v>4.0956407777475038E-3</v>
      </c>
      <c r="O175" s="3">
        <f t="shared" si="111"/>
        <v>3.7934483175942465E-3</v>
      </c>
      <c r="P175" s="3">
        <f t="shared" si="111"/>
        <v>1.7626143586953729E-3</v>
      </c>
      <c r="Q175" s="3">
        <f t="shared" si="111"/>
        <v>8.2677745356888863E-7</v>
      </c>
      <c r="R175" s="3">
        <f t="shared" si="111"/>
        <v>4.2628675204430973E-40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2.7997525232425723E-2</v>
      </c>
      <c r="C176" s="3">
        <f t="shared" si="112"/>
        <v>2.7997525232425529E-2</v>
      </c>
      <c r="D176" s="3">
        <f t="shared" si="112"/>
        <v>2.7997525232423593E-2</v>
      </c>
      <c r="E176" s="3">
        <f t="shared" si="112"/>
        <v>2.7997525232404234E-2</v>
      </c>
      <c r="F176" s="3">
        <f t="shared" si="112"/>
        <v>2.7997525232210652E-2</v>
      </c>
      <c r="G176" s="3">
        <f t="shared" si="112"/>
        <v>2.7997525230274833E-2</v>
      </c>
      <c r="H176" s="3">
        <f t="shared" si="112"/>
        <v>2.7997525210916606E-2</v>
      </c>
      <c r="I176" s="3">
        <f t="shared" si="112"/>
        <v>2.7997525017334355E-2</v>
      </c>
      <c r="J176" s="3">
        <f t="shared" si="112"/>
        <v>2.7997523081511901E-2</v>
      </c>
      <c r="K176" s="3">
        <f t="shared" si="112"/>
        <v>2.799750372329475E-2</v>
      </c>
      <c r="L176" s="3">
        <f t="shared" si="112"/>
        <v>2.799731014185939E-2</v>
      </c>
      <c r="M176" s="3">
        <f t="shared" si="112"/>
        <v>2.7995374401120043E-2</v>
      </c>
      <c r="N176" s="3">
        <f t="shared" si="112"/>
        <v>2.7976024353266769E-2</v>
      </c>
      <c r="O176" s="3">
        <f t="shared" si="112"/>
        <v>2.7783257949458979E-2</v>
      </c>
      <c r="P176" s="3">
        <f t="shared" si="112"/>
        <v>2.5927157644781016E-2</v>
      </c>
      <c r="Q176" s="3">
        <f t="shared" si="112"/>
        <v>1.2985906775945546E-2</v>
      </c>
      <c r="R176" s="3">
        <f t="shared" si="112"/>
        <v>1.2901672266790093E-5</v>
      </c>
      <c r="S176" s="3">
        <f t="shared" si="112"/>
        <v>1.2088801691876935E-35</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2.1979597631006487E-2</v>
      </c>
      <c r="C177" s="3">
        <f t="shared" si="113"/>
        <v>2.1979597631006476E-2</v>
      </c>
      <c r="D177" s="3">
        <f t="shared" si="113"/>
        <v>2.1979597631006337E-2</v>
      </c>
      <c r="E177" s="3">
        <f t="shared" si="113"/>
        <v>2.1979597631004967E-2</v>
      </c>
      <c r="F177" s="3">
        <f t="shared" si="113"/>
        <v>2.1979597630991259E-2</v>
      </c>
      <c r="G177" s="3">
        <f t="shared" si="113"/>
        <v>2.1979597630854168E-2</v>
      </c>
      <c r="H177" s="3">
        <f t="shared" si="113"/>
        <v>2.1979597629483247E-2</v>
      </c>
      <c r="I177" s="3">
        <f t="shared" si="113"/>
        <v>2.1979597615774039E-2</v>
      </c>
      <c r="J177" s="3">
        <f t="shared" si="113"/>
        <v>2.1979597478682007E-2</v>
      </c>
      <c r="K177" s="3">
        <f t="shared" si="113"/>
        <v>2.1979596107761706E-2</v>
      </c>
      <c r="L177" s="3">
        <f t="shared" si="113"/>
        <v>2.1979582398563378E-2</v>
      </c>
      <c r="M177" s="3">
        <f t="shared" si="113"/>
        <v>2.1979445307050427E-2</v>
      </c>
      <c r="N177" s="3">
        <f t="shared" si="113"/>
        <v>2.1978074438948857E-2</v>
      </c>
      <c r="O177" s="3">
        <f t="shared" si="113"/>
        <v>2.1964370459645392E-2</v>
      </c>
      <c r="P177" s="3">
        <f t="shared" si="113"/>
        <v>2.1827799754590725E-2</v>
      </c>
      <c r="Q177" s="3">
        <f t="shared" si="113"/>
        <v>2.0507936774699496E-2</v>
      </c>
      <c r="R177" s="3">
        <f t="shared" si="113"/>
        <v>1.0991122764714319E-2</v>
      </c>
      <c r="S177" s="3">
        <f t="shared" si="113"/>
        <v>2.1490323217366546E-5</v>
      </c>
      <c r="T177" s="3">
        <f t="shared" si="113"/>
        <v>1.7548978183084944E-32</v>
      </c>
      <c r="U177" s="3">
        <f t="shared" si="113"/>
        <v>2.313879299215785E-303</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2.8250918359936459E-2</v>
      </c>
      <c r="C178" s="3">
        <f t="shared" si="114"/>
        <v>2.8250918359936456E-2</v>
      </c>
      <c r="D178" s="3">
        <f t="shared" si="114"/>
        <v>2.8250918359936442E-2</v>
      </c>
      <c r="E178" s="3">
        <f t="shared" si="114"/>
        <v>2.8250918359936282E-2</v>
      </c>
      <c r="F178" s="3">
        <f t="shared" si="114"/>
        <v>2.8250918359934693E-2</v>
      </c>
      <c r="G178" s="3">
        <f t="shared" si="114"/>
        <v>2.8250918359918796E-2</v>
      </c>
      <c r="H178" s="3">
        <f t="shared" si="114"/>
        <v>2.8250918359759843E-2</v>
      </c>
      <c r="I178" s="3">
        <f t="shared" si="114"/>
        <v>2.8250918358170302E-2</v>
      </c>
      <c r="J178" s="3">
        <f t="shared" si="114"/>
        <v>2.8250918342274896E-2</v>
      </c>
      <c r="K178" s="3">
        <f t="shared" si="114"/>
        <v>2.8250918183320827E-2</v>
      </c>
      <c r="L178" s="3">
        <f t="shared" si="114"/>
        <v>2.82509165937802E-2</v>
      </c>
      <c r="M178" s="3">
        <f t="shared" si="114"/>
        <v>2.8250900698378826E-2</v>
      </c>
      <c r="N178" s="3">
        <f t="shared" si="114"/>
        <v>2.8250741744856998E-2</v>
      </c>
      <c r="O178" s="3">
        <f t="shared" si="114"/>
        <v>2.8249152258827182E-2</v>
      </c>
      <c r="P178" s="3">
        <f t="shared" si="114"/>
        <v>2.8233262316352804E-2</v>
      </c>
      <c r="Q178" s="3">
        <f t="shared" si="114"/>
        <v>2.8074853651728692E-2</v>
      </c>
      <c r="R178" s="3">
        <f t="shared" si="114"/>
        <v>2.6538836542936078E-2</v>
      </c>
      <c r="S178" s="3">
        <f t="shared" si="114"/>
        <v>1.5119090431727813E-2</v>
      </c>
      <c r="T178" s="3">
        <f t="shared" si="114"/>
        <v>5.4445691230592375E-5</v>
      </c>
      <c r="U178" s="3">
        <f t="shared" si="114"/>
        <v>1.9968342993423532E-29</v>
      </c>
      <c r="V178" s="3">
        <f t="shared" si="114"/>
        <v>8.7927990480837066E-274</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3.4437903010475883E-2</v>
      </c>
      <c r="C179" s="3">
        <f t="shared" si="115"/>
        <v>3.4437903010475883E-2</v>
      </c>
      <c r="D179" s="3">
        <f t="shared" si="115"/>
        <v>3.4437903010475876E-2</v>
      </c>
      <c r="E179" s="3">
        <f t="shared" si="115"/>
        <v>3.4437903010475862E-2</v>
      </c>
      <c r="F179" s="3">
        <f t="shared" si="115"/>
        <v>3.4437903010475689E-2</v>
      </c>
      <c r="G179" s="3">
        <f t="shared" si="115"/>
        <v>3.443790301047394E-2</v>
      </c>
      <c r="H179" s="3">
        <f t="shared" si="115"/>
        <v>3.4437903010456461E-2</v>
      </c>
      <c r="I179" s="3">
        <f t="shared" si="115"/>
        <v>3.443790301028167E-2</v>
      </c>
      <c r="J179" s="3">
        <f t="shared" si="115"/>
        <v>3.4437903008533749E-2</v>
      </c>
      <c r="K179" s="3">
        <f t="shared" si="115"/>
        <v>3.4437902991054516E-2</v>
      </c>
      <c r="L179" s="3">
        <f t="shared" si="115"/>
        <v>3.4437902816262189E-2</v>
      </c>
      <c r="M179" s="3">
        <f t="shared" si="115"/>
        <v>3.4437901068338959E-2</v>
      </c>
      <c r="N179" s="3">
        <f t="shared" si="115"/>
        <v>3.4437883589111547E-2</v>
      </c>
      <c r="O179" s="3">
        <f t="shared" si="115"/>
        <v>3.4437708797325391E-2</v>
      </c>
      <c r="P179" s="3">
        <f t="shared" si="115"/>
        <v>3.4435960928257292E-2</v>
      </c>
      <c r="Q179" s="3">
        <f t="shared" si="115"/>
        <v>3.4418487116006646E-2</v>
      </c>
      <c r="R179" s="3">
        <f t="shared" si="115"/>
        <v>3.4244235921624934E-2</v>
      </c>
      <c r="S179" s="3">
        <f t="shared" si="115"/>
        <v>3.2549514638589919E-2</v>
      </c>
      <c r="T179" s="3">
        <f t="shared" si="115"/>
        <v>1.9593629096328093E-2</v>
      </c>
      <c r="U179" s="3">
        <f t="shared" si="115"/>
        <v>1.2241046273994777E-4</v>
      </c>
      <c r="V179" s="3">
        <f t="shared" si="115"/>
        <v>1.1088048313625522E-26</v>
      </c>
      <c r="W179" s="3">
        <f t="shared" si="115"/>
        <v>4.1230709572452879E-247</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2.9401070007452231E-2</v>
      </c>
      <c r="C180" s="3">
        <f t="shared" si="116"/>
        <v>2.9401070007452231E-2</v>
      </c>
      <c r="D180" s="3">
        <f t="shared" si="116"/>
        <v>2.9401070007452231E-2</v>
      </c>
      <c r="E180" s="3">
        <f t="shared" si="116"/>
        <v>2.9401070007452231E-2</v>
      </c>
      <c r="F180" s="3">
        <f t="shared" si="116"/>
        <v>2.9401070007452214E-2</v>
      </c>
      <c r="G180" s="3">
        <f t="shared" si="116"/>
        <v>2.9401070007452082E-2</v>
      </c>
      <c r="H180" s="3">
        <f t="shared" si="116"/>
        <v>2.9401070007450736E-2</v>
      </c>
      <c r="I180" s="3">
        <f t="shared" si="116"/>
        <v>2.9401070007437274E-2</v>
      </c>
      <c r="J180" s="3">
        <f t="shared" si="116"/>
        <v>2.9401070007302656E-2</v>
      </c>
      <c r="K180" s="3">
        <f t="shared" si="116"/>
        <v>2.9401070005956501E-2</v>
      </c>
      <c r="L180" s="3">
        <f t="shared" si="116"/>
        <v>2.9401069992494942E-2</v>
      </c>
      <c r="M180" s="3">
        <f t="shared" si="116"/>
        <v>2.9401069857879342E-2</v>
      </c>
      <c r="N180" s="3">
        <f t="shared" si="116"/>
        <v>2.9401068511723364E-2</v>
      </c>
      <c r="O180" s="3">
        <f t="shared" si="116"/>
        <v>2.9401055050166984E-2</v>
      </c>
      <c r="P180" s="3">
        <f t="shared" si="116"/>
        <v>2.9400920434942183E-2</v>
      </c>
      <c r="Q180" s="3">
        <f t="shared" si="116"/>
        <v>2.9399574316592788E-2</v>
      </c>
      <c r="R180" s="3">
        <f t="shared" si="116"/>
        <v>2.9386116522387838E-2</v>
      </c>
      <c r="S180" s="3">
        <f t="shared" si="116"/>
        <v>2.9251876935766696E-2</v>
      </c>
      <c r="T180" s="3">
        <f t="shared" si="116"/>
        <v>2.7942750363474468E-2</v>
      </c>
      <c r="U180" s="3">
        <f t="shared" si="116"/>
        <v>1.7677599188046733E-2</v>
      </c>
      <c r="V180" s="3">
        <f t="shared" si="116"/>
        <v>1.8153676898279952E-4</v>
      </c>
      <c r="W180" s="3">
        <f t="shared" si="116"/>
        <v>2.3679786898413485E-24</v>
      </c>
      <c r="X180" s="3">
        <f t="shared" si="116"/>
        <v>3.3768336857740224E-223</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4.9041908611543852E-2</v>
      </c>
      <c r="C181" s="3">
        <f t="shared" si="117"/>
        <v>4.9041908611543852E-2</v>
      </c>
      <c r="D181" s="3">
        <f t="shared" si="117"/>
        <v>4.9041908611543852E-2</v>
      </c>
      <c r="E181" s="3">
        <f t="shared" si="117"/>
        <v>4.9041908611543852E-2</v>
      </c>
      <c r="F181" s="3">
        <f t="shared" si="117"/>
        <v>4.9041908611543852E-2</v>
      </c>
      <c r="G181" s="3">
        <f t="shared" si="117"/>
        <v>4.9041908611543832E-2</v>
      </c>
      <c r="H181" s="3">
        <f t="shared" si="117"/>
        <v>4.904190861154363E-2</v>
      </c>
      <c r="I181" s="3">
        <f t="shared" si="117"/>
        <v>4.9041908611541604E-2</v>
      </c>
      <c r="J181" s="3">
        <f t="shared" si="117"/>
        <v>4.9041908611521343E-2</v>
      </c>
      <c r="K181" s="3">
        <f t="shared" si="117"/>
        <v>4.9041908611318789E-2</v>
      </c>
      <c r="L181" s="3">
        <f t="shared" si="117"/>
        <v>4.9041908609293222E-2</v>
      </c>
      <c r="M181" s="3">
        <f t="shared" si="117"/>
        <v>4.9041908589037571E-2</v>
      </c>
      <c r="N181" s="3">
        <f t="shared" si="117"/>
        <v>4.9041908386481065E-2</v>
      </c>
      <c r="O181" s="3">
        <f t="shared" si="117"/>
        <v>4.9041906360915967E-2</v>
      </c>
      <c r="P181" s="3">
        <f t="shared" si="117"/>
        <v>4.9041886105269675E-2</v>
      </c>
      <c r="Q181" s="3">
        <f t="shared" si="117"/>
        <v>4.9041683549266836E-2</v>
      </c>
      <c r="R181" s="3">
        <f t="shared" si="117"/>
        <v>4.9039658035251468E-2</v>
      </c>
      <c r="S181" s="3">
        <f t="shared" si="117"/>
        <v>4.9019407495692911E-2</v>
      </c>
      <c r="T181" s="3">
        <f t="shared" si="117"/>
        <v>4.8817361457331024E-2</v>
      </c>
      <c r="U181" s="3">
        <f t="shared" si="117"/>
        <v>4.684214249377873E-2</v>
      </c>
      <c r="V181" s="3">
        <f t="shared" si="117"/>
        <v>3.0992830095864277E-2</v>
      </c>
      <c r="W181" s="3">
        <f t="shared" si="117"/>
        <v>4.9831743359646295E-4</v>
      </c>
      <c r="X181" s="3">
        <f t="shared" si="117"/>
        <v>5.7537970424355273E-22</v>
      </c>
      <c r="Y181" s="3">
        <f t="shared" si="117"/>
        <v>2.423478177007686E-201</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4.178985908034704E-2</v>
      </c>
      <c r="C182" s="3">
        <f t="shared" si="118"/>
        <v>4.178985908034704E-2</v>
      </c>
      <c r="D182" s="3">
        <f t="shared" si="118"/>
        <v>4.178985908034704E-2</v>
      </c>
      <c r="E182" s="3">
        <f t="shared" si="118"/>
        <v>4.178985908034704E-2</v>
      </c>
      <c r="F182" s="3">
        <f t="shared" si="118"/>
        <v>4.178985908034704E-2</v>
      </c>
      <c r="G182" s="3">
        <f t="shared" si="118"/>
        <v>4.178985908034704E-2</v>
      </c>
      <c r="H182" s="3">
        <f t="shared" si="118"/>
        <v>4.1789859080347019E-2</v>
      </c>
      <c r="I182" s="3">
        <f t="shared" si="118"/>
        <v>4.1789859080346867E-2</v>
      </c>
      <c r="J182" s="3">
        <f t="shared" si="118"/>
        <v>4.1789859080345312E-2</v>
      </c>
      <c r="K182" s="3">
        <f t="shared" si="118"/>
        <v>4.1789859080329742E-2</v>
      </c>
      <c r="L182" s="3">
        <f t="shared" si="118"/>
        <v>4.178985908017404E-2</v>
      </c>
      <c r="M182" s="3">
        <f t="shared" si="118"/>
        <v>4.1789859078617007E-2</v>
      </c>
      <c r="N182" s="3">
        <f t="shared" si="118"/>
        <v>4.1789859063046733E-2</v>
      </c>
      <c r="O182" s="3">
        <f t="shared" si="118"/>
        <v>4.1789858907343956E-2</v>
      </c>
      <c r="P182" s="3">
        <f t="shared" si="118"/>
        <v>4.1789857350316262E-2</v>
      </c>
      <c r="Q182" s="3">
        <f t="shared" si="118"/>
        <v>4.1789841780042469E-2</v>
      </c>
      <c r="R182" s="3">
        <f t="shared" si="118"/>
        <v>4.1789686077623608E-2</v>
      </c>
      <c r="S182" s="3">
        <f t="shared" si="118"/>
        <v>4.1788129085341442E-2</v>
      </c>
      <c r="T182" s="3">
        <f t="shared" si="118"/>
        <v>4.177256235272013E-2</v>
      </c>
      <c r="U182" s="3">
        <f t="shared" si="118"/>
        <v>4.1617213607190472E-2</v>
      </c>
      <c r="V182" s="3">
        <f t="shared" si="118"/>
        <v>4.0095149378742583E-2</v>
      </c>
      <c r="W182" s="3">
        <f t="shared" si="118"/>
        <v>2.7623595017457616E-2</v>
      </c>
      <c r="X182" s="3">
        <f t="shared" si="118"/>
        <v>6.6552415566076967E-4</v>
      </c>
      <c r="Y182" s="3">
        <f t="shared" si="118"/>
        <v>4.3853076968272146E-20</v>
      </c>
      <c r="Z182" s="3">
        <f t="shared" si="118"/>
        <v>6.7664761000967393E-182</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4.6925793493946939E-2</v>
      </c>
      <c r="C183" s="3">
        <f t="shared" si="119"/>
        <v>4.6925793493946939E-2</v>
      </c>
      <c r="D183" s="3">
        <f t="shared" si="119"/>
        <v>4.6925793493946939E-2</v>
      </c>
      <c r="E183" s="3">
        <f t="shared" si="119"/>
        <v>4.6925793493946939E-2</v>
      </c>
      <c r="F183" s="3">
        <f t="shared" si="119"/>
        <v>4.6925793493946939E-2</v>
      </c>
      <c r="G183" s="3">
        <f t="shared" si="119"/>
        <v>4.6925793493946939E-2</v>
      </c>
      <c r="H183" s="3">
        <f t="shared" si="119"/>
        <v>4.6925793493946939E-2</v>
      </c>
      <c r="I183" s="3">
        <f t="shared" si="119"/>
        <v>4.6925793493946925E-2</v>
      </c>
      <c r="J183" s="3">
        <f t="shared" si="119"/>
        <v>4.6925793493946759E-2</v>
      </c>
      <c r="K183" s="3">
        <f t="shared" si="119"/>
        <v>4.6925793493945191E-2</v>
      </c>
      <c r="L183" s="3">
        <f t="shared" si="119"/>
        <v>4.6925793493929412E-2</v>
      </c>
      <c r="M183" s="3">
        <f t="shared" si="119"/>
        <v>4.6925793493771698E-2</v>
      </c>
      <c r="N183" s="3">
        <f t="shared" si="119"/>
        <v>4.6925793492194508E-2</v>
      </c>
      <c r="O183" s="3">
        <f t="shared" si="119"/>
        <v>4.6925793476422617E-2</v>
      </c>
      <c r="P183" s="3">
        <f t="shared" si="119"/>
        <v>4.6925793318703751E-2</v>
      </c>
      <c r="Q183" s="3">
        <f t="shared" si="119"/>
        <v>4.692579174151508E-2</v>
      </c>
      <c r="R183" s="3">
        <f t="shared" si="119"/>
        <v>4.6925775969631295E-2</v>
      </c>
      <c r="S183" s="3">
        <f t="shared" si="119"/>
        <v>4.6925618251084947E-2</v>
      </c>
      <c r="T183" s="3">
        <f t="shared" si="119"/>
        <v>4.6924041094776527E-2</v>
      </c>
      <c r="U183" s="3">
        <f t="shared" si="119"/>
        <v>4.6908272446825196E-2</v>
      </c>
      <c r="V183" s="3">
        <f t="shared" si="119"/>
        <v>4.6750877118416564E-2</v>
      </c>
      <c r="W183" s="3">
        <f t="shared" si="119"/>
        <v>4.5205680107126722E-2</v>
      </c>
      <c r="X183" s="3">
        <f t="shared" si="119"/>
        <v>3.2301705181354147E-2</v>
      </c>
      <c r="Y183" s="3">
        <f t="shared" si="119"/>
        <v>1.1208561117515734E-3</v>
      </c>
      <c r="Z183" s="3">
        <f t="shared" si="119"/>
        <v>2.8365733406784524E-18</v>
      </c>
      <c r="AA183" s="3">
        <f t="shared" si="119"/>
        <v>3.0565784245430426E-164</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4.7062467056075051E-2</v>
      </c>
      <c r="C184" s="3">
        <f t="shared" si="120"/>
        <v>4.7062467056075051E-2</v>
      </c>
      <c r="D184" s="3">
        <f t="shared" si="120"/>
        <v>4.7062467056075051E-2</v>
      </c>
      <c r="E184" s="3">
        <f t="shared" si="120"/>
        <v>4.7062467056075051E-2</v>
      </c>
      <c r="F184" s="3">
        <f t="shared" si="120"/>
        <v>4.7062467056075051E-2</v>
      </c>
      <c r="G184" s="3">
        <f t="shared" si="120"/>
        <v>4.7062467056075051E-2</v>
      </c>
      <c r="H184" s="3">
        <f t="shared" si="120"/>
        <v>4.7062467056075051E-2</v>
      </c>
      <c r="I184" s="3">
        <f t="shared" si="120"/>
        <v>4.7062467056075051E-2</v>
      </c>
      <c r="J184" s="3">
        <f t="shared" si="120"/>
        <v>4.7062467056075037E-2</v>
      </c>
      <c r="K184" s="3">
        <f t="shared" si="120"/>
        <v>4.7062467056074891E-2</v>
      </c>
      <c r="L184" s="3">
        <f t="shared" si="120"/>
        <v>4.7062467056073469E-2</v>
      </c>
      <c r="M184" s="3">
        <f t="shared" si="120"/>
        <v>4.7062467056059196E-2</v>
      </c>
      <c r="N184" s="3">
        <f t="shared" si="120"/>
        <v>4.7062467055916504E-2</v>
      </c>
      <c r="O184" s="3">
        <f t="shared" si="120"/>
        <v>4.7062467054489611E-2</v>
      </c>
      <c r="P184" s="3">
        <f t="shared" si="120"/>
        <v>4.7062467040220615E-2</v>
      </c>
      <c r="Q184" s="3">
        <f t="shared" si="120"/>
        <v>4.7062466897530686E-2</v>
      </c>
      <c r="R184" s="3">
        <f t="shared" si="120"/>
        <v>4.7062465470631455E-2</v>
      </c>
      <c r="S184" s="3">
        <f t="shared" si="120"/>
        <v>4.7062451201641486E-2</v>
      </c>
      <c r="T184" s="3">
        <f t="shared" si="120"/>
        <v>4.7062308511979775E-2</v>
      </c>
      <c r="U184" s="3">
        <f t="shared" si="120"/>
        <v>4.7060881639156726E-2</v>
      </c>
      <c r="V184" s="3">
        <f t="shared" si="120"/>
        <v>4.7046615290068976E-2</v>
      </c>
      <c r="W184" s="3">
        <f t="shared" si="120"/>
        <v>4.6904189446783942E-2</v>
      </c>
      <c r="X184" s="3">
        <f t="shared" si="120"/>
        <v>4.5503431325377E-2</v>
      </c>
      <c r="Y184" s="3">
        <f t="shared" si="120"/>
        <v>3.3602320214044371E-2</v>
      </c>
      <c r="Z184" s="3">
        <f t="shared" si="120"/>
        <v>1.6203933618713312E-3</v>
      </c>
      <c r="AA184" s="3">
        <f t="shared" si="120"/>
        <v>1.1018750464324467E-16</v>
      </c>
      <c r="AB184" s="3">
        <f t="shared" si="120"/>
        <v>2.3294386318208662E-148</v>
      </c>
      <c r="AC184" s="3">
        <f t="shared" si="120"/>
        <v>0</v>
      </c>
      <c r="AD184" s="3">
        <f t="shared" si="120"/>
        <v>0</v>
      </c>
      <c r="AE184" s="3">
        <f t="shared" si="120"/>
        <v>0</v>
      </c>
      <c r="AF184" s="3">
        <f t="shared" si="120"/>
        <v>0</v>
      </c>
      <c r="AG184" s="3"/>
      <c r="AH184" s="3"/>
    </row>
    <row r="185" spans="2:34" x14ac:dyDescent="0.25">
      <c r="B185" s="3">
        <f t="shared" ref="B185:AF185" si="121">$C32*EXP(-B$168/$A32/EXP(-$C$126))</f>
        <v>5.1874996245126884E-2</v>
      </c>
      <c r="C185" s="3">
        <f t="shared" si="121"/>
        <v>5.1874996245126884E-2</v>
      </c>
      <c r="D185" s="3">
        <f t="shared" si="121"/>
        <v>5.1874996245126884E-2</v>
      </c>
      <c r="E185" s="3">
        <f t="shared" si="121"/>
        <v>5.1874996245126884E-2</v>
      </c>
      <c r="F185" s="3">
        <f t="shared" si="121"/>
        <v>5.1874996245126884E-2</v>
      </c>
      <c r="G185" s="3">
        <f t="shared" si="121"/>
        <v>5.1874996245126884E-2</v>
      </c>
      <c r="H185" s="3">
        <f t="shared" si="121"/>
        <v>5.1874996245126884E-2</v>
      </c>
      <c r="I185" s="3">
        <f t="shared" si="121"/>
        <v>5.1874996245126884E-2</v>
      </c>
      <c r="J185" s="3">
        <f t="shared" si="121"/>
        <v>5.1874996245126884E-2</v>
      </c>
      <c r="K185" s="3">
        <f t="shared" si="121"/>
        <v>5.187499624512687E-2</v>
      </c>
      <c r="L185" s="3">
        <f t="shared" si="121"/>
        <v>5.1874996245126731E-2</v>
      </c>
      <c r="M185" s="3">
        <f t="shared" si="121"/>
        <v>5.1874996245125309E-2</v>
      </c>
      <c r="N185" s="3">
        <f t="shared" si="121"/>
        <v>5.1874996245111119E-2</v>
      </c>
      <c r="O185" s="3">
        <f t="shared" si="121"/>
        <v>5.1874996244969239E-2</v>
      </c>
      <c r="P185" s="3">
        <f t="shared" si="121"/>
        <v>5.1874996243550429E-2</v>
      </c>
      <c r="Q185" s="3">
        <f t="shared" si="121"/>
        <v>5.1874996229362362E-2</v>
      </c>
      <c r="R185" s="3">
        <f t="shared" si="121"/>
        <v>5.1874996087481667E-2</v>
      </c>
      <c r="S185" s="3">
        <f t="shared" si="121"/>
        <v>5.1874994668674797E-2</v>
      </c>
      <c r="T185" s="3">
        <f t="shared" si="121"/>
        <v>5.1874980480608138E-2</v>
      </c>
      <c r="U185" s="3">
        <f t="shared" si="121"/>
        <v>5.1874838600155015E-2</v>
      </c>
      <c r="V185" s="3">
        <f t="shared" si="121"/>
        <v>5.1873419816966325E-2</v>
      </c>
      <c r="W185" s="3">
        <f t="shared" si="121"/>
        <v>5.1859234119118504E-2</v>
      </c>
      <c r="X185" s="3">
        <f t="shared" si="121"/>
        <v>5.1717590328746628E-2</v>
      </c>
      <c r="Y185" s="3">
        <f t="shared" si="121"/>
        <v>5.0322257065276751E-2</v>
      </c>
      <c r="Z185" s="3">
        <f t="shared" si="121"/>
        <v>3.8280571683611368E-2</v>
      </c>
      <c r="AA185" s="3">
        <f t="shared" si="121"/>
        <v>2.4840563571034064E-3</v>
      </c>
      <c r="AB185" s="3">
        <f t="shared" si="121"/>
        <v>3.2884537812680045E-15</v>
      </c>
      <c r="AC185" s="3">
        <f t="shared" si="121"/>
        <v>5.4361911396094287E-134</v>
      </c>
      <c r="AD185" s="3">
        <f t="shared" si="121"/>
        <v>0</v>
      </c>
      <c r="AE185" s="3">
        <f t="shared" si="121"/>
        <v>0</v>
      </c>
      <c r="AF185" s="3">
        <f t="shared" si="121"/>
        <v>0</v>
      </c>
      <c r="AG185" s="3"/>
      <c r="AH185" s="3"/>
    </row>
    <row r="186" spans="2:34" x14ac:dyDescent="0.25">
      <c r="B186" s="3">
        <f t="shared" ref="B186:AF186" si="122">$C33*EXP(-B$168/$A33/EXP(-$C$126))</f>
        <v>9.3719085133360594E-2</v>
      </c>
      <c r="C186" s="3">
        <f t="shared" si="122"/>
        <v>9.3719085133360594E-2</v>
      </c>
      <c r="D186" s="3">
        <f t="shared" si="122"/>
        <v>9.3719085133360594E-2</v>
      </c>
      <c r="E186" s="3">
        <f t="shared" si="122"/>
        <v>9.3719085133360594E-2</v>
      </c>
      <c r="F186" s="3">
        <f t="shared" si="122"/>
        <v>9.3719085133360594E-2</v>
      </c>
      <c r="G186" s="3">
        <f t="shared" si="122"/>
        <v>9.3719085133360594E-2</v>
      </c>
      <c r="H186" s="3">
        <f t="shared" si="122"/>
        <v>9.3719085133360594E-2</v>
      </c>
      <c r="I186" s="3">
        <f t="shared" si="122"/>
        <v>9.3719085133360594E-2</v>
      </c>
      <c r="J186" s="3">
        <f t="shared" si="122"/>
        <v>9.3719085133360594E-2</v>
      </c>
      <c r="K186" s="3">
        <f t="shared" si="122"/>
        <v>9.3719085133360594E-2</v>
      </c>
      <c r="L186" s="3">
        <f t="shared" si="122"/>
        <v>9.371908513336058E-2</v>
      </c>
      <c r="M186" s="3">
        <f t="shared" si="122"/>
        <v>9.371908513336033E-2</v>
      </c>
      <c r="N186" s="3">
        <f t="shared" si="122"/>
        <v>9.3719085133358027E-2</v>
      </c>
      <c r="O186" s="3">
        <f t="shared" si="122"/>
        <v>9.3719085133334906E-2</v>
      </c>
      <c r="P186" s="3">
        <f t="shared" si="122"/>
        <v>9.3719085133103675E-2</v>
      </c>
      <c r="Q186" s="3">
        <f t="shared" si="122"/>
        <v>9.3719085130791399E-2</v>
      </c>
      <c r="R186" s="3">
        <f t="shared" si="122"/>
        <v>9.3719085107668632E-2</v>
      </c>
      <c r="S186" s="3">
        <f t="shared" si="122"/>
        <v>9.3719084876440942E-2</v>
      </c>
      <c r="T186" s="3">
        <f t="shared" si="122"/>
        <v>9.3719082564164044E-2</v>
      </c>
      <c r="U186" s="3">
        <f t="shared" si="122"/>
        <v>9.3719059441398245E-2</v>
      </c>
      <c r="V186" s="3">
        <f t="shared" si="122"/>
        <v>9.3718828214054084E-2</v>
      </c>
      <c r="W186" s="3">
        <f t="shared" si="122"/>
        <v>9.371651597198935E-2</v>
      </c>
      <c r="X186" s="3">
        <f t="shared" si="122"/>
        <v>9.3693396688744851E-2</v>
      </c>
      <c r="Y186" s="3">
        <f t="shared" si="122"/>
        <v>9.3462517310369336E-2</v>
      </c>
      <c r="Z186" s="3">
        <f t="shared" si="122"/>
        <v>9.1184784666342417E-2</v>
      </c>
      <c r="AA186" s="3">
        <f t="shared" si="122"/>
        <v>7.1247791103560512E-2</v>
      </c>
      <c r="AB186" s="3">
        <f t="shared" si="122"/>
        <v>6.0431264313555227E-3</v>
      </c>
      <c r="AC186" s="3">
        <f t="shared" si="122"/>
        <v>1.164566895117738E-13</v>
      </c>
      <c r="AD186" s="3">
        <f t="shared" si="122"/>
        <v>8.2260631558289818E-121</v>
      </c>
      <c r="AE186" s="3">
        <f t="shared" si="122"/>
        <v>0</v>
      </c>
      <c r="AF186" s="3">
        <f t="shared" si="122"/>
        <v>0</v>
      </c>
      <c r="AG186" s="3"/>
      <c r="AH186" s="3"/>
    </row>
    <row r="187" spans="2:34" x14ac:dyDescent="0.25">
      <c r="B187" s="3">
        <f t="shared" ref="B187:AF187" si="123">$C34*EXP(-B$168/$A34/EXP(-$C$126))</f>
        <v>0.10682658591512105</v>
      </c>
      <c r="C187" s="3">
        <f t="shared" si="123"/>
        <v>0.10682658591512105</v>
      </c>
      <c r="D187" s="3">
        <f t="shared" si="123"/>
        <v>0.10682658591512105</v>
      </c>
      <c r="E187" s="3">
        <f t="shared" si="123"/>
        <v>0.10682658591512105</v>
      </c>
      <c r="F187" s="3">
        <f t="shared" si="123"/>
        <v>0.10682658591512105</v>
      </c>
      <c r="G187" s="3">
        <f t="shared" si="123"/>
        <v>0.10682658591512105</v>
      </c>
      <c r="H187" s="3">
        <f t="shared" si="123"/>
        <v>0.10682658591512105</v>
      </c>
      <c r="I187" s="3">
        <f t="shared" si="123"/>
        <v>0.10682658591512105</v>
      </c>
      <c r="J187" s="3">
        <f t="shared" si="123"/>
        <v>0.10682658591512105</v>
      </c>
      <c r="K187" s="3">
        <f t="shared" si="123"/>
        <v>0.10682658591512105</v>
      </c>
      <c r="L187" s="3">
        <f t="shared" si="123"/>
        <v>0.10682658591512105</v>
      </c>
      <c r="M187" s="3">
        <f t="shared" si="123"/>
        <v>0.10682658591512102</v>
      </c>
      <c r="N187" s="3">
        <f t="shared" si="123"/>
        <v>0.10682658591512079</v>
      </c>
      <c r="O187" s="3">
        <f t="shared" si="123"/>
        <v>0.1068265859151184</v>
      </c>
      <c r="P187" s="3">
        <f t="shared" si="123"/>
        <v>0.10682658591509464</v>
      </c>
      <c r="Q187" s="3">
        <f t="shared" si="123"/>
        <v>0.10682658591485687</v>
      </c>
      <c r="R187" s="3">
        <f t="shared" si="123"/>
        <v>0.10682658591247927</v>
      </c>
      <c r="S187" s="3">
        <f t="shared" si="123"/>
        <v>0.10682658588870333</v>
      </c>
      <c r="T187" s="3">
        <f t="shared" si="123"/>
        <v>0.10682658565094391</v>
      </c>
      <c r="U187" s="3">
        <f t="shared" si="123"/>
        <v>0.10682658327334968</v>
      </c>
      <c r="V187" s="3">
        <f t="shared" si="123"/>
        <v>0.10682655949741021</v>
      </c>
      <c r="W187" s="3">
        <f t="shared" si="123"/>
        <v>0.10682632173830672</v>
      </c>
      <c r="X187" s="3">
        <f t="shared" si="123"/>
        <v>0.1068239441763759</v>
      </c>
      <c r="Y187" s="3">
        <f t="shared" si="123"/>
        <v>0.10680017146724263</v>
      </c>
      <c r="Z187" s="3">
        <f t="shared" si="123"/>
        <v>0.10656273515389382</v>
      </c>
      <c r="AA187" s="3">
        <f t="shared" si="123"/>
        <v>0.10421721178391637</v>
      </c>
      <c r="AB187" s="3">
        <f t="shared" si="123"/>
        <v>8.3421954108043775E-2</v>
      </c>
      <c r="AC187" s="3">
        <f t="shared" si="123"/>
        <v>9.0092667657175624E-3</v>
      </c>
      <c r="AD187" s="3">
        <f t="shared" si="123"/>
        <v>1.9443763314951197E-12</v>
      </c>
      <c r="AE187" s="3">
        <f t="shared" si="123"/>
        <v>4.2627426876103739E-109</v>
      </c>
      <c r="AF187" s="3">
        <f t="shared" si="123"/>
        <v>0</v>
      </c>
      <c r="AG187" s="3"/>
      <c r="AH187" s="3"/>
    </row>
    <row r="188" spans="2:34" x14ac:dyDescent="0.25">
      <c r="B188" s="3">
        <f t="shared" ref="B188:AF188" si="124">$C35*EXP(-B$168/$A35/EXP(-$C$126))</f>
        <v>0.11271230139024535</v>
      </c>
      <c r="C188" s="3">
        <f t="shared" si="124"/>
        <v>0.11271230139024535</v>
      </c>
      <c r="D188" s="3">
        <f t="shared" si="124"/>
        <v>0.11271230139024535</v>
      </c>
      <c r="E188" s="3">
        <f t="shared" si="124"/>
        <v>0.11271230139024535</v>
      </c>
      <c r="F188" s="3">
        <f t="shared" si="124"/>
        <v>0.11271230139024535</v>
      </c>
      <c r="G188" s="3">
        <f t="shared" si="124"/>
        <v>0.11271230139024535</v>
      </c>
      <c r="H188" s="3">
        <f t="shared" si="124"/>
        <v>0.11271230139024535</v>
      </c>
      <c r="I188" s="3">
        <f t="shared" si="124"/>
        <v>0.11271230139024535</v>
      </c>
      <c r="J188" s="3">
        <f t="shared" si="124"/>
        <v>0.11271230139024535</v>
      </c>
      <c r="K188" s="3">
        <f t="shared" si="124"/>
        <v>0.11271230139024535</v>
      </c>
      <c r="L188" s="3">
        <f t="shared" si="124"/>
        <v>0.11271230139024535</v>
      </c>
      <c r="M188" s="3">
        <f t="shared" si="124"/>
        <v>0.11271230139024535</v>
      </c>
      <c r="N188" s="3">
        <f t="shared" si="124"/>
        <v>0.11271230139024532</v>
      </c>
      <c r="O188" s="3">
        <f t="shared" si="124"/>
        <v>0.1127123013902451</v>
      </c>
      <c r="P188" s="3">
        <f t="shared" si="124"/>
        <v>0.11271230139024284</v>
      </c>
      <c r="Q188" s="3">
        <f t="shared" si="124"/>
        <v>0.1127123013902202</v>
      </c>
      <c r="R188" s="3">
        <f t="shared" si="124"/>
        <v>0.11271230138999391</v>
      </c>
      <c r="S188" s="3">
        <f t="shared" si="124"/>
        <v>0.11271230138773096</v>
      </c>
      <c r="T188" s="3">
        <f t="shared" si="124"/>
        <v>0.11271230136510138</v>
      </c>
      <c r="U188" s="3">
        <f t="shared" si="124"/>
        <v>0.11271230113880569</v>
      </c>
      <c r="V188" s="3">
        <f t="shared" si="124"/>
        <v>0.11271229887584869</v>
      </c>
      <c r="W188" s="3">
        <f t="shared" si="124"/>
        <v>0.11271227624628131</v>
      </c>
      <c r="X188" s="3">
        <f t="shared" si="124"/>
        <v>0.11271204995085746</v>
      </c>
      <c r="Y188" s="3">
        <f t="shared" si="124"/>
        <v>0.11270978702160735</v>
      </c>
      <c r="Z188" s="3">
        <f t="shared" si="124"/>
        <v>0.11268716022777175</v>
      </c>
      <c r="AA188" s="3">
        <f t="shared" si="124"/>
        <v>0.11246114197045824</v>
      </c>
      <c r="AB188" s="3">
        <f t="shared" si="124"/>
        <v>0.11022574301550342</v>
      </c>
      <c r="AC188" s="3">
        <f t="shared" si="124"/>
        <v>9.0175486388102535E-2</v>
      </c>
      <c r="AD188" s="3">
        <f t="shared" si="124"/>
        <v>1.2109970304290511E-2</v>
      </c>
      <c r="AE188" s="3">
        <f t="shared" si="124"/>
        <v>2.310409305426564E-11</v>
      </c>
      <c r="AF188" s="3">
        <f t="shared" si="124"/>
        <v>1.4762074537979136E-98</v>
      </c>
      <c r="AG188" s="3"/>
      <c r="AH188" s="3"/>
    </row>
    <row r="189" spans="2:34" x14ac:dyDescent="0.25">
      <c r="B189" s="3">
        <f t="shared" ref="B189:AF189" si="125">$C36*EXP(-B$168/$A36/EXP(-$C$126))</f>
        <v>0.10920571405178373</v>
      </c>
      <c r="C189" s="3">
        <f t="shared" si="125"/>
        <v>0.10920571405178373</v>
      </c>
      <c r="D189" s="3">
        <f t="shared" si="125"/>
        <v>0.10920571405178373</v>
      </c>
      <c r="E189" s="3">
        <f t="shared" si="125"/>
        <v>0.10920571405178373</v>
      </c>
      <c r="F189" s="3">
        <f t="shared" si="125"/>
        <v>0.10920571405178373</v>
      </c>
      <c r="G189" s="3">
        <f t="shared" si="125"/>
        <v>0.10920571405178373</v>
      </c>
      <c r="H189" s="3">
        <f t="shared" si="125"/>
        <v>0.10920571405178373</v>
      </c>
      <c r="I189" s="3">
        <f t="shared" si="125"/>
        <v>0.10920571405178373</v>
      </c>
      <c r="J189" s="3">
        <f t="shared" si="125"/>
        <v>0.10920571405178373</v>
      </c>
      <c r="K189" s="3">
        <f t="shared" si="125"/>
        <v>0.10920571405178373</v>
      </c>
      <c r="L189" s="3">
        <f t="shared" si="125"/>
        <v>0.10920571405178373</v>
      </c>
      <c r="M189" s="3">
        <f t="shared" si="125"/>
        <v>0.10920571405178373</v>
      </c>
      <c r="N189" s="3">
        <f t="shared" si="125"/>
        <v>0.10920571405178373</v>
      </c>
      <c r="O189" s="3">
        <f t="shared" si="125"/>
        <v>0.1092057140517837</v>
      </c>
      <c r="P189" s="3">
        <f t="shared" si="125"/>
        <v>0.1092057140517835</v>
      </c>
      <c r="Q189" s="3">
        <f t="shared" si="125"/>
        <v>0.10920571405178153</v>
      </c>
      <c r="R189" s="3">
        <f t="shared" si="125"/>
        <v>0.10920571405176174</v>
      </c>
      <c r="S189" s="3">
        <f t="shared" si="125"/>
        <v>0.10920571405156396</v>
      </c>
      <c r="T189" s="3">
        <f t="shared" si="125"/>
        <v>0.10920571404958609</v>
      </c>
      <c r="U189" s="3">
        <f t="shared" si="125"/>
        <v>0.10920571402980743</v>
      </c>
      <c r="V189" s="3">
        <f t="shared" si="125"/>
        <v>0.1092057138320208</v>
      </c>
      <c r="W189" s="3">
        <f t="shared" si="125"/>
        <v>0.10920571185415448</v>
      </c>
      <c r="X189" s="3">
        <f t="shared" si="125"/>
        <v>0.10920569207549319</v>
      </c>
      <c r="Y189" s="3">
        <f t="shared" si="125"/>
        <v>0.10920549428907744</v>
      </c>
      <c r="Z189" s="3">
        <f t="shared" si="125"/>
        <v>0.10920351644462187</v>
      </c>
      <c r="AA189" s="3">
        <f t="shared" si="125"/>
        <v>0.10918373997012343</v>
      </c>
      <c r="AB189" s="3">
        <f t="shared" si="125"/>
        <v>0.10898617209892179</v>
      </c>
      <c r="AC189" s="3">
        <f t="shared" si="125"/>
        <v>0.10703004947260979</v>
      </c>
      <c r="AD189" s="3">
        <f t="shared" si="125"/>
        <v>8.9299493543765332E-2</v>
      </c>
      <c r="AE189" s="3">
        <f t="shared" si="125"/>
        <v>1.4597607841676031E-2</v>
      </c>
      <c r="AF189" s="3">
        <f t="shared" si="125"/>
        <v>1.9888803524610154E-10</v>
      </c>
      <c r="AG189" s="3"/>
      <c r="AH189" s="3"/>
    </row>
    <row r="190" spans="2:34" x14ac:dyDescent="0.25">
      <c r="B190" s="3">
        <f t="shared" ref="B190:AF190" si="126">$C37*EXP(-B$168/$A37/EXP(-$C$126))</f>
        <v>8.5595472993728092E-2</v>
      </c>
      <c r="C190" s="3">
        <f t="shared" si="126"/>
        <v>8.5595472993728092E-2</v>
      </c>
      <c r="D190" s="3">
        <f t="shared" si="126"/>
        <v>8.5595472993728092E-2</v>
      </c>
      <c r="E190" s="3">
        <f t="shared" si="126"/>
        <v>8.5595472993728092E-2</v>
      </c>
      <c r="F190" s="3">
        <f t="shared" si="126"/>
        <v>8.5595472993728092E-2</v>
      </c>
      <c r="G190" s="3">
        <f t="shared" si="126"/>
        <v>8.5595472993728092E-2</v>
      </c>
      <c r="H190" s="3">
        <f t="shared" si="126"/>
        <v>8.5595472993728092E-2</v>
      </c>
      <c r="I190" s="3">
        <f t="shared" si="126"/>
        <v>8.5595472993728092E-2</v>
      </c>
      <c r="J190" s="3">
        <f t="shared" si="126"/>
        <v>8.5595472993728092E-2</v>
      </c>
      <c r="K190" s="3">
        <f t="shared" si="126"/>
        <v>8.5595472993728092E-2</v>
      </c>
      <c r="L190" s="3">
        <f t="shared" si="126"/>
        <v>8.5595472993728092E-2</v>
      </c>
      <c r="M190" s="3">
        <f t="shared" si="126"/>
        <v>8.5595472993728092E-2</v>
      </c>
      <c r="N190" s="3">
        <f t="shared" si="126"/>
        <v>8.5595472993728092E-2</v>
      </c>
      <c r="O190" s="3">
        <f t="shared" si="126"/>
        <v>8.5595472993728092E-2</v>
      </c>
      <c r="P190" s="3">
        <f t="shared" si="126"/>
        <v>8.5595472993728078E-2</v>
      </c>
      <c r="Q190" s="3">
        <f t="shared" si="126"/>
        <v>8.5595472993727939E-2</v>
      </c>
      <c r="R190" s="3">
        <f t="shared" si="126"/>
        <v>8.5595472993726537E-2</v>
      </c>
      <c r="S190" s="3">
        <f t="shared" si="126"/>
        <v>8.5595472993712549E-2</v>
      </c>
      <c r="T190" s="3">
        <f t="shared" si="126"/>
        <v>8.5595472993572702E-2</v>
      </c>
      <c r="U190" s="3">
        <f t="shared" si="126"/>
        <v>8.5595472992174251E-2</v>
      </c>
      <c r="V190" s="3">
        <f t="shared" si="126"/>
        <v>8.5595472978189688E-2</v>
      </c>
      <c r="W190" s="3">
        <f t="shared" si="126"/>
        <v>8.5595472838344039E-2</v>
      </c>
      <c r="X190" s="3">
        <f t="shared" si="126"/>
        <v>8.5595471439887535E-2</v>
      </c>
      <c r="Y190" s="3">
        <f t="shared" si="126"/>
        <v>8.5595457455323834E-2</v>
      </c>
      <c r="Z190" s="3">
        <f t="shared" si="126"/>
        <v>8.5595317609812371E-2</v>
      </c>
      <c r="AA190" s="3">
        <f t="shared" si="126"/>
        <v>8.5593919167264207E-2</v>
      </c>
      <c r="AB190" s="3">
        <f t="shared" si="126"/>
        <v>8.5579935998334952E-2</v>
      </c>
      <c r="AC190" s="3">
        <f t="shared" si="126"/>
        <v>8.5440229888370828E-2</v>
      </c>
      <c r="AD190" s="3">
        <f t="shared" si="126"/>
        <v>8.4055651138851925E-2</v>
      </c>
      <c r="AE190" s="3">
        <f t="shared" si="126"/>
        <v>7.1385828189308859E-2</v>
      </c>
      <c r="AF190" s="3">
        <f t="shared" si="126"/>
        <v>1.3933584591118044E-2</v>
      </c>
      <c r="AG190" s="3"/>
      <c r="AH190" s="3"/>
    </row>
    <row r="191" spans="2:34" x14ac:dyDescent="0.25">
      <c r="B191" s="3">
        <f t="shared" ref="B191:AF191" si="127">$C38*EXP(-B$168/$A38/EXP(-$C$126))</f>
        <v>3.0330599560697977E-2</v>
      </c>
      <c r="C191" s="3">
        <f t="shared" si="127"/>
        <v>3.0330599560697977E-2</v>
      </c>
      <c r="D191" s="3">
        <f t="shared" si="127"/>
        <v>3.0330599560697977E-2</v>
      </c>
      <c r="E191" s="3">
        <f t="shared" si="127"/>
        <v>3.0330599560697977E-2</v>
      </c>
      <c r="F191" s="3">
        <f t="shared" si="127"/>
        <v>3.0330599560697977E-2</v>
      </c>
      <c r="G191" s="3">
        <f t="shared" si="127"/>
        <v>3.0330599560697977E-2</v>
      </c>
      <c r="H191" s="3">
        <f t="shared" si="127"/>
        <v>3.0330599560697977E-2</v>
      </c>
      <c r="I191" s="3">
        <f t="shared" si="127"/>
        <v>3.0330599560697977E-2</v>
      </c>
      <c r="J191" s="3">
        <f t="shared" si="127"/>
        <v>3.0330599560697977E-2</v>
      </c>
      <c r="K191" s="3">
        <f t="shared" si="127"/>
        <v>3.0330599560697977E-2</v>
      </c>
      <c r="L191" s="3">
        <f t="shared" si="127"/>
        <v>3.0330599560697977E-2</v>
      </c>
      <c r="M191" s="3">
        <f t="shared" si="127"/>
        <v>3.0330599560697977E-2</v>
      </c>
      <c r="N191" s="3">
        <f t="shared" si="127"/>
        <v>3.0330599560697977E-2</v>
      </c>
      <c r="O191" s="3">
        <f t="shared" si="127"/>
        <v>3.0330599560697977E-2</v>
      </c>
      <c r="P191" s="3">
        <f t="shared" si="127"/>
        <v>3.0330599560697977E-2</v>
      </c>
      <c r="Q191" s="3">
        <f t="shared" si="127"/>
        <v>3.0330599560697974E-2</v>
      </c>
      <c r="R191" s="3">
        <f t="shared" si="127"/>
        <v>3.0330599560697925E-2</v>
      </c>
      <c r="S191" s="3">
        <f t="shared" si="127"/>
        <v>3.0330599560697478E-2</v>
      </c>
      <c r="T191" s="3">
        <f t="shared" si="127"/>
        <v>3.0330599560693009E-2</v>
      </c>
      <c r="U191" s="3">
        <f t="shared" si="127"/>
        <v>3.0330599560648309E-2</v>
      </c>
      <c r="V191" s="3">
        <f t="shared" si="127"/>
        <v>3.0330599560201291E-2</v>
      </c>
      <c r="W191" s="3">
        <f t="shared" si="127"/>
        <v>3.0330599555731103E-2</v>
      </c>
      <c r="X191" s="3">
        <f t="shared" si="127"/>
        <v>3.0330599511029226E-2</v>
      </c>
      <c r="Y191" s="3">
        <f t="shared" si="127"/>
        <v>3.0330599064010463E-2</v>
      </c>
      <c r="Z191" s="3">
        <f t="shared" si="127"/>
        <v>3.0330594593823205E-2</v>
      </c>
      <c r="AA191" s="3">
        <f t="shared" si="127"/>
        <v>3.0330549891986872E-2</v>
      </c>
      <c r="AB191" s="3">
        <f t="shared" si="127"/>
        <v>3.033010287724705E-2</v>
      </c>
      <c r="AC191" s="3">
        <f t="shared" si="127"/>
        <v>3.0325633092181007E-2</v>
      </c>
      <c r="AD191" s="3">
        <f t="shared" si="127"/>
        <v>3.0280971454986514E-2</v>
      </c>
      <c r="AE191" s="3">
        <f t="shared" si="127"/>
        <v>2.9837956759547455E-2</v>
      </c>
      <c r="AF191" s="3">
        <f t="shared" si="127"/>
        <v>2.574908759103697E-2</v>
      </c>
      <c r="AG191" s="3"/>
      <c r="AH191" s="3"/>
    </row>
    <row r="192" spans="2:34" x14ac:dyDescent="0.25">
      <c r="B192" s="3">
        <f t="shared" ref="B192:AF192" si="128">$C39*EXP(-B$168/$A39/EXP(-$C$126))</f>
        <v>3.2127590787364095E-2</v>
      </c>
      <c r="C192" s="3">
        <f t="shared" si="128"/>
        <v>3.2127590787364095E-2</v>
      </c>
      <c r="D192" s="3">
        <f t="shared" si="128"/>
        <v>3.2127590787364095E-2</v>
      </c>
      <c r="E192" s="3">
        <f t="shared" si="128"/>
        <v>3.2127590787364095E-2</v>
      </c>
      <c r="F192" s="3">
        <f t="shared" si="128"/>
        <v>3.2127590787364095E-2</v>
      </c>
      <c r="G192" s="3">
        <f t="shared" si="128"/>
        <v>3.2127590787364095E-2</v>
      </c>
      <c r="H192" s="3">
        <f t="shared" si="128"/>
        <v>3.2127590787364095E-2</v>
      </c>
      <c r="I192" s="3">
        <f t="shared" si="128"/>
        <v>3.2127590787364095E-2</v>
      </c>
      <c r="J192" s="3">
        <f t="shared" si="128"/>
        <v>3.2127590787364095E-2</v>
      </c>
      <c r="K192" s="3">
        <f t="shared" si="128"/>
        <v>3.2127590787364095E-2</v>
      </c>
      <c r="L192" s="3">
        <f t="shared" si="128"/>
        <v>3.2127590787364095E-2</v>
      </c>
      <c r="M192" s="3">
        <f t="shared" si="128"/>
        <v>3.2127590787364095E-2</v>
      </c>
      <c r="N192" s="3">
        <f t="shared" si="128"/>
        <v>3.2127590787364095E-2</v>
      </c>
      <c r="O192" s="3">
        <f t="shared" si="128"/>
        <v>3.2127590787364095E-2</v>
      </c>
      <c r="P192" s="3">
        <f t="shared" si="128"/>
        <v>3.2127590787364095E-2</v>
      </c>
      <c r="Q192" s="3">
        <f t="shared" si="128"/>
        <v>3.2127590787364095E-2</v>
      </c>
      <c r="R192" s="3">
        <f t="shared" si="128"/>
        <v>3.2127590787364081E-2</v>
      </c>
      <c r="S192" s="3">
        <f t="shared" si="128"/>
        <v>3.2127590787363949E-2</v>
      </c>
      <c r="T192" s="3">
        <f t="shared" si="128"/>
        <v>3.2127590787362638E-2</v>
      </c>
      <c r="U192" s="3">
        <f t="shared" si="128"/>
        <v>3.2127590787349544E-2</v>
      </c>
      <c r="V192" s="3">
        <f t="shared" si="128"/>
        <v>3.2127590787218586E-2</v>
      </c>
      <c r="W192" s="3">
        <f t="shared" si="128"/>
        <v>3.2127590785908995E-2</v>
      </c>
      <c r="X192" s="3">
        <f t="shared" si="128"/>
        <v>3.2127590772813082E-2</v>
      </c>
      <c r="Y192" s="3">
        <f t="shared" si="128"/>
        <v>3.2127590641853949E-2</v>
      </c>
      <c r="Z192" s="3">
        <f t="shared" si="128"/>
        <v>3.2127589332262688E-2</v>
      </c>
      <c r="AA192" s="3">
        <f t="shared" si="128"/>
        <v>3.2127576236352949E-2</v>
      </c>
      <c r="AB192" s="3">
        <f t="shared" si="128"/>
        <v>3.2127445277549169E-2</v>
      </c>
      <c r="AC192" s="3">
        <f t="shared" si="128"/>
        <v>3.2126135718870921E-2</v>
      </c>
      <c r="AD192" s="3">
        <f t="shared" si="128"/>
        <v>3.2113043067596721E-2</v>
      </c>
      <c r="AE192" s="3">
        <f t="shared" si="128"/>
        <v>3.1982409663435976E-2</v>
      </c>
      <c r="AF192" s="3">
        <f t="shared" si="128"/>
        <v>3.0704949191760374E-2</v>
      </c>
      <c r="AG192" s="3"/>
      <c r="AH192" s="3"/>
    </row>
    <row r="193" spans="1:34" x14ac:dyDescent="0.25">
      <c r="B193" s="3">
        <f t="shared" ref="B193:AF193" si="129">$C40*EXP(-B$168/$A40/EXP(-$C$126))</f>
        <v>1.5939358035986794E-2</v>
      </c>
      <c r="C193" s="3">
        <f t="shared" si="129"/>
        <v>1.5939358035986794E-2</v>
      </c>
      <c r="D193" s="3">
        <f t="shared" si="129"/>
        <v>1.5939358035986794E-2</v>
      </c>
      <c r="E193" s="3">
        <f t="shared" si="129"/>
        <v>1.5939358035986794E-2</v>
      </c>
      <c r="F193" s="3">
        <f t="shared" si="129"/>
        <v>1.5939358035986794E-2</v>
      </c>
      <c r="G193" s="3">
        <f t="shared" si="129"/>
        <v>1.5939358035986794E-2</v>
      </c>
      <c r="H193" s="3">
        <f t="shared" si="129"/>
        <v>1.5939358035986794E-2</v>
      </c>
      <c r="I193" s="3">
        <f t="shared" si="129"/>
        <v>1.5939358035986794E-2</v>
      </c>
      <c r="J193" s="3">
        <f t="shared" si="129"/>
        <v>1.5939358035986794E-2</v>
      </c>
      <c r="K193" s="3">
        <f t="shared" si="129"/>
        <v>1.5939358035986794E-2</v>
      </c>
      <c r="L193" s="3">
        <f t="shared" si="129"/>
        <v>1.5939358035986794E-2</v>
      </c>
      <c r="M193" s="3">
        <f t="shared" si="129"/>
        <v>1.5939358035986794E-2</v>
      </c>
      <c r="N193" s="3">
        <f t="shared" si="129"/>
        <v>1.5939358035986794E-2</v>
      </c>
      <c r="O193" s="3">
        <f t="shared" si="129"/>
        <v>1.5939358035986794E-2</v>
      </c>
      <c r="P193" s="3">
        <f t="shared" si="129"/>
        <v>1.5939358035986794E-2</v>
      </c>
      <c r="Q193" s="3">
        <f t="shared" si="129"/>
        <v>1.5939358035986794E-2</v>
      </c>
      <c r="R193" s="3">
        <f t="shared" si="129"/>
        <v>1.5939358035986794E-2</v>
      </c>
      <c r="S193" s="3">
        <f t="shared" si="129"/>
        <v>1.5939358035986787E-2</v>
      </c>
      <c r="T193" s="3">
        <f t="shared" si="129"/>
        <v>1.5939358035986721E-2</v>
      </c>
      <c r="U193" s="3">
        <f t="shared" si="129"/>
        <v>1.5939358035986072E-2</v>
      </c>
      <c r="V193" s="3">
        <f t="shared" si="129"/>
        <v>1.5939358035979574E-2</v>
      </c>
      <c r="W193" s="3">
        <f t="shared" si="129"/>
        <v>1.5939358035914602E-2</v>
      </c>
      <c r="X193" s="3">
        <f t="shared" si="129"/>
        <v>1.5939358035264879E-2</v>
      </c>
      <c r="Y193" s="3">
        <f t="shared" si="129"/>
        <v>1.5939358028767645E-2</v>
      </c>
      <c r="Z193" s="3">
        <f t="shared" si="129"/>
        <v>1.5939357963795316E-2</v>
      </c>
      <c r="AA193" s="3">
        <f t="shared" si="129"/>
        <v>1.5939357314072023E-2</v>
      </c>
      <c r="AB193" s="3">
        <f t="shared" si="129"/>
        <v>1.5939350816840548E-2</v>
      </c>
      <c r="AC193" s="3">
        <f t="shared" si="129"/>
        <v>1.5939285844671448E-2</v>
      </c>
      <c r="AD193" s="3">
        <f t="shared" si="129"/>
        <v>1.5938636137546505E-2</v>
      </c>
      <c r="AE193" s="3">
        <f t="shared" si="129"/>
        <v>1.5932140522681361E-2</v>
      </c>
      <c r="AF193" s="3">
        <f t="shared" si="129"/>
        <v>1.5867329793045296E-2</v>
      </c>
      <c r="AG193" s="3"/>
      <c r="AH193" s="3"/>
    </row>
    <row r="194" spans="1:34" x14ac:dyDescent="0.25">
      <c r="B194" s="3">
        <f t="shared" ref="B194:AF194" si="130">$C41*EXP(-B$168/$A41/EXP(-$C$126))</f>
        <v>1.0098226932664881E-3</v>
      </c>
      <c r="C194" s="3">
        <f t="shared" si="130"/>
        <v>1.0098226932664881E-3</v>
      </c>
      <c r="D194" s="3">
        <f t="shared" si="130"/>
        <v>1.0098226932664881E-3</v>
      </c>
      <c r="E194" s="3">
        <f t="shared" si="130"/>
        <v>1.0098226932664881E-3</v>
      </c>
      <c r="F194" s="3">
        <f t="shared" si="130"/>
        <v>1.0098226932664881E-3</v>
      </c>
      <c r="G194" s="3">
        <f t="shared" si="130"/>
        <v>1.0098226932664881E-3</v>
      </c>
      <c r="H194" s="3">
        <f t="shared" si="130"/>
        <v>1.0098226932664881E-3</v>
      </c>
      <c r="I194" s="3">
        <f t="shared" si="130"/>
        <v>1.0098226932664881E-3</v>
      </c>
      <c r="J194" s="3">
        <f t="shared" si="130"/>
        <v>1.0098226932664881E-3</v>
      </c>
      <c r="K194" s="3">
        <f t="shared" si="130"/>
        <v>1.0098226932664881E-3</v>
      </c>
      <c r="L194" s="3">
        <f t="shared" si="130"/>
        <v>1.0098226932664881E-3</v>
      </c>
      <c r="M194" s="3">
        <f t="shared" si="130"/>
        <v>1.0098226932664881E-3</v>
      </c>
      <c r="N194" s="3">
        <f t="shared" si="130"/>
        <v>1.0098226932664881E-3</v>
      </c>
      <c r="O194" s="3">
        <f t="shared" si="130"/>
        <v>1.0098226932664881E-3</v>
      </c>
      <c r="P194" s="3">
        <f t="shared" si="130"/>
        <v>1.0098226932664881E-3</v>
      </c>
      <c r="Q194" s="3">
        <f t="shared" si="130"/>
        <v>1.0098226932664881E-3</v>
      </c>
      <c r="R194" s="3">
        <f t="shared" si="130"/>
        <v>1.0098226932664881E-3</v>
      </c>
      <c r="S194" s="3">
        <f t="shared" si="130"/>
        <v>1.0098226932664881E-3</v>
      </c>
      <c r="T194" s="3">
        <f t="shared" si="130"/>
        <v>1.0098226932664877E-3</v>
      </c>
      <c r="U194" s="3">
        <f t="shared" si="130"/>
        <v>1.0098226932664836E-3</v>
      </c>
      <c r="V194" s="3">
        <f t="shared" si="130"/>
        <v>1.0098226932664424E-3</v>
      </c>
      <c r="W194" s="3">
        <f t="shared" si="130"/>
        <v>1.0098226932660308E-3</v>
      </c>
      <c r="X194" s="3">
        <f t="shared" si="130"/>
        <v>1.0098226932619145E-3</v>
      </c>
      <c r="Y194" s="3">
        <f t="shared" si="130"/>
        <v>1.0098226932207519E-3</v>
      </c>
      <c r="Z194" s="3">
        <f t="shared" si="130"/>
        <v>1.0098226928091259E-3</v>
      </c>
      <c r="AA194" s="3">
        <f t="shared" si="130"/>
        <v>1.0098226886928665E-3</v>
      </c>
      <c r="AB194" s="3">
        <f t="shared" si="130"/>
        <v>1.0098226475302723E-3</v>
      </c>
      <c r="AC194" s="3">
        <f t="shared" si="130"/>
        <v>1.009822235904423E-3</v>
      </c>
      <c r="AD194" s="3">
        <f t="shared" si="130"/>
        <v>1.009818119655159E-3</v>
      </c>
      <c r="AE194" s="3">
        <f t="shared" si="130"/>
        <v>1.0097769580853352E-3</v>
      </c>
      <c r="AF194" s="3">
        <f t="shared" si="130"/>
        <v>1.0093654346549226E-3</v>
      </c>
      <c r="AG194" s="3"/>
      <c r="AH194" s="3"/>
    </row>
    <row r="195" spans="1:34" x14ac:dyDescent="0.25">
      <c r="B195" s="3">
        <f t="shared" ref="B195:AF195" si="131">$C42*EXP(-B$168/$A42/EXP(-$C$126))</f>
        <v>3.5232790951536608E-3</v>
      </c>
      <c r="C195" s="3">
        <f t="shared" si="131"/>
        <v>3.5232790951536608E-3</v>
      </c>
      <c r="D195" s="3">
        <f t="shared" si="131"/>
        <v>3.5232790951536608E-3</v>
      </c>
      <c r="E195" s="3">
        <f t="shared" si="131"/>
        <v>3.5232790951536608E-3</v>
      </c>
      <c r="F195" s="3">
        <f t="shared" si="131"/>
        <v>3.5232790951536608E-3</v>
      </c>
      <c r="G195" s="3">
        <f t="shared" si="131"/>
        <v>3.5232790951536608E-3</v>
      </c>
      <c r="H195" s="3">
        <f t="shared" si="131"/>
        <v>3.5232790951536608E-3</v>
      </c>
      <c r="I195" s="3">
        <f t="shared" si="131"/>
        <v>3.5232790951536608E-3</v>
      </c>
      <c r="J195" s="3">
        <f t="shared" si="131"/>
        <v>3.5232790951536608E-3</v>
      </c>
      <c r="K195" s="3">
        <f t="shared" si="131"/>
        <v>3.5232790951536608E-3</v>
      </c>
      <c r="L195" s="3">
        <f t="shared" si="131"/>
        <v>3.5232790951536608E-3</v>
      </c>
      <c r="M195" s="3">
        <f t="shared" si="131"/>
        <v>3.5232790951536608E-3</v>
      </c>
      <c r="N195" s="3">
        <f t="shared" si="131"/>
        <v>3.5232790951536608E-3</v>
      </c>
      <c r="O195" s="3">
        <f t="shared" si="131"/>
        <v>3.5232790951536608E-3</v>
      </c>
      <c r="P195" s="3">
        <f t="shared" si="131"/>
        <v>3.5232790951536608E-3</v>
      </c>
      <c r="Q195" s="3">
        <f t="shared" si="131"/>
        <v>3.5232790951536608E-3</v>
      </c>
      <c r="R195" s="3">
        <f t="shared" si="131"/>
        <v>3.5232790951536608E-3</v>
      </c>
      <c r="S195" s="3">
        <f t="shared" si="131"/>
        <v>3.5232790951536608E-3</v>
      </c>
      <c r="T195" s="3">
        <f t="shared" si="131"/>
        <v>3.5232790951536608E-3</v>
      </c>
      <c r="U195" s="3">
        <f t="shared" si="131"/>
        <v>3.5232790951536591E-3</v>
      </c>
      <c r="V195" s="3">
        <f t="shared" si="131"/>
        <v>3.5232790951536448E-3</v>
      </c>
      <c r="W195" s="3">
        <f t="shared" si="131"/>
        <v>3.5232790951535012E-3</v>
      </c>
      <c r="X195" s="3">
        <f t="shared" si="131"/>
        <v>3.5232790951520653E-3</v>
      </c>
      <c r="Y195" s="3">
        <f t="shared" si="131"/>
        <v>3.5232790951377035E-3</v>
      </c>
      <c r="Z195" s="3">
        <f t="shared" si="131"/>
        <v>3.5232790949940866E-3</v>
      </c>
      <c r="AA195" s="3">
        <f t="shared" si="131"/>
        <v>3.5232790935579208E-3</v>
      </c>
      <c r="AB195" s="3">
        <f t="shared" si="131"/>
        <v>3.5232790791962596E-3</v>
      </c>
      <c r="AC195" s="3">
        <f t="shared" si="131"/>
        <v>3.5232789355796545E-3</v>
      </c>
      <c r="AD195" s="3">
        <f t="shared" si="131"/>
        <v>3.5232774994139199E-3</v>
      </c>
      <c r="AE195" s="3">
        <f t="shared" si="131"/>
        <v>3.5232631377887761E-3</v>
      </c>
      <c r="AF195" s="3">
        <f t="shared" si="131"/>
        <v>3.523119524757052E-3</v>
      </c>
      <c r="AG195" s="3"/>
      <c r="AH195" s="3"/>
    </row>
    <row r="196" spans="1:34" x14ac:dyDescent="0.25">
      <c r="B196" s="3">
        <f t="shared" ref="B196:AF196" si="132">$C43*EXP(-B$168/$A43/EXP(-$C$126))</f>
        <v>1.7526056431954549E-4</v>
      </c>
      <c r="C196" s="3">
        <f t="shared" si="132"/>
        <v>1.7526056431954549E-4</v>
      </c>
      <c r="D196" s="3">
        <f t="shared" si="132"/>
        <v>1.7526056431954549E-4</v>
      </c>
      <c r="E196" s="3">
        <f t="shared" si="132"/>
        <v>1.7526056431954549E-4</v>
      </c>
      <c r="F196" s="3">
        <f t="shared" si="132"/>
        <v>1.7526056431954549E-4</v>
      </c>
      <c r="G196" s="3">
        <f t="shared" si="132"/>
        <v>1.7526056431954549E-4</v>
      </c>
      <c r="H196" s="3">
        <f t="shared" si="132"/>
        <v>1.7526056431954549E-4</v>
      </c>
      <c r="I196" s="3">
        <f t="shared" si="132"/>
        <v>1.7526056431954549E-4</v>
      </c>
      <c r="J196" s="3">
        <f t="shared" si="132"/>
        <v>1.7526056431954549E-4</v>
      </c>
      <c r="K196" s="3">
        <f t="shared" si="132"/>
        <v>1.7526056431954549E-4</v>
      </c>
      <c r="L196" s="3">
        <f t="shared" si="132"/>
        <v>1.7526056431954549E-4</v>
      </c>
      <c r="M196" s="3">
        <f t="shared" si="132"/>
        <v>1.7526056431954549E-4</v>
      </c>
      <c r="N196" s="3">
        <f t="shared" si="132"/>
        <v>1.7526056431954549E-4</v>
      </c>
      <c r="O196" s="3">
        <f t="shared" si="132"/>
        <v>1.7526056431954549E-4</v>
      </c>
      <c r="P196" s="3">
        <f t="shared" si="132"/>
        <v>1.7526056431954549E-4</v>
      </c>
      <c r="Q196" s="3">
        <f t="shared" si="132"/>
        <v>1.7526056431954549E-4</v>
      </c>
      <c r="R196" s="3">
        <f t="shared" si="132"/>
        <v>1.7526056431954549E-4</v>
      </c>
      <c r="S196" s="3">
        <f t="shared" si="132"/>
        <v>1.7526056431954549E-4</v>
      </c>
      <c r="T196" s="3">
        <f t="shared" si="132"/>
        <v>1.7526056431954549E-4</v>
      </c>
      <c r="U196" s="3">
        <f t="shared" si="132"/>
        <v>1.7526056431954549E-4</v>
      </c>
      <c r="V196" s="3">
        <f t="shared" si="132"/>
        <v>1.7526056431954541E-4</v>
      </c>
      <c r="W196" s="3">
        <f t="shared" si="132"/>
        <v>1.7526056431954471E-4</v>
      </c>
      <c r="X196" s="3">
        <f t="shared" si="132"/>
        <v>1.7526056431953755E-4</v>
      </c>
      <c r="Y196" s="3">
        <f t="shared" si="132"/>
        <v>1.7526056431946613E-4</v>
      </c>
      <c r="Z196" s="3">
        <f t="shared" si="132"/>
        <v>1.7526056431875172E-4</v>
      </c>
      <c r="AA196" s="3">
        <f t="shared" si="132"/>
        <v>1.752605643116077E-4</v>
      </c>
      <c r="AB196" s="3">
        <f t="shared" si="132"/>
        <v>1.7526056424016764E-4</v>
      </c>
      <c r="AC196" s="3">
        <f t="shared" si="132"/>
        <v>1.7526056352576701E-4</v>
      </c>
      <c r="AD196" s="3">
        <f t="shared" si="132"/>
        <v>1.7526055638176092E-4</v>
      </c>
      <c r="AE196" s="3">
        <f t="shared" si="132"/>
        <v>1.7526048494171593E-4</v>
      </c>
      <c r="AF196" s="3">
        <f t="shared" si="132"/>
        <v>1.752597705428678E-4</v>
      </c>
      <c r="AG196" s="3"/>
      <c r="AH196" s="3"/>
    </row>
    <row r="197" spans="1:34" x14ac:dyDescent="0.25">
      <c r="B197" s="3">
        <f t="shared" ref="B197:AF197" si="133">$C44*EXP(-B$168/$A44/EXP(-$C$126))</f>
        <v>0</v>
      </c>
      <c r="C197" s="3">
        <f t="shared" si="133"/>
        <v>0</v>
      </c>
      <c r="D197" s="3">
        <f t="shared" si="133"/>
        <v>0</v>
      </c>
      <c r="E197" s="3">
        <f t="shared" si="133"/>
        <v>0</v>
      </c>
      <c r="F197" s="3">
        <f t="shared" si="133"/>
        <v>0</v>
      </c>
      <c r="G197" s="3">
        <f t="shared" si="133"/>
        <v>0</v>
      </c>
      <c r="H197" s="3">
        <f t="shared" si="133"/>
        <v>0</v>
      </c>
      <c r="I197" s="3">
        <f t="shared" si="133"/>
        <v>0</v>
      </c>
      <c r="J197" s="3">
        <f t="shared" si="133"/>
        <v>0</v>
      </c>
      <c r="K197" s="3">
        <f t="shared" si="133"/>
        <v>0</v>
      </c>
      <c r="L197" s="3">
        <f t="shared" si="133"/>
        <v>0</v>
      </c>
      <c r="M197" s="3">
        <f t="shared" si="133"/>
        <v>0</v>
      </c>
      <c r="N197" s="3">
        <f t="shared" si="133"/>
        <v>0</v>
      </c>
      <c r="O197" s="3">
        <f t="shared" si="133"/>
        <v>0</v>
      </c>
      <c r="P197" s="3">
        <f t="shared" si="133"/>
        <v>0</v>
      </c>
      <c r="Q197" s="3">
        <f t="shared" si="133"/>
        <v>0</v>
      </c>
      <c r="R197" s="3">
        <f t="shared" si="133"/>
        <v>0</v>
      </c>
      <c r="S197" s="3">
        <f t="shared" si="133"/>
        <v>0</v>
      </c>
      <c r="T197" s="3">
        <f t="shared" si="133"/>
        <v>0</v>
      </c>
      <c r="U197" s="3">
        <f t="shared" si="133"/>
        <v>0</v>
      </c>
      <c r="V197" s="3">
        <f t="shared" si="133"/>
        <v>0</v>
      </c>
      <c r="W197" s="3">
        <f t="shared" si="133"/>
        <v>0</v>
      </c>
      <c r="X197" s="3">
        <f t="shared" si="133"/>
        <v>0</v>
      </c>
      <c r="Y197" s="3">
        <f t="shared" si="133"/>
        <v>0</v>
      </c>
      <c r="Z197" s="3">
        <f t="shared" si="133"/>
        <v>0</v>
      </c>
      <c r="AA197" s="3">
        <f t="shared" si="133"/>
        <v>0</v>
      </c>
      <c r="AB197" s="3">
        <f t="shared" si="133"/>
        <v>0</v>
      </c>
      <c r="AC197" s="3">
        <f t="shared" si="133"/>
        <v>0</v>
      </c>
      <c r="AD197" s="3">
        <f t="shared" si="133"/>
        <v>0</v>
      </c>
      <c r="AE197" s="3">
        <f t="shared" si="133"/>
        <v>0</v>
      </c>
      <c r="AF197" s="3">
        <f t="shared" si="133"/>
        <v>0</v>
      </c>
      <c r="AG197" s="3"/>
      <c r="AH197" s="3"/>
    </row>
    <row r="198" spans="1:34" x14ac:dyDescent="0.25">
      <c r="B198" s="3">
        <f t="shared" ref="B198:AF198" si="134">$C45*EXP(-B$168/$A45/EXP(-$C$126))</f>
        <v>1.1765348907566872E-4</v>
      </c>
      <c r="C198" s="3">
        <f t="shared" si="134"/>
        <v>1.1765348907566872E-4</v>
      </c>
      <c r="D198" s="3">
        <f t="shared" si="134"/>
        <v>1.1765348907566872E-4</v>
      </c>
      <c r="E198" s="3">
        <f t="shared" si="134"/>
        <v>1.1765348907566872E-4</v>
      </c>
      <c r="F198" s="3">
        <f t="shared" si="134"/>
        <v>1.1765348907566872E-4</v>
      </c>
      <c r="G198" s="3">
        <f t="shared" si="134"/>
        <v>1.1765348907566872E-4</v>
      </c>
      <c r="H198" s="3">
        <f t="shared" si="134"/>
        <v>1.1765348907566872E-4</v>
      </c>
      <c r="I198" s="3">
        <f t="shared" si="134"/>
        <v>1.1765348907566872E-4</v>
      </c>
      <c r="J198" s="3">
        <f t="shared" si="134"/>
        <v>1.1765348907566872E-4</v>
      </c>
      <c r="K198" s="3">
        <f t="shared" si="134"/>
        <v>1.1765348907566872E-4</v>
      </c>
      <c r="L198" s="3">
        <f t="shared" si="134"/>
        <v>1.1765348907566872E-4</v>
      </c>
      <c r="M198" s="3">
        <f t="shared" si="134"/>
        <v>1.1765348907566872E-4</v>
      </c>
      <c r="N198" s="3">
        <f t="shared" si="134"/>
        <v>1.1765348907566872E-4</v>
      </c>
      <c r="O198" s="3">
        <f t="shared" si="134"/>
        <v>1.1765348907566872E-4</v>
      </c>
      <c r="P198" s="3">
        <f t="shared" si="134"/>
        <v>1.1765348907566872E-4</v>
      </c>
      <c r="Q198" s="3">
        <f t="shared" si="134"/>
        <v>1.1765348907566872E-4</v>
      </c>
      <c r="R198" s="3">
        <f t="shared" si="134"/>
        <v>1.1765348907566872E-4</v>
      </c>
      <c r="S198" s="3">
        <f t="shared" si="134"/>
        <v>1.1765348907566872E-4</v>
      </c>
      <c r="T198" s="3">
        <f t="shared" si="134"/>
        <v>1.1765348907566872E-4</v>
      </c>
      <c r="U198" s="3">
        <f t="shared" si="134"/>
        <v>1.1765348907566872E-4</v>
      </c>
      <c r="V198" s="3">
        <f t="shared" si="134"/>
        <v>1.1765348907566872E-4</v>
      </c>
      <c r="W198" s="3">
        <f t="shared" si="134"/>
        <v>1.1765348907566872E-4</v>
      </c>
      <c r="X198" s="3">
        <f t="shared" si="134"/>
        <v>1.1765348907566867E-4</v>
      </c>
      <c r="Y198" s="3">
        <f t="shared" si="134"/>
        <v>1.1765348907566818E-4</v>
      </c>
      <c r="Z198" s="3">
        <f t="shared" si="134"/>
        <v>1.176534890756634E-4</v>
      </c>
      <c r="AA198" s="3">
        <f t="shared" si="134"/>
        <v>1.1765348907561545E-4</v>
      </c>
      <c r="AB198" s="3">
        <f t="shared" si="134"/>
        <v>1.1765348907513585E-4</v>
      </c>
      <c r="AC198" s="3">
        <f t="shared" si="134"/>
        <v>1.1765348907034005E-4</v>
      </c>
      <c r="AD198" s="3">
        <f t="shared" si="134"/>
        <v>1.1765348902238188E-4</v>
      </c>
      <c r="AE198" s="3">
        <f t="shared" si="134"/>
        <v>1.1765348854280038E-4</v>
      </c>
      <c r="AF198" s="3">
        <f t="shared" si="134"/>
        <v>1.1765348374698539E-4</v>
      </c>
      <c r="AG198" s="3"/>
      <c r="AH198" s="3"/>
    </row>
    <row r="199" spans="1:34" x14ac:dyDescent="0.25">
      <c r="B199" s="3">
        <f t="shared" ref="B199:AF199" si="135">$C46*EXP(-B$168/$A46/EXP(-$C$126))</f>
        <v>0</v>
      </c>
      <c r="C199" s="3">
        <f t="shared" si="135"/>
        <v>0</v>
      </c>
      <c r="D199" s="3">
        <f t="shared" si="135"/>
        <v>0</v>
      </c>
      <c r="E199" s="3">
        <f t="shared" si="135"/>
        <v>0</v>
      </c>
      <c r="F199" s="3">
        <f t="shared" si="135"/>
        <v>0</v>
      </c>
      <c r="G199" s="3">
        <f t="shared" si="135"/>
        <v>0</v>
      </c>
      <c r="H199" s="3">
        <f t="shared" si="135"/>
        <v>0</v>
      </c>
      <c r="I199" s="3">
        <f t="shared" si="135"/>
        <v>0</v>
      </c>
      <c r="J199" s="3">
        <f t="shared" si="135"/>
        <v>0</v>
      </c>
      <c r="K199" s="3">
        <f t="shared" si="135"/>
        <v>0</v>
      </c>
      <c r="L199" s="3">
        <f t="shared" si="135"/>
        <v>0</v>
      </c>
      <c r="M199" s="3">
        <f t="shared" si="135"/>
        <v>0</v>
      </c>
      <c r="N199" s="3">
        <f t="shared" si="135"/>
        <v>0</v>
      </c>
      <c r="O199" s="3">
        <f t="shared" si="135"/>
        <v>0</v>
      </c>
      <c r="P199" s="3">
        <f t="shared" si="135"/>
        <v>0</v>
      </c>
      <c r="Q199" s="3">
        <f t="shared" si="135"/>
        <v>0</v>
      </c>
      <c r="R199" s="3">
        <f t="shared" si="135"/>
        <v>0</v>
      </c>
      <c r="S199" s="3">
        <f t="shared" si="135"/>
        <v>0</v>
      </c>
      <c r="T199" s="3">
        <f t="shared" si="135"/>
        <v>0</v>
      </c>
      <c r="U199" s="3">
        <f t="shared" si="135"/>
        <v>0</v>
      </c>
      <c r="V199" s="3">
        <f t="shared" si="135"/>
        <v>0</v>
      </c>
      <c r="W199" s="3">
        <f t="shared" si="135"/>
        <v>0</v>
      </c>
      <c r="X199" s="3">
        <f t="shared" si="135"/>
        <v>0</v>
      </c>
      <c r="Y199" s="3">
        <f t="shared" si="135"/>
        <v>0</v>
      </c>
      <c r="Z199" s="3">
        <f t="shared" si="135"/>
        <v>0</v>
      </c>
      <c r="AA199" s="3">
        <f t="shared" si="135"/>
        <v>0</v>
      </c>
      <c r="AB199" s="3">
        <f t="shared" si="135"/>
        <v>0</v>
      </c>
      <c r="AC199" s="3">
        <f t="shared" si="135"/>
        <v>0</v>
      </c>
      <c r="AD199" s="3">
        <f t="shared" si="135"/>
        <v>0</v>
      </c>
      <c r="AE199" s="3">
        <f t="shared" si="135"/>
        <v>0</v>
      </c>
      <c r="AF199" s="3">
        <f t="shared" si="135"/>
        <v>0</v>
      </c>
      <c r="AG199" s="3"/>
      <c r="AH199" s="3"/>
    </row>
    <row r="200" spans="1:34" x14ac:dyDescent="0.25">
      <c r="B200" s="3">
        <f t="shared" ref="B200:AF200" si="136">$C47*EXP(-B$168/$A47/EXP(-$C$126))</f>
        <v>6.5987032321069097E-5</v>
      </c>
      <c r="C200" s="3">
        <f t="shared" si="136"/>
        <v>6.5987032321069097E-5</v>
      </c>
      <c r="D200" s="3">
        <f t="shared" si="136"/>
        <v>6.5987032321069097E-5</v>
      </c>
      <c r="E200" s="3">
        <f t="shared" si="136"/>
        <v>6.5987032321069097E-5</v>
      </c>
      <c r="F200" s="3">
        <f t="shared" si="136"/>
        <v>6.5987032321069097E-5</v>
      </c>
      <c r="G200" s="3">
        <f t="shared" si="136"/>
        <v>6.5987032321069097E-5</v>
      </c>
      <c r="H200" s="3">
        <f t="shared" si="136"/>
        <v>6.5987032321069097E-5</v>
      </c>
      <c r="I200" s="3">
        <f t="shared" si="136"/>
        <v>6.5987032321069097E-5</v>
      </c>
      <c r="J200" s="3">
        <f t="shared" si="136"/>
        <v>6.5987032321069097E-5</v>
      </c>
      <c r="K200" s="3">
        <f t="shared" si="136"/>
        <v>6.5987032321069097E-5</v>
      </c>
      <c r="L200" s="3">
        <f t="shared" si="136"/>
        <v>6.5987032321069097E-5</v>
      </c>
      <c r="M200" s="3">
        <f t="shared" si="136"/>
        <v>6.5987032321069097E-5</v>
      </c>
      <c r="N200" s="3">
        <f t="shared" si="136"/>
        <v>6.5987032321069097E-5</v>
      </c>
      <c r="O200" s="3">
        <f t="shared" si="136"/>
        <v>6.5987032321069097E-5</v>
      </c>
      <c r="P200" s="3">
        <f t="shared" si="136"/>
        <v>6.5987032321069097E-5</v>
      </c>
      <c r="Q200" s="3">
        <f t="shared" si="136"/>
        <v>6.5987032321069097E-5</v>
      </c>
      <c r="R200" s="3">
        <f t="shared" si="136"/>
        <v>6.5987032321069097E-5</v>
      </c>
      <c r="S200" s="3">
        <f t="shared" si="136"/>
        <v>6.5987032321069097E-5</v>
      </c>
      <c r="T200" s="3">
        <f t="shared" si="136"/>
        <v>6.5987032321069097E-5</v>
      </c>
      <c r="U200" s="3">
        <f t="shared" si="136"/>
        <v>6.5987032321069097E-5</v>
      </c>
      <c r="V200" s="3">
        <f t="shared" si="136"/>
        <v>6.5987032321069097E-5</v>
      </c>
      <c r="W200" s="3">
        <f t="shared" si="136"/>
        <v>6.5987032321069097E-5</v>
      </c>
      <c r="X200" s="3">
        <f t="shared" si="136"/>
        <v>6.5987032321069097E-5</v>
      </c>
      <c r="Y200" s="3">
        <f t="shared" si="136"/>
        <v>6.5987032321069097E-5</v>
      </c>
      <c r="Z200" s="3">
        <f t="shared" si="136"/>
        <v>6.598703232106907E-5</v>
      </c>
      <c r="AA200" s="3">
        <f t="shared" si="136"/>
        <v>6.5987032321068799E-5</v>
      </c>
      <c r="AB200" s="3">
        <f t="shared" si="136"/>
        <v>6.5987032321066102E-5</v>
      </c>
      <c r="AC200" s="3">
        <f t="shared" si="136"/>
        <v>6.5987032321039213E-5</v>
      </c>
      <c r="AD200" s="3">
        <f t="shared" si="136"/>
        <v>6.5987032320770236E-5</v>
      </c>
      <c r="AE200" s="3">
        <f t="shared" si="136"/>
        <v>6.5987032318080453E-5</v>
      </c>
      <c r="AF200" s="3">
        <f t="shared" si="136"/>
        <v>6.5987032291182684E-5</v>
      </c>
      <c r="AG200" s="3"/>
      <c r="AH200" s="3"/>
    </row>
    <row r="201" spans="1:34" x14ac:dyDescent="0.25">
      <c r="B201" s="3">
        <f t="shared" ref="B201:AF201" si="137">$C48*EXP(-B$168/$A48/EXP(-$C$126))</f>
        <v>6.9850122094838041E-5</v>
      </c>
      <c r="C201" s="3">
        <f t="shared" si="137"/>
        <v>6.9850122094838041E-5</v>
      </c>
      <c r="D201" s="3">
        <f t="shared" si="137"/>
        <v>6.9850122094838041E-5</v>
      </c>
      <c r="E201" s="3">
        <f t="shared" si="137"/>
        <v>6.9850122094838041E-5</v>
      </c>
      <c r="F201" s="3">
        <f t="shared" si="137"/>
        <v>6.9850122094838041E-5</v>
      </c>
      <c r="G201" s="3">
        <f t="shared" si="137"/>
        <v>6.9850122094838041E-5</v>
      </c>
      <c r="H201" s="3">
        <f t="shared" si="137"/>
        <v>6.9850122094838041E-5</v>
      </c>
      <c r="I201" s="3">
        <f t="shared" si="137"/>
        <v>6.9850122094838041E-5</v>
      </c>
      <c r="J201" s="3">
        <f t="shared" si="137"/>
        <v>6.9850122094838041E-5</v>
      </c>
      <c r="K201" s="3">
        <f t="shared" si="137"/>
        <v>6.9850122094838041E-5</v>
      </c>
      <c r="L201" s="3">
        <f t="shared" si="137"/>
        <v>6.9850122094838041E-5</v>
      </c>
      <c r="M201" s="3">
        <f t="shared" si="137"/>
        <v>6.9850122094838041E-5</v>
      </c>
      <c r="N201" s="3">
        <f t="shared" si="137"/>
        <v>6.9850122094838041E-5</v>
      </c>
      <c r="O201" s="3">
        <f t="shared" si="137"/>
        <v>6.9850122094838041E-5</v>
      </c>
      <c r="P201" s="3">
        <f t="shared" si="137"/>
        <v>6.9850122094838041E-5</v>
      </c>
      <c r="Q201" s="3">
        <f t="shared" si="137"/>
        <v>6.9850122094838041E-5</v>
      </c>
      <c r="R201" s="3">
        <f t="shared" si="137"/>
        <v>6.9850122094838041E-5</v>
      </c>
      <c r="S201" s="3">
        <f t="shared" si="137"/>
        <v>6.9850122094838041E-5</v>
      </c>
      <c r="T201" s="3">
        <f t="shared" si="137"/>
        <v>6.9850122094838041E-5</v>
      </c>
      <c r="U201" s="3">
        <f t="shared" si="137"/>
        <v>6.9850122094838041E-5</v>
      </c>
      <c r="V201" s="3">
        <f t="shared" si="137"/>
        <v>6.9850122094838041E-5</v>
      </c>
      <c r="W201" s="3">
        <f t="shared" si="137"/>
        <v>6.9850122094838041E-5</v>
      </c>
      <c r="X201" s="3">
        <f t="shared" si="137"/>
        <v>6.9850122094838041E-5</v>
      </c>
      <c r="Y201" s="3">
        <f t="shared" si="137"/>
        <v>6.9850122094838041E-5</v>
      </c>
      <c r="Z201" s="3">
        <f t="shared" si="137"/>
        <v>6.9850122094838041E-5</v>
      </c>
      <c r="AA201" s="3">
        <f t="shared" si="137"/>
        <v>6.9850122094838014E-5</v>
      </c>
      <c r="AB201" s="3">
        <f t="shared" si="137"/>
        <v>6.985012209483773E-5</v>
      </c>
      <c r="AC201" s="3">
        <f t="shared" si="137"/>
        <v>6.9850122094834884E-5</v>
      </c>
      <c r="AD201" s="3">
        <f t="shared" si="137"/>
        <v>6.985012209480641E-5</v>
      </c>
      <c r="AE201" s="3">
        <f t="shared" si="137"/>
        <v>6.9850122094521685E-5</v>
      </c>
      <c r="AF201" s="3">
        <f t="shared" si="137"/>
        <v>6.9850122091674434E-5</v>
      </c>
      <c r="AG201" s="3"/>
      <c r="AH201" s="3"/>
    </row>
    <row r="202" spans="1:34" x14ac:dyDescent="0.25">
      <c r="A202" s="79">
        <f>AVERAGE(B202:AF202)</f>
        <v>7.3357153573710776E-3</v>
      </c>
      <c r="B202" s="80">
        <f>IF($A$64&lt;=B168,IF($B$64&gt;=B168,ABS((B170-B169)/B169),0),0)</f>
        <v>0</v>
      </c>
      <c r="C202" s="80">
        <f t="shared" ref="C202:AF202" si="138">IF($A$64&lt;=C168,IF($B$64&gt;=C168,ABS((C170-C169)/C169),0),0)</f>
        <v>0</v>
      </c>
      <c r="D202" s="80">
        <f t="shared" si="138"/>
        <v>0</v>
      </c>
      <c r="E202" s="80">
        <f t="shared" si="138"/>
        <v>0</v>
      </c>
      <c r="F202" s="80">
        <f t="shared" si="138"/>
        <v>0</v>
      </c>
      <c r="G202" s="80">
        <f t="shared" si="138"/>
        <v>0</v>
      </c>
      <c r="H202" s="80">
        <f t="shared" si="138"/>
        <v>0</v>
      </c>
      <c r="I202" s="80">
        <f t="shared" si="138"/>
        <v>0</v>
      </c>
      <c r="J202" s="80">
        <f t="shared" si="138"/>
        <v>0</v>
      </c>
      <c r="K202" s="80">
        <f t="shared" si="138"/>
        <v>0</v>
      </c>
      <c r="L202" s="80">
        <f t="shared" si="138"/>
        <v>9.828875238907778E-3</v>
      </c>
      <c r="M202" s="80">
        <f t="shared" si="138"/>
        <v>9.8337000010087303E-3</v>
      </c>
      <c r="N202" s="80">
        <f t="shared" si="138"/>
        <v>9.8819707289821077E-3</v>
      </c>
      <c r="O202" s="80">
        <f t="shared" si="138"/>
        <v>1.035111188143358E-2</v>
      </c>
      <c r="P202" s="80">
        <f t="shared" si="138"/>
        <v>1.3987236742639722E-2</v>
      </c>
      <c r="Q202" s="80">
        <f t="shared" si="138"/>
        <v>2.656867192437963E-2</v>
      </c>
      <c r="R202" s="80">
        <f t="shared" si="138"/>
        <v>3.2101721841393531E-2</v>
      </c>
      <c r="S202" s="80">
        <f t="shared" si="138"/>
        <v>3.4088904825576208E-2</v>
      </c>
      <c r="T202" s="80">
        <f t="shared" si="138"/>
        <v>3.4729427766631293E-2</v>
      </c>
      <c r="U202" s="80">
        <f t="shared" si="138"/>
        <v>1.2608110739811294E-2</v>
      </c>
      <c r="V202" s="80">
        <f t="shared" si="138"/>
        <v>3.3427444387739522E-2</v>
      </c>
      <c r="W202" s="80">
        <f t="shared" si="138"/>
        <v>0</v>
      </c>
      <c r="X202" s="80">
        <f t="shared" si="138"/>
        <v>0</v>
      </c>
      <c r="Y202" s="80">
        <f t="shared" si="138"/>
        <v>0</v>
      </c>
      <c r="Z202" s="80">
        <f t="shared" si="138"/>
        <v>0</v>
      </c>
      <c r="AA202" s="80">
        <f t="shared" si="138"/>
        <v>0</v>
      </c>
      <c r="AB202" s="80">
        <f t="shared" si="138"/>
        <v>0</v>
      </c>
      <c r="AC202" s="80">
        <f t="shared" si="138"/>
        <v>0</v>
      </c>
      <c r="AD202" s="80">
        <f t="shared" si="138"/>
        <v>0</v>
      </c>
      <c r="AE202" s="80">
        <f t="shared" si="138"/>
        <v>0</v>
      </c>
      <c r="AF202" s="80">
        <f t="shared" si="138"/>
        <v>0</v>
      </c>
    </row>
    <row r="203" spans="1:34" x14ac:dyDescent="0.25">
      <c r="B203" s="21">
        <f>(B170-B169)^2</f>
        <v>385.53124217932896</v>
      </c>
      <c r="C203" s="21">
        <f t="shared" ref="C203:AF203" si="139">(C170-C169)^2</f>
        <v>388.40005900070901</v>
      </c>
      <c r="D203" s="21">
        <f t="shared" si="139"/>
        <v>394.25571795332701</v>
      </c>
      <c r="E203" s="21">
        <f t="shared" si="139"/>
        <v>467.52261906820507</v>
      </c>
      <c r="F203" s="21">
        <f t="shared" si="139"/>
        <v>1289.7144388793449</v>
      </c>
      <c r="G203" s="21">
        <f t="shared" si="139"/>
        <v>4074.5787833821446</v>
      </c>
      <c r="H203" s="21">
        <f t="shared" si="139"/>
        <v>4136.3067094045564</v>
      </c>
      <c r="I203" s="21">
        <f t="shared" si="139"/>
        <v>4136.3008557844987</v>
      </c>
      <c r="J203" s="21">
        <f t="shared" si="139"/>
        <v>4136.2737934375018</v>
      </c>
      <c r="K203" s="21">
        <f t="shared" si="139"/>
        <v>4136.3147598399601</v>
      </c>
      <c r="L203" s="21">
        <f t="shared" si="139"/>
        <v>4136.7433084575723</v>
      </c>
      <c r="M203" s="21">
        <f t="shared" si="139"/>
        <v>4140.8020955777019</v>
      </c>
      <c r="N203" s="21">
        <f t="shared" si="139"/>
        <v>4181.5201695715286</v>
      </c>
      <c r="O203" s="21">
        <f t="shared" si="139"/>
        <v>4587.6065870102766</v>
      </c>
      <c r="P203" s="21">
        <f t="shared" si="139"/>
        <v>8370.0788222940337</v>
      </c>
      <c r="Q203" s="21">
        <f t="shared" si="139"/>
        <v>29978.324457426395</v>
      </c>
      <c r="R203" s="21">
        <f t="shared" si="139"/>
        <v>42089.040099435813</v>
      </c>
      <c r="S203" s="21">
        <f t="shared" si="139"/>
        <v>45249.710503067872</v>
      </c>
      <c r="T203" s="21">
        <f t="shared" si="139"/>
        <v>44066.18546887413</v>
      </c>
      <c r="U203" s="21">
        <f t="shared" si="139"/>
        <v>5161.0887226473851</v>
      </c>
      <c r="V203" s="21">
        <f t="shared" si="139"/>
        <v>30472.451854935214</v>
      </c>
      <c r="W203" s="21">
        <f t="shared" si="139"/>
        <v>131683.3357164448</v>
      </c>
      <c r="X203" s="21">
        <f t="shared" si="139"/>
        <v>269769.31105836621</v>
      </c>
      <c r="Y203" s="21">
        <f t="shared" si="139"/>
        <v>338853.32753521646</v>
      </c>
      <c r="Z203" s="21">
        <f t="shared" si="139"/>
        <v>341121.22430848103</v>
      </c>
      <c r="AA203" s="21">
        <f t="shared" si="139"/>
        <v>237630.1420909423</v>
      </c>
      <c r="AB203" s="21">
        <f t="shared" si="139"/>
        <v>41991.066784302631</v>
      </c>
      <c r="AC203" s="21">
        <f t="shared" si="139"/>
        <v>7064.9812811454904</v>
      </c>
      <c r="AD203" s="21">
        <f t="shared" si="139"/>
        <v>106931.82365100633</v>
      </c>
      <c r="AE203" s="21">
        <f t="shared" si="139"/>
        <v>211543.51515873437</v>
      </c>
      <c r="AF203" s="21">
        <f t="shared" si="139"/>
        <v>160094.10964317553</v>
      </c>
      <c r="AG203" s="3"/>
      <c r="AH203" s="3"/>
    </row>
    <row r="204" spans="1:34" x14ac:dyDescent="0.25">
      <c r="A204" s="71">
        <f>SUM(B204:AF204)</f>
        <v>222433.55208929788</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4136.7433084575723</v>
      </c>
      <c r="M204" s="60">
        <f t="shared" ref="M204" si="150">IF($A$64&lt;=M168,IF($B$64&gt;=M168,ABS(M203),0),0)</f>
        <v>4140.8020955777019</v>
      </c>
      <c r="N204" s="60">
        <f t="shared" ref="N204" si="151">IF($A$64&lt;=N168,IF($B$64&gt;=N168,ABS(N203),0),0)</f>
        <v>4181.5201695715286</v>
      </c>
      <c r="O204" s="60">
        <f t="shared" ref="O204" si="152">IF($A$64&lt;=O168,IF($B$64&gt;=O168,ABS(O203),0),0)</f>
        <v>4587.6065870102766</v>
      </c>
      <c r="P204" s="60">
        <f t="shared" ref="P204" si="153">IF($A$64&lt;=P168,IF($B$64&gt;=P168,ABS(P203),0),0)</f>
        <v>8370.0788222940337</v>
      </c>
      <c r="Q204" s="60">
        <f t="shared" ref="Q204" si="154">IF($A$64&lt;=Q168,IF($B$64&gt;=Q168,ABS(Q203),0),0)</f>
        <v>29978.324457426395</v>
      </c>
      <c r="R204" s="60">
        <f t="shared" ref="R204" si="155">IF($A$64&lt;=R168,IF($B$64&gt;=R168,ABS(R203),0),0)</f>
        <v>42089.040099435813</v>
      </c>
      <c r="S204" s="60">
        <f t="shared" ref="S204" si="156">IF($A$64&lt;=S168,IF($B$64&gt;=S168,ABS(S203),0),0)</f>
        <v>45249.710503067872</v>
      </c>
      <c r="T204" s="60">
        <f t="shared" ref="T204" si="157">IF($A$64&lt;=T168,IF($B$64&gt;=T168,ABS(T203),0),0)</f>
        <v>44066.18546887413</v>
      </c>
      <c r="U204" s="60">
        <f t="shared" ref="U204" si="158">IF($A$64&lt;=U168,IF($B$64&gt;=U168,ABS(U203),0),0)</f>
        <v>5161.0887226473851</v>
      </c>
      <c r="V204" s="60">
        <f t="shared" ref="V204" si="159">IF($A$64&lt;=V168,IF($B$64&gt;=V168,ABS(V203),0),0)</f>
        <v>30472.451854935214</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6524.0904126194901</v>
      </c>
      <c r="C208" s="26">
        <f>INDEX(Comparison!$AM$3:$AS$33,G$14,$D$122)</f>
        <v>6524.1443595856636</v>
      </c>
      <c r="D208" s="26">
        <f>INDEX(Comparison!$AM$3:$AS$33,H$14,$D$122)</f>
        <v>6524.1111351538066</v>
      </c>
      <c r="E208" s="26">
        <f>INDEX(Comparison!$AM$3:$AS$33,I$14,$D$122)</f>
        <v>6524.1012603146964</v>
      </c>
      <c r="F208" s="26">
        <f>INDEX(Comparison!$AM$3:$AS$33,J$14,$D$122)</f>
        <v>6524.0981470711258</v>
      </c>
      <c r="G208" s="26">
        <f>INDEX(Comparison!$AM$3:$AS$33,K$14,$D$122)</f>
        <v>6524.0971012165301</v>
      </c>
      <c r="H208" s="26">
        <f>INDEX(Comparison!$AM$3:$AS$33,L$14,$D$122)</f>
        <v>6524.0967607058046</v>
      </c>
      <c r="I208" s="26">
        <f>INDEX(Comparison!$AM$3:$AS$33,M$14,$D$122)</f>
        <v>6524.0967120614177</v>
      </c>
      <c r="J208" s="26">
        <f>INDEX(Comparison!$AM$3:$AS$33,N$14,$D$122)</f>
        <v>6524.0963715507314</v>
      </c>
      <c r="K208" s="26">
        <f>INDEX(Comparison!$AM$3:$AS$33,O$14,$D$122)</f>
        <v>6524.0939393325853</v>
      </c>
      <c r="L208" s="26">
        <f>INDEX(Comparison!$AM$3:$AS$33,P$14,$D$122)</f>
        <v>6524.06939835293</v>
      </c>
      <c r="M208" s="26">
        <f>INDEX(Comparison!$AM$3:$AS$33,Q$14,$D$122)</f>
        <v>6523.8242419120506</v>
      </c>
      <c r="N208" s="26">
        <f>INDEX(Comparison!$AM$3:$AS$33,R$14,$D$122)</f>
        <v>6521.3925487999713</v>
      </c>
      <c r="O208" s="26">
        <f>INDEX(Comparison!$AM$3:$AS$33,S$14,$D$122)</f>
        <v>6498.8766153292054</v>
      </c>
      <c r="P208" s="26">
        <f>INDEX(Comparison!$AM$3:$AS$33,T$14,$D$122)</f>
        <v>6376.7108933957061</v>
      </c>
      <c r="Q208" s="26">
        <f>INDEX(Comparison!$AM$3:$AS$33,U$14,$D$122)</f>
        <v>6230.3639399807598</v>
      </c>
      <c r="R208" s="26">
        <f>INDEX(Comparison!$AM$3:$AS$33,V$14,$D$122)</f>
        <v>6066.3152248046426</v>
      </c>
      <c r="S208" s="26">
        <f>INDEX(Comparison!$AM$3:$AS$33,W$14,$D$122)</f>
        <v>5850.8000974148181</v>
      </c>
      <c r="T208" s="26">
        <f>INDEX(Comparison!$AM$3:$AS$33,X$14,$D$122)</f>
        <v>5524.1383776461034</v>
      </c>
      <c r="U208" s="26">
        <f>INDEX(Comparison!$AM$3:$AS$33,Y$14,$D$122)</f>
        <v>5037.8540321693981</v>
      </c>
      <c r="V208" s="26">
        <f>INDEX(Comparison!$AM$3:$AS$33,Z$14,$D$122)</f>
        <v>4531.1485912762591</v>
      </c>
      <c r="W208" s="26">
        <f>INDEX(Comparison!$AM$3:$AS$33,AA$14,$D$122)</f>
        <v>4100.3073895013431</v>
      </c>
      <c r="X208" s="26">
        <f>INDEX(Comparison!$AM$3:$AS$33,AB$14,$D$122)</f>
        <v>3736.9018653482362</v>
      </c>
      <c r="Y208" s="26">
        <f>INDEX(Comparison!$AM$3:$AS$33,AC$14,$D$122)</f>
        <v>3408.8002756648089</v>
      </c>
      <c r="Z208" s="26">
        <f>INDEX(Comparison!$AM$3:$AS$33,AD$14,$D$122)</f>
        <v>3078.2308446927527</v>
      </c>
      <c r="AA208" s="26">
        <f>INDEX(Comparison!$AM$3:$AS$33,AE$14,$D$122)</f>
        <v>2685.2498641877337</v>
      </c>
      <c r="AB208" s="26">
        <f>INDEX(Comparison!$AM$3:$AS$33,AF$14,$D$122)</f>
        <v>2228.0957655931211</v>
      </c>
      <c r="AC208" s="26">
        <f>INDEX(Comparison!$AM$3:$AS$33,AG$14,$D$122)</f>
        <v>1704.9584752004923</v>
      </c>
      <c r="AD208" s="26">
        <f>INDEX(Comparison!$AM$3:$AS$33,AH$14,$D$122)</f>
        <v>1135.4901421385146</v>
      </c>
      <c r="AE208" s="26">
        <f>INDEX(Comparison!$AM$3:$AS$33,AI$14,$D$122)</f>
        <v>680.51042901870051</v>
      </c>
      <c r="AF208" s="26">
        <f>INDEX(Comparison!$AM$3:$AS$33,AJ$14,$D$122)</f>
        <v>389.33964903055204</v>
      </c>
      <c r="AG208" s="26"/>
      <c r="AH208" s="26"/>
    </row>
    <row r="209" spans="1:34" x14ac:dyDescent="0.25">
      <c r="A209" s="70" t="s">
        <v>22</v>
      </c>
      <c r="B209" s="27">
        <f>($C$17+SUM(B210:B240))*$B$51</f>
        <v>6523.9565811851317</v>
      </c>
      <c r="C209" s="27">
        <f t="shared" ref="C209:AF209" si="170">($C$17+SUM(C210:C240))*$B$51</f>
        <v>6522.753516094439</v>
      </c>
      <c r="D209" s="27">
        <f t="shared" si="170"/>
        <v>6512.3728834738413</v>
      </c>
      <c r="E209" s="27">
        <f t="shared" si="170"/>
        <v>6481.5492161712345</v>
      </c>
      <c r="F209" s="27">
        <f t="shared" si="170"/>
        <v>6479.4176831391887</v>
      </c>
      <c r="G209" s="27">
        <f t="shared" si="170"/>
        <v>6479.4176808352813</v>
      </c>
      <c r="H209" s="27">
        <f t="shared" si="170"/>
        <v>6479.4176577962417</v>
      </c>
      <c r="I209" s="27">
        <f t="shared" si="170"/>
        <v>6479.4174274062552</v>
      </c>
      <c r="J209" s="27">
        <f t="shared" si="170"/>
        <v>6479.4151235478712</v>
      </c>
      <c r="K209" s="27">
        <f t="shared" si="170"/>
        <v>6479.3920891109592</v>
      </c>
      <c r="L209" s="27">
        <f t="shared" si="170"/>
        <v>6479.1621586837546</v>
      </c>
      <c r="M209" s="27">
        <f t="shared" si="170"/>
        <v>6476.9035079945907</v>
      </c>
      <c r="N209" s="27">
        <f t="shared" si="170"/>
        <v>6457.7364646521946</v>
      </c>
      <c r="O209" s="27">
        <f t="shared" si="170"/>
        <v>6371.5298386255809</v>
      </c>
      <c r="P209" s="27">
        <f t="shared" si="170"/>
        <v>6208.9774390736738</v>
      </c>
      <c r="Q209" s="27">
        <f t="shared" si="170"/>
        <v>6055.4558398906784</v>
      </c>
      <c r="R209" s="27">
        <f t="shared" si="170"/>
        <v>5866.5006527944552</v>
      </c>
      <c r="S209" s="27">
        <f t="shared" si="170"/>
        <v>5656.4287478855858</v>
      </c>
      <c r="T209" s="27">
        <f t="shared" si="170"/>
        <v>5438.6948181597772</v>
      </c>
      <c r="U209" s="27">
        <f t="shared" si="170"/>
        <v>5145.765745429565</v>
      </c>
      <c r="V209" s="27">
        <f t="shared" si="170"/>
        <v>4874.2983257095029</v>
      </c>
      <c r="W209" s="27">
        <f t="shared" si="170"/>
        <v>4581.50310497387</v>
      </c>
      <c r="X209" s="27">
        <f t="shared" si="170"/>
        <v>4276.8386926809626</v>
      </c>
      <c r="Y209" s="27">
        <f t="shared" si="170"/>
        <v>3909.8033310809287</v>
      </c>
      <c r="Z209" s="27">
        <f t="shared" si="170"/>
        <v>3348.262880523409</v>
      </c>
      <c r="AA209" s="27">
        <f t="shared" si="170"/>
        <v>2692.7449059838282</v>
      </c>
      <c r="AB209" s="27">
        <f t="shared" si="170"/>
        <v>2004.8304897934136</v>
      </c>
      <c r="AC209" s="27">
        <f t="shared" si="170"/>
        <v>1342.6089527977354</v>
      </c>
      <c r="AD209" s="27">
        <f t="shared" si="170"/>
        <v>804.50203775610453</v>
      </c>
      <c r="AE209" s="27">
        <f t="shared" si="170"/>
        <v>476.62310766945274</v>
      </c>
      <c r="AF209" s="27">
        <f t="shared" si="170"/>
        <v>241.73935115951011</v>
      </c>
      <c r="AG209" s="27"/>
      <c r="AH209" s="27"/>
    </row>
    <row r="210" spans="1:34" x14ac:dyDescent="0.25">
      <c r="B210" s="3">
        <f t="shared" ref="B210:AF210" si="171">$C18*EXP(-B$207/$A18/EXP(-$D$126))</f>
        <v>6.8268344072910676E-3</v>
      </c>
      <c r="C210" s="3">
        <f t="shared" si="171"/>
        <v>6.6424309630811482E-3</v>
      </c>
      <c r="D210" s="3">
        <f t="shared" si="171"/>
        <v>5.0513080695112388E-3</v>
      </c>
      <c r="E210" s="3">
        <f t="shared" si="171"/>
        <v>3.2671714372565613E-4</v>
      </c>
      <c r="F210" s="3">
        <f t="shared" si="171"/>
        <v>4.1865144965733716E-16</v>
      </c>
      <c r="G210" s="3">
        <f t="shared" si="171"/>
        <v>4.9964248119835558E-135</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0</v>
      </c>
      <c r="C211" s="3">
        <f t="shared" si="172"/>
        <v>0</v>
      </c>
      <c r="D211" s="3">
        <f t="shared" si="172"/>
        <v>0</v>
      </c>
      <c r="E211" s="3">
        <f t="shared" si="172"/>
        <v>0</v>
      </c>
      <c r="F211" s="3">
        <f t="shared" si="172"/>
        <v>0</v>
      </c>
      <c r="G211" s="3">
        <f t="shared" si="172"/>
        <v>0</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0</v>
      </c>
      <c r="C212" s="3">
        <f t="shared" si="173"/>
        <v>0</v>
      </c>
      <c r="D212" s="3">
        <f t="shared" si="173"/>
        <v>0</v>
      </c>
      <c r="E212" s="3">
        <f t="shared" si="173"/>
        <v>0</v>
      </c>
      <c r="F212" s="3">
        <f t="shared" si="173"/>
        <v>0</v>
      </c>
      <c r="G212" s="3">
        <f t="shared" si="173"/>
        <v>0</v>
      </c>
      <c r="H212" s="3">
        <f t="shared" si="173"/>
        <v>0</v>
      </c>
      <c r="I212" s="3">
        <f t="shared" si="173"/>
        <v>0</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0</v>
      </c>
      <c r="C213" s="3">
        <f t="shared" si="174"/>
        <v>0</v>
      </c>
      <c r="D213" s="3">
        <f t="shared" si="174"/>
        <v>0</v>
      </c>
      <c r="E213" s="3">
        <f t="shared" si="174"/>
        <v>0</v>
      </c>
      <c r="F213" s="3">
        <f t="shared" si="174"/>
        <v>0</v>
      </c>
      <c r="G213" s="3">
        <f t="shared" si="174"/>
        <v>0</v>
      </c>
      <c r="H213" s="3">
        <f t="shared" si="174"/>
        <v>0</v>
      </c>
      <c r="I213" s="3">
        <f t="shared" si="174"/>
        <v>0</v>
      </c>
      <c r="J213" s="3">
        <f t="shared" si="174"/>
        <v>0</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4.130669902205856E-3</v>
      </c>
      <c r="C214" s="3">
        <f t="shared" si="175"/>
        <v>4.1306699021845875E-3</v>
      </c>
      <c r="D214" s="3">
        <f t="shared" si="175"/>
        <v>4.1306699019718991E-3</v>
      </c>
      <c r="E214" s="3">
        <f t="shared" si="175"/>
        <v>4.1306698998450119E-3</v>
      </c>
      <c r="F214" s="3">
        <f t="shared" si="175"/>
        <v>4.1306698785761415E-3</v>
      </c>
      <c r="G214" s="3">
        <f t="shared" si="175"/>
        <v>4.130669665887445E-3</v>
      </c>
      <c r="H214" s="3">
        <f t="shared" si="175"/>
        <v>4.1306675390010766E-3</v>
      </c>
      <c r="I214" s="3">
        <f t="shared" si="175"/>
        <v>4.130646270197629E-3</v>
      </c>
      <c r="J214" s="3">
        <f t="shared" si="175"/>
        <v>4.1304335881862829E-3</v>
      </c>
      <c r="K214" s="3">
        <f t="shared" si="175"/>
        <v>4.1283073702705585E-3</v>
      </c>
      <c r="L214" s="3">
        <f t="shared" si="175"/>
        <v>4.1071052963181209E-3</v>
      </c>
      <c r="M214" s="3">
        <f t="shared" si="175"/>
        <v>3.9009821287820179E-3</v>
      </c>
      <c r="N214" s="3">
        <f t="shared" si="175"/>
        <v>2.3310693564474834E-3</v>
      </c>
      <c r="O214" s="3">
        <f t="shared" si="175"/>
        <v>1.3532172993332877E-5</v>
      </c>
      <c r="P214" s="3">
        <f t="shared" si="175"/>
        <v>5.8815392442367952E-28</v>
      </c>
      <c r="Q214" s="3">
        <f t="shared" si="175"/>
        <v>1.4148994565886118E-251</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2.7997525232424297E-2</v>
      </c>
      <c r="C215" s="3">
        <f t="shared" si="176"/>
        <v>2.7997525232411294E-2</v>
      </c>
      <c r="D215" s="3">
        <f t="shared" si="176"/>
        <v>2.7997525232281249E-2</v>
      </c>
      <c r="E215" s="3">
        <f t="shared" si="176"/>
        <v>2.7997525230980813E-2</v>
      </c>
      <c r="F215" s="3">
        <f t="shared" si="176"/>
        <v>2.7997525217976417E-2</v>
      </c>
      <c r="G215" s="3">
        <f t="shared" si="176"/>
        <v>2.7997525087932459E-2</v>
      </c>
      <c r="H215" s="3">
        <f t="shared" si="176"/>
        <v>2.7997523787492946E-2</v>
      </c>
      <c r="I215" s="3">
        <f t="shared" si="176"/>
        <v>2.7997510783101118E-2</v>
      </c>
      <c r="J215" s="3">
        <f t="shared" si="176"/>
        <v>2.7997380739515052E-2</v>
      </c>
      <c r="K215" s="3">
        <f t="shared" si="176"/>
        <v>2.7996080336875579E-2</v>
      </c>
      <c r="L215" s="3">
        <f t="shared" si="176"/>
        <v>2.7983079632028271E-2</v>
      </c>
      <c r="M215" s="3">
        <f t="shared" si="176"/>
        <v>2.7853404168167773E-2</v>
      </c>
      <c r="N215" s="3">
        <f t="shared" si="176"/>
        <v>2.6589245143664401E-2</v>
      </c>
      <c r="O215" s="3">
        <f t="shared" si="176"/>
        <v>1.6710262736653037E-2</v>
      </c>
      <c r="P215" s="3">
        <f t="shared" si="176"/>
        <v>1.6060386088268059E-4</v>
      </c>
      <c r="Q215" s="3">
        <f t="shared" si="176"/>
        <v>1.0801473678375478E-24</v>
      </c>
      <c r="R215" s="3">
        <f t="shared" si="176"/>
        <v>2.0452825552890052E-226</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2.1979597631006386E-2</v>
      </c>
      <c r="C216" s="3">
        <f t="shared" si="177"/>
        <v>2.1979597631005467E-2</v>
      </c>
      <c r="D216" s="3">
        <f t="shared" si="177"/>
        <v>2.1979597630996259E-2</v>
      </c>
      <c r="E216" s="3">
        <f t="shared" si="177"/>
        <v>2.1979597630904162E-2</v>
      </c>
      <c r="F216" s="3">
        <f t="shared" si="177"/>
        <v>2.1979597629983211E-2</v>
      </c>
      <c r="G216" s="3">
        <f t="shared" si="177"/>
        <v>2.1979597620773693E-2</v>
      </c>
      <c r="H216" s="3">
        <f t="shared" si="177"/>
        <v>2.1979597528678525E-2</v>
      </c>
      <c r="I216" s="3">
        <f t="shared" si="177"/>
        <v>2.1979596607726849E-2</v>
      </c>
      <c r="J216" s="3">
        <f t="shared" si="177"/>
        <v>2.1979587398212208E-2</v>
      </c>
      <c r="K216" s="3">
        <f t="shared" si="177"/>
        <v>2.1979495303278057E-2</v>
      </c>
      <c r="L216" s="3">
        <f t="shared" si="177"/>
        <v>2.197857437515963E-2</v>
      </c>
      <c r="M216" s="3">
        <f t="shared" si="177"/>
        <v>2.1969367215958165E-2</v>
      </c>
      <c r="N216" s="3">
        <f t="shared" si="177"/>
        <v>2.1877507493614681E-2</v>
      </c>
      <c r="O216" s="3">
        <f t="shared" si="177"/>
        <v>2.0979772422244088E-2</v>
      </c>
      <c r="P216" s="3">
        <f t="shared" si="177"/>
        <v>1.3798443161686448E-2</v>
      </c>
      <c r="Q216" s="3">
        <f t="shared" si="177"/>
        <v>2.0898891437114476E-4</v>
      </c>
      <c r="R216" s="3">
        <f t="shared" si="177"/>
        <v>1.327562143922535E-22</v>
      </c>
      <c r="S216" s="3">
        <f t="shared" si="177"/>
        <v>1.4202701454554046E-204</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2.8250918359936445E-2</v>
      </c>
      <c r="C217" s="3">
        <f t="shared" si="178"/>
        <v>2.8250918359936341E-2</v>
      </c>
      <c r="D217" s="3">
        <f t="shared" si="178"/>
        <v>2.8250918359935272E-2</v>
      </c>
      <c r="E217" s="3">
        <f t="shared" si="178"/>
        <v>2.8250918359924593E-2</v>
      </c>
      <c r="F217" s="3">
        <f t="shared" si="178"/>
        <v>2.8250918359817811E-2</v>
      </c>
      <c r="G217" s="3">
        <f t="shared" si="178"/>
        <v>2.8250918358749998E-2</v>
      </c>
      <c r="H217" s="3">
        <f t="shared" si="178"/>
        <v>2.8250918348071842E-2</v>
      </c>
      <c r="I217" s="3">
        <f t="shared" si="178"/>
        <v>2.8250918241290276E-2</v>
      </c>
      <c r="J217" s="3">
        <f t="shared" si="178"/>
        <v>2.8250917173474662E-2</v>
      </c>
      <c r="K217" s="3">
        <f t="shared" si="178"/>
        <v>2.8250906495320742E-2</v>
      </c>
      <c r="L217" s="3">
        <f t="shared" si="178"/>
        <v>2.8250799714003523E-2</v>
      </c>
      <c r="M217" s="3">
        <f t="shared" si="178"/>
        <v>2.8249731923029413E-2</v>
      </c>
      <c r="N217" s="3">
        <f t="shared" si="178"/>
        <v>2.823905623278854E-2</v>
      </c>
      <c r="O217" s="3">
        <f t="shared" si="178"/>
        <v>2.8132520970315145E-2</v>
      </c>
      <c r="P217" s="3">
        <f t="shared" si="178"/>
        <v>2.7089025482438876E-2</v>
      </c>
      <c r="Q217" s="3">
        <f t="shared" si="178"/>
        <v>1.8562680357726777E-2</v>
      </c>
      <c r="R217" s="3">
        <f t="shared" si="178"/>
        <v>4.2375392370279781E-4</v>
      </c>
      <c r="S217" s="3">
        <f t="shared" si="178"/>
        <v>1.6287116180970374E-20</v>
      </c>
      <c r="T217" s="3">
        <f t="shared" si="178"/>
        <v>1.145905522495829E-184</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3.4437903010475883E-2</v>
      </c>
      <c r="C218" s="3">
        <f t="shared" si="179"/>
        <v>3.4437903010475869E-2</v>
      </c>
      <c r="D218" s="3">
        <f t="shared" si="179"/>
        <v>3.4437903010475751E-2</v>
      </c>
      <c r="E218" s="3">
        <f t="shared" si="179"/>
        <v>3.4437903010474578E-2</v>
      </c>
      <c r="F218" s="3">
        <f t="shared" si="179"/>
        <v>3.4437903010462838E-2</v>
      </c>
      <c r="G218" s="3">
        <f t="shared" si="179"/>
        <v>3.4437903010345411E-2</v>
      </c>
      <c r="H218" s="3">
        <f t="shared" si="179"/>
        <v>3.4437903009171204E-2</v>
      </c>
      <c r="I218" s="3">
        <f t="shared" si="179"/>
        <v>3.4437902997429069E-2</v>
      </c>
      <c r="J218" s="3">
        <f t="shared" si="179"/>
        <v>3.443790288000774E-2</v>
      </c>
      <c r="K218" s="3">
        <f t="shared" si="179"/>
        <v>3.4437901705794458E-2</v>
      </c>
      <c r="L218" s="3">
        <f t="shared" si="179"/>
        <v>3.443788996366387E-2</v>
      </c>
      <c r="M218" s="3">
        <f t="shared" si="179"/>
        <v>3.443777254257821E-2</v>
      </c>
      <c r="N218" s="3">
        <f t="shared" si="179"/>
        <v>3.4436598353741438E-2</v>
      </c>
      <c r="O218" s="3">
        <f t="shared" si="179"/>
        <v>3.4424858667078555E-2</v>
      </c>
      <c r="P218" s="3">
        <f t="shared" si="179"/>
        <v>3.4307681693431631E-2</v>
      </c>
      <c r="Q218" s="3">
        <f t="shared" si="179"/>
        <v>3.3157626356237896E-2</v>
      </c>
      <c r="R218" s="3">
        <f t="shared" si="179"/>
        <v>2.3577841609135276E-2</v>
      </c>
      <c r="S218" s="3">
        <f t="shared" si="179"/>
        <v>7.7930986104117028E-4</v>
      </c>
      <c r="T218" s="3">
        <f t="shared" si="179"/>
        <v>1.2127504077637368E-18</v>
      </c>
      <c r="U218" s="3">
        <f t="shared" si="179"/>
        <v>1.0101456688994937E-166</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2.9401070007452231E-2</v>
      </c>
      <c r="C219" s="3">
        <f t="shared" si="180"/>
        <v>2.9401070007452231E-2</v>
      </c>
      <c r="D219" s="3">
        <f t="shared" si="180"/>
        <v>2.9401070007452221E-2</v>
      </c>
      <c r="E219" s="3">
        <f t="shared" si="180"/>
        <v>2.9401070007452131E-2</v>
      </c>
      <c r="F219" s="3">
        <f t="shared" si="180"/>
        <v>2.9401070007451225E-2</v>
      </c>
      <c r="G219" s="3">
        <f t="shared" si="180"/>
        <v>2.9401070007442184E-2</v>
      </c>
      <c r="H219" s="3">
        <f t="shared" si="180"/>
        <v>2.9401070007351749E-2</v>
      </c>
      <c r="I219" s="3">
        <f t="shared" si="180"/>
        <v>2.9401070006447438E-2</v>
      </c>
      <c r="J219" s="3">
        <f t="shared" si="180"/>
        <v>2.9401069997404279E-2</v>
      </c>
      <c r="K219" s="3">
        <f t="shared" si="180"/>
        <v>2.9401069906972721E-2</v>
      </c>
      <c r="L219" s="3">
        <f t="shared" si="180"/>
        <v>2.9401069002657133E-2</v>
      </c>
      <c r="M219" s="3">
        <f t="shared" si="180"/>
        <v>2.9401059959502783E-2</v>
      </c>
      <c r="N219" s="3">
        <f t="shared" si="180"/>
        <v>2.9400969528112303E-2</v>
      </c>
      <c r="O219" s="3">
        <f t="shared" si="180"/>
        <v>2.9400065229505459E-2</v>
      </c>
      <c r="P219" s="3">
        <f t="shared" si="180"/>
        <v>2.9391023773061013E-2</v>
      </c>
      <c r="Q219" s="3">
        <f t="shared" si="180"/>
        <v>2.9300761997081669E-2</v>
      </c>
      <c r="R219" s="3">
        <f t="shared" si="180"/>
        <v>2.8413250625270267E-2</v>
      </c>
      <c r="S219" s="3">
        <f t="shared" si="180"/>
        <v>2.0890122931285185E-2</v>
      </c>
      <c r="T219" s="3">
        <f t="shared" si="180"/>
        <v>9.6414361815641103E-4</v>
      </c>
      <c r="U219" s="3">
        <f t="shared" si="180"/>
        <v>4.2281373178774435E-17</v>
      </c>
      <c r="V219" s="3">
        <f t="shared" si="180"/>
        <v>1.1123017216399205E-150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4.9041908611543852E-2</v>
      </c>
      <c r="C220" s="3">
        <f t="shared" si="181"/>
        <v>4.9041908611543852E-2</v>
      </c>
      <c r="D220" s="3">
        <f t="shared" si="181"/>
        <v>4.9041908611543852E-2</v>
      </c>
      <c r="E220" s="3">
        <f t="shared" si="181"/>
        <v>4.9041908611543839E-2</v>
      </c>
      <c r="F220" s="3">
        <f t="shared" si="181"/>
        <v>4.90419086115437E-2</v>
      </c>
      <c r="G220" s="3">
        <f t="shared" si="181"/>
        <v>4.904190861154234E-2</v>
      </c>
      <c r="H220" s="3">
        <f t="shared" si="181"/>
        <v>4.9041908611528733E-2</v>
      </c>
      <c r="I220" s="3">
        <f t="shared" si="181"/>
        <v>4.9041908611392661E-2</v>
      </c>
      <c r="J220" s="3">
        <f t="shared" si="181"/>
        <v>4.9041908610031937E-2</v>
      </c>
      <c r="K220" s="3">
        <f t="shared" si="181"/>
        <v>4.9041908596424669E-2</v>
      </c>
      <c r="L220" s="3">
        <f t="shared" si="181"/>
        <v>4.9041908460352016E-2</v>
      </c>
      <c r="M220" s="3">
        <f t="shared" si="181"/>
        <v>4.904190709962554E-2</v>
      </c>
      <c r="N220" s="3">
        <f t="shared" si="181"/>
        <v>4.9041893492362827E-2</v>
      </c>
      <c r="O220" s="3">
        <f t="shared" si="181"/>
        <v>4.9041757419943328E-2</v>
      </c>
      <c r="P220" s="3">
        <f t="shared" si="181"/>
        <v>4.9040396716513383E-2</v>
      </c>
      <c r="Q220" s="3">
        <f t="shared" si="181"/>
        <v>4.9026791758501373E-2</v>
      </c>
      <c r="R220" s="3">
        <f t="shared" si="181"/>
        <v>4.8890949594128777E-2</v>
      </c>
      <c r="S220" s="3">
        <f t="shared" si="181"/>
        <v>4.7553058161319495E-2</v>
      </c>
      <c r="T220" s="3">
        <f t="shared" si="181"/>
        <v>3.6031160102240681E-2</v>
      </c>
      <c r="U220" s="3">
        <f t="shared" si="181"/>
        <v>2.2473782880369632E-3</v>
      </c>
      <c r="V220" s="3">
        <f t="shared" si="181"/>
        <v>2.0028827903604079E-15</v>
      </c>
      <c r="W220" s="3">
        <f t="shared" si="181"/>
        <v>6.3306612589856357E-136</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4.178985908034704E-2</v>
      </c>
      <c r="C221" s="3">
        <f t="shared" si="182"/>
        <v>4.178985908034704E-2</v>
      </c>
      <c r="D221" s="3">
        <f t="shared" si="182"/>
        <v>4.178985908034704E-2</v>
      </c>
      <c r="E221" s="3">
        <f t="shared" si="182"/>
        <v>4.178985908034704E-2</v>
      </c>
      <c r="F221" s="3">
        <f t="shared" si="182"/>
        <v>4.1789859080347026E-2</v>
      </c>
      <c r="G221" s="3">
        <f t="shared" si="182"/>
        <v>4.1789859080346922E-2</v>
      </c>
      <c r="H221" s="3">
        <f t="shared" si="182"/>
        <v>4.1789859080345881E-2</v>
      </c>
      <c r="I221" s="3">
        <f t="shared" si="182"/>
        <v>4.1789859080335418E-2</v>
      </c>
      <c r="J221" s="3">
        <f t="shared" si="182"/>
        <v>4.1789859080230821E-2</v>
      </c>
      <c r="K221" s="3">
        <f t="shared" si="182"/>
        <v>4.1789859079184845E-2</v>
      </c>
      <c r="L221" s="3">
        <f t="shared" si="182"/>
        <v>4.1789859068725108E-2</v>
      </c>
      <c r="M221" s="3">
        <f t="shared" si="182"/>
        <v>4.1789858964127687E-2</v>
      </c>
      <c r="N221" s="3">
        <f t="shared" si="182"/>
        <v>4.1789857918153483E-2</v>
      </c>
      <c r="O221" s="3">
        <f t="shared" si="182"/>
        <v>4.1789847458412972E-2</v>
      </c>
      <c r="P221" s="3">
        <f t="shared" si="182"/>
        <v>4.1789742861151766E-2</v>
      </c>
      <c r="Q221" s="3">
        <f t="shared" si="182"/>
        <v>4.1788696902938655E-2</v>
      </c>
      <c r="R221" s="3">
        <f t="shared" si="182"/>
        <v>4.1778238760564024E-2</v>
      </c>
      <c r="S221" s="3">
        <f t="shared" si="182"/>
        <v>4.1673801179223625E-2</v>
      </c>
      <c r="T221" s="3">
        <f t="shared" si="182"/>
        <v>4.0643677282976166E-2</v>
      </c>
      <c r="U221" s="3">
        <f t="shared" si="182"/>
        <v>3.164402970062407E-2</v>
      </c>
      <c r="V221" s="3">
        <f t="shared" si="182"/>
        <v>2.5898801957519309E-3</v>
      </c>
      <c r="W221" s="3">
        <f t="shared" si="182"/>
        <v>3.4926783080701589E-14</v>
      </c>
      <c r="X221" s="3">
        <f t="shared" si="182"/>
        <v>6.9494063925048516E-123</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4.6925793493946939E-2</v>
      </c>
      <c r="C222" s="3">
        <f t="shared" si="183"/>
        <v>4.6925793493946939E-2</v>
      </c>
      <c r="D222" s="3">
        <f t="shared" si="183"/>
        <v>4.6925793493946939E-2</v>
      </c>
      <c r="E222" s="3">
        <f t="shared" si="183"/>
        <v>4.6925793493946939E-2</v>
      </c>
      <c r="F222" s="3">
        <f t="shared" si="183"/>
        <v>4.6925793493946939E-2</v>
      </c>
      <c r="G222" s="3">
        <f t="shared" si="183"/>
        <v>4.6925793493946925E-2</v>
      </c>
      <c r="H222" s="3">
        <f t="shared" si="183"/>
        <v>4.6925793493946821E-2</v>
      </c>
      <c r="I222" s="3">
        <f t="shared" si="183"/>
        <v>4.692579349394576E-2</v>
      </c>
      <c r="J222" s="3">
        <f t="shared" si="183"/>
        <v>4.6925793493935164E-2</v>
      </c>
      <c r="K222" s="3">
        <f t="shared" si="183"/>
        <v>4.6925793493829214E-2</v>
      </c>
      <c r="L222" s="3">
        <f t="shared" si="183"/>
        <v>4.69257934927697E-2</v>
      </c>
      <c r="M222" s="3">
        <f t="shared" si="183"/>
        <v>4.6925793482174523E-2</v>
      </c>
      <c r="N222" s="3">
        <f t="shared" si="183"/>
        <v>4.6925793376222734E-2</v>
      </c>
      <c r="O222" s="3">
        <f t="shared" si="183"/>
        <v>4.6925792316704878E-2</v>
      </c>
      <c r="P222" s="3">
        <f t="shared" si="183"/>
        <v>4.6925781721527622E-2</v>
      </c>
      <c r="Q222" s="3">
        <f t="shared" si="183"/>
        <v>4.6925675769886654E-2</v>
      </c>
      <c r="R222" s="3">
        <f t="shared" si="183"/>
        <v>4.6924616266634182E-2</v>
      </c>
      <c r="S222" s="3">
        <f t="shared" si="183"/>
        <v>4.6914022549719964E-2</v>
      </c>
      <c r="T222" s="3">
        <f t="shared" si="183"/>
        <v>4.6808216831785508E-2</v>
      </c>
      <c r="U222" s="3">
        <f t="shared" si="183"/>
        <v>4.5763195617957282E-2</v>
      </c>
      <c r="V222" s="3">
        <f t="shared" si="183"/>
        <v>3.6513949291448661E-2</v>
      </c>
      <c r="W222" s="3">
        <f t="shared" si="183"/>
        <v>3.8184178827433296E-3</v>
      </c>
      <c r="X222" s="3">
        <f t="shared" si="183"/>
        <v>5.9721392737979376E-13</v>
      </c>
      <c r="Y222" s="3">
        <f t="shared" si="183"/>
        <v>5.2311195582787297E-111</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4.7062467056075051E-2</v>
      </c>
      <c r="C223" s="3">
        <f t="shared" si="184"/>
        <v>4.7062467056075051E-2</v>
      </c>
      <c r="D223" s="3">
        <f t="shared" si="184"/>
        <v>4.7062467056075051E-2</v>
      </c>
      <c r="E223" s="3">
        <f t="shared" si="184"/>
        <v>4.7062467056075051E-2</v>
      </c>
      <c r="F223" s="3">
        <f t="shared" si="184"/>
        <v>4.7062467056075051E-2</v>
      </c>
      <c r="G223" s="3">
        <f t="shared" si="184"/>
        <v>4.7062467056075051E-2</v>
      </c>
      <c r="H223" s="3">
        <f t="shared" si="184"/>
        <v>4.7062467056075037E-2</v>
      </c>
      <c r="I223" s="3">
        <f t="shared" si="184"/>
        <v>4.7062467056074947E-2</v>
      </c>
      <c r="J223" s="3">
        <f t="shared" si="184"/>
        <v>4.7062467056073982E-2</v>
      </c>
      <c r="K223" s="3">
        <f t="shared" si="184"/>
        <v>4.70624670560644E-2</v>
      </c>
      <c r="L223" s="3">
        <f t="shared" si="184"/>
        <v>4.7062467055968546E-2</v>
      </c>
      <c r="M223" s="3">
        <f t="shared" si="184"/>
        <v>4.7062467055009986E-2</v>
      </c>
      <c r="N223" s="3">
        <f t="shared" si="184"/>
        <v>4.7062467045424418E-2</v>
      </c>
      <c r="O223" s="3">
        <f t="shared" si="184"/>
        <v>4.706246694956872E-2</v>
      </c>
      <c r="P223" s="3">
        <f t="shared" si="184"/>
        <v>4.7062465991011736E-2</v>
      </c>
      <c r="Q223" s="3">
        <f t="shared" si="184"/>
        <v>4.7062456405442953E-2</v>
      </c>
      <c r="R223" s="3">
        <f t="shared" si="184"/>
        <v>4.7062360549862479E-2</v>
      </c>
      <c r="S223" s="3">
        <f t="shared" si="184"/>
        <v>4.7061402004795728E-2</v>
      </c>
      <c r="T223" s="3">
        <f t="shared" si="184"/>
        <v>4.7051817627839519E-2</v>
      </c>
      <c r="U223" s="3">
        <f t="shared" si="184"/>
        <v>4.6956081148534702E-2</v>
      </c>
      <c r="V223" s="3">
        <f t="shared" si="184"/>
        <v>4.6009364965137765E-2</v>
      </c>
      <c r="W223" s="3">
        <f t="shared" si="184"/>
        <v>3.753100418550083E-2</v>
      </c>
      <c r="X223" s="3">
        <f t="shared" si="184"/>
        <v>4.8958673271477906E-3</v>
      </c>
      <c r="Y223" s="3">
        <f t="shared" si="184"/>
        <v>6.9859294896257124E-12</v>
      </c>
      <c r="Z223" s="3">
        <f t="shared" si="184"/>
        <v>2.4443859185447208E-100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5.1874996245126884E-2</v>
      </c>
      <c r="C224" s="3">
        <f t="shared" si="185"/>
        <v>5.1874996245126884E-2</v>
      </c>
      <c r="D224" s="3">
        <f t="shared" si="185"/>
        <v>5.1874996245126884E-2</v>
      </c>
      <c r="E224" s="3">
        <f t="shared" si="185"/>
        <v>5.1874996245126884E-2</v>
      </c>
      <c r="F224" s="3">
        <f t="shared" si="185"/>
        <v>5.1874996245126884E-2</v>
      </c>
      <c r="G224" s="3">
        <f t="shared" si="185"/>
        <v>5.1874996245126884E-2</v>
      </c>
      <c r="H224" s="3">
        <f t="shared" si="185"/>
        <v>5.1874996245126884E-2</v>
      </c>
      <c r="I224" s="3">
        <f t="shared" si="185"/>
        <v>5.187499624512687E-2</v>
      </c>
      <c r="J224" s="3">
        <f t="shared" si="185"/>
        <v>5.187499624512678E-2</v>
      </c>
      <c r="K224" s="3">
        <f t="shared" si="185"/>
        <v>5.1874996245125822E-2</v>
      </c>
      <c r="L224" s="3">
        <f t="shared" si="185"/>
        <v>5.1874996245116295E-2</v>
      </c>
      <c r="M224" s="3">
        <f t="shared" si="185"/>
        <v>5.1874996245020982E-2</v>
      </c>
      <c r="N224" s="3">
        <f t="shared" si="185"/>
        <v>5.1874996244067863E-2</v>
      </c>
      <c r="O224" s="3">
        <f t="shared" si="185"/>
        <v>5.1874996234536654E-2</v>
      </c>
      <c r="P224" s="3">
        <f t="shared" si="185"/>
        <v>5.1874996139224583E-2</v>
      </c>
      <c r="Q224" s="3">
        <f t="shared" si="185"/>
        <v>5.1874995186103848E-2</v>
      </c>
      <c r="R224" s="3">
        <f t="shared" si="185"/>
        <v>5.1874985654897482E-2</v>
      </c>
      <c r="S224" s="3">
        <f t="shared" si="185"/>
        <v>5.1874890342930108E-2</v>
      </c>
      <c r="T224" s="3">
        <f t="shared" si="185"/>
        <v>5.1873937232887982E-2</v>
      </c>
      <c r="U224" s="3">
        <f t="shared" si="185"/>
        <v>5.1864407095558465E-2</v>
      </c>
      <c r="V224" s="3">
        <f t="shared" si="185"/>
        <v>5.1769201965995215E-2</v>
      </c>
      <c r="W224" s="3">
        <f t="shared" si="185"/>
        <v>5.082670993581468E-2</v>
      </c>
      <c r="X224" s="3">
        <f t="shared" si="185"/>
        <v>4.2295803366826451E-2</v>
      </c>
      <c r="Y224" s="3">
        <f t="shared" si="185"/>
        <v>6.7351935267500034E-3</v>
      </c>
      <c r="Z224" s="3">
        <f t="shared" si="185"/>
        <v>7.0611930732832022E-11</v>
      </c>
      <c r="AA224" s="3">
        <f t="shared" si="185"/>
        <v>1.1328128338697138E-90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9.3719085133360594E-2</v>
      </c>
      <c r="C225" s="3">
        <f t="shared" si="186"/>
        <v>9.3719085133360594E-2</v>
      </c>
      <c r="D225" s="3">
        <f t="shared" si="186"/>
        <v>9.3719085133360594E-2</v>
      </c>
      <c r="E225" s="3">
        <f t="shared" si="186"/>
        <v>9.3719085133360594E-2</v>
      </c>
      <c r="F225" s="3">
        <f t="shared" si="186"/>
        <v>9.3719085133360594E-2</v>
      </c>
      <c r="G225" s="3">
        <f t="shared" si="186"/>
        <v>9.3719085133360594E-2</v>
      </c>
      <c r="H225" s="3">
        <f t="shared" si="186"/>
        <v>9.3719085133360594E-2</v>
      </c>
      <c r="I225" s="3">
        <f t="shared" si="186"/>
        <v>9.3719085133360594E-2</v>
      </c>
      <c r="J225" s="3">
        <f t="shared" si="186"/>
        <v>9.371908513336058E-2</v>
      </c>
      <c r="K225" s="3">
        <f t="shared" si="186"/>
        <v>9.3719085133360414E-2</v>
      </c>
      <c r="L225" s="3">
        <f t="shared" si="186"/>
        <v>9.3719085133358873E-2</v>
      </c>
      <c r="M225" s="3">
        <f t="shared" si="186"/>
        <v>9.371908513334333E-2</v>
      </c>
      <c r="N225" s="3">
        <f t="shared" si="186"/>
        <v>9.3719085133187996E-2</v>
      </c>
      <c r="O225" s="3">
        <f t="shared" si="186"/>
        <v>9.3719085131634669E-2</v>
      </c>
      <c r="P225" s="3">
        <f t="shared" si="186"/>
        <v>9.3719085116101331E-2</v>
      </c>
      <c r="Q225" s="3">
        <f t="shared" si="186"/>
        <v>9.3719084960768084E-2</v>
      </c>
      <c r="R225" s="3">
        <f t="shared" si="186"/>
        <v>9.3719083407435427E-2</v>
      </c>
      <c r="S225" s="3">
        <f t="shared" si="186"/>
        <v>9.3719067874110357E-2</v>
      </c>
      <c r="T225" s="3">
        <f t="shared" si="186"/>
        <v>9.3718912541001301E-2</v>
      </c>
      <c r="U225" s="3">
        <f t="shared" si="186"/>
        <v>9.3717359224070665E-2</v>
      </c>
      <c r="V225" s="3">
        <f t="shared" si="186"/>
        <v>9.370182747066888E-2</v>
      </c>
      <c r="W225" s="3">
        <f t="shared" si="186"/>
        <v>9.3546651440323578E-2</v>
      </c>
      <c r="X225" s="3">
        <f t="shared" si="186"/>
        <v>9.2008955110259777E-2</v>
      </c>
      <c r="Y225" s="3">
        <f t="shared" si="186"/>
        <v>7.7955834163881271E-2</v>
      </c>
      <c r="Z225" s="3">
        <f t="shared" si="186"/>
        <v>1.4860515208519802E-2</v>
      </c>
      <c r="AA225" s="3">
        <f t="shared" si="186"/>
        <v>9.4164304072910363E-10</v>
      </c>
      <c r="AB225" s="3">
        <f t="shared" si="186"/>
        <v>9.8267667268231846E-82</v>
      </c>
      <c r="AC225" s="3">
        <f t="shared" si="186"/>
        <v>0</v>
      </c>
      <c r="AD225" s="3">
        <f t="shared" si="186"/>
        <v>0</v>
      </c>
      <c r="AE225" s="3">
        <f t="shared" si="186"/>
        <v>0</v>
      </c>
      <c r="AF225" s="3">
        <f t="shared" si="186"/>
        <v>0</v>
      </c>
      <c r="AG225" s="3"/>
      <c r="AH225" s="3"/>
    </row>
    <row r="226" spans="2:34" x14ac:dyDescent="0.25">
      <c r="B226" s="3">
        <f t="shared" ref="B226:AF226" si="187">$C34*EXP(-B$207/$A34/EXP(-$D$126))</f>
        <v>0.10682658591512105</v>
      </c>
      <c r="C226" s="3">
        <f t="shared" si="187"/>
        <v>0.10682658591512105</v>
      </c>
      <c r="D226" s="3">
        <f t="shared" si="187"/>
        <v>0.10682658591512105</v>
      </c>
      <c r="E226" s="3">
        <f t="shared" si="187"/>
        <v>0.10682658591512105</v>
      </c>
      <c r="F226" s="3">
        <f t="shared" si="187"/>
        <v>0.10682658591512105</v>
      </c>
      <c r="G226" s="3">
        <f t="shared" si="187"/>
        <v>0.10682658591512105</v>
      </c>
      <c r="H226" s="3">
        <f t="shared" si="187"/>
        <v>0.10682658591512105</v>
      </c>
      <c r="I226" s="3">
        <f t="shared" si="187"/>
        <v>0.10682658591512105</v>
      </c>
      <c r="J226" s="3">
        <f t="shared" si="187"/>
        <v>0.10682658591512105</v>
      </c>
      <c r="K226" s="3">
        <f t="shared" si="187"/>
        <v>0.10682658591512104</v>
      </c>
      <c r="L226" s="3">
        <f t="shared" si="187"/>
        <v>0.10682658591512087</v>
      </c>
      <c r="M226" s="3">
        <f t="shared" si="187"/>
        <v>0.10682658591511927</v>
      </c>
      <c r="N226" s="3">
        <f t="shared" si="187"/>
        <v>0.1068265859151033</v>
      </c>
      <c r="O226" s="3">
        <f t="shared" si="187"/>
        <v>0.10682658591494358</v>
      </c>
      <c r="P226" s="3">
        <f t="shared" si="187"/>
        <v>0.10682658591334637</v>
      </c>
      <c r="Q226" s="3">
        <f t="shared" si="187"/>
        <v>0.10682658589737426</v>
      </c>
      <c r="R226" s="3">
        <f t="shared" si="187"/>
        <v>0.10682658573765313</v>
      </c>
      <c r="S226" s="3">
        <f t="shared" si="187"/>
        <v>0.10682658414044184</v>
      </c>
      <c r="T226" s="3">
        <f t="shared" si="187"/>
        <v>0.1068265681683303</v>
      </c>
      <c r="U226" s="3">
        <f t="shared" si="187"/>
        <v>0.10682640844734619</v>
      </c>
      <c r="V226" s="3">
        <f t="shared" si="187"/>
        <v>0.10682481125063935</v>
      </c>
      <c r="W226" s="3">
        <f t="shared" si="187"/>
        <v>0.10680884059692369</v>
      </c>
      <c r="X226" s="3">
        <f t="shared" si="187"/>
        <v>0.10664926532241804</v>
      </c>
      <c r="Y226" s="3">
        <f t="shared" si="187"/>
        <v>0.10506656651702891</v>
      </c>
      <c r="Z226" s="3">
        <f t="shared" si="187"/>
        <v>9.0475556030112536E-2</v>
      </c>
      <c r="AA226" s="3">
        <f t="shared" si="187"/>
        <v>2.0286095589656498E-2</v>
      </c>
      <c r="AB226" s="3">
        <f t="shared" si="187"/>
        <v>6.5143417040894786E-9</v>
      </c>
      <c r="AC226" s="3">
        <f t="shared" si="187"/>
        <v>7.5961094400854073E-74</v>
      </c>
      <c r="AD226" s="3">
        <f t="shared" si="187"/>
        <v>0</v>
      </c>
      <c r="AE226" s="3">
        <f t="shared" si="187"/>
        <v>0</v>
      </c>
      <c r="AF226" s="3">
        <f t="shared" si="187"/>
        <v>0</v>
      </c>
      <c r="AG226" s="3"/>
      <c r="AH226" s="3"/>
    </row>
    <row r="227" spans="2:34" x14ac:dyDescent="0.25">
      <c r="B227" s="3">
        <f t="shared" ref="B227:AF227" si="188">$C35*EXP(-B$207/$A35/EXP(-$D$126))</f>
        <v>0.11271230139024535</v>
      </c>
      <c r="C227" s="3">
        <f t="shared" si="188"/>
        <v>0.11271230139024535</v>
      </c>
      <c r="D227" s="3">
        <f t="shared" si="188"/>
        <v>0.11271230139024535</v>
      </c>
      <c r="E227" s="3">
        <f t="shared" si="188"/>
        <v>0.11271230139024535</v>
      </c>
      <c r="F227" s="3">
        <f t="shared" si="188"/>
        <v>0.11271230139024535</v>
      </c>
      <c r="G227" s="3">
        <f t="shared" si="188"/>
        <v>0.11271230139024535</v>
      </c>
      <c r="H227" s="3">
        <f t="shared" si="188"/>
        <v>0.11271230139024535</v>
      </c>
      <c r="I227" s="3">
        <f t="shared" si="188"/>
        <v>0.11271230139024535</v>
      </c>
      <c r="J227" s="3">
        <f t="shared" si="188"/>
        <v>0.11271230139024535</v>
      </c>
      <c r="K227" s="3">
        <f t="shared" si="188"/>
        <v>0.11271230139024535</v>
      </c>
      <c r="L227" s="3">
        <f t="shared" si="188"/>
        <v>0.11271230139024534</v>
      </c>
      <c r="M227" s="3">
        <f t="shared" si="188"/>
        <v>0.11271230139024518</v>
      </c>
      <c r="N227" s="3">
        <f t="shared" si="188"/>
        <v>0.11271230139024366</v>
      </c>
      <c r="O227" s="3">
        <f t="shared" si="188"/>
        <v>0.11271230139022846</v>
      </c>
      <c r="P227" s="3">
        <f t="shared" si="188"/>
        <v>0.11271230139007644</v>
      </c>
      <c r="Q227" s="3">
        <f t="shared" si="188"/>
        <v>0.11271230138855624</v>
      </c>
      <c r="R227" s="3">
        <f t="shared" si="188"/>
        <v>0.11271230137335424</v>
      </c>
      <c r="S227" s="3">
        <f t="shared" si="188"/>
        <v>0.11271230122133416</v>
      </c>
      <c r="T227" s="3">
        <f t="shared" si="188"/>
        <v>0.11271229970113346</v>
      </c>
      <c r="U227" s="3">
        <f t="shared" si="188"/>
        <v>0.11271228449912751</v>
      </c>
      <c r="V227" s="3">
        <f t="shared" si="188"/>
        <v>0.11271213247918091</v>
      </c>
      <c r="W227" s="3">
        <f t="shared" si="188"/>
        <v>0.11271061229099176</v>
      </c>
      <c r="X227" s="3">
        <f t="shared" si="188"/>
        <v>0.11269541153673689</v>
      </c>
      <c r="Y227" s="3">
        <f t="shared" si="188"/>
        <v>0.11254351670159417</v>
      </c>
      <c r="Z227" s="3">
        <f t="shared" si="188"/>
        <v>0.11103578304812566</v>
      </c>
      <c r="AA227" s="3">
        <f t="shared" si="188"/>
        <v>9.7025913378483375E-2</v>
      </c>
      <c r="AB227" s="3">
        <f t="shared" si="188"/>
        <v>2.5184628039973848E-2</v>
      </c>
      <c r="AC227" s="3">
        <f t="shared" si="188"/>
        <v>3.4963391507214065E-8</v>
      </c>
      <c r="AD227" s="3">
        <f t="shared" si="188"/>
        <v>9.298088514518994E-67</v>
      </c>
      <c r="AE227" s="3">
        <f t="shared" si="188"/>
        <v>0</v>
      </c>
      <c r="AF227" s="3">
        <f t="shared" si="188"/>
        <v>0</v>
      </c>
      <c r="AG227" s="3"/>
      <c r="AH227" s="3"/>
    </row>
    <row r="228" spans="2:34" x14ac:dyDescent="0.25">
      <c r="B228" s="3">
        <f t="shared" ref="B228:AF228" si="189">$C36*EXP(-B$207/$A36/EXP(-$D$126))</f>
        <v>0.10920571405178373</v>
      </c>
      <c r="C228" s="3">
        <f t="shared" si="189"/>
        <v>0.10920571405178373</v>
      </c>
      <c r="D228" s="3">
        <f t="shared" si="189"/>
        <v>0.10920571405178373</v>
      </c>
      <c r="E228" s="3">
        <f t="shared" si="189"/>
        <v>0.10920571405178373</v>
      </c>
      <c r="F228" s="3">
        <f t="shared" si="189"/>
        <v>0.10920571405178373</v>
      </c>
      <c r="G228" s="3">
        <f t="shared" si="189"/>
        <v>0.10920571405178373</v>
      </c>
      <c r="H228" s="3">
        <f t="shared" si="189"/>
        <v>0.10920571405178373</v>
      </c>
      <c r="I228" s="3">
        <f t="shared" si="189"/>
        <v>0.10920571405178373</v>
      </c>
      <c r="J228" s="3">
        <f t="shared" si="189"/>
        <v>0.10920571405178373</v>
      </c>
      <c r="K228" s="3">
        <f t="shared" si="189"/>
        <v>0.10920571405178373</v>
      </c>
      <c r="L228" s="3">
        <f t="shared" si="189"/>
        <v>0.10920571405178373</v>
      </c>
      <c r="M228" s="3">
        <f t="shared" si="189"/>
        <v>0.10920571405178371</v>
      </c>
      <c r="N228" s="3">
        <f t="shared" si="189"/>
        <v>0.10920571405178359</v>
      </c>
      <c r="O228" s="3">
        <f t="shared" si="189"/>
        <v>0.10920571405178224</v>
      </c>
      <c r="P228" s="3">
        <f t="shared" si="189"/>
        <v>0.10920571405176896</v>
      </c>
      <c r="Q228" s="3">
        <f t="shared" si="189"/>
        <v>0.10920571405163609</v>
      </c>
      <c r="R228" s="3">
        <f t="shared" si="189"/>
        <v>0.10920571405030742</v>
      </c>
      <c r="S228" s="3">
        <f t="shared" si="189"/>
        <v>0.10920571403702058</v>
      </c>
      <c r="T228" s="3">
        <f t="shared" si="189"/>
        <v>0.10920571390415222</v>
      </c>
      <c r="U228" s="3">
        <f t="shared" si="189"/>
        <v>0.10920571257546864</v>
      </c>
      <c r="V228" s="3">
        <f t="shared" si="189"/>
        <v>0.10920569928863376</v>
      </c>
      <c r="W228" s="3">
        <f t="shared" si="189"/>
        <v>0.10920556642037393</v>
      </c>
      <c r="X228" s="3">
        <f t="shared" si="189"/>
        <v>0.10920423774666679</v>
      </c>
      <c r="Y228" s="3">
        <f t="shared" si="189"/>
        <v>0.10919095189867116</v>
      </c>
      <c r="Z228" s="3">
        <f t="shared" si="189"/>
        <v>0.1090581822862749</v>
      </c>
      <c r="AA228" s="3">
        <f t="shared" si="189"/>
        <v>0.1077393330425493</v>
      </c>
      <c r="AB228" s="3">
        <f t="shared" si="189"/>
        <v>9.5396965729076799E-2</v>
      </c>
      <c r="AC228" s="3">
        <f t="shared" si="189"/>
        <v>2.8257735014155082E-2</v>
      </c>
      <c r="AD228" s="3">
        <f t="shared" si="189"/>
        <v>1.4694852000668784E-7</v>
      </c>
      <c r="AE228" s="3">
        <f t="shared" si="189"/>
        <v>2.1254157690804196E-60</v>
      </c>
      <c r="AF228" s="3">
        <f t="shared" si="189"/>
        <v>0</v>
      </c>
      <c r="AG228" s="3"/>
      <c r="AH228" s="3"/>
    </row>
    <row r="229" spans="2:34" x14ac:dyDescent="0.25">
      <c r="B229" s="3">
        <f t="shared" ref="B229:AF229" si="190">$C37*EXP(-B$207/$A37/EXP(-$D$126))</f>
        <v>8.5595472993728092E-2</v>
      </c>
      <c r="C229" s="3">
        <f t="shared" si="190"/>
        <v>8.5595472993728092E-2</v>
      </c>
      <c r="D229" s="3">
        <f t="shared" si="190"/>
        <v>8.5595472993728092E-2</v>
      </c>
      <c r="E229" s="3">
        <f t="shared" si="190"/>
        <v>8.5595472993728092E-2</v>
      </c>
      <c r="F229" s="3">
        <f t="shared" si="190"/>
        <v>8.5595472993728092E-2</v>
      </c>
      <c r="G229" s="3">
        <f t="shared" si="190"/>
        <v>8.5595472993728092E-2</v>
      </c>
      <c r="H229" s="3">
        <f t="shared" si="190"/>
        <v>8.5595472993728092E-2</v>
      </c>
      <c r="I229" s="3">
        <f t="shared" si="190"/>
        <v>8.5595472993728092E-2</v>
      </c>
      <c r="J229" s="3">
        <f t="shared" si="190"/>
        <v>8.5595472993728092E-2</v>
      </c>
      <c r="K229" s="3">
        <f t="shared" si="190"/>
        <v>8.5595472993728092E-2</v>
      </c>
      <c r="L229" s="3">
        <f t="shared" si="190"/>
        <v>8.5595472993728092E-2</v>
      </c>
      <c r="M229" s="3">
        <f t="shared" si="190"/>
        <v>8.5595472993728092E-2</v>
      </c>
      <c r="N229" s="3">
        <f t="shared" si="190"/>
        <v>8.5595472993728078E-2</v>
      </c>
      <c r="O229" s="3">
        <f t="shared" si="190"/>
        <v>8.5595472993727981E-2</v>
      </c>
      <c r="P229" s="3">
        <f t="shared" si="190"/>
        <v>8.5595472993727051E-2</v>
      </c>
      <c r="Q229" s="3">
        <f t="shared" si="190"/>
        <v>8.5595472993717656E-2</v>
      </c>
      <c r="R229" s="3">
        <f t="shared" si="190"/>
        <v>8.5595472993623717E-2</v>
      </c>
      <c r="S229" s="3">
        <f t="shared" si="190"/>
        <v>8.559547299268426E-2</v>
      </c>
      <c r="T229" s="3">
        <f t="shared" si="190"/>
        <v>8.5595472983289761E-2</v>
      </c>
      <c r="U229" s="3">
        <f t="shared" si="190"/>
        <v>8.5595472889344784E-2</v>
      </c>
      <c r="V229" s="3">
        <f t="shared" si="190"/>
        <v>8.5595471949894947E-2</v>
      </c>
      <c r="W229" s="3">
        <f t="shared" si="190"/>
        <v>8.5595462555397239E-2</v>
      </c>
      <c r="X229" s="3">
        <f t="shared" si="190"/>
        <v>8.5595368610476799E-2</v>
      </c>
      <c r="Y229" s="3">
        <f t="shared" si="190"/>
        <v>8.5594429166943459E-2</v>
      </c>
      <c r="Z229" s="3">
        <f t="shared" si="190"/>
        <v>8.5585035298683623E-2</v>
      </c>
      <c r="AA229" s="3">
        <f t="shared" si="190"/>
        <v>8.549115330043118E-2</v>
      </c>
      <c r="AB229" s="3">
        <f t="shared" si="190"/>
        <v>8.4557978800842301E-2</v>
      </c>
      <c r="AC229" s="3">
        <f t="shared" si="190"/>
        <v>7.5768513855597575E-2</v>
      </c>
      <c r="AD229" s="3">
        <f t="shared" si="190"/>
        <v>2.5283111751961223E-2</v>
      </c>
      <c r="AE229" s="3">
        <f t="shared" si="190"/>
        <v>4.3276096170826837E-7</v>
      </c>
      <c r="AF229" s="3">
        <f t="shared" si="190"/>
        <v>9.3416503294077405E-55</v>
      </c>
      <c r="AG229" s="3"/>
      <c r="AH229" s="3"/>
    </row>
    <row r="230" spans="2:34" x14ac:dyDescent="0.25">
      <c r="B230" s="3">
        <f t="shared" ref="B230:AF230" si="191">$C38*EXP(-B$207/$A38/EXP(-$D$126))</f>
        <v>3.0330599560697977E-2</v>
      </c>
      <c r="C230" s="3">
        <f t="shared" si="191"/>
        <v>3.0330599560697977E-2</v>
      </c>
      <c r="D230" s="3">
        <f t="shared" si="191"/>
        <v>3.0330599560697977E-2</v>
      </c>
      <c r="E230" s="3">
        <f t="shared" si="191"/>
        <v>3.0330599560697977E-2</v>
      </c>
      <c r="F230" s="3">
        <f t="shared" si="191"/>
        <v>3.0330599560697977E-2</v>
      </c>
      <c r="G230" s="3">
        <f t="shared" si="191"/>
        <v>3.0330599560697977E-2</v>
      </c>
      <c r="H230" s="3">
        <f t="shared" si="191"/>
        <v>3.0330599560697977E-2</v>
      </c>
      <c r="I230" s="3">
        <f t="shared" si="191"/>
        <v>3.0330599560697977E-2</v>
      </c>
      <c r="J230" s="3">
        <f t="shared" si="191"/>
        <v>3.0330599560697977E-2</v>
      </c>
      <c r="K230" s="3">
        <f t="shared" si="191"/>
        <v>3.0330599560697977E-2</v>
      </c>
      <c r="L230" s="3">
        <f t="shared" si="191"/>
        <v>3.0330599560697977E-2</v>
      </c>
      <c r="M230" s="3">
        <f t="shared" si="191"/>
        <v>3.0330599560697977E-2</v>
      </c>
      <c r="N230" s="3">
        <f t="shared" si="191"/>
        <v>3.0330599560697977E-2</v>
      </c>
      <c r="O230" s="3">
        <f t="shared" si="191"/>
        <v>3.0330599560697974E-2</v>
      </c>
      <c r="P230" s="3">
        <f t="shared" si="191"/>
        <v>3.0330599560697943E-2</v>
      </c>
      <c r="Q230" s="3">
        <f t="shared" si="191"/>
        <v>3.0330599560697644E-2</v>
      </c>
      <c r="R230" s="3">
        <f t="shared" si="191"/>
        <v>3.033059956069464E-2</v>
      </c>
      <c r="S230" s="3">
        <f t="shared" si="191"/>
        <v>3.0330599560664612E-2</v>
      </c>
      <c r="T230" s="3">
        <f t="shared" si="191"/>
        <v>3.0330599560364314E-2</v>
      </c>
      <c r="U230" s="3">
        <f t="shared" si="191"/>
        <v>3.0330599557361348E-2</v>
      </c>
      <c r="V230" s="3">
        <f t="shared" si="191"/>
        <v>3.0330599527331692E-2</v>
      </c>
      <c r="W230" s="3">
        <f t="shared" si="191"/>
        <v>3.0330599227035113E-2</v>
      </c>
      <c r="X230" s="3">
        <f t="shared" si="191"/>
        <v>3.0330596224069507E-2</v>
      </c>
      <c r="Y230" s="3">
        <f t="shared" si="191"/>
        <v>3.0330566194429805E-2</v>
      </c>
      <c r="Z230" s="3">
        <f t="shared" si="191"/>
        <v>3.0330265899668012E-2</v>
      </c>
      <c r="AA230" s="3">
        <f t="shared" si="191"/>
        <v>3.0327263115567802E-2</v>
      </c>
      <c r="AB230" s="3">
        <f t="shared" si="191"/>
        <v>3.0297251620347767E-2</v>
      </c>
      <c r="AC230" s="3">
        <f t="shared" si="191"/>
        <v>2.9998765274247385E-2</v>
      </c>
      <c r="AD230" s="3">
        <f t="shared" si="191"/>
        <v>2.717095109516519E-2</v>
      </c>
      <c r="AE230" s="3">
        <f t="shared" si="191"/>
        <v>1.009530512787615E-2</v>
      </c>
      <c r="AF230" s="3">
        <f t="shared" si="191"/>
        <v>5.0613403360194747E-7</v>
      </c>
      <c r="AG230" s="3"/>
      <c r="AH230" s="3"/>
    </row>
    <row r="231" spans="2:34" x14ac:dyDescent="0.25">
      <c r="B231" s="3">
        <f t="shared" ref="B231:AF231" si="192">$C39*EXP(-B$207/$A39/EXP(-$D$126))</f>
        <v>3.2127590787364095E-2</v>
      </c>
      <c r="C231" s="3">
        <f t="shared" si="192"/>
        <v>3.2127590787364095E-2</v>
      </c>
      <c r="D231" s="3">
        <f t="shared" si="192"/>
        <v>3.2127590787364095E-2</v>
      </c>
      <c r="E231" s="3">
        <f t="shared" si="192"/>
        <v>3.2127590787364095E-2</v>
      </c>
      <c r="F231" s="3">
        <f t="shared" si="192"/>
        <v>3.2127590787364095E-2</v>
      </c>
      <c r="G231" s="3">
        <f t="shared" si="192"/>
        <v>3.2127590787364095E-2</v>
      </c>
      <c r="H231" s="3">
        <f t="shared" si="192"/>
        <v>3.2127590787364095E-2</v>
      </c>
      <c r="I231" s="3">
        <f t="shared" si="192"/>
        <v>3.2127590787364095E-2</v>
      </c>
      <c r="J231" s="3">
        <f t="shared" si="192"/>
        <v>3.2127590787364095E-2</v>
      </c>
      <c r="K231" s="3">
        <f t="shared" si="192"/>
        <v>3.2127590787364095E-2</v>
      </c>
      <c r="L231" s="3">
        <f t="shared" si="192"/>
        <v>3.2127590787364095E-2</v>
      </c>
      <c r="M231" s="3">
        <f t="shared" si="192"/>
        <v>3.2127590787364095E-2</v>
      </c>
      <c r="N231" s="3">
        <f t="shared" si="192"/>
        <v>3.2127590787364095E-2</v>
      </c>
      <c r="O231" s="3">
        <f t="shared" si="192"/>
        <v>3.2127590787364095E-2</v>
      </c>
      <c r="P231" s="3">
        <f t="shared" si="192"/>
        <v>3.2127590787364081E-2</v>
      </c>
      <c r="Q231" s="3">
        <f t="shared" si="192"/>
        <v>3.2127590787363998E-2</v>
      </c>
      <c r="R231" s="3">
        <f t="shared" si="192"/>
        <v>3.2127590787363117E-2</v>
      </c>
      <c r="S231" s="3">
        <f t="shared" si="192"/>
        <v>3.2127590787354325E-2</v>
      </c>
      <c r="T231" s="3">
        <f t="shared" si="192"/>
        <v>3.2127590787266347E-2</v>
      </c>
      <c r="U231" s="3">
        <f t="shared" si="192"/>
        <v>3.2127590786386592E-2</v>
      </c>
      <c r="V231" s="3">
        <f t="shared" si="192"/>
        <v>3.2127590777589067E-2</v>
      </c>
      <c r="W231" s="3">
        <f t="shared" si="192"/>
        <v>3.2127590689613843E-2</v>
      </c>
      <c r="X231" s="3">
        <f t="shared" si="192"/>
        <v>3.2127589809861558E-2</v>
      </c>
      <c r="Y231" s="3">
        <f t="shared" si="192"/>
        <v>3.2127581012340041E-2</v>
      </c>
      <c r="Z231" s="3">
        <f t="shared" si="192"/>
        <v>3.2127493037257392E-2</v>
      </c>
      <c r="AA231" s="3">
        <f t="shared" si="192"/>
        <v>3.2126613299680411E-2</v>
      </c>
      <c r="AB231" s="3">
        <f t="shared" si="192"/>
        <v>3.211781724872937E-2</v>
      </c>
      <c r="AC231" s="3">
        <f t="shared" si="192"/>
        <v>3.2029989086963487E-2</v>
      </c>
      <c r="AD231" s="3">
        <f t="shared" si="192"/>
        <v>3.1164809128982656E-2</v>
      </c>
      <c r="AE231" s="3">
        <f t="shared" si="192"/>
        <v>2.3699614299790266E-2</v>
      </c>
      <c r="AF231" s="3">
        <f t="shared" si="192"/>
        <v>1.532884192544685E-3</v>
      </c>
      <c r="AG231" s="3"/>
      <c r="AH231" s="3"/>
    </row>
    <row r="232" spans="2:34" x14ac:dyDescent="0.25">
      <c r="B232" s="3">
        <f t="shared" ref="B232:AF232" si="193">$C40*EXP(-B$207/$A40/EXP(-$D$126))</f>
        <v>1.5939358035986794E-2</v>
      </c>
      <c r="C232" s="3">
        <f t="shared" si="193"/>
        <v>1.5939358035986794E-2</v>
      </c>
      <c r="D232" s="3">
        <f t="shared" si="193"/>
        <v>1.5939358035986794E-2</v>
      </c>
      <c r="E232" s="3">
        <f t="shared" si="193"/>
        <v>1.5939358035986794E-2</v>
      </c>
      <c r="F232" s="3">
        <f t="shared" si="193"/>
        <v>1.5939358035986794E-2</v>
      </c>
      <c r="G232" s="3">
        <f t="shared" si="193"/>
        <v>1.5939358035986794E-2</v>
      </c>
      <c r="H232" s="3">
        <f t="shared" si="193"/>
        <v>1.5939358035986794E-2</v>
      </c>
      <c r="I232" s="3">
        <f t="shared" si="193"/>
        <v>1.5939358035986794E-2</v>
      </c>
      <c r="J232" s="3">
        <f t="shared" si="193"/>
        <v>1.5939358035986794E-2</v>
      </c>
      <c r="K232" s="3">
        <f t="shared" si="193"/>
        <v>1.5939358035986794E-2</v>
      </c>
      <c r="L232" s="3">
        <f t="shared" si="193"/>
        <v>1.5939358035986794E-2</v>
      </c>
      <c r="M232" s="3">
        <f t="shared" si="193"/>
        <v>1.5939358035986794E-2</v>
      </c>
      <c r="N232" s="3">
        <f t="shared" si="193"/>
        <v>1.5939358035986794E-2</v>
      </c>
      <c r="O232" s="3">
        <f t="shared" si="193"/>
        <v>1.5939358035986794E-2</v>
      </c>
      <c r="P232" s="3">
        <f t="shared" si="193"/>
        <v>1.5939358035986794E-2</v>
      </c>
      <c r="Q232" s="3">
        <f t="shared" si="193"/>
        <v>1.5939358035986787E-2</v>
      </c>
      <c r="R232" s="3">
        <f t="shared" si="193"/>
        <v>1.5939358035986746E-2</v>
      </c>
      <c r="S232" s="3">
        <f t="shared" si="193"/>
        <v>1.5939358035986308E-2</v>
      </c>
      <c r="T232" s="3">
        <f t="shared" si="193"/>
        <v>1.5939358035981944E-2</v>
      </c>
      <c r="U232" s="3">
        <f t="shared" si="193"/>
        <v>1.5939358035938298E-2</v>
      </c>
      <c r="V232" s="3">
        <f t="shared" si="193"/>
        <v>1.5939358035501828E-2</v>
      </c>
      <c r="W232" s="3">
        <f t="shared" si="193"/>
        <v>1.5939358031137142E-2</v>
      </c>
      <c r="X232" s="3">
        <f t="shared" si="193"/>
        <v>1.5939357987490275E-2</v>
      </c>
      <c r="Y232" s="3">
        <f t="shared" si="193"/>
        <v>1.5939357551021612E-2</v>
      </c>
      <c r="Z232" s="3">
        <f t="shared" si="193"/>
        <v>1.5939353186335627E-2</v>
      </c>
      <c r="AA232" s="3">
        <f t="shared" si="193"/>
        <v>1.5939309539541507E-2</v>
      </c>
      <c r="AB232" s="3">
        <f t="shared" si="193"/>
        <v>1.5938873078173769E-2</v>
      </c>
      <c r="AC232" s="3">
        <f t="shared" si="193"/>
        <v>1.5934509121774444E-2</v>
      </c>
      <c r="AD232" s="3">
        <f t="shared" si="193"/>
        <v>1.5890935219040985E-2</v>
      </c>
      <c r="AE232" s="3">
        <f t="shared" si="193"/>
        <v>1.5461696275881877E-2</v>
      </c>
      <c r="AF232" s="3">
        <f t="shared" si="193"/>
        <v>1.1758013233526451E-2</v>
      </c>
      <c r="AG232" s="3"/>
      <c r="AH232" s="3"/>
    </row>
    <row r="233" spans="2:34" x14ac:dyDescent="0.25">
      <c r="B233" s="3">
        <f t="shared" ref="B233:AF233" si="194">$C41*EXP(-B$207/$A41/EXP(-$D$126))</f>
        <v>1.0098226932664881E-3</v>
      </c>
      <c r="C233" s="3">
        <f t="shared" si="194"/>
        <v>1.0098226932664881E-3</v>
      </c>
      <c r="D233" s="3">
        <f t="shared" si="194"/>
        <v>1.0098226932664881E-3</v>
      </c>
      <c r="E233" s="3">
        <f t="shared" si="194"/>
        <v>1.0098226932664881E-3</v>
      </c>
      <c r="F233" s="3">
        <f t="shared" si="194"/>
        <v>1.0098226932664881E-3</v>
      </c>
      <c r="G233" s="3">
        <f t="shared" si="194"/>
        <v>1.0098226932664881E-3</v>
      </c>
      <c r="H233" s="3">
        <f t="shared" si="194"/>
        <v>1.0098226932664881E-3</v>
      </c>
      <c r="I233" s="3">
        <f t="shared" si="194"/>
        <v>1.0098226932664881E-3</v>
      </c>
      <c r="J233" s="3">
        <f t="shared" si="194"/>
        <v>1.0098226932664881E-3</v>
      </c>
      <c r="K233" s="3">
        <f t="shared" si="194"/>
        <v>1.0098226932664881E-3</v>
      </c>
      <c r="L233" s="3">
        <f t="shared" si="194"/>
        <v>1.0098226932664881E-3</v>
      </c>
      <c r="M233" s="3">
        <f t="shared" si="194"/>
        <v>1.0098226932664881E-3</v>
      </c>
      <c r="N233" s="3">
        <f t="shared" si="194"/>
        <v>1.0098226932664881E-3</v>
      </c>
      <c r="O233" s="3">
        <f t="shared" si="194"/>
        <v>1.0098226932664881E-3</v>
      </c>
      <c r="P233" s="3">
        <f t="shared" si="194"/>
        <v>1.0098226932664881E-3</v>
      </c>
      <c r="Q233" s="3">
        <f t="shared" si="194"/>
        <v>1.0098226932664881E-3</v>
      </c>
      <c r="R233" s="3">
        <f t="shared" si="194"/>
        <v>1.0098226932664877E-3</v>
      </c>
      <c r="S233" s="3">
        <f t="shared" si="194"/>
        <v>1.0098226932664851E-3</v>
      </c>
      <c r="T233" s="3">
        <f t="shared" si="194"/>
        <v>1.0098226932664573E-3</v>
      </c>
      <c r="U233" s="3">
        <f t="shared" si="194"/>
        <v>1.0098226932661809E-3</v>
      </c>
      <c r="V233" s="3">
        <f t="shared" si="194"/>
        <v>1.0098226932634157E-3</v>
      </c>
      <c r="W233" s="3">
        <f t="shared" si="194"/>
        <v>1.0098226932357636E-3</v>
      </c>
      <c r="X233" s="3">
        <f t="shared" si="194"/>
        <v>1.009822692959243E-3</v>
      </c>
      <c r="Y233" s="3">
        <f t="shared" si="194"/>
        <v>1.0098226901940378E-3</v>
      </c>
      <c r="Z233" s="3">
        <f t="shared" si="194"/>
        <v>1.0098226625419855E-3</v>
      </c>
      <c r="AA233" s="3">
        <f t="shared" si="194"/>
        <v>1.0098223860215041E-3</v>
      </c>
      <c r="AB233" s="3">
        <f t="shared" si="194"/>
        <v>1.0098196208208549E-3</v>
      </c>
      <c r="AC233" s="3">
        <f t="shared" si="194"/>
        <v>1.0097919692308173E-3</v>
      </c>
      <c r="AD233" s="3">
        <f t="shared" si="194"/>
        <v>1.0095154949716586E-3</v>
      </c>
      <c r="AE233" s="3">
        <f t="shared" si="194"/>
        <v>1.006754912286014E-3</v>
      </c>
      <c r="AF233" s="3">
        <f t="shared" si="194"/>
        <v>9.7956089200883808E-4</v>
      </c>
      <c r="AG233" s="3"/>
      <c r="AH233" s="3"/>
    </row>
    <row r="234" spans="2:34" x14ac:dyDescent="0.25">
      <c r="B234" s="3">
        <f t="shared" ref="B234:AF234" si="195">$C42*EXP(-B$207/$A42/EXP(-$D$126))</f>
        <v>3.5232790951536608E-3</v>
      </c>
      <c r="C234" s="3">
        <f t="shared" si="195"/>
        <v>3.5232790951536608E-3</v>
      </c>
      <c r="D234" s="3">
        <f t="shared" si="195"/>
        <v>3.5232790951536608E-3</v>
      </c>
      <c r="E234" s="3">
        <f t="shared" si="195"/>
        <v>3.5232790951536608E-3</v>
      </c>
      <c r="F234" s="3">
        <f t="shared" si="195"/>
        <v>3.5232790951536608E-3</v>
      </c>
      <c r="G234" s="3">
        <f t="shared" si="195"/>
        <v>3.5232790951536608E-3</v>
      </c>
      <c r="H234" s="3">
        <f t="shared" si="195"/>
        <v>3.5232790951536608E-3</v>
      </c>
      <c r="I234" s="3">
        <f t="shared" si="195"/>
        <v>3.5232790951536608E-3</v>
      </c>
      <c r="J234" s="3">
        <f t="shared" si="195"/>
        <v>3.5232790951536608E-3</v>
      </c>
      <c r="K234" s="3">
        <f t="shared" si="195"/>
        <v>3.5232790951536608E-3</v>
      </c>
      <c r="L234" s="3">
        <f t="shared" si="195"/>
        <v>3.5232790951536608E-3</v>
      </c>
      <c r="M234" s="3">
        <f t="shared" si="195"/>
        <v>3.5232790951536608E-3</v>
      </c>
      <c r="N234" s="3">
        <f t="shared" si="195"/>
        <v>3.5232790951536608E-3</v>
      </c>
      <c r="O234" s="3">
        <f t="shared" si="195"/>
        <v>3.5232790951536608E-3</v>
      </c>
      <c r="P234" s="3">
        <f t="shared" si="195"/>
        <v>3.5232790951536608E-3</v>
      </c>
      <c r="Q234" s="3">
        <f t="shared" si="195"/>
        <v>3.5232790951536608E-3</v>
      </c>
      <c r="R234" s="3">
        <f t="shared" si="195"/>
        <v>3.5232790951536608E-3</v>
      </c>
      <c r="S234" s="3">
        <f t="shared" si="195"/>
        <v>3.5232790951536595E-3</v>
      </c>
      <c r="T234" s="3">
        <f t="shared" si="195"/>
        <v>3.5232790951536504E-3</v>
      </c>
      <c r="U234" s="3">
        <f t="shared" si="195"/>
        <v>3.5232790951535537E-3</v>
      </c>
      <c r="V234" s="3">
        <f t="shared" si="195"/>
        <v>3.5232790951525892E-3</v>
      </c>
      <c r="W234" s="3">
        <f t="shared" si="195"/>
        <v>3.5232790951429411E-3</v>
      </c>
      <c r="X234" s="3">
        <f t="shared" si="195"/>
        <v>3.5232790950464627E-3</v>
      </c>
      <c r="Y234" s="3">
        <f t="shared" si="195"/>
        <v>3.5232790940816806E-3</v>
      </c>
      <c r="Z234" s="3">
        <f t="shared" si="195"/>
        <v>3.5232790844338582E-3</v>
      </c>
      <c r="AA234" s="3">
        <f t="shared" si="195"/>
        <v>3.5232789879556365E-3</v>
      </c>
      <c r="AB234" s="3">
        <f t="shared" si="195"/>
        <v>3.5232780231735632E-3</v>
      </c>
      <c r="AC234" s="3">
        <f t="shared" si="195"/>
        <v>3.523268375367363E-3</v>
      </c>
      <c r="AD234" s="3">
        <f t="shared" si="195"/>
        <v>3.5231718987583727E-3</v>
      </c>
      <c r="AE234" s="3">
        <f t="shared" si="195"/>
        <v>3.5222072779550013E-3</v>
      </c>
      <c r="AF234" s="3">
        <f t="shared" si="195"/>
        <v>3.51257558386491E-3</v>
      </c>
      <c r="AG234" s="3"/>
      <c r="AH234" s="3"/>
    </row>
    <row r="235" spans="2:34" x14ac:dyDescent="0.25">
      <c r="B235" s="3">
        <f t="shared" ref="B235:AF235" si="196">$C43*EXP(-B$207/$A43/EXP(-$D$126))</f>
        <v>1.7526056431954549E-4</v>
      </c>
      <c r="C235" s="3">
        <f t="shared" si="196"/>
        <v>1.7526056431954549E-4</v>
      </c>
      <c r="D235" s="3">
        <f t="shared" si="196"/>
        <v>1.7526056431954549E-4</v>
      </c>
      <c r="E235" s="3">
        <f t="shared" si="196"/>
        <v>1.7526056431954549E-4</v>
      </c>
      <c r="F235" s="3">
        <f t="shared" si="196"/>
        <v>1.7526056431954549E-4</v>
      </c>
      <c r="G235" s="3">
        <f t="shared" si="196"/>
        <v>1.7526056431954549E-4</v>
      </c>
      <c r="H235" s="3">
        <f t="shared" si="196"/>
        <v>1.7526056431954549E-4</v>
      </c>
      <c r="I235" s="3">
        <f t="shared" si="196"/>
        <v>1.7526056431954549E-4</v>
      </c>
      <c r="J235" s="3">
        <f t="shared" si="196"/>
        <v>1.7526056431954549E-4</v>
      </c>
      <c r="K235" s="3">
        <f t="shared" si="196"/>
        <v>1.7526056431954549E-4</v>
      </c>
      <c r="L235" s="3">
        <f t="shared" si="196"/>
        <v>1.7526056431954549E-4</v>
      </c>
      <c r="M235" s="3">
        <f t="shared" si="196"/>
        <v>1.7526056431954549E-4</v>
      </c>
      <c r="N235" s="3">
        <f t="shared" si="196"/>
        <v>1.7526056431954549E-4</v>
      </c>
      <c r="O235" s="3">
        <f t="shared" si="196"/>
        <v>1.7526056431954549E-4</v>
      </c>
      <c r="P235" s="3">
        <f t="shared" si="196"/>
        <v>1.7526056431954549E-4</v>
      </c>
      <c r="Q235" s="3">
        <f t="shared" si="196"/>
        <v>1.7526056431954549E-4</v>
      </c>
      <c r="R235" s="3">
        <f t="shared" si="196"/>
        <v>1.7526056431954549E-4</v>
      </c>
      <c r="S235" s="3">
        <f t="shared" si="196"/>
        <v>1.7526056431954549E-4</v>
      </c>
      <c r="T235" s="3">
        <f t="shared" si="196"/>
        <v>1.7526056431954544E-4</v>
      </c>
      <c r="U235" s="3">
        <f t="shared" si="196"/>
        <v>1.7526056431954498E-4</v>
      </c>
      <c r="V235" s="3">
        <f t="shared" si="196"/>
        <v>1.7526056431954015E-4</v>
      </c>
      <c r="W235" s="3">
        <f t="shared" si="196"/>
        <v>1.7526056431949218E-4</v>
      </c>
      <c r="X235" s="3">
        <f t="shared" si="196"/>
        <v>1.7526056431901225E-4</v>
      </c>
      <c r="Y235" s="3">
        <f t="shared" si="196"/>
        <v>1.7526056431421306E-4</v>
      </c>
      <c r="Z235" s="3">
        <f t="shared" si="196"/>
        <v>1.7526056426622134E-4</v>
      </c>
      <c r="AA235" s="3">
        <f t="shared" si="196"/>
        <v>1.7526056378630399E-4</v>
      </c>
      <c r="AB235" s="3">
        <f t="shared" si="196"/>
        <v>1.7526055898713051E-4</v>
      </c>
      <c r="AC235" s="3">
        <f t="shared" si="196"/>
        <v>1.7526051099540292E-4</v>
      </c>
      <c r="AD235" s="3">
        <f t="shared" si="196"/>
        <v>1.7526003107884978E-4</v>
      </c>
      <c r="AE235" s="3">
        <f t="shared" si="196"/>
        <v>1.752552319855964E-4</v>
      </c>
      <c r="AF235" s="3">
        <f t="shared" si="196"/>
        <v>1.7520724828013696E-4</v>
      </c>
      <c r="AG235" s="3"/>
      <c r="AH235" s="3"/>
    </row>
    <row r="236" spans="2:34" x14ac:dyDescent="0.25">
      <c r="B236" s="3">
        <f t="shared" ref="B236:AF236" si="197">$C44*EXP(-B$207/$A44/EXP(-$D$126))</f>
        <v>0</v>
      </c>
      <c r="C236" s="3">
        <f t="shared" si="197"/>
        <v>0</v>
      </c>
      <c r="D236" s="3">
        <f t="shared" si="197"/>
        <v>0</v>
      </c>
      <c r="E236" s="3">
        <f t="shared" si="197"/>
        <v>0</v>
      </c>
      <c r="F236" s="3">
        <f t="shared" si="197"/>
        <v>0</v>
      </c>
      <c r="G236" s="3">
        <f t="shared" si="197"/>
        <v>0</v>
      </c>
      <c r="H236" s="3">
        <f t="shared" si="197"/>
        <v>0</v>
      </c>
      <c r="I236" s="3">
        <f t="shared" si="197"/>
        <v>0</v>
      </c>
      <c r="J236" s="3">
        <f t="shared" si="197"/>
        <v>0</v>
      </c>
      <c r="K236" s="3">
        <f t="shared" si="197"/>
        <v>0</v>
      </c>
      <c r="L236" s="3">
        <f t="shared" si="197"/>
        <v>0</v>
      </c>
      <c r="M236" s="3">
        <f t="shared" si="197"/>
        <v>0</v>
      </c>
      <c r="N236" s="3">
        <f t="shared" si="197"/>
        <v>0</v>
      </c>
      <c r="O236" s="3">
        <f t="shared" si="197"/>
        <v>0</v>
      </c>
      <c r="P236" s="3">
        <f t="shared" si="197"/>
        <v>0</v>
      </c>
      <c r="Q236" s="3">
        <f t="shared" si="197"/>
        <v>0</v>
      </c>
      <c r="R236" s="3">
        <f t="shared" si="197"/>
        <v>0</v>
      </c>
      <c r="S236" s="3">
        <f t="shared" si="197"/>
        <v>0</v>
      </c>
      <c r="T236" s="3">
        <f t="shared" si="197"/>
        <v>0</v>
      </c>
      <c r="U236" s="3">
        <f t="shared" si="197"/>
        <v>0</v>
      </c>
      <c r="V236" s="3">
        <f t="shared" si="197"/>
        <v>0</v>
      </c>
      <c r="W236" s="3">
        <f t="shared" si="197"/>
        <v>0</v>
      </c>
      <c r="X236" s="3">
        <f t="shared" si="197"/>
        <v>0</v>
      </c>
      <c r="Y236" s="3">
        <f t="shared" si="197"/>
        <v>0</v>
      </c>
      <c r="Z236" s="3">
        <f t="shared" si="197"/>
        <v>0</v>
      </c>
      <c r="AA236" s="3">
        <f t="shared" si="197"/>
        <v>0</v>
      </c>
      <c r="AB236" s="3">
        <f t="shared" si="197"/>
        <v>0</v>
      </c>
      <c r="AC236" s="3">
        <f t="shared" si="197"/>
        <v>0</v>
      </c>
      <c r="AD236" s="3">
        <f t="shared" si="197"/>
        <v>0</v>
      </c>
      <c r="AE236" s="3">
        <f t="shared" si="197"/>
        <v>0</v>
      </c>
      <c r="AF236" s="3">
        <f t="shared" si="197"/>
        <v>0</v>
      </c>
      <c r="AG236" s="3"/>
      <c r="AH236" s="3"/>
    </row>
    <row r="237" spans="2:34" x14ac:dyDescent="0.25">
      <c r="B237" s="3">
        <f t="shared" ref="B237:AF237" si="198">$C45*EXP(-B$207/$A45/EXP(-$D$126))</f>
        <v>1.1765348907566872E-4</v>
      </c>
      <c r="C237" s="3">
        <f t="shared" si="198"/>
        <v>1.1765348907566872E-4</v>
      </c>
      <c r="D237" s="3">
        <f t="shared" si="198"/>
        <v>1.1765348907566872E-4</v>
      </c>
      <c r="E237" s="3">
        <f t="shared" si="198"/>
        <v>1.1765348907566872E-4</v>
      </c>
      <c r="F237" s="3">
        <f t="shared" si="198"/>
        <v>1.1765348907566872E-4</v>
      </c>
      <c r="G237" s="3">
        <f t="shared" si="198"/>
        <v>1.1765348907566872E-4</v>
      </c>
      <c r="H237" s="3">
        <f t="shared" si="198"/>
        <v>1.1765348907566872E-4</v>
      </c>
      <c r="I237" s="3">
        <f t="shared" si="198"/>
        <v>1.1765348907566872E-4</v>
      </c>
      <c r="J237" s="3">
        <f t="shared" si="198"/>
        <v>1.1765348907566872E-4</v>
      </c>
      <c r="K237" s="3">
        <f t="shared" si="198"/>
        <v>1.1765348907566872E-4</v>
      </c>
      <c r="L237" s="3">
        <f t="shared" si="198"/>
        <v>1.1765348907566872E-4</v>
      </c>
      <c r="M237" s="3">
        <f t="shared" si="198"/>
        <v>1.1765348907566872E-4</v>
      </c>
      <c r="N237" s="3">
        <f t="shared" si="198"/>
        <v>1.1765348907566872E-4</v>
      </c>
      <c r="O237" s="3">
        <f t="shared" si="198"/>
        <v>1.1765348907566872E-4</v>
      </c>
      <c r="P237" s="3">
        <f t="shared" si="198"/>
        <v>1.1765348907566872E-4</v>
      </c>
      <c r="Q237" s="3">
        <f t="shared" si="198"/>
        <v>1.1765348907566872E-4</v>
      </c>
      <c r="R237" s="3">
        <f t="shared" si="198"/>
        <v>1.1765348907566872E-4</v>
      </c>
      <c r="S237" s="3">
        <f t="shared" si="198"/>
        <v>1.1765348907566872E-4</v>
      </c>
      <c r="T237" s="3">
        <f t="shared" si="198"/>
        <v>1.1765348907566872E-4</v>
      </c>
      <c r="U237" s="3">
        <f t="shared" si="198"/>
        <v>1.1765348907566872E-4</v>
      </c>
      <c r="V237" s="3">
        <f t="shared" si="198"/>
        <v>1.1765348907566868E-4</v>
      </c>
      <c r="W237" s="3">
        <f t="shared" si="198"/>
        <v>1.1765348907566837E-4</v>
      </c>
      <c r="X237" s="3">
        <f t="shared" si="198"/>
        <v>1.1765348907566515E-4</v>
      </c>
      <c r="Y237" s="3">
        <f t="shared" si="198"/>
        <v>1.1765348907563293E-4</v>
      </c>
      <c r="Z237" s="3">
        <f t="shared" si="198"/>
        <v>1.1765348907531076E-4</v>
      </c>
      <c r="AA237" s="3">
        <f t="shared" si="198"/>
        <v>1.1765348907208904E-4</v>
      </c>
      <c r="AB237" s="3">
        <f t="shared" si="198"/>
        <v>1.1765348903987189E-4</v>
      </c>
      <c r="AC237" s="3">
        <f t="shared" si="198"/>
        <v>1.1765348871770044E-4</v>
      </c>
      <c r="AD237" s="3">
        <f t="shared" si="198"/>
        <v>1.1765348549598591E-4</v>
      </c>
      <c r="AE237" s="3">
        <f t="shared" si="198"/>
        <v>1.1765345327884558E-4</v>
      </c>
      <c r="AF237" s="3">
        <f t="shared" si="198"/>
        <v>1.1765313110792731E-4</v>
      </c>
      <c r="AG237" s="3"/>
      <c r="AH237" s="3"/>
    </row>
    <row r="238" spans="2:34" x14ac:dyDescent="0.25">
      <c r="B238" s="3">
        <f t="shared" ref="B238:AF238" si="199">$C46*EXP(-B$207/$A46/EXP(-$D$126))</f>
        <v>0</v>
      </c>
      <c r="C238" s="3">
        <f t="shared" si="199"/>
        <v>0</v>
      </c>
      <c r="D238" s="3">
        <f t="shared" si="199"/>
        <v>0</v>
      </c>
      <c r="E238" s="3">
        <f t="shared" si="199"/>
        <v>0</v>
      </c>
      <c r="F238" s="3">
        <f t="shared" si="199"/>
        <v>0</v>
      </c>
      <c r="G238" s="3">
        <f t="shared" si="199"/>
        <v>0</v>
      </c>
      <c r="H238" s="3">
        <f t="shared" si="199"/>
        <v>0</v>
      </c>
      <c r="I238" s="3">
        <f t="shared" si="199"/>
        <v>0</v>
      </c>
      <c r="J238" s="3">
        <f t="shared" si="199"/>
        <v>0</v>
      </c>
      <c r="K238" s="3">
        <f t="shared" si="199"/>
        <v>0</v>
      </c>
      <c r="L238" s="3">
        <f t="shared" si="199"/>
        <v>0</v>
      </c>
      <c r="M238" s="3">
        <f t="shared" si="199"/>
        <v>0</v>
      </c>
      <c r="N238" s="3">
        <f t="shared" si="199"/>
        <v>0</v>
      </c>
      <c r="O238" s="3">
        <f t="shared" si="199"/>
        <v>0</v>
      </c>
      <c r="P238" s="3">
        <f t="shared" si="199"/>
        <v>0</v>
      </c>
      <c r="Q238" s="3">
        <f t="shared" si="199"/>
        <v>0</v>
      </c>
      <c r="R238" s="3">
        <f t="shared" si="199"/>
        <v>0</v>
      </c>
      <c r="S238" s="3">
        <f t="shared" si="199"/>
        <v>0</v>
      </c>
      <c r="T238" s="3">
        <f t="shared" si="199"/>
        <v>0</v>
      </c>
      <c r="U238" s="3">
        <f t="shared" si="199"/>
        <v>0</v>
      </c>
      <c r="V238" s="3">
        <f t="shared" si="199"/>
        <v>0</v>
      </c>
      <c r="W238" s="3">
        <f t="shared" si="199"/>
        <v>0</v>
      </c>
      <c r="X238" s="3">
        <f t="shared" si="199"/>
        <v>0</v>
      </c>
      <c r="Y238" s="3">
        <f t="shared" si="199"/>
        <v>0</v>
      </c>
      <c r="Z238" s="3">
        <f t="shared" si="199"/>
        <v>0</v>
      </c>
      <c r="AA238" s="3">
        <f t="shared" si="199"/>
        <v>0</v>
      </c>
      <c r="AB238" s="3">
        <f t="shared" si="199"/>
        <v>0</v>
      </c>
      <c r="AC238" s="3">
        <f t="shared" si="199"/>
        <v>0</v>
      </c>
      <c r="AD238" s="3">
        <f t="shared" si="199"/>
        <v>0</v>
      </c>
      <c r="AE238" s="3">
        <f t="shared" si="199"/>
        <v>0</v>
      </c>
      <c r="AF238" s="3">
        <f t="shared" si="199"/>
        <v>0</v>
      </c>
      <c r="AG238" s="3"/>
      <c r="AH238" s="3"/>
    </row>
    <row r="239" spans="2:34" x14ac:dyDescent="0.25">
      <c r="B239" s="3">
        <f t="shared" ref="B239:AF239" si="200">$C47*EXP(-B$207/$A47/EXP(-$D$126))</f>
        <v>6.5987032321069097E-5</v>
      </c>
      <c r="C239" s="3">
        <f t="shared" si="200"/>
        <v>6.5987032321069097E-5</v>
      </c>
      <c r="D239" s="3">
        <f t="shared" si="200"/>
        <v>6.5987032321069097E-5</v>
      </c>
      <c r="E239" s="3">
        <f t="shared" si="200"/>
        <v>6.5987032321069097E-5</v>
      </c>
      <c r="F239" s="3">
        <f t="shared" si="200"/>
        <v>6.5987032321069097E-5</v>
      </c>
      <c r="G239" s="3">
        <f t="shared" si="200"/>
        <v>6.5987032321069097E-5</v>
      </c>
      <c r="H239" s="3">
        <f t="shared" si="200"/>
        <v>6.5987032321069097E-5</v>
      </c>
      <c r="I239" s="3">
        <f t="shared" si="200"/>
        <v>6.5987032321069097E-5</v>
      </c>
      <c r="J239" s="3">
        <f t="shared" si="200"/>
        <v>6.5987032321069097E-5</v>
      </c>
      <c r="K239" s="3">
        <f t="shared" si="200"/>
        <v>6.5987032321069097E-5</v>
      </c>
      <c r="L239" s="3">
        <f t="shared" si="200"/>
        <v>6.5987032321069097E-5</v>
      </c>
      <c r="M239" s="3">
        <f t="shared" si="200"/>
        <v>6.5987032321069097E-5</v>
      </c>
      <c r="N239" s="3">
        <f t="shared" si="200"/>
        <v>6.5987032321069097E-5</v>
      </c>
      <c r="O239" s="3">
        <f t="shared" si="200"/>
        <v>6.5987032321069097E-5</v>
      </c>
      <c r="P239" s="3">
        <f t="shared" si="200"/>
        <v>6.5987032321069097E-5</v>
      </c>
      <c r="Q239" s="3">
        <f t="shared" si="200"/>
        <v>6.5987032321069097E-5</v>
      </c>
      <c r="R239" s="3">
        <f t="shared" si="200"/>
        <v>6.5987032321069097E-5</v>
      </c>
      <c r="S239" s="3">
        <f t="shared" si="200"/>
        <v>6.5987032321069097E-5</v>
      </c>
      <c r="T239" s="3">
        <f t="shared" si="200"/>
        <v>6.5987032321069097E-5</v>
      </c>
      <c r="U239" s="3">
        <f t="shared" si="200"/>
        <v>6.5987032321069097E-5</v>
      </c>
      <c r="V239" s="3">
        <f t="shared" si="200"/>
        <v>6.5987032321069097E-5</v>
      </c>
      <c r="W239" s="3">
        <f t="shared" si="200"/>
        <v>6.5987032321069097E-5</v>
      </c>
      <c r="X239" s="3">
        <f t="shared" si="200"/>
        <v>6.598703232106907E-5</v>
      </c>
      <c r="Y239" s="3">
        <f t="shared" si="200"/>
        <v>6.5987032321068894E-5</v>
      </c>
      <c r="Z239" s="3">
        <f t="shared" si="200"/>
        <v>6.5987032321067091E-5</v>
      </c>
      <c r="AA239" s="3">
        <f t="shared" si="200"/>
        <v>6.5987032321049026E-5</v>
      </c>
      <c r="AB239" s="3">
        <f t="shared" si="200"/>
        <v>6.598703232086833E-5</v>
      </c>
      <c r="AC239" s="3">
        <f t="shared" si="200"/>
        <v>6.5987032319061398E-5</v>
      </c>
      <c r="AD239" s="3">
        <f t="shared" si="200"/>
        <v>6.5987032300992126E-5</v>
      </c>
      <c r="AE239" s="3">
        <f t="shared" si="200"/>
        <v>6.5987032120299317E-5</v>
      </c>
      <c r="AF239" s="3">
        <f t="shared" si="200"/>
        <v>6.5987030313371351E-5</v>
      </c>
      <c r="AG239" s="3"/>
      <c r="AH239" s="3"/>
    </row>
    <row r="240" spans="2:34" x14ac:dyDescent="0.25">
      <c r="B240" s="3">
        <f t="shared" ref="B240:AF240" si="201">$C48*EXP(-B$207/$A48/EXP(-$D$126))</f>
        <v>6.9850122094838041E-5</v>
      </c>
      <c r="C240" s="3">
        <f t="shared" si="201"/>
        <v>6.9850122094838041E-5</v>
      </c>
      <c r="D240" s="3">
        <f t="shared" si="201"/>
        <v>6.9850122094838041E-5</v>
      </c>
      <c r="E240" s="3">
        <f t="shared" si="201"/>
        <v>6.9850122094838041E-5</v>
      </c>
      <c r="F240" s="3">
        <f t="shared" si="201"/>
        <v>6.9850122094838041E-5</v>
      </c>
      <c r="G240" s="3">
        <f t="shared" si="201"/>
        <v>6.9850122094838041E-5</v>
      </c>
      <c r="H240" s="3">
        <f t="shared" si="201"/>
        <v>6.9850122094838041E-5</v>
      </c>
      <c r="I240" s="3">
        <f t="shared" si="201"/>
        <v>6.9850122094838041E-5</v>
      </c>
      <c r="J240" s="3">
        <f t="shared" si="201"/>
        <v>6.9850122094838041E-5</v>
      </c>
      <c r="K240" s="3">
        <f t="shared" si="201"/>
        <v>6.9850122094838041E-5</v>
      </c>
      <c r="L240" s="3">
        <f t="shared" si="201"/>
        <v>6.9850122094838041E-5</v>
      </c>
      <c r="M240" s="3">
        <f t="shared" si="201"/>
        <v>6.9850122094838041E-5</v>
      </c>
      <c r="N240" s="3">
        <f t="shared" si="201"/>
        <v>6.9850122094838041E-5</v>
      </c>
      <c r="O240" s="3">
        <f t="shared" si="201"/>
        <v>6.9850122094838041E-5</v>
      </c>
      <c r="P240" s="3">
        <f t="shared" si="201"/>
        <v>6.9850122094838041E-5</v>
      </c>
      <c r="Q240" s="3">
        <f t="shared" si="201"/>
        <v>6.9850122094838041E-5</v>
      </c>
      <c r="R240" s="3">
        <f t="shared" si="201"/>
        <v>6.9850122094838041E-5</v>
      </c>
      <c r="S240" s="3">
        <f t="shared" si="201"/>
        <v>6.9850122094838041E-5</v>
      </c>
      <c r="T240" s="3">
        <f t="shared" si="201"/>
        <v>6.9850122094838041E-5</v>
      </c>
      <c r="U240" s="3">
        <f t="shared" si="201"/>
        <v>6.9850122094838041E-5</v>
      </c>
      <c r="V240" s="3">
        <f t="shared" si="201"/>
        <v>6.9850122094838041E-5</v>
      </c>
      <c r="W240" s="3">
        <f t="shared" si="201"/>
        <v>6.9850122094838041E-5</v>
      </c>
      <c r="X240" s="3">
        <f t="shared" si="201"/>
        <v>6.9850122094838041E-5</v>
      </c>
      <c r="Y240" s="3">
        <f t="shared" si="201"/>
        <v>6.9850122094838014E-5</v>
      </c>
      <c r="Z240" s="3">
        <f t="shared" si="201"/>
        <v>6.9850122094837838E-5</v>
      </c>
      <c r="AA240" s="3">
        <f t="shared" si="201"/>
        <v>6.9850122094835914E-5</v>
      </c>
      <c r="AB240" s="3">
        <f t="shared" si="201"/>
        <v>6.9850122094816791E-5</v>
      </c>
      <c r="AC240" s="3">
        <f t="shared" si="201"/>
        <v>6.9850122094625524E-5</v>
      </c>
      <c r="AD240" s="3">
        <f t="shared" si="201"/>
        <v>6.9850122092712802E-5</v>
      </c>
      <c r="AE240" s="3">
        <f t="shared" si="201"/>
        <v>6.98501220735857E-5</v>
      </c>
      <c r="AF240" s="3">
        <f t="shared" si="201"/>
        <v>6.9850121882314575E-5</v>
      </c>
      <c r="AG240" s="3"/>
      <c r="AH240" s="3"/>
    </row>
    <row r="241" spans="1:34" x14ac:dyDescent="0.25">
      <c r="A241" s="79">
        <f>AVERAGE(B241:AF241)</f>
        <v>8.922190135497339E-3</v>
      </c>
      <c r="B241" s="80">
        <f>IF($A$64&lt;=B207,IF($B$64&gt;=B207,ABS((B209-B208)/B208),0),0)</f>
        <v>0</v>
      </c>
      <c r="C241" s="80">
        <f t="shared" ref="C241:AF241" si="202">IF($A$64&lt;=C207,IF($B$64&gt;=C207,ABS((C209-C208)/C208),0),0)</f>
        <v>0</v>
      </c>
      <c r="D241" s="80">
        <f t="shared" si="202"/>
        <v>0</v>
      </c>
      <c r="E241" s="80">
        <f t="shared" si="202"/>
        <v>0</v>
      </c>
      <c r="F241" s="80">
        <f t="shared" si="202"/>
        <v>0</v>
      </c>
      <c r="G241" s="80">
        <f t="shared" si="202"/>
        <v>0</v>
      </c>
      <c r="H241" s="80">
        <f t="shared" si="202"/>
        <v>0</v>
      </c>
      <c r="I241" s="80">
        <f t="shared" si="202"/>
        <v>0</v>
      </c>
      <c r="J241" s="80">
        <f t="shared" si="202"/>
        <v>0</v>
      </c>
      <c r="K241" s="80">
        <f t="shared" si="202"/>
        <v>0</v>
      </c>
      <c r="L241" s="80">
        <f t="shared" si="202"/>
        <v>6.8833172866788793E-3</v>
      </c>
      <c r="M241" s="80">
        <f t="shared" si="202"/>
        <v>7.1922130605572704E-3</v>
      </c>
      <c r="N241" s="80">
        <f t="shared" si="202"/>
        <v>9.7611182997242411E-3</v>
      </c>
      <c r="O241" s="80">
        <f t="shared" si="202"/>
        <v>1.9595198407559501E-2</v>
      </c>
      <c r="P241" s="80">
        <f t="shared" si="202"/>
        <v>2.6304070723317887E-2</v>
      </c>
      <c r="Q241" s="80">
        <f t="shared" si="202"/>
        <v>2.807349647228178E-2</v>
      </c>
      <c r="R241" s="80">
        <f t="shared" si="202"/>
        <v>3.2938376033141641E-2</v>
      </c>
      <c r="S241" s="80">
        <f t="shared" si="202"/>
        <v>3.3221328073593799E-2</v>
      </c>
      <c r="T241" s="80">
        <f t="shared" si="202"/>
        <v>1.546730976763378E-2</v>
      </c>
      <c r="U241" s="80">
        <f t="shared" si="202"/>
        <v>2.1420174655933402E-2</v>
      </c>
      <c r="V241" s="80">
        <f t="shared" si="202"/>
        <v>7.573129141999535E-2</v>
      </c>
      <c r="W241" s="80">
        <f t="shared" si="202"/>
        <v>0</v>
      </c>
      <c r="X241" s="80">
        <f t="shared" si="202"/>
        <v>0</v>
      </c>
      <c r="Y241" s="80">
        <f t="shared" si="202"/>
        <v>0</v>
      </c>
      <c r="Z241" s="80">
        <f t="shared" si="202"/>
        <v>0</v>
      </c>
      <c r="AA241" s="80">
        <f t="shared" si="202"/>
        <v>0</v>
      </c>
      <c r="AB241" s="80">
        <f t="shared" si="202"/>
        <v>0</v>
      </c>
      <c r="AC241" s="80">
        <f t="shared" si="202"/>
        <v>0</v>
      </c>
      <c r="AD241" s="80">
        <f t="shared" si="202"/>
        <v>0</v>
      </c>
      <c r="AE241" s="80">
        <f t="shared" si="202"/>
        <v>0</v>
      </c>
      <c r="AF241" s="80">
        <f t="shared" si="202"/>
        <v>0</v>
      </c>
    </row>
    <row r="242" spans="1:34" x14ac:dyDescent="0.25">
      <c r="B242" s="21">
        <f>(B209-B208)^2</f>
        <v>1.7910852822426417E-2</v>
      </c>
      <c r="C242" s="21">
        <f t="shared" ref="C242:AF242" si="203">(C209-C208)^2</f>
        <v>1.9344456170817967</v>
      </c>
      <c r="D242" s="21">
        <f t="shared" si="203"/>
        <v>137.78655250220791</v>
      </c>
      <c r="E242" s="21">
        <f t="shared" si="203"/>
        <v>1810.6764607871301</v>
      </c>
      <c r="F242" s="21">
        <f t="shared" si="203"/>
        <v>1996.3438571731306</v>
      </c>
      <c r="G242" s="21">
        <f t="shared" si="203"/>
        <v>1996.250605604346</v>
      </c>
      <c r="H242" s="21">
        <f t="shared" si="203"/>
        <v>1996.2222368033183</v>
      </c>
      <c r="I242" s="21">
        <f t="shared" si="203"/>
        <v>1996.2384772970408</v>
      </c>
      <c r="J242" s="21">
        <f t="shared" si="203"/>
        <v>1996.4139230931012</v>
      </c>
      <c r="K242" s="21">
        <f t="shared" si="203"/>
        <v>1998.2554132366886</v>
      </c>
      <c r="L242" s="21">
        <f t="shared" si="203"/>
        <v>2016.6601747047605</v>
      </c>
      <c r="M242" s="21">
        <f t="shared" si="203"/>
        <v>2201.5552713530797</v>
      </c>
      <c r="N242" s="21">
        <f t="shared" si="203"/>
        <v>4052.0970490288291</v>
      </c>
      <c r="O242" s="21">
        <f t="shared" si="203"/>
        <v>16217.201536802806</v>
      </c>
      <c r="P242" s="21">
        <f t="shared" si="203"/>
        <v>28134.511698801274</v>
      </c>
      <c r="Q242" s="21">
        <f t="shared" si="203"/>
        <v>30592.843477121954</v>
      </c>
      <c r="R242" s="21">
        <f t="shared" si="203"/>
        <v>39925.863187614399</v>
      </c>
      <c r="S242" s="21">
        <f t="shared" si="203"/>
        <v>37780.221517814971</v>
      </c>
      <c r="T242" s="21">
        <f t="shared" si="203"/>
        <v>7300.6018576933629</v>
      </c>
      <c r="U242" s="21">
        <f t="shared" si="203"/>
        <v>11644.937858744466</v>
      </c>
      <c r="V242" s="21">
        <f t="shared" si="203"/>
        <v>117751.74024160574</v>
      </c>
      <c r="W242" s="21">
        <f t="shared" si="203"/>
        <v>231549.31658911705</v>
      </c>
      <c r="X242" s="21">
        <f t="shared" si="203"/>
        <v>291531.77751013037</v>
      </c>
      <c r="Y242" s="21">
        <f t="shared" si="203"/>
        <v>251004.06153628769</v>
      </c>
      <c r="Z242" s="21">
        <f t="shared" si="203"/>
        <v>72917.300374848812</v>
      </c>
      <c r="AA242" s="21">
        <f t="shared" si="203"/>
        <v>56.175651525203214</v>
      </c>
      <c r="AB242" s="21">
        <f t="shared" si="203"/>
        <v>49847.383377919468</v>
      </c>
      <c r="AC242" s="21">
        <f t="shared" si="203"/>
        <v>131297.17638550609</v>
      </c>
      <c r="AD242" s="21">
        <f t="shared" si="203"/>
        <v>109553.12524266116</v>
      </c>
      <c r="AE242" s="21">
        <f t="shared" si="203"/>
        <v>41570.039806971428</v>
      </c>
      <c r="AF242" s="21">
        <f t="shared" si="203"/>
        <v>21785.847931620305</v>
      </c>
      <c r="AG242" s="3"/>
      <c r="AH242" s="3"/>
    </row>
    <row r="243" spans="1:34" x14ac:dyDescent="0.25">
      <c r="A243" s="71">
        <f>SUM(B243:AF243)</f>
        <v>297618.23387128563</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2016.6601747047605</v>
      </c>
      <c r="M243" s="60">
        <f t="shared" ref="M243" si="214">IF($A$64&lt;=M207,IF($B$64&gt;=M207,ABS(M242),0),0)</f>
        <v>2201.5552713530797</v>
      </c>
      <c r="N243" s="60">
        <f t="shared" ref="N243" si="215">IF($A$64&lt;=N207,IF($B$64&gt;=N207,ABS(N242),0),0)</f>
        <v>4052.0970490288291</v>
      </c>
      <c r="O243" s="60">
        <f t="shared" ref="O243" si="216">IF($A$64&lt;=O207,IF($B$64&gt;=O207,ABS(O242),0),0)</f>
        <v>16217.201536802806</v>
      </c>
      <c r="P243" s="60">
        <f t="shared" ref="P243" si="217">IF($A$64&lt;=P207,IF($B$64&gt;=P207,ABS(P242),0),0)</f>
        <v>28134.511698801274</v>
      </c>
      <c r="Q243" s="60">
        <f t="shared" ref="Q243" si="218">IF($A$64&lt;=Q207,IF($B$64&gt;=Q207,ABS(Q242),0),0)</f>
        <v>30592.843477121954</v>
      </c>
      <c r="R243" s="60">
        <f t="shared" ref="R243" si="219">IF($A$64&lt;=R207,IF($B$64&gt;=R207,ABS(R242),0),0)</f>
        <v>39925.863187614399</v>
      </c>
      <c r="S243" s="60">
        <f t="shared" ref="S243" si="220">IF($A$64&lt;=S207,IF($B$64&gt;=S207,ABS(S242),0),0)</f>
        <v>37780.221517814971</v>
      </c>
      <c r="T243" s="60">
        <f t="shared" ref="T243" si="221">IF($A$64&lt;=T207,IF($B$64&gt;=T207,ABS(T242),0),0)</f>
        <v>7300.6018576933629</v>
      </c>
      <c r="U243" s="60">
        <f t="shared" ref="U243" si="222">IF($A$64&lt;=U207,IF($B$64&gt;=U207,ABS(U242),0),0)</f>
        <v>11644.937858744466</v>
      </c>
      <c r="V243" s="60">
        <f t="shared" ref="V243" si="223">IF($A$64&lt;=V207,IF($B$64&gt;=V207,ABS(V242),0),0)</f>
        <v>117751.74024160574</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6503.9509699618966</v>
      </c>
      <c r="C247" s="26">
        <f>INDEX(Comparison!$AM$3:$AS$33,G$14,$E$122)</f>
        <v>6504.0043184804708</v>
      </c>
      <c r="D247" s="26">
        <f>INDEX(Comparison!$AM$3:$AS$33,H$14,$E$122)</f>
        <v>6503.9713230315656</v>
      </c>
      <c r="E247" s="26">
        <f>INDEX(Comparison!$AM$3:$AS$33,I$14,$E$122)</f>
        <v>6503.9615090652051</v>
      </c>
      <c r="F247" s="26">
        <f>INDEX(Comparison!$AM$3:$AS$33,J$14,$E$122)</f>
        <v>6503.9584150129849</v>
      </c>
      <c r="G247" s="26">
        <f>INDEX(Comparison!$AM$3:$AS$33,K$14,$E$122)</f>
        <v>6503.9573030886877</v>
      </c>
      <c r="H247" s="26">
        <f>INDEX(Comparison!$AM$3:$AS$33,L$14,$E$122)</f>
        <v>6503.9546441408229</v>
      </c>
      <c r="I247" s="26">
        <f>INDEX(Comparison!$AM$3:$AS$33,M$14,$E$122)</f>
        <v>6503.932647473689</v>
      </c>
      <c r="J247" s="26">
        <f>INDEX(Comparison!$AM$3:$AS$33,N$14,$E$122)</f>
        <v>6503.7133657579243</v>
      </c>
      <c r="K247" s="26">
        <f>INDEX(Comparison!$AM$3:$AS$33,O$14,$E$122)</f>
        <v>6501.5374241274303</v>
      </c>
      <c r="L247" s="26">
        <f>INDEX(Comparison!$AM$3:$AS$33,P$14,$E$122)</f>
        <v>6481.233154233405</v>
      </c>
      <c r="M247" s="26">
        <f>INDEX(Comparison!$AM$3:$AS$33,Q$14,$E$122)</f>
        <v>6364.7007036045688</v>
      </c>
      <c r="N247" s="26">
        <f>INDEX(Comparison!$AM$3:$AS$33,R$14,$E$122)</f>
        <v>6219.55344224686</v>
      </c>
      <c r="O247" s="26">
        <f>INDEX(Comparison!$AM$3:$AS$33,S$14,$E$122)</f>
        <v>6059.9785511387736</v>
      </c>
      <c r="P247" s="26">
        <f>INDEX(Comparison!$AM$3:$AS$33,T$14,$E$122)</f>
        <v>5870.6317266704709</v>
      </c>
      <c r="Q247" s="26">
        <f>INDEX(Comparison!$AM$3:$AS$33,U$14,$E$122)</f>
        <v>5669.1325406322439</v>
      </c>
      <c r="R247" s="26">
        <f>INDEX(Comparison!$AM$3:$AS$33,V$14,$E$122)</f>
        <v>5423.4324257349326</v>
      </c>
      <c r="S247" s="26">
        <f>INDEX(Comparison!$AM$3:$AS$33,W$14,$E$122)</f>
        <v>5064.9009314494624</v>
      </c>
      <c r="T247" s="26">
        <f>INDEX(Comparison!$AM$3:$AS$33,X$14,$E$122)</f>
        <v>4580.1850776889687</v>
      </c>
      <c r="U247" s="26">
        <f>INDEX(Comparison!$AM$3:$AS$33,Y$14,$E$122)</f>
        <v>4085.8663253030418</v>
      </c>
      <c r="V247" s="26">
        <f>INDEX(Comparison!$AM$3:$AS$33,Z$14,$E$122)</f>
        <v>3641.7022773125063</v>
      </c>
      <c r="W247" s="26">
        <f>INDEX(Comparison!$AM$3:$AS$33,AA$14,$E$122)</f>
        <v>3231.6591203117327</v>
      </c>
      <c r="X247" s="26">
        <f>INDEX(Comparison!$AM$3:$AS$33,AB$14,$E$122)</f>
        <v>2785.7203085552951</v>
      </c>
      <c r="Y247" s="26">
        <f>INDEX(Comparison!$AM$3:$AS$33,AC$14,$E$122)</f>
        <v>2295.1533050928924</v>
      </c>
      <c r="Z247" s="26">
        <f>INDEX(Comparison!$AM$3:$AS$33,AD$14,$E$122)</f>
        <v>1754.5150163075152</v>
      </c>
      <c r="AA247" s="26">
        <f>INDEX(Comparison!$AM$3:$AS$33,AE$14,$E$122)</f>
        <v>1171.8757952014325</v>
      </c>
      <c r="AB247" s="26">
        <f>INDEX(Comparison!$AM$3:$AS$33,AF$14,$E$122)</f>
        <v>704.46209389908893</v>
      </c>
      <c r="AC247" s="26">
        <f>INDEX(Comparison!$AM$3:$AS$33,AG$14,$E$122)</f>
        <v>403.25761176970258</v>
      </c>
      <c r="AD247" s="26">
        <f>INDEX(Comparison!$AM$3:$AS$33,AH$14,$E$122)</f>
        <v>227.19076746573165</v>
      </c>
      <c r="AE247" s="26">
        <f>INDEX(Comparison!$AM$3:$AS$33,AI$14,$E$122)</f>
        <v>157.01371189082064</v>
      </c>
      <c r="AF247" s="26">
        <f>INDEX(Comparison!$AM$3:$AS$33,AJ$14,$E$122)</f>
        <v>136.97082983111966</v>
      </c>
      <c r="AG247" s="26"/>
      <c r="AH247" s="26"/>
    </row>
    <row r="248" spans="1:34" x14ac:dyDescent="0.25">
      <c r="A248" s="70" t="s">
        <v>22</v>
      </c>
      <c r="B248" s="27">
        <f>($C$17+SUM(B249:B279))*$B$51</f>
        <v>6484.5817036928811</v>
      </c>
      <c r="C248" s="27">
        <f t="shared" ref="C248:AF248" si="234">($C$17+SUM(C249:C279))*$B$51</f>
        <v>6479.4176832326611</v>
      </c>
      <c r="D248" s="27">
        <f t="shared" si="234"/>
        <v>6479.41768157978</v>
      </c>
      <c r="E248" s="27">
        <f t="shared" si="234"/>
        <v>6479.4176652412216</v>
      </c>
      <c r="F248" s="27">
        <f t="shared" si="234"/>
        <v>6479.417501855849</v>
      </c>
      <c r="G248" s="27">
        <f t="shared" si="234"/>
        <v>6479.4158680229812</v>
      </c>
      <c r="H248" s="27">
        <f t="shared" si="234"/>
        <v>6479.3995317800009</v>
      </c>
      <c r="I248" s="27">
        <f t="shared" si="234"/>
        <v>6479.236377651705</v>
      </c>
      <c r="J248" s="27">
        <f t="shared" si="234"/>
        <v>6477.6254011681795</v>
      </c>
      <c r="K248" s="27">
        <f t="shared" si="234"/>
        <v>6463.331572745652</v>
      </c>
      <c r="L248" s="27">
        <f t="shared" si="234"/>
        <v>6391.6800684709215</v>
      </c>
      <c r="M248" s="27">
        <f t="shared" si="234"/>
        <v>6228.1235194316732</v>
      </c>
      <c r="N248" s="27">
        <f t="shared" si="234"/>
        <v>6077.7239411763476</v>
      </c>
      <c r="O248" s="27">
        <f t="shared" si="234"/>
        <v>5893.1933775747966</v>
      </c>
      <c r="P248" s="27">
        <f t="shared" si="234"/>
        <v>5683.9272796762089</v>
      </c>
      <c r="Q248" s="27">
        <f t="shared" si="234"/>
        <v>5473.8488566042233</v>
      </c>
      <c r="R248" s="27">
        <f t="shared" si="234"/>
        <v>5186.8479857527418</v>
      </c>
      <c r="S248" s="27">
        <f t="shared" si="234"/>
        <v>4915.5887673154293</v>
      </c>
      <c r="T248" s="27">
        <f t="shared" si="234"/>
        <v>4627.2622963945669</v>
      </c>
      <c r="U248" s="27">
        <f t="shared" si="234"/>
        <v>4327.0590006494558</v>
      </c>
      <c r="V248" s="27">
        <f t="shared" si="234"/>
        <v>3977.0801641365888</v>
      </c>
      <c r="W248" s="27">
        <f t="shared" si="234"/>
        <v>3449.6332010532333</v>
      </c>
      <c r="X248" s="27">
        <f t="shared" si="234"/>
        <v>2806.1317321954025</v>
      </c>
      <c r="Y248" s="27">
        <f t="shared" si="234"/>
        <v>2121.5906517536428</v>
      </c>
      <c r="Z248" s="27">
        <f t="shared" si="234"/>
        <v>1450.0921860704673</v>
      </c>
      <c r="AA248" s="27">
        <f t="shared" si="234"/>
        <v>882.43293879034456</v>
      </c>
      <c r="AB248" s="27">
        <f t="shared" si="234"/>
        <v>516.76126552471294</v>
      </c>
      <c r="AC248" s="27">
        <f t="shared" si="234"/>
        <v>263.21923628364937</v>
      </c>
      <c r="AD248" s="27">
        <f t="shared" si="234"/>
        <v>165.54123132726002</v>
      </c>
      <c r="AE248" s="27">
        <f t="shared" si="234"/>
        <v>144.9802802120293</v>
      </c>
      <c r="AF248" s="27">
        <f t="shared" si="234"/>
        <v>128.15168399920086</v>
      </c>
      <c r="AG248" s="27"/>
      <c r="AH248" s="27"/>
    </row>
    <row r="249" spans="1:34" x14ac:dyDescent="0.25">
      <c r="B249" s="3">
        <f t="shared" ref="B249:AF249" si="235">$C18*EXP(-B$246/$A18/EXP(-$E$126))</f>
        <v>7.9153084879872904E-4</v>
      </c>
      <c r="C249" s="3">
        <f t="shared" si="235"/>
        <v>2.9161631525762211E-12</v>
      </c>
      <c r="D249" s="3">
        <f t="shared" si="235"/>
        <v>1.3435429166916015E-96</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0</v>
      </c>
      <c r="C250" s="3">
        <f t="shared" si="236"/>
        <v>0</v>
      </c>
      <c r="D250" s="3">
        <f t="shared" si="236"/>
        <v>0</v>
      </c>
      <c r="E250" s="3">
        <f t="shared" si="236"/>
        <v>0</v>
      </c>
      <c r="F250" s="3">
        <f t="shared" si="236"/>
        <v>0</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0</v>
      </c>
      <c r="C251" s="3">
        <f t="shared" si="237"/>
        <v>0</v>
      </c>
      <c r="D251" s="3">
        <f t="shared" si="237"/>
        <v>0</v>
      </c>
      <c r="E251" s="3">
        <f t="shared" si="237"/>
        <v>0</v>
      </c>
      <c r="F251" s="3">
        <f t="shared" si="237"/>
        <v>0</v>
      </c>
      <c r="G251" s="3">
        <f t="shared" si="237"/>
        <v>0</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0</v>
      </c>
      <c r="C252" s="3">
        <f t="shared" si="238"/>
        <v>0</v>
      </c>
      <c r="D252" s="3">
        <f t="shared" si="238"/>
        <v>0</v>
      </c>
      <c r="E252" s="3">
        <f t="shared" si="238"/>
        <v>0</v>
      </c>
      <c r="F252" s="3">
        <f t="shared" si="238"/>
        <v>0</v>
      </c>
      <c r="G252" s="3">
        <f t="shared" si="238"/>
        <v>0</v>
      </c>
      <c r="H252" s="3">
        <f t="shared" si="238"/>
        <v>0</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4.1306699005323076E-3</v>
      </c>
      <c r="C253" s="3">
        <f t="shared" si="239"/>
        <v>4.1306698854490986E-3</v>
      </c>
      <c r="D253" s="3">
        <f t="shared" si="239"/>
        <v>4.1306697346170131E-3</v>
      </c>
      <c r="E253" s="3">
        <f t="shared" si="239"/>
        <v>4.1306682262964587E-3</v>
      </c>
      <c r="F253" s="3">
        <f t="shared" si="239"/>
        <v>4.1306531431212047E-3</v>
      </c>
      <c r="G253" s="3">
        <f t="shared" si="239"/>
        <v>4.1305023143978362E-3</v>
      </c>
      <c r="H253" s="3">
        <f t="shared" si="239"/>
        <v>4.1289943300398951E-3</v>
      </c>
      <c r="I253" s="3">
        <f t="shared" si="239"/>
        <v>4.1139447331547683E-3</v>
      </c>
      <c r="J253" s="3">
        <f t="shared" si="239"/>
        <v>3.9664329646708126E-3</v>
      </c>
      <c r="K253" s="3">
        <f t="shared" si="239"/>
        <v>2.7530669719087898E-3</v>
      </c>
      <c r="L253" s="3">
        <f t="shared" si="239"/>
        <v>7.1446893592101756E-5</v>
      </c>
      <c r="M253" s="3">
        <f t="shared" si="239"/>
        <v>9.9003169522688183E-21</v>
      </c>
      <c r="N253" s="3">
        <f t="shared" si="239"/>
        <v>2.5840836777261874E-179</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2.7997525231401043E-2</v>
      </c>
      <c r="C254" s="3">
        <f t="shared" si="240"/>
        <v>2.7997525222178739E-2</v>
      </c>
      <c r="D254" s="3">
        <f t="shared" si="240"/>
        <v>2.7997525129955684E-2</v>
      </c>
      <c r="E254" s="3">
        <f t="shared" si="240"/>
        <v>2.799752420772518E-2</v>
      </c>
      <c r="F254" s="3">
        <f t="shared" si="240"/>
        <v>2.7997514985421815E-2</v>
      </c>
      <c r="G254" s="3">
        <f t="shared" si="240"/>
        <v>2.7997422762555194E-2</v>
      </c>
      <c r="H254" s="3">
        <f t="shared" si="240"/>
        <v>2.7996500550596673E-2</v>
      </c>
      <c r="I254" s="3">
        <f t="shared" si="240"/>
        <v>2.7987280101575869E-2</v>
      </c>
      <c r="J254" s="3">
        <f t="shared" si="240"/>
        <v>2.789524246438221E-2</v>
      </c>
      <c r="K254" s="3">
        <f t="shared" si="240"/>
        <v>2.6991349817831408E-2</v>
      </c>
      <c r="L254" s="3">
        <f t="shared" si="240"/>
        <v>1.9416423500834192E-2</v>
      </c>
      <c r="M254" s="3">
        <f t="shared" si="240"/>
        <v>7.2046942947184877E-4</v>
      </c>
      <c r="N254" s="3">
        <f t="shared" si="240"/>
        <v>3.5651579514761833E-18</v>
      </c>
      <c r="O254" s="3">
        <f t="shared" si="240"/>
        <v>3.1384192168450143E-161</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2.1979597630933923E-2</v>
      </c>
      <c r="C255" s="3">
        <f t="shared" si="241"/>
        <v>2.1979597630280814E-2</v>
      </c>
      <c r="D255" s="3">
        <f t="shared" si="241"/>
        <v>2.1979597623749715E-2</v>
      </c>
      <c r="E255" s="3">
        <f t="shared" si="241"/>
        <v>2.197959755843874E-2</v>
      </c>
      <c r="F255" s="3">
        <f t="shared" si="241"/>
        <v>2.1979596905328986E-2</v>
      </c>
      <c r="G255" s="3">
        <f t="shared" si="241"/>
        <v>2.1979590374232544E-2</v>
      </c>
      <c r="H255" s="3">
        <f t="shared" si="241"/>
        <v>2.1979525063374861E-2</v>
      </c>
      <c r="I255" s="3">
        <f t="shared" si="241"/>
        <v>2.1978871965471592E-2</v>
      </c>
      <c r="J255" s="3">
        <f t="shared" si="241"/>
        <v>2.1972342053679296E-2</v>
      </c>
      <c r="K255" s="3">
        <f t="shared" si="241"/>
        <v>2.1907149542552403E-2</v>
      </c>
      <c r="L255" s="3">
        <f t="shared" si="241"/>
        <v>2.1265768829773879E-2</v>
      </c>
      <c r="M255" s="3">
        <f t="shared" si="241"/>
        <v>1.5799132659547604E-2</v>
      </c>
      <c r="N255" s="3">
        <f t="shared" si="241"/>
        <v>8.0938437723496767E-4</v>
      </c>
      <c r="O255" s="3">
        <f t="shared" si="241"/>
        <v>1.0077911352061469E-16</v>
      </c>
      <c r="P255" s="3">
        <f t="shared" si="241"/>
        <v>9.0266727684318123E-146</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2.8250918359928042E-2</v>
      </c>
      <c r="C256" s="3">
        <f t="shared" si="242"/>
        <v>2.8250918359852321E-2</v>
      </c>
      <c r="D256" s="3">
        <f t="shared" si="242"/>
        <v>2.8250918359095056E-2</v>
      </c>
      <c r="E256" s="3">
        <f t="shared" si="242"/>
        <v>2.8250918351522446E-2</v>
      </c>
      <c r="F256" s="3">
        <f t="shared" si="242"/>
        <v>2.8250918275796347E-2</v>
      </c>
      <c r="G256" s="3">
        <f t="shared" si="242"/>
        <v>2.8250917518535344E-2</v>
      </c>
      <c r="H256" s="3">
        <f t="shared" si="242"/>
        <v>2.8250909945926439E-2</v>
      </c>
      <c r="I256" s="3">
        <f t="shared" si="242"/>
        <v>2.8250834219949023E-2</v>
      </c>
      <c r="J256" s="3">
        <f t="shared" si="242"/>
        <v>2.8250076971338776E-2</v>
      </c>
      <c r="K256" s="3">
        <f t="shared" si="242"/>
        <v>2.8242505601517129E-2</v>
      </c>
      <c r="L256" s="3">
        <f t="shared" si="242"/>
        <v>2.8166903420750986E-2</v>
      </c>
      <c r="M256" s="3">
        <f t="shared" si="242"/>
        <v>2.7421923546017055E-2</v>
      </c>
      <c r="N256" s="3">
        <f t="shared" si="242"/>
        <v>2.0974229979960343E-2</v>
      </c>
      <c r="O256" s="3">
        <f t="shared" si="242"/>
        <v>1.4373651996293028E-3</v>
      </c>
      <c r="P256" s="3">
        <f t="shared" si="242"/>
        <v>3.2838108047801491E-15</v>
      </c>
      <c r="Q256" s="3">
        <f t="shared" si="242"/>
        <v>1.272003024562433E-131</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3.443790301047496E-2</v>
      </c>
      <c r="C257" s="3">
        <f t="shared" si="243"/>
        <v>3.4437903010466633E-2</v>
      </c>
      <c r="D257" s="3">
        <f t="shared" si="243"/>
        <v>3.443790301038336E-2</v>
      </c>
      <c r="E257" s="3">
        <f t="shared" si="243"/>
        <v>3.4437903009550644E-2</v>
      </c>
      <c r="F257" s="3">
        <f t="shared" si="243"/>
        <v>3.4437903001223492E-2</v>
      </c>
      <c r="G257" s="3">
        <f t="shared" si="243"/>
        <v>3.4437902917952012E-2</v>
      </c>
      <c r="H257" s="3">
        <f t="shared" si="243"/>
        <v>3.443790208523715E-2</v>
      </c>
      <c r="I257" s="3">
        <f t="shared" si="243"/>
        <v>3.4437893758089713E-2</v>
      </c>
      <c r="J257" s="3">
        <f t="shared" si="243"/>
        <v>3.4437810486726082E-2</v>
      </c>
      <c r="K257" s="3">
        <f t="shared" si="243"/>
        <v>3.4436977784163957E-2</v>
      </c>
      <c r="L257" s="3">
        <f t="shared" si="243"/>
        <v>3.4428651865868624E-2</v>
      </c>
      <c r="M257" s="3">
        <f t="shared" si="243"/>
        <v>3.4345503316500152E-2</v>
      </c>
      <c r="N257" s="3">
        <f t="shared" si="243"/>
        <v>3.3524982838032201E-2</v>
      </c>
      <c r="O257" s="3">
        <f t="shared" si="243"/>
        <v>2.6324210496843345E-2</v>
      </c>
      <c r="P257" s="3">
        <f t="shared" si="243"/>
        <v>2.345434245088525E-3</v>
      </c>
      <c r="Q257" s="3">
        <f t="shared" si="243"/>
        <v>7.3943896431262031E-14</v>
      </c>
      <c r="R257" s="3">
        <f t="shared" si="243"/>
        <v>7.1728711636459406E-119</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2.9401070007452158E-2</v>
      </c>
      <c r="C258" s="3">
        <f t="shared" si="244"/>
        <v>2.940107000745152E-2</v>
      </c>
      <c r="D258" s="3">
        <f t="shared" si="244"/>
        <v>2.9401070007445105E-2</v>
      </c>
      <c r="E258" s="3">
        <f t="shared" si="244"/>
        <v>2.9401070007380976E-2</v>
      </c>
      <c r="F258" s="3">
        <f t="shared" si="244"/>
        <v>2.9401070006739662E-2</v>
      </c>
      <c r="G258" s="3">
        <f t="shared" si="244"/>
        <v>2.9401070000326542E-2</v>
      </c>
      <c r="H258" s="3">
        <f t="shared" si="244"/>
        <v>2.9401069936195345E-2</v>
      </c>
      <c r="I258" s="3">
        <f t="shared" si="244"/>
        <v>2.940106929488338E-2</v>
      </c>
      <c r="J258" s="3">
        <f t="shared" si="244"/>
        <v>2.9401062881764525E-2</v>
      </c>
      <c r="K258" s="3">
        <f t="shared" si="244"/>
        <v>2.9400998750652878E-2</v>
      </c>
      <c r="L258" s="3">
        <f t="shared" si="244"/>
        <v>2.9400357447230085E-2</v>
      </c>
      <c r="M258" s="3">
        <f t="shared" si="244"/>
        <v>2.9393945182308503E-2</v>
      </c>
      <c r="N258" s="3">
        <f t="shared" si="244"/>
        <v>2.9329899401673451E-2</v>
      </c>
      <c r="O258" s="3">
        <f t="shared" si="244"/>
        <v>2.8697066775842564E-2</v>
      </c>
      <c r="P258" s="3">
        <f t="shared" si="244"/>
        <v>2.3073148288706474E-2</v>
      </c>
      <c r="Q258" s="3">
        <f t="shared" si="244"/>
        <v>2.6049557282467779E-3</v>
      </c>
      <c r="R258" s="3">
        <f t="shared" si="244"/>
        <v>8.7646634005292202E-13</v>
      </c>
      <c r="S258" s="3">
        <f t="shared" si="244"/>
        <v>1.6296119273840872E-107</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4.9041908611543839E-2</v>
      </c>
      <c r="C259" s="3">
        <f t="shared" si="245"/>
        <v>4.9041908611543741E-2</v>
      </c>
      <c r="D259" s="3">
        <f t="shared" si="245"/>
        <v>4.9041908611542777E-2</v>
      </c>
      <c r="E259" s="3">
        <f t="shared" si="245"/>
        <v>4.9041908611533132E-2</v>
      </c>
      <c r="F259" s="3">
        <f t="shared" si="245"/>
        <v>4.9041908611436633E-2</v>
      </c>
      <c r="G259" s="3">
        <f t="shared" si="245"/>
        <v>4.9041908610471648E-2</v>
      </c>
      <c r="H259" s="3">
        <f t="shared" si="245"/>
        <v>4.9041908600821811E-2</v>
      </c>
      <c r="I259" s="3">
        <f t="shared" si="245"/>
        <v>4.9041908504323398E-2</v>
      </c>
      <c r="J259" s="3">
        <f t="shared" si="245"/>
        <v>4.9041907539339291E-2</v>
      </c>
      <c r="K259" s="3">
        <f t="shared" si="245"/>
        <v>4.9041897889499274E-2</v>
      </c>
      <c r="L259" s="3">
        <f t="shared" si="245"/>
        <v>4.9041801391203572E-2</v>
      </c>
      <c r="M259" s="3">
        <f t="shared" si="245"/>
        <v>4.9040836418689698E-2</v>
      </c>
      <c r="N259" s="3">
        <f t="shared" si="245"/>
        <v>4.9031187737791471E-2</v>
      </c>
      <c r="O259" s="3">
        <f t="shared" si="245"/>
        <v>4.8934805276872648E-2</v>
      </c>
      <c r="P259" s="3">
        <f t="shared" si="245"/>
        <v>4.7981339902785441E-2</v>
      </c>
      <c r="Q259" s="3">
        <f t="shared" si="245"/>
        <v>3.9410999000277065E-2</v>
      </c>
      <c r="R259" s="3">
        <f t="shared" si="245"/>
        <v>5.5089415288742489E-3</v>
      </c>
      <c r="S259" s="3">
        <f t="shared" si="245"/>
        <v>1.5688280844951844E-11</v>
      </c>
      <c r="T259" s="3">
        <f t="shared" si="245"/>
        <v>5.5036052917527824E-97</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4.178985908034704E-2</v>
      </c>
      <c r="C260" s="3">
        <f t="shared" si="246"/>
        <v>4.1789859080347033E-2</v>
      </c>
      <c r="D260" s="3">
        <f t="shared" si="246"/>
        <v>4.1789859080346957E-2</v>
      </c>
      <c r="E260" s="3">
        <f t="shared" si="246"/>
        <v>4.1789859080346214E-2</v>
      </c>
      <c r="F260" s="3">
        <f t="shared" si="246"/>
        <v>4.1789859080338797E-2</v>
      </c>
      <c r="G260" s="3">
        <f t="shared" si="246"/>
        <v>4.178985908026462E-2</v>
      </c>
      <c r="H260" s="3">
        <f t="shared" si="246"/>
        <v>4.1789859079522852E-2</v>
      </c>
      <c r="I260" s="3">
        <f t="shared" si="246"/>
        <v>4.1789859072105133E-2</v>
      </c>
      <c r="J260" s="3">
        <f t="shared" si="246"/>
        <v>4.1789858997927955E-2</v>
      </c>
      <c r="K260" s="3">
        <f t="shared" si="246"/>
        <v>4.17898582561562E-2</v>
      </c>
      <c r="L260" s="3">
        <f t="shared" si="246"/>
        <v>4.1789850838439335E-2</v>
      </c>
      <c r="M260" s="3">
        <f t="shared" si="246"/>
        <v>4.1789776661343113E-2</v>
      </c>
      <c r="N260" s="3">
        <f t="shared" si="246"/>
        <v>4.1789034897622417E-2</v>
      </c>
      <c r="O260" s="3">
        <f t="shared" si="246"/>
        <v>4.178161798451907E-2</v>
      </c>
      <c r="P260" s="3">
        <f t="shared" si="246"/>
        <v>4.1707521216309808E-2</v>
      </c>
      <c r="Q260" s="3">
        <f t="shared" si="246"/>
        <v>4.0973742517041591E-2</v>
      </c>
      <c r="R260" s="3">
        <f t="shared" si="246"/>
        <v>3.43097994639847E-2</v>
      </c>
      <c r="S260" s="3">
        <f t="shared" si="246"/>
        <v>5.8149185615951832E-3</v>
      </c>
      <c r="T260" s="3">
        <f t="shared" si="246"/>
        <v>1.1370988173178891E-10</v>
      </c>
      <c r="U260" s="3">
        <f t="shared" si="246"/>
        <v>9.29702327766692E-88</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4.6925793493946939E-2</v>
      </c>
      <c r="C261" s="3">
        <f t="shared" si="247"/>
        <v>4.6925793493946939E-2</v>
      </c>
      <c r="D261" s="3">
        <f t="shared" si="247"/>
        <v>4.6925793493946925E-2</v>
      </c>
      <c r="E261" s="3">
        <f t="shared" si="247"/>
        <v>4.6925793493946856E-2</v>
      </c>
      <c r="F261" s="3">
        <f t="shared" si="247"/>
        <v>4.6925793493946107E-2</v>
      </c>
      <c r="G261" s="3">
        <f t="shared" si="247"/>
        <v>4.6925793493938592E-2</v>
      </c>
      <c r="H261" s="3">
        <f t="shared" si="247"/>
        <v>4.6925793493863451E-2</v>
      </c>
      <c r="I261" s="3">
        <f t="shared" si="247"/>
        <v>4.6925793493112079E-2</v>
      </c>
      <c r="J261" s="3">
        <f t="shared" si="247"/>
        <v>4.6925793485598312E-2</v>
      </c>
      <c r="K261" s="3">
        <f t="shared" si="247"/>
        <v>4.6925793410460659E-2</v>
      </c>
      <c r="L261" s="3">
        <f t="shared" si="247"/>
        <v>4.6925792659084163E-2</v>
      </c>
      <c r="M261" s="3">
        <f t="shared" si="247"/>
        <v>4.6925785145319893E-2</v>
      </c>
      <c r="N261" s="3">
        <f t="shared" si="247"/>
        <v>4.6925710007743301E-2</v>
      </c>
      <c r="O261" s="3">
        <f t="shared" si="247"/>
        <v>4.6924958638594458E-2</v>
      </c>
      <c r="P261" s="3">
        <f t="shared" si="247"/>
        <v>4.6917445608770286E-2</v>
      </c>
      <c r="Q261" s="3">
        <f t="shared" si="247"/>
        <v>4.6842381437773979E-2</v>
      </c>
      <c r="R261" s="3">
        <f t="shared" si="247"/>
        <v>4.6098313442856788E-2</v>
      </c>
      <c r="S261" s="3">
        <f t="shared" si="247"/>
        <v>3.9277672054982719E-2</v>
      </c>
      <c r="T261" s="3">
        <f t="shared" si="247"/>
        <v>7.9205031575603265E-3</v>
      </c>
      <c r="U261" s="3">
        <f t="shared" si="247"/>
        <v>8.8069004788111224E-10</v>
      </c>
      <c r="V261" s="3">
        <f t="shared" si="247"/>
        <v>2.5440536236063324E-79</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4.7062467056075051E-2</v>
      </c>
      <c r="C262" s="3">
        <f t="shared" si="248"/>
        <v>4.7062467056075051E-2</v>
      </c>
      <c r="D262" s="3">
        <f t="shared" si="248"/>
        <v>4.7062467056075051E-2</v>
      </c>
      <c r="E262" s="3">
        <f t="shared" si="248"/>
        <v>4.7062467056075044E-2</v>
      </c>
      <c r="F262" s="3">
        <f t="shared" si="248"/>
        <v>4.7062467056074975E-2</v>
      </c>
      <c r="G262" s="3">
        <f t="shared" si="248"/>
        <v>4.7062467056074295E-2</v>
      </c>
      <c r="H262" s="3">
        <f t="shared" si="248"/>
        <v>4.7062467056067495E-2</v>
      </c>
      <c r="I262" s="3">
        <f t="shared" si="248"/>
        <v>4.7062467055999521E-2</v>
      </c>
      <c r="J262" s="3">
        <f t="shared" si="248"/>
        <v>4.7062467055319746E-2</v>
      </c>
      <c r="K262" s="3">
        <f t="shared" si="248"/>
        <v>4.7062467048521961E-2</v>
      </c>
      <c r="L262" s="3">
        <f t="shared" si="248"/>
        <v>4.7062466980544129E-2</v>
      </c>
      <c r="M262" s="3">
        <f t="shared" si="248"/>
        <v>4.7062466300765889E-2</v>
      </c>
      <c r="N262" s="3">
        <f t="shared" si="248"/>
        <v>4.706245950298401E-2</v>
      </c>
      <c r="O262" s="3">
        <f t="shared" si="248"/>
        <v>4.7062391525219148E-2</v>
      </c>
      <c r="P262" s="3">
        <f t="shared" si="248"/>
        <v>4.7061711752970921E-2</v>
      </c>
      <c r="Q262" s="3">
        <f t="shared" si="248"/>
        <v>4.7054914570492323E-2</v>
      </c>
      <c r="R262" s="3">
        <f t="shared" si="248"/>
        <v>4.6986996717228266E-2</v>
      </c>
      <c r="S262" s="3">
        <f t="shared" si="248"/>
        <v>4.6313186603657547E-2</v>
      </c>
      <c r="T262" s="3">
        <f t="shared" si="248"/>
        <v>4.0084311925426615E-2</v>
      </c>
      <c r="U262" s="3">
        <f t="shared" si="248"/>
        <v>9.4552305864469728E-3</v>
      </c>
      <c r="V262" s="3">
        <f t="shared" si="248"/>
        <v>5.0425363718322406E-9</v>
      </c>
      <c r="W262" s="3">
        <f t="shared" si="248"/>
        <v>9.384652345303757E-72</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5.1874996245126884E-2</v>
      </c>
      <c r="C263" s="3">
        <f t="shared" si="249"/>
        <v>5.1874996245126884E-2</v>
      </c>
      <c r="D263" s="3">
        <f t="shared" si="249"/>
        <v>5.1874996245126884E-2</v>
      </c>
      <c r="E263" s="3">
        <f t="shared" si="249"/>
        <v>5.1874996245126884E-2</v>
      </c>
      <c r="F263" s="3">
        <f t="shared" si="249"/>
        <v>5.1874996245126877E-2</v>
      </c>
      <c r="G263" s="3">
        <f t="shared" si="249"/>
        <v>5.1874996245126807E-2</v>
      </c>
      <c r="H263" s="3">
        <f t="shared" si="249"/>
        <v>5.1874996245126134E-2</v>
      </c>
      <c r="I263" s="3">
        <f t="shared" si="249"/>
        <v>5.1874996245119376E-2</v>
      </c>
      <c r="J263" s="3">
        <f t="shared" si="249"/>
        <v>5.1874996245051784E-2</v>
      </c>
      <c r="K263" s="3">
        <f t="shared" si="249"/>
        <v>5.1874996244375859E-2</v>
      </c>
      <c r="L263" s="3">
        <f t="shared" si="249"/>
        <v>5.1874996237616627E-2</v>
      </c>
      <c r="M263" s="3">
        <f t="shared" si="249"/>
        <v>5.1874996170024328E-2</v>
      </c>
      <c r="N263" s="3">
        <f t="shared" si="249"/>
        <v>5.1874995494101302E-2</v>
      </c>
      <c r="O263" s="3">
        <f t="shared" si="249"/>
        <v>5.1874988734871542E-2</v>
      </c>
      <c r="P263" s="3">
        <f t="shared" si="249"/>
        <v>5.1874921142622404E-2</v>
      </c>
      <c r="Q263" s="3">
        <f t="shared" si="249"/>
        <v>5.1874245224974955E-2</v>
      </c>
      <c r="R263" s="3">
        <f t="shared" si="249"/>
        <v>5.1867486532868858E-2</v>
      </c>
      <c r="S263" s="3">
        <f t="shared" si="249"/>
        <v>5.1799948025308087E-2</v>
      </c>
      <c r="T263" s="3">
        <f t="shared" si="249"/>
        <v>5.1129381040494373E-2</v>
      </c>
      <c r="U263" s="3">
        <f t="shared" si="249"/>
        <v>4.4883079655794696E-2</v>
      </c>
      <c r="V263" s="3">
        <f t="shared" si="249"/>
        <v>1.2195617073338216E-2</v>
      </c>
      <c r="W263" s="3">
        <f t="shared" si="249"/>
        <v>2.6755624462719465E-8</v>
      </c>
      <c r="X263" s="3">
        <f t="shared" si="249"/>
        <v>6.9107982063001309E-65</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9.3719085133360594E-2</v>
      </c>
      <c r="C264" s="3">
        <f t="shared" si="250"/>
        <v>9.3719085133360594E-2</v>
      </c>
      <c r="D264" s="3">
        <f t="shared" si="250"/>
        <v>9.3719085133360594E-2</v>
      </c>
      <c r="E264" s="3">
        <f t="shared" si="250"/>
        <v>9.3719085133360594E-2</v>
      </c>
      <c r="F264" s="3">
        <f t="shared" si="250"/>
        <v>9.3719085133360594E-2</v>
      </c>
      <c r="G264" s="3">
        <f t="shared" si="250"/>
        <v>9.371908513336058E-2</v>
      </c>
      <c r="H264" s="3">
        <f t="shared" si="250"/>
        <v>9.3719085133360469E-2</v>
      </c>
      <c r="I264" s="3">
        <f t="shared" si="250"/>
        <v>9.3719085133359373E-2</v>
      </c>
      <c r="J264" s="3">
        <f t="shared" si="250"/>
        <v>9.3719085133348354E-2</v>
      </c>
      <c r="K264" s="3">
        <f t="shared" si="250"/>
        <v>9.3719085133238206E-2</v>
      </c>
      <c r="L264" s="3">
        <f t="shared" si="250"/>
        <v>9.3719085132136629E-2</v>
      </c>
      <c r="M264" s="3">
        <f t="shared" si="250"/>
        <v>9.3719085121120885E-2</v>
      </c>
      <c r="N264" s="3">
        <f t="shared" si="250"/>
        <v>9.3719085010963446E-2</v>
      </c>
      <c r="O264" s="3">
        <f t="shared" si="250"/>
        <v>9.3719083909389156E-2</v>
      </c>
      <c r="P264" s="3">
        <f t="shared" si="250"/>
        <v>9.3719072893646907E-2</v>
      </c>
      <c r="Q264" s="3">
        <f t="shared" si="250"/>
        <v>9.3718962736295625E-2</v>
      </c>
      <c r="R264" s="3">
        <f t="shared" si="250"/>
        <v>9.3717861169904132E-2</v>
      </c>
      <c r="S264" s="3">
        <f t="shared" si="250"/>
        <v>9.3706846218089598E-2</v>
      </c>
      <c r="T264" s="3">
        <f t="shared" si="250"/>
        <v>9.3596767879029458E-2</v>
      </c>
      <c r="U264" s="3">
        <f t="shared" si="250"/>
        <v>9.250307153837449E-2</v>
      </c>
      <c r="V264" s="3">
        <f t="shared" si="250"/>
        <v>8.2244936945484445E-2</v>
      </c>
      <c r="W264" s="3">
        <f t="shared" si="250"/>
        <v>2.5388635218474759E-2</v>
      </c>
      <c r="X264" s="3">
        <f t="shared" si="250"/>
        <v>1.9949921599656101E-7</v>
      </c>
      <c r="Y264" s="3">
        <f t="shared" si="250"/>
        <v>1.7904391640707882E-58</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0.10682658591512105</v>
      </c>
      <c r="C265" s="3">
        <f t="shared" si="251"/>
        <v>0.10682658591512105</v>
      </c>
      <c r="D265" s="3">
        <f t="shared" si="251"/>
        <v>0.10682658591512105</v>
      </c>
      <c r="E265" s="3">
        <f t="shared" si="251"/>
        <v>0.10682658591512105</v>
      </c>
      <c r="F265" s="3">
        <f t="shared" si="251"/>
        <v>0.10682658591512105</v>
      </c>
      <c r="G265" s="3">
        <f t="shared" si="251"/>
        <v>0.10682658591512105</v>
      </c>
      <c r="H265" s="3">
        <f t="shared" si="251"/>
        <v>0.10682658591512104</v>
      </c>
      <c r="I265" s="3">
        <f t="shared" si="251"/>
        <v>0.10682658591512093</v>
      </c>
      <c r="J265" s="3">
        <f t="shared" si="251"/>
        <v>0.10682658591511979</v>
      </c>
      <c r="K265" s="3">
        <f t="shared" si="251"/>
        <v>0.10682658591510846</v>
      </c>
      <c r="L265" s="3">
        <f t="shared" si="251"/>
        <v>0.10682658591499519</v>
      </c>
      <c r="M265" s="3">
        <f t="shared" si="251"/>
        <v>0.1068265859138625</v>
      </c>
      <c r="N265" s="3">
        <f t="shared" si="251"/>
        <v>0.10682658590253559</v>
      </c>
      <c r="O265" s="3">
        <f t="shared" si="251"/>
        <v>0.10682658578926643</v>
      </c>
      <c r="P265" s="3">
        <f t="shared" si="251"/>
        <v>0.10682658465657478</v>
      </c>
      <c r="Q265" s="3">
        <f t="shared" si="251"/>
        <v>0.1068265733296591</v>
      </c>
      <c r="R265" s="3">
        <f t="shared" si="251"/>
        <v>0.10682646006056822</v>
      </c>
      <c r="S265" s="3">
        <f t="shared" si="251"/>
        <v>0.10682532737626492</v>
      </c>
      <c r="T265" s="3">
        <f t="shared" si="251"/>
        <v>0.10681400119375475</v>
      </c>
      <c r="U265" s="3">
        <f t="shared" si="251"/>
        <v>0.10670080539502542</v>
      </c>
      <c r="V265" s="3">
        <f t="shared" si="251"/>
        <v>0.10557542421518845</v>
      </c>
      <c r="W265" s="3">
        <f t="shared" si="251"/>
        <v>9.4954206969865979E-2</v>
      </c>
      <c r="X265" s="3">
        <f t="shared" si="251"/>
        <v>3.288728105203767E-2</v>
      </c>
      <c r="Y265" s="3">
        <f t="shared" si="251"/>
        <v>8.1689371985768751E-7</v>
      </c>
      <c r="Z265" s="3">
        <f t="shared" si="251"/>
        <v>7.3036748782781912E-53</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0.11271230139024535</v>
      </c>
      <c r="C266" s="3">
        <f t="shared" si="252"/>
        <v>0.11271230139024535</v>
      </c>
      <c r="D266" s="3">
        <f t="shared" si="252"/>
        <v>0.11271230139024535</v>
      </c>
      <c r="E266" s="3">
        <f t="shared" si="252"/>
        <v>0.11271230139024535</v>
      </c>
      <c r="F266" s="3">
        <f t="shared" si="252"/>
        <v>0.11271230139024535</v>
      </c>
      <c r="G266" s="3">
        <f t="shared" si="252"/>
        <v>0.11271230139024535</v>
      </c>
      <c r="H266" s="3">
        <f t="shared" si="252"/>
        <v>0.11271230139024535</v>
      </c>
      <c r="I266" s="3">
        <f t="shared" si="252"/>
        <v>0.11271230139024534</v>
      </c>
      <c r="J266" s="3">
        <f t="shared" si="252"/>
        <v>0.11271230139024523</v>
      </c>
      <c r="K266" s="3">
        <f t="shared" si="252"/>
        <v>0.11271230139024414</v>
      </c>
      <c r="L266" s="3">
        <f t="shared" si="252"/>
        <v>0.11271230139023337</v>
      </c>
      <c r="M266" s="3">
        <f t="shared" si="252"/>
        <v>0.11271230139012556</v>
      </c>
      <c r="N266" s="3">
        <f t="shared" si="252"/>
        <v>0.11271230138904749</v>
      </c>
      <c r="O266" s="3">
        <f t="shared" si="252"/>
        <v>0.1127123013782667</v>
      </c>
      <c r="P266" s="3">
        <f t="shared" si="252"/>
        <v>0.11271230127045889</v>
      </c>
      <c r="Q266" s="3">
        <f t="shared" si="252"/>
        <v>0.11271230019238071</v>
      </c>
      <c r="R266" s="3">
        <f t="shared" si="252"/>
        <v>0.11271228941159955</v>
      </c>
      <c r="S266" s="3">
        <f t="shared" si="252"/>
        <v>0.1127121816038447</v>
      </c>
      <c r="T266" s="3">
        <f t="shared" si="252"/>
        <v>0.11271110353196759</v>
      </c>
      <c r="U266" s="3">
        <f t="shared" si="252"/>
        <v>0.11270032338031621</v>
      </c>
      <c r="V266" s="3">
        <f t="shared" si="252"/>
        <v>0.11259257855571669</v>
      </c>
      <c r="W266" s="3">
        <f t="shared" si="252"/>
        <v>0.11152077948909866</v>
      </c>
      <c r="X266" s="3">
        <f t="shared" si="252"/>
        <v>0.10134821556481355</v>
      </c>
      <c r="Y266" s="3">
        <f t="shared" si="252"/>
        <v>3.8942085692819914E-2</v>
      </c>
      <c r="Z266" s="3">
        <f t="shared" si="252"/>
        <v>2.7318083264128754E-6</v>
      </c>
      <c r="AA266" s="3">
        <f t="shared" si="252"/>
        <v>7.8842500089886808E-48</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0.10920571405178373</v>
      </c>
      <c r="C267" s="3">
        <f t="shared" si="253"/>
        <v>0.10920571405178373</v>
      </c>
      <c r="D267" s="3">
        <f t="shared" si="253"/>
        <v>0.10920571405178373</v>
      </c>
      <c r="E267" s="3">
        <f t="shared" si="253"/>
        <v>0.10920571405178373</v>
      </c>
      <c r="F267" s="3">
        <f t="shared" si="253"/>
        <v>0.10920571405178373</v>
      </c>
      <c r="G267" s="3">
        <f t="shared" si="253"/>
        <v>0.10920571405178373</v>
      </c>
      <c r="H267" s="3">
        <f t="shared" si="253"/>
        <v>0.10920571405178373</v>
      </c>
      <c r="I267" s="3">
        <f t="shared" si="253"/>
        <v>0.10920571405178373</v>
      </c>
      <c r="J267" s="3">
        <f t="shared" si="253"/>
        <v>0.10920571405178371</v>
      </c>
      <c r="K267" s="3">
        <f t="shared" si="253"/>
        <v>0.10920571405178361</v>
      </c>
      <c r="L267" s="3">
        <f t="shared" si="253"/>
        <v>0.10920571405178268</v>
      </c>
      <c r="M267" s="3">
        <f t="shared" si="253"/>
        <v>0.10920571405177325</v>
      </c>
      <c r="N267" s="3">
        <f t="shared" si="253"/>
        <v>0.10920571405167903</v>
      </c>
      <c r="O267" s="3">
        <f t="shared" si="253"/>
        <v>0.10920571405073677</v>
      </c>
      <c r="P267" s="3">
        <f t="shared" si="253"/>
        <v>0.10920571404131417</v>
      </c>
      <c r="Q267" s="3">
        <f t="shared" si="253"/>
        <v>0.10920571394708814</v>
      </c>
      <c r="R267" s="3">
        <f t="shared" si="253"/>
        <v>0.10920571300482784</v>
      </c>
      <c r="S267" s="3">
        <f t="shared" si="253"/>
        <v>0.10920570358222538</v>
      </c>
      <c r="T267" s="3">
        <f t="shared" si="253"/>
        <v>0.10920560935624539</v>
      </c>
      <c r="U267" s="3">
        <f t="shared" si="253"/>
        <v>0.10920466710091704</v>
      </c>
      <c r="V267" s="3">
        <f t="shared" si="253"/>
        <v>0.10919524499477375</v>
      </c>
      <c r="W267" s="3">
        <f t="shared" si="253"/>
        <v>0.10910106863308819</v>
      </c>
      <c r="X267" s="3">
        <f t="shared" si="253"/>
        <v>0.10816376075356446</v>
      </c>
      <c r="Y267" s="3">
        <f t="shared" si="253"/>
        <v>9.9222353231231145E-2</v>
      </c>
      <c r="Z267" s="3">
        <f t="shared" si="253"/>
        <v>4.1868457669428052E-2</v>
      </c>
      <c r="AA267" s="3">
        <f t="shared" si="253"/>
        <v>7.4930971367612371E-6</v>
      </c>
      <c r="AB267" s="3">
        <f t="shared" si="253"/>
        <v>2.5258372294490775E-43</v>
      </c>
      <c r="AC267" s="3">
        <f t="shared" si="253"/>
        <v>0</v>
      </c>
      <c r="AD267" s="3">
        <f t="shared" si="253"/>
        <v>0</v>
      </c>
      <c r="AE267" s="3">
        <f t="shared" si="253"/>
        <v>0</v>
      </c>
      <c r="AF267" s="3">
        <f t="shared" si="253"/>
        <v>0</v>
      </c>
      <c r="AG267" s="3"/>
      <c r="AH267" s="3"/>
    </row>
    <row r="268" spans="2:34" x14ac:dyDescent="0.25">
      <c r="B268" s="3">
        <f t="shared" ref="B268:AF268" si="254">$C37*EXP(-B$246/$A37/EXP(-$E$126))</f>
        <v>8.5595472993728092E-2</v>
      </c>
      <c r="C268" s="3">
        <f t="shared" si="254"/>
        <v>8.5595472993728092E-2</v>
      </c>
      <c r="D268" s="3">
        <f t="shared" si="254"/>
        <v>8.5595472993728092E-2</v>
      </c>
      <c r="E268" s="3">
        <f t="shared" si="254"/>
        <v>8.5595472993728092E-2</v>
      </c>
      <c r="F268" s="3">
        <f t="shared" si="254"/>
        <v>8.5595472993728092E-2</v>
      </c>
      <c r="G268" s="3">
        <f t="shared" si="254"/>
        <v>8.5595472993728092E-2</v>
      </c>
      <c r="H268" s="3">
        <f t="shared" si="254"/>
        <v>8.5595472993728092E-2</v>
      </c>
      <c r="I268" s="3">
        <f t="shared" si="254"/>
        <v>8.5595472993728092E-2</v>
      </c>
      <c r="J268" s="3">
        <f t="shared" si="254"/>
        <v>8.5595472993728092E-2</v>
      </c>
      <c r="K268" s="3">
        <f t="shared" si="254"/>
        <v>8.5595472993728078E-2</v>
      </c>
      <c r="L268" s="3">
        <f t="shared" si="254"/>
        <v>8.5595472993728022E-2</v>
      </c>
      <c r="M268" s="3">
        <f t="shared" si="254"/>
        <v>8.5595472993727356E-2</v>
      </c>
      <c r="N268" s="3">
        <f t="shared" si="254"/>
        <v>8.5595472993720695E-2</v>
      </c>
      <c r="O268" s="3">
        <f t="shared" si="254"/>
        <v>8.5595472993654068E-2</v>
      </c>
      <c r="P268" s="3">
        <f t="shared" si="254"/>
        <v>8.5595472992987837E-2</v>
      </c>
      <c r="Q268" s="3">
        <f t="shared" si="254"/>
        <v>8.5595472986325555E-2</v>
      </c>
      <c r="R268" s="3">
        <f t="shared" si="254"/>
        <v>8.559547291970275E-2</v>
      </c>
      <c r="S268" s="3">
        <f t="shared" si="254"/>
        <v>8.5595472253474705E-2</v>
      </c>
      <c r="T268" s="3">
        <f t="shared" si="254"/>
        <v>8.5595465591194478E-2</v>
      </c>
      <c r="U268" s="3">
        <f t="shared" si="254"/>
        <v>8.5595398968420791E-2</v>
      </c>
      <c r="V268" s="3">
        <f t="shared" si="254"/>
        <v>8.5594732743535934E-2</v>
      </c>
      <c r="W268" s="3">
        <f t="shared" si="254"/>
        <v>8.558807077988359E-2</v>
      </c>
      <c r="X268" s="3">
        <f t="shared" si="254"/>
        <v>8.5521479654774774E-2</v>
      </c>
      <c r="Y268" s="3">
        <f t="shared" si="254"/>
        <v>8.4858411351279792E-2</v>
      </c>
      <c r="Z268" s="3">
        <f t="shared" si="254"/>
        <v>7.8504003409871875E-2</v>
      </c>
      <c r="AA268" s="3">
        <f t="shared" si="254"/>
        <v>3.6046315669559618E-2</v>
      </c>
      <c r="AB268" s="3">
        <f t="shared" si="254"/>
        <v>1.5015909808948104E-5</v>
      </c>
      <c r="AC268" s="3">
        <f t="shared" si="254"/>
        <v>2.3629761897369318E-39</v>
      </c>
      <c r="AD268" s="3">
        <f t="shared" si="254"/>
        <v>0</v>
      </c>
      <c r="AE268" s="3">
        <f t="shared" si="254"/>
        <v>0</v>
      </c>
      <c r="AF268" s="3">
        <f t="shared" si="254"/>
        <v>0</v>
      </c>
      <c r="AG268" s="3"/>
      <c r="AH268" s="3"/>
    </row>
    <row r="269" spans="2:34" x14ac:dyDescent="0.25">
      <c r="B269" s="3">
        <f t="shared" ref="B269:AF269" si="255">$C38*EXP(-B$246/$A38/EXP(-$E$126))</f>
        <v>3.0330599560697977E-2</v>
      </c>
      <c r="C269" s="3">
        <f t="shared" si="255"/>
        <v>3.0330599560697977E-2</v>
      </c>
      <c r="D269" s="3">
        <f t="shared" si="255"/>
        <v>3.0330599560697977E-2</v>
      </c>
      <c r="E269" s="3">
        <f t="shared" si="255"/>
        <v>3.0330599560697977E-2</v>
      </c>
      <c r="F269" s="3">
        <f t="shared" si="255"/>
        <v>3.0330599560697977E-2</v>
      </c>
      <c r="G269" s="3">
        <f t="shared" si="255"/>
        <v>3.0330599560697977E-2</v>
      </c>
      <c r="H269" s="3">
        <f t="shared" si="255"/>
        <v>3.0330599560697977E-2</v>
      </c>
      <c r="I269" s="3">
        <f t="shared" si="255"/>
        <v>3.0330599560697977E-2</v>
      </c>
      <c r="J269" s="3">
        <f t="shared" si="255"/>
        <v>3.0330599560697977E-2</v>
      </c>
      <c r="K269" s="3">
        <f t="shared" si="255"/>
        <v>3.0330599560697977E-2</v>
      </c>
      <c r="L269" s="3">
        <f t="shared" si="255"/>
        <v>3.0330599560697974E-2</v>
      </c>
      <c r="M269" s="3">
        <f t="shared" si="255"/>
        <v>3.0330599560697953E-2</v>
      </c>
      <c r="N269" s="3">
        <f t="shared" si="255"/>
        <v>3.0330599560697741E-2</v>
      </c>
      <c r="O269" s="3">
        <f t="shared" si="255"/>
        <v>3.0330599560695611E-2</v>
      </c>
      <c r="P269" s="3">
        <f t="shared" si="255"/>
        <v>3.0330599560674316E-2</v>
      </c>
      <c r="Q269" s="3">
        <f t="shared" si="255"/>
        <v>3.0330599560461354E-2</v>
      </c>
      <c r="R269" s="3">
        <f t="shared" si="255"/>
        <v>3.0330599558331745E-2</v>
      </c>
      <c r="S269" s="3">
        <f t="shared" si="255"/>
        <v>3.0330599537035662E-2</v>
      </c>
      <c r="T269" s="3">
        <f t="shared" si="255"/>
        <v>3.033059932407485E-2</v>
      </c>
      <c r="U269" s="3">
        <f t="shared" si="255"/>
        <v>3.0330597194466759E-2</v>
      </c>
      <c r="V269" s="3">
        <f t="shared" si="255"/>
        <v>3.0330575898394097E-2</v>
      </c>
      <c r="W269" s="3">
        <f t="shared" si="255"/>
        <v>3.0330362938489872E-2</v>
      </c>
      <c r="X269" s="3">
        <f t="shared" si="255"/>
        <v>3.0328233421684885E-2</v>
      </c>
      <c r="Y269" s="3">
        <f t="shared" si="255"/>
        <v>3.0306946475223778E-2</v>
      </c>
      <c r="Z269" s="3">
        <f t="shared" si="255"/>
        <v>3.0094897037622578E-2</v>
      </c>
      <c r="AA269" s="3">
        <f t="shared" si="255"/>
        <v>2.8054314443786553E-2</v>
      </c>
      <c r="AB269" s="3">
        <f t="shared" si="255"/>
        <v>1.390169149196435E-2</v>
      </c>
      <c r="AC269" s="3">
        <f t="shared" si="255"/>
        <v>1.2409306338326714E-5</v>
      </c>
      <c r="AD269" s="3">
        <f t="shared" si="255"/>
        <v>3.9860808177517709E-36</v>
      </c>
      <c r="AE269" s="3">
        <f t="shared" si="255"/>
        <v>0</v>
      </c>
      <c r="AF269" s="3">
        <f t="shared" si="255"/>
        <v>0</v>
      </c>
      <c r="AG269" s="3"/>
      <c r="AH269" s="3"/>
    </row>
    <row r="270" spans="2:34" x14ac:dyDescent="0.25">
      <c r="B270" s="3">
        <f t="shared" ref="B270:AF270" si="256">$C39*EXP(-B$246/$A39/EXP(-$E$126))</f>
        <v>3.2127590787364095E-2</v>
      </c>
      <c r="C270" s="3">
        <f t="shared" si="256"/>
        <v>3.2127590787364095E-2</v>
      </c>
      <c r="D270" s="3">
        <f t="shared" si="256"/>
        <v>3.2127590787364095E-2</v>
      </c>
      <c r="E270" s="3">
        <f t="shared" si="256"/>
        <v>3.2127590787364095E-2</v>
      </c>
      <c r="F270" s="3">
        <f t="shared" si="256"/>
        <v>3.2127590787364095E-2</v>
      </c>
      <c r="G270" s="3">
        <f t="shared" si="256"/>
        <v>3.2127590787364095E-2</v>
      </c>
      <c r="H270" s="3">
        <f t="shared" si="256"/>
        <v>3.2127590787364095E-2</v>
      </c>
      <c r="I270" s="3">
        <f t="shared" si="256"/>
        <v>3.2127590787364095E-2</v>
      </c>
      <c r="J270" s="3">
        <f t="shared" si="256"/>
        <v>3.2127590787364095E-2</v>
      </c>
      <c r="K270" s="3">
        <f t="shared" si="256"/>
        <v>3.2127590787364095E-2</v>
      </c>
      <c r="L270" s="3">
        <f t="shared" si="256"/>
        <v>3.2127590787364095E-2</v>
      </c>
      <c r="M270" s="3">
        <f t="shared" si="256"/>
        <v>3.2127590787364088E-2</v>
      </c>
      <c r="N270" s="3">
        <f t="shared" si="256"/>
        <v>3.2127590787364026E-2</v>
      </c>
      <c r="O270" s="3">
        <f t="shared" si="256"/>
        <v>3.2127590787363401E-2</v>
      </c>
      <c r="P270" s="3">
        <f t="shared" si="256"/>
        <v>3.2127590787357163E-2</v>
      </c>
      <c r="Q270" s="3">
        <f t="shared" si="256"/>
        <v>3.2127590787294776E-2</v>
      </c>
      <c r="R270" s="3">
        <f t="shared" si="256"/>
        <v>3.2127590786670886E-2</v>
      </c>
      <c r="S270" s="3">
        <f t="shared" si="256"/>
        <v>3.212759078043196E-2</v>
      </c>
      <c r="T270" s="3">
        <f t="shared" si="256"/>
        <v>3.2127590718042713E-2</v>
      </c>
      <c r="U270" s="3">
        <f t="shared" si="256"/>
        <v>3.2127590094150268E-2</v>
      </c>
      <c r="V270" s="3">
        <f t="shared" si="256"/>
        <v>3.2127583855226474E-2</v>
      </c>
      <c r="W270" s="3">
        <f t="shared" si="256"/>
        <v>3.2127521466055201E-2</v>
      </c>
      <c r="X270" s="3">
        <f t="shared" si="256"/>
        <v>3.2126897581005939E-2</v>
      </c>
      <c r="Y270" s="3">
        <f t="shared" si="256"/>
        <v>3.2120659396812613E-2</v>
      </c>
      <c r="Z270" s="3">
        <f t="shared" si="256"/>
        <v>3.2058344136954665E-2</v>
      </c>
      <c r="AA270" s="3">
        <f t="shared" si="256"/>
        <v>3.1441802153456024E-2</v>
      </c>
      <c r="AB270" s="3">
        <f t="shared" si="256"/>
        <v>2.5892314308912839E-2</v>
      </c>
      <c r="AC270" s="3">
        <f t="shared" si="256"/>
        <v>3.7136867450514835E-3</v>
      </c>
      <c r="AD270" s="3">
        <f t="shared" si="256"/>
        <v>1.3681989100697256E-11</v>
      </c>
      <c r="AE270" s="3">
        <f t="shared" si="256"/>
        <v>6.3036046272836327E-96</v>
      </c>
      <c r="AF270" s="3">
        <f t="shared" si="256"/>
        <v>0</v>
      </c>
      <c r="AG270" s="3"/>
      <c r="AH270" s="3"/>
    </row>
    <row r="271" spans="2:34" x14ac:dyDescent="0.25">
      <c r="B271" s="3">
        <f t="shared" ref="B271:AF271" si="257">$C40*EXP(-B$246/$A40/EXP(-$E$126))</f>
        <v>1.5939358035986794E-2</v>
      </c>
      <c r="C271" s="3">
        <f t="shared" si="257"/>
        <v>1.5939358035986794E-2</v>
      </c>
      <c r="D271" s="3">
        <f t="shared" si="257"/>
        <v>1.5939358035986794E-2</v>
      </c>
      <c r="E271" s="3">
        <f t="shared" si="257"/>
        <v>1.5939358035986794E-2</v>
      </c>
      <c r="F271" s="3">
        <f t="shared" si="257"/>
        <v>1.5939358035986794E-2</v>
      </c>
      <c r="G271" s="3">
        <f t="shared" si="257"/>
        <v>1.5939358035986794E-2</v>
      </c>
      <c r="H271" s="3">
        <f t="shared" si="257"/>
        <v>1.5939358035986794E-2</v>
      </c>
      <c r="I271" s="3">
        <f t="shared" si="257"/>
        <v>1.5939358035986794E-2</v>
      </c>
      <c r="J271" s="3">
        <f t="shared" si="257"/>
        <v>1.5939358035986794E-2</v>
      </c>
      <c r="K271" s="3">
        <f t="shared" si="257"/>
        <v>1.5939358035986794E-2</v>
      </c>
      <c r="L271" s="3">
        <f t="shared" si="257"/>
        <v>1.5939358035986794E-2</v>
      </c>
      <c r="M271" s="3">
        <f t="shared" si="257"/>
        <v>1.5939358035986794E-2</v>
      </c>
      <c r="N271" s="3">
        <f t="shared" si="257"/>
        <v>1.5939358035986791E-2</v>
      </c>
      <c r="O271" s="3">
        <f t="shared" si="257"/>
        <v>1.5939358035986759E-2</v>
      </c>
      <c r="P271" s="3">
        <f t="shared" si="257"/>
        <v>1.5939358035986451E-2</v>
      </c>
      <c r="Q271" s="3">
        <f t="shared" si="257"/>
        <v>1.5939358035983356E-2</v>
      </c>
      <c r="R271" s="3">
        <f t="shared" si="257"/>
        <v>1.5939358035952401E-2</v>
      </c>
      <c r="S271" s="3">
        <f t="shared" si="257"/>
        <v>1.5939358035642871E-2</v>
      </c>
      <c r="T271" s="3">
        <f t="shared" si="257"/>
        <v>1.5939358032547576E-2</v>
      </c>
      <c r="U271" s="3">
        <f t="shared" si="257"/>
        <v>1.59393580015946E-2</v>
      </c>
      <c r="V271" s="3">
        <f t="shared" si="257"/>
        <v>1.5939357692064851E-2</v>
      </c>
      <c r="W271" s="3">
        <f t="shared" si="257"/>
        <v>1.5939354596767707E-2</v>
      </c>
      <c r="X271" s="3">
        <f t="shared" si="257"/>
        <v>1.5939323643829308E-2</v>
      </c>
      <c r="Y271" s="3">
        <f t="shared" si="257"/>
        <v>1.5939014117751265E-2</v>
      </c>
      <c r="Z271" s="3">
        <f t="shared" si="257"/>
        <v>1.593591918753972E-2</v>
      </c>
      <c r="AA271" s="3">
        <f t="shared" si="257"/>
        <v>1.5905002918574666E-2</v>
      </c>
      <c r="AB271" s="3">
        <f t="shared" si="257"/>
        <v>1.5599119932071132E-2</v>
      </c>
      <c r="AC271" s="3">
        <f t="shared" si="257"/>
        <v>1.2845870419651413E-2</v>
      </c>
      <c r="AD271" s="3">
        <f t="shared" si="257"/>
        <v>1.8424594316656679E-3</v>
      </c>
      <c r="AE271" s="3">
        <f t="shared" si="257"/>
        <v>6.788001140946276E-12</v>
      </c>
      <c r="AF271" s="3">
        <f t="shared" si="257"/>
        <v>3.1273870405213915E-96</v>
      </c>
      <c r="AG271" s="3"/>
      <c r="AH271" s="3"/>
    </row>
    <row r="272" spans="2:34" x14ac:dyDescent="0.25">
      <c r="B272" s="3">
        <f t="shared" ref="B272:AF272" si="258">$C41*EXP(-B$246/$A41/EXP(-$E$126))</f>
        <v>1.0098226932664881E-3</v>
      </c>
      <c r="C272" s="3">
        <f t="shared" si="258"/>
        <v>1.0098226932664881E-3</v>
      </c>
      <c r="D272" s="3">
        <f t="shared" si="258"/>
        <v>1.0098226932664881E-3</v>
      </c>
      <c r="E272" s="3">
        <f t="shared" si="258"/>
        <v>1.0098226932664881E-3</v>
      </c>
      <c r="F272" s="3">
        <f t="shared" si="258"/>
        <v>1.0098226932664881E-3</v>
      </c>
      <c r="G272" s="3">
        <f t="shared" si="258"/>
        <v>1.0098226932664881E-3</v>
      </c>
      <c r="H272" s="3">
        <f t="shared" si="258"/>
        <v>1.0098226932664881E-3</v>
      </c>
      <c r="I272" s="3">
        <f t="shared" si="258"/>
        <v>1.0098226932664881E-3</v>
      </c>
      <c r="J272" s="3">
        <f t="shared" si="258"/>
        <v>1.0098226932664881E-3</v>
      </c>
      <c r="K272" s="3">
        <f t="shared" si="258"/>
        <v>1.0098226932664881E-3</v>
      </c>
      <c r="L272" s="3">
        <f t="shared" si="258"/>
        <v>1.0098226932664881E-3</v>
      </c>
      <c r="M272" s="3">
        <f t="shared" si="258"/>
        <v>1.0098226932664881E-3</v>
      </c>
      <c r="N272" s="3">
        <f t="shared" si="258"/>
        <v>1.0098226932664881E-3</v>
      </c>
      <c r="O272" s="3">
        <f t="shared" si="258"/>
        <v>1.0098226932664879E-3</v>
      </c>
      <c r="P272" s="3">
        <f t="shared" si="258"/>
        <v>1.0098226932664859E-3</v>
      </c>
      <c r="Q272" s="3">
        <f t="shared" si="258"/>
        <v>1.0098226932664664E-3</v>
      </c>
      <c r="R272" s="3">
        <f t="shared" si="258"/>
        <v>1.0098226932662702E-3</v>
      </c>
      <c r="S272" s="3">
        <f t="shared" si="258"/>
        <v>1.0098226932643093E-3</v>
      </c>
      <c r="T272" s="3">
        <f t="shared" si="258"/>
        <v>1.0098226932446993E-3</v>
      </c>
      <c r="U272" s="3">
        <f t="shared" si="258"/>
        <v>1.0098226930485997E-3</v>
      </c>
      <c r="V272" s="3">
        <f t="shared" si="258"/>
        <v>1.0098226910876037E-3</v>
      </c>
      <c r="W272" s="3">
        <f t="shared" si="258"/>
        <v>1.0098226714776444E-3</v>
      </c>
      <c r="X272" s="3">
        <f t="shared" si="258"/>
        <v>1.0098224753780716E-3</v>
      </c>
      <c r="Y272" s="3">
        <f t="shared" si="258"/>
        <v>1.0098205143844389E-3</v>
      </c>
      <c r="Z272" s="3">
        <f t="shared" si="258"/>
        <v>1.0098009046575565E-3</v>
      </c>
      <c r="AA272" s="3">
        <f t="shared" si="258"/>
        <v>1.009604828331607E-3</v>
      </c>
      <c r="AB272" s="3">
        <f t="shared" si="258"/>
        <v>1.0076461578555718E-3</v>
      </c>
      <c r="AC272" s="3">
        <f t="shared" si="258"/>
        <v>9.8826723553272714E-4</v>
      </c>
      <c r="AD272" s="3">
        <f t="shared" si="258"/>
        <v>8.1383776154831896E-4</v>
      </c>
      <c r="AE272" s="3">
        <f t="shared" si="258"/>
        <v>1.1672724468063447E-4</v>
      </c>
      <c r="AF272" s="3">
        <f t="shared" si="258"/>
        <v>4.30047281613873E-13</v>
      </c>
      <c r="AG272" s="3"/>
      <c r="AH272" s="3"/>
    </row>
    <row r="273" spans="1:34" x14ac:dyDescent="0.25">
      <c r="B273" s="3">
        <f t="shared" ref="B273:AF273" si="259">$C42*EXP(-B$246/$A42/EXP(-$E$126))</f>
        <v>3.5232790951536608E-3</v>
      </c>
      <c r="C273" s="3">
        <f t="shared" si="259"/>
        <v>3.5232790951536608E-3</v>
      </c>
      <c r="D273" s="3">
        <f t="shared" si="259"/>
        <v>3.5232790951536608E-3</v>
      </c>
      <c r="E273" s="3">
        <f t="shared" si="259"/>
        <v>3.5232790951536608E-3</v>
      </c>
      <c r="F273" s="3">
        <f t="shared" si="259"/>
        <v>3.5232790951536608E-3</v>
      </c>
      <c r="G273" s="3">
        <f t="shared" si="259"/>
        <v>3.5232790951536608E-3</v>
      </c>
      <c r="H273" s="3">
        <f t="shared" si="259"/>
        <v>3.5232790951536608E-3</v>
      </c>
      <c r="I273" s="3">
        <f t="shared" si="259"/>
        <v>3.5232790951536608E-3</v>
      </c>
      <c r="J273" s="3">
        <f t="shared" si="259"/>
        <v>3.5232790951536608E-3</v>
      </c>
      <c r="K273" s="3">
        <f t="shared" si="259"/>
        <v>3.5232790951536608E-3</v>
      </c>
      <c r="L273" s="3">
        <f t="shared" si="259"/>
        <v>3.5232790951536608E-3</v>
      </c>
      <c r="M273" s="3">
        <f t="shared" si="259"/>
        <v>3.5232790951536608E-3</v>
      </c>
      <c r="N273" s="3">
        <f t="shared" si="259"/>
        <v>3.5232790951536608E-3</v>
      </c>
      <c r="O273" s="3">
        <f t="shared" si="259"/>
        <v>3.5232790951536608E-3</v>
      </c>
      <c r="P273" s="3">
        <f t="shared" si="259"/>
        <v>3.5232790951536599E-3</v>
      </c>
      <c r="Q273" s="3">
        <f t="shared" si="259"/>
        <v>3.5232790951536534E-3</v>
      </c>
      <c r="R273" s="3">
        <f t="shared" si="259"/>
        <v>3.5232790951535849E-3</v>
      </c>
      <c r="S273" s="3">
        <f t="shared" si="259"/>
        <v>3.5232790951529006E-3</v>
      </c>
      <c r="T273" s="3">
        <f t="shared" si="259"/>
        <v>3.5232790951460584E-3</v>
      </c>
      <c r="U273" s="3">
        <f t="shared" si="259"/>
        <v>3.5232790950776396E-3</v>
      </c>
      <c r="V273" s="3">
        <f t="shared" si="259"/>
        <v>3.5232790943934464E-3</v>
      </c>
      <c r="W273" s="3">
        <f t="shared" si="259"/>
        <v>3.5232790875515166E-3</v>
      </c>
      <c r="X273" s="3">
        <f t="shared" si="259"/>
        <v>3.5232790191322182E-3</v>
      </c>
      <c r="Y273" s="3">
        <f t="shared" si="259"/>
        <v>3.5232783349393106E-3</v>
      </c>
      <c r="Z273" s="3">
        <f t="shared" si="259"/>
        <v>3.5232714930175375E-3</v>
      </c>
      <c r="AA273" s="3">
        <f t="shared" si="259"/>
        <v>3.5232030745305622E-3</v>
      </c>
      <c r="AB273" s="3">
        <f t="shared" si="259"/>
        <v>3.52251896273066E-3</v>
      </c>
      <c r="AC273" s="3">
        <f t="shared" si="259"/>
        <v>3.5156851464691269E-3</v>
      </c>
      <c r="AD273" s="3">
        <f t="shared" si="259"/>
        <v>3.4480719383663985E-3</v>
      </c>
      <c r="AE273" s="3">
        <f t="shared" si="259"/>
        <v>2.8394861704233386E-3</v>
      </c>
      <c r="AF273" s="3">
        <f t="shared" si="259"/>
        <v>4.0726224886851025E-4</v>
      </c>
      <c r="AG273" s="3"/>
      <c r="AH273" s="3"/>
    </row>
    <row r="274" spans="1:34" x14ac:dyDescent="0.25">
      <c r="B274" s="3">
        <f t="shared" ref="B274:AF274" si="260">$C43*EXP(-B$246/$A43/EXP(-$E$126))</f>
        <v>1.7526056431954549E-4</v>
      </c>
      <c r="C274" s="3">
        <f t="shared" si="260"/>
        <v>1.7526056431954549E-4</v>
      </c>
      <c r="D274" s="3">
        <f t="shared" si="260"/>
        <v>1.7526056431954549E-4</v>
      </c>
      <c r="E274" s="3">
        <f t="shared" si="260"/>
        <v>1.7526056431954549E-4</v>
      </c>
      <c r="F274" s="3">
        <f t="shared" si="260"/>
        <v>1.7526056431954549E-4</v>
      </c>
      <c r="G274" s="3">
        <f t="shared" si="260"/>
        <v>1.7526056431954549E-4</v>
      </c>
      <c r="H274" s="3">
        <f t="shared" si="260"/>
        <v>1.7526056431954549E-4</v>
      </c>
      <c r="I274" s="3">
        <f t="shared" si="260"/>
        <v>1.7526056431954549E-4</v>
      </c>
      <c r="J274" s="3">
        <f t="shared" si="260"/>
        <v>1.7526056431954549E-4</v>
      </c>
      <c r="K274" s="3">
        <f t="shared" si="260"/>
        <v>1.7526056431954549E-4</v>
      </c>
      <c r="L274" s="3">
        <f t="shared" si="260"/>
        <v>1.7526056431954549E-4</v>
      </c>
      <c r="M274" s="3">
        <f t="shared" si="260"/>
        <v>1.7526056431954549E-4</v>
      </c>
      <c r="N274" s="3">
        <f t="shared" si="260"/>
        <v>1.7526056431954549E-4</v>
      </c>
      <c r="O274" s="3">
        <f t="shared" si="260"/>
        <v>1.7526056431954549E-4</v>
      </c>
      <c r="P274" s="3">
        <f t="shared" si="260"/>
        <v>1.7526056431954549E-4</v>
      </c>
      <c r="Q274" s="3">
        <f t="shared" si="260"/>
        <v>1.7526056431954546E-4</v>
      </c>
      <c r="R274" s="3">
        <f t="shared" si="260"/>
        <v>1.7526056431954511E-4</v>
      </c>
      <c r="S274" s="3">
        <f t="shared" si="260"/>
        <v>1.7526056431954172E-4</v>
      </c>
      <c r="T274" s="3">
        <f t="shared" si="260"/>
        <v>1.7526056431950768E-4</v>
      </c>
      <c r="U274" s="3">
        <f t="shared" si="260"/>
        <v>1.7526056431916732E-4</v>
      </c>
      <c r="V274" s="3">
        <f t="shared" si="260"/>
        <v>1.7526056431576393E-4</v>
      </c>
      <c r="W274" s="3">
        <f t="shared" si="260"/>
        <v>1.7526056428172971E-4</v>
      </c>
      <c r="X274" s="3">
        <f t="shared" si="260"/>
        <v>1.7526056394138751E-4</v>
      </c>
      <c r="Y274" s="3">
        <f t="shared" si="260"/>
        <v>1.7526056053796573E-4</v>
      </c>
      <c r="Z274" s="3">
        <f t="shared" si="260"/>
        <v>1.7526052650375162E-4</v>
      </c>
      <c r="AA274" s="3">
        <f t="shared" si="260"/>
        <v>1.752601861619738E-4</v>
      </c>
      <c r="AB274" s="3">
        <f t="shared" si="260"/>
        <v>1.7525678278054607E-4</v>
      </c>
      <c r="AC274" s="3">
        <f t="shared" si="260"/>
        <v>1.7522275260102566E-4</v>
      </c>
      <c r="AD274" s="3">
        <f t="shared" si="260"/>
        <v>1.7488281402048579E-4</v>
      </c>
      <c r="AE274" s="3">
        <f t="shared" si="260"/>
        <v>1.7151949005791953E-4</v>
      </c>
      <c r="AF274" s="3">
        <f t="shared" si="260"/>
        <v>1.4124624679619241E-4</v>
      </c>
      <c r="AG274" s="3"/>
      <c r="AH274" s="3"/>
    </row>
    <row r="275" spans="1:34" x14ac:dyDescent="0.25">
      <c r="B275" s="3">
        <f t="shared" ref="B275:AF275" si="261">$C44*EXP(-B$246/$A44/EXP(-$E$126))</f>
        <v>0</v>
      </c>
      <c r="C275" s="3">
        <f t="shared" si="261"/>
        <v>0</v>
      </c>
      <c r="D275" s="3">
        <f t="shared" si="261"/>
        <v>0</v>
      </c>
      <c r="E275" s="3">
        <f t="shared" si="261"/>
        <v>0</v>
      </c>
      <c r="F275" s="3">
        <f t="shared" si="261"/>
        <v>0</v>
      </c>
      <c r="G275" s="3">
        <f t="shared" si="261"/>
        <v>0</v>
      </c>
      <c r="H275" s="3">
        <f t="shared" si="261"/>
        <v>0</v>
      </c>
      <c r="I275" s="3">
        <f t="shared" si="261"/>
        <v>0</v>
      </c>
      <c r="J275" s="3">
        <f t="shared" si="261"/>
        <v>0</v>
      </c>
      <c r="K275" s="3">
        <f t="shared" si="261"/>
        <v>0</v>
      </c>
      <c r="L275" s="3">
        <f t="shared" si="261"/>
        <v>0</v>
      </c>
      <c r="M275" s="3">
        <f t="shared" si="261"/>
        <v>0</v>
      </c>
      <c r="N275" s="3">
        <f t="shared" si="261"/>
        <v>0</v>
      </c>
      <c r="O275" s="3">
        <f t="shared" si="261"/>
        <v>0</v>
      </c>
      <c r="P275" s="3">
        <f t="shared" si="261"/>
        <v>0</v>
      </c>
      <c r="Q275" s="3">
        <f t="shared" si="261"/>
        <v>0</v>
      </c>
      <c r="R275" s="3">
        <f t="shared" si="261"/>
        <v>0</v>
      </c>
      <c r="S275" s="3">
        <f t="shared" si="261"/>
        <v>0</v>
      </c>
      <c r="T275" s="3">
        <f t="shared" si="261"/>
        <v>0</v>
      </c>
      <c r="U275" s="3">
        <f t="shared" si="261"/>
        <v>0</v>
      </c>
      <c r="V275" s="3">
        <f t="shared" si="261"/>
        <v>0</v>
      </c>
      <c r="W275" s="3">
        <f t="shared" si="261"/>
        <v>0</v>
      </c>
      <c r="X275" s="3">
        <f t="shared" si="261"/>
        <v>0</v>
      </c>
      <c r="Y275" s="3">
        <f t="shared" si="261"/>
        <v>0</v>
      </c>
      <c r="Z275" s="3">
        <f t="shared" si="261"/>
        <v>0</v>
      </c>
      <c r="AA275" s="3">
        <f t="shared" si="261"/>
        <v>0</v>
      </c>
      <c r="AB275" s="3">
        <f t="shared" si="261"/>
        <v>0</v>
      </c>
      <c r="AC275" s="3">
        <f t="shared" si="261"/>
        <v>0</v>
      </c>
      <c r="AD275" s="3">
        <f t="shared" si="261"/>
        <v>0</v>
      </c>
      <c r="AE275" s="3">
        <f t="shared" si="261"/>
        <v>0</v>
      </c>
      <c r="AF275" s="3">
        <f t="shared" si="261"/>
        <v>0</v>
      </c>
      <c r="AG275" s="3"/>
      <c r="AH275" s="3"/>
    </row>
    <row r="276" spans="1:34" x14ac:dyDescent="0.25">
      <c r="B276" s="3">
        <f t="shared" ref="B276:AF276" si="262">$C45*EXP(-B$246/$A45/EXP(-$E$126))</f>
        <v>1.1765348907566872E-4</v>
      </c>
      <c r="C276" s="3">
        <f t="shared" si="262"/>
        <v>1.1765348907566872E-4</v>
      </c>
      <c r="D276" s="3">
        <f t="shared" si="262"/>
        <v>1.1765348907566872E-4</v>
      </c>
      <c r="E276" s="3">
        <f t="shared" si="262"/>
        <v>1.1765348907566872E-4</v>
      </c>
      <c r="F276" s="3">
        <f t="shared" si="262"/>
        <v>1.1765348907566872E-4</v>
      </c>
      <c r="G276" s="3">
        <f t="shared" si="262"/>
        <v>1.1765348907566872E-4</v>
      </c>
      <c r="H276" s="3">
        <f t="shared" si="262"/>
        <v>1.1765348907566872E-4</v>
      </c>
      <c r="I276" s="3">
        <f t="shared" si="262"/>
        <v>1.1765348907566872E-4</v>
      </c>
      <c r="J276" s="3">
        <f t="shared" si="262"/>
        <v>1.1765348907566872E-4</v>
      </c>
      <c r="K276" s="3">
        <f t="shared" si="262"/>
        <v>1.1765348907566872E-4</v>
      </c>
      <c r="L276" s="3">
        <f t="shared" si="262"/>
        <v>1.1765348907566872E-4</v>
      </c>
      <c r="M276" s="3">
        <f t="shared" si="262"/>
        <v>1.1765348907566872E-4</v>
      </c>
      <c r="N276" s="3">
        <f t="shared" si="262"/>
        <v>1.1765348907566872E-4</v>
      </c>
      <c r="O276" s="3">
        <f t="shared" si="262"/>
        <v>1.1765348907566872E-4</v>
      </c>
      <c r="P276" s="3">
        <f t="shared" si="262"/>
        <v>1.1765348907566872E-4</v>
      </c>
      <c r="Q276" s="3">
        <f t="shared" si="262"/>
        <v>1.1765348907566872E-4</v>
      </c>
      <c r="R276" s="3">
        <f t="shared" si="262"/>
        <v>1.1765348907566872E-4</v>
      </c>
      <c r="S276" s="3">
        <f t="shared" si="262"/>
        <v>1.176534890756687E-4</v>
      </c>
      <c r="T276" s="3">
        <f t="shared" si="262"/>
        <v>1.1765348907566848E-4</v>
      </c>
      <c r="U276" s="3">
        <f t="shared" si="262"/>
        <v>1.1765348907566619E-4</v>
      </c>
      <c r="V276" s="3">
        <f t="shared" si="262"/>
        <v>1.1765348907564334E-4</v>
      </c>
      <c r="W276" s="3">
        <f t="shared" si="262"/>
        <v>1.1765348907541486E-4</v>
      </c>
      <c r="X276" s="3">
        <f t="shared" si="262"/>
        <v>1.1765348907313013E-4</v>
      </c>
      <c r="Y276" s="3">
        <f t="shared" si="262"/>
        <v>1.1765348905028275E-4</v>
      </c>
      <c r="Z276" s="3">
        <f t="shared" si="262"/>
        <v>1.1765348882180896E-4</v>
      </c>
      <c r="AA276" s="3">
        <f t="shared" si="262"/>
        <v>1.176534865370711E-4</v>
      </c>
      <c r="AB276" s="3">
        <f t="shared" si="262"/>
        <v>1.1765346368969494E-4</v>
      </c>
      <c r="AC276" s="3">
        <f t="shared" si="262"/>
        <v>1.1765323521617727E-4</v>
      </c>
      <c r="AD276" s="3">
        <f t="shared" si="262"/>
        <v>1.1765095050540287E-4</v>
      </c>
      <c r="AE276" s="3">
        <f t="shared" si="262"/>
        <v>1.1762810583769345E-4</v>
      </c>
      <c r="AF276" s="3">
        <f t="shared" si="262"/>
        <v>1.1739990298882537E-4</v>
      </c>
      <c r="AG276" s="3"/>
      <c r="AH276" s="3"/>
    </row>
    <row r="277" spans="1:34" x14ac:dyDescent="0.25">
      <c r="B277" s="3">
        <f t="shared" ref="B277:AF277" si="263">$C46*EXP(-B$246/$A46/EXP(-$E$126))</f>
        <v>0</v>
      </c>
      <c r="C277" s="3">
        <f t="shared" si="263"/>
        <v>0</v>
      </c>
      <c r="D277" s="3">
        <f t="shared" si="263"/>
        <v>0</v>
      </c>
      <c r="E277" s="3">
        <f t="shared" si="263"/>
        <v>0</v>
      </c>
      <c r="F277" s="3">
        <f t="shared" si="263"/>
        <v>0</v>
      </c>
      <c r="G277" s="3">
        <f t="shared" si="263"/>
        <v>0</v>
      </c>
      <c r="H277" s="3">
        <f t="shared" si="263"/>
        <v>0</v>
      </c>
      <c r="I277" s="3">
        <f t="shared" si="263"/>
        <v>0</v>
      </c>
      <c r="J277" s="3">
        <f t="shared" si="263"/>
        <v>0</v>
      </c>
      <c r="K277" s="3">
        <f t="shared" si="263"/>
        <v>0</v>
      </c>
      <c r="L277" s="3">
        <f t="shared" si="263"/>
        <v>0</v>
      </c>
      <c r="M277" s="3">
        <f t="shared" si="263"/>
        <v>0</v>
      </c>
      <c r="N277" s="3">
        <f t="shared" si="263"/>
        <v>0</v>
      </c>
      <c r="O277" s="3">
        <f t="shared" si="263"/>
        <v>0</v>
      </c>
      <c r="P277" s="3">
        <f t="shared" si="263"/>
        <v>0</v>
      </c>
      <c r="Q277" s="3">
        <f t="shared" si="263"/>
        <v>0</v>
      </c>
      <c r="R277" s="3">
        <f t="shared" si="263"/>
        <v>0</v>
      </c>
      <c r="S277" s="3">
        <f t="shared" si="263"/>
        <v>0</v>
      </c>
      <c r="T277" s="3">
        <f t="shared" si="263"/>
        <v>0</v>
      </c>
      <c r="U277" s="3">
        <f t="shared" si="263"/>
        <v>0</v>
      </c>
      <c r="V277" s="3">
        <f t="shared" si="263"/>
        <v>0</v>
      </c>
      <c r="W277" s="3">
        <f t="shared" si="263"/>
        <v>0</v>
      </c>
      <c r="X277" s="3">
        <f t="shared" si="263"/>
        <v>0</v>
      </c>
      <c r="Y277" s="3">
        <f t="shared" si="263"/>
        <v>0</v>
      </c>
      <c r="Z277" s="3">
        <f t="shared" si="263"/>
        <v>0</v>
      </c>
      <c r="AA277" s="3">
        <f t="shared" si="263"/>
        <v>0</v>
      </c>
      <c r="AB277" s="3">
        <f t="shared" si="263"/>
        <v>0</v>
      </c>
      <c r="AC277" s="3">
        <f t="shared" si="263"/>
        <v>0</v>
      </c>
      <c r="AD277" s="3">
        <f t="shared" si="263"/>
        <v>0</v>
      </c>
      <c r="AE277" s="3">
        <f t="shared" si="263"/>
        <v>0</v>
      </c>
      <c r="AF277" s="3">
        <f t="shared" si="263"/>
        <v>0</v>
      </c>
      <c r="AG277" s="3"/>
      <c r="AH277" s="3"/>
    </row>
    <row r="278" spans="1:34" x14ac:dyDescent="0.25">
      <c r="B278" s="3">
        <f t="shared" ref="B278:AF278" si="264">$C47*EXP(-B$246/$A47/EXP(-$E$126))</f>
        <v>6.5987032321069097E-5</v>
      </c>
      <c r="C278" s="3">
        <f t="shared" si="264"/>
        <v>6.5987032321069097E-5</v>
      </c>
      <c r="D278" s="3">
        <f t="shared" si="264"/>
        <v>6.5987032321069097E-5</v>
      </c>
      <c r="E278" s="3">
        <f t="shared" si="264"/>
        <v>6.5987032321069097E-5</v>
      </c>
      <c r="F278" s="3">
        <f t="shared" si="264"/>
        <v>6.5987032321069097E-5</v>
      </c>
      <c r="G278" s="3">
        <f t="shared" si="264"/>
        <v>6.5987032321069097E-5</v>
      </c>
      <c r="H278" s="3">
        <f t="shared" si="264"/>
        <v>6.5987032321069097E-5</v>
      </c>
      <c r="I278" s="3">
        <f t="shared" si="264"/>
        <v>6.5987032321069097E-5</v>
      </c>
      <c r="J278" s="3">
        <f t="shared" si="264"/>
        <v>6.5987032321069097E-5</v>
      </c>
      <c r="K278" s="3">
        <f t="shared" si="264"/>
        <v>6.5987032321069097E-5</v>
      </c>
      <c r="L278" s="3">
        <f t="shared" si="264"/>
        <v>6.5987032321069097E-5</v>
      </c>
      <c r="M278" s="3">
        <f t="shared" si="264"/>
        <v>6.5987032321069097E-5</v>
      </c>
      <c r="N278" s="3">
        <f t="shared" si="264"/>
        <v>6.5987032321069097E-5</v>
      </c>
      <c r="O278" s="3">
        <f t="shared" si="264"/>
        <v>6.5987032321069097E-5</v>
      </c>
      <c r="P278" s="3">
        <f t="shared" si="264"/>
        <v>6.5987032321069097E-5</v>
      </c>
      <c r="Q278" s="3">
        <f t="shared" si="264"/>
        <v>6.5987032321069097E-5</v>
      </c>
      <c r="R278" s="3">
        <f t="shared" si="264"/>
        <v>6.5987032321069097E-5</v>
      </c>
      <c r="S278" s="3">
        <f t="shared" si="264"/>
        <v>6.5987032321069097E-5</v>
      </c>
      <c r="T278" s="3">
        <f t="shared" si="264"/>
        <v>6.5987032321069097E-5</v>
      </c>
      <c r="U278" s="3">
        <f t="shared" si="264"/>
        <v>6.5987032321069083E-5</v>
      </c>
      <c r="V278" s="3">
        <f t="shared" si="264"/>
        <v>6.5987032321068961E-5</v>
      </c>
      <c r="W278" s="3">
        <f t="shared" si="264"/>
        <v>6.5987032321067674E-5</v>
      </c>
      <c r="X278" s="3">
        <f t="shared" si="264"/>
        <v>6.5987032321054867E-5</v>
      </c>
      <c r="Y278" s="3">
        <f t="shared" si="264"/>
        <v>6.5987032320926714E-5</v>
      </c>
      <c r="Z278" s="3">
        <f t="shared" si="264"/>
        <v>6.5987032319645309E-5</v>
      </c>
      <c r="AA278" s="3">
        <f t="shared" si="264"/>
        <v>6.5987032306831137E-5</v>
      </c>
      <c r="AB278" s="3">
        <f t="shared" si="264"/>
        <v>6.598703217868954E-5</v>
      </c>
      <c r="AC278" s="3">
        <f t="shared" si="264"/>
        <v>6.5987030897273472E-5</v>
      </c>
      <c r="AD278" s="3">
        <f t="shared" si="264"/>
        <v>6.5987018083114179E-5</v>
      </c>
      <c r="AE278" s="3">
        <f t="shared" si="264"/>
        <v>6.5986889941658183E-5</v>
      </c>
      <c r="AF278" s="3">
        <f t="shared" si="264"/>
        <v>6.5985608540784318E-5</v>
      </c>
      <c r="AG278" s="3"/>
      <c r="AH278" s="3"/>
    </row>
    <row r="279" spans="1:34" x14ac:dyDescent="0.25">
      <c r="B279" s="3">
        <f t="shared" ref="B279:AF279" si="265">$C48*EXP(-B$246/$A48/EXP(-$E$126))</f>
        <v>6.9850122094838041E-5</v>
      </c>
      <c r="C279" s="3">
        <f t="shared" si="265"/>
        <v>6.9850122094838041E-5</v>
      </c>
      <c r="D279" s="3">
        <f t="shared" si="265"/>
        <v>6.9850122094838041E-5</v>
      </c>
      <c r="E279" s="3">
        <f t="shared" si="265"/>
        <v>6.9850122094838041E-5</v>
      </c>
      <c r="F279" s="3">
        <f t="shared" si="265"/>
        <v>6.9850122094838041E-5</v>
      </c>
      <c r="G279" s="3">
        <f t="shared" si="265"/>
        <v>6.9850122094838041E-5</v>
      </c>
      <c r="H279" s="3">
        <f t="shared" si="265"/>
        <v>6.9850122094838041E-5</v>
      </c>
      <c r="I279" s="3">
        <f t="shared" si="265"/>
        <v>6.9850122094838041E-5</v>
      </c>
      <c r="J279" s="3">
        <f t="shared" si="265"/>
        <v>6.9850122094838041E-5</v>
      </c>
      <c r="K279" s="3">
        <f t="shared" si="265"/>
        <v>6.9850122094838041E-5</v>
      </c>
      <c r="L279" s="3">
        <f t="shared" si="265"/>
        <v>6.9850122094838041E-5</v>
      </c>
      <c r="M279" s="3">
        <f t="shared" si="265"/>
        <v>6.9850122094838041E-5</v>
      </c>
      <c r="N279" s="3">
        <f t="shared" si="265"/>
        <v>6.9850122094838041E-5</v>
      </c>
      <c r="O279" s="3">
        <f t="shared" si="265"/>
        <v>6.9850122094838041E-5</v>
      </c>
      <c r="P279" s="3">
        <f t="shared" si="265"/>
        <v>6.9850122094838041E-5</v>
      </c>
      <c r="Q279" s="3">
        <f t="shared" si="265"/>
        <v>6.9850122094838041E-5</v>
      </c>
      <c r="R279" s="3">
        <f t="shared" si="265"/>
        <v>6.9850122094838041E-5</v>
      </c>
      <c r="S279" s="3">
        <f t="shared" si="265"/>
        <v>6.9850122094838041E-5</v>
      </c>
      <c r="T279" s="3">
        <f t="shared" si="265"/>
        <v>6.9850122094838041E-5</v>
      </c>
      <c r="U279" s="3">
        <f t="shared" si="265"/>
        <v>6.9850122094838041E-5</v>
      </c>
      <c r="V279" s="3">
        <f t="shared" si="265"/>
        <v>6.9850122094838028E-5</v>
      </c>
      <c r="W279" s="3">
        <f t="shared" si="265"/>
        <v>6.9850122094837892E-5</v>
      </c>
      <c r="X279" s="3">
        <f t="shared" si="265"/>
        <v>6.9850122094836537E-5</v>
      </c>
      <c r="Y279" s="3">
        <f t="shared" si="265"/>
        <v>6.9850122094822971E-5</v>
      </c>
      <c r="Z279" s="3">
        <f t="shared" si="265"/>
        <v>6.9850122094687324E-5</v>
      </c>
      <c r="AA279" s="3">
        <f t="shared" si="265"/>
        <v>6.9850122093330892E-5</v>
      </c>
      <c r="AB279" s="3">
        <f t="shared" si="265"/>
        <v>6.9850122079766547E-5</v>
      </c>
      <c r="AC279" s="3">
        <f t="shared" si="265"/>
        <v>6.9850121944123124E-5</v>
      </c>
      <c r="AD279" s="3">
        <f t="shared" si="265"/>
        <v>6.9850120587688913E-5</v>
      </c>
      <c r="AE279" s="3">
        <f t="shared" si="265"/>
        <v>6.9850107023348168E-5</v>
      </c>
      <c r="AF279" s="3">
        <f t="shared" si="265"/>
        <v>6.9849971380085663E-5</v>
      </c>
      <c r="AG279" s="3"/>
      <c r="AH279" s="3"/>
    </row>
    <row r="280" spans="1:34" x14ac:dyDescent="0.25">
      <c r="A280" s="79">
        <f>AVERAGE(B280:AF280)</f>
        <v>1.8582890600290697E-2</v>
      </c>
      <c r="B280" s="80">
        <f>IF($D$61&lt;=B246,IF($E$61&gt;=B246,ABS((B248-B247)/B247),0),0)</f>
        <v>2.978076919471146E-3</v>
      </c>
      <c r="C280" s="80">
        <f t="shared" ref="C280:AF280" si="266">IF($D$61&lt;=C246,IF($E$61&gt;=C246,ABS((C248-C247)/C247),0),0)</f>
        <v>3.7802304617094492E-3</v>
      </c>
      <c r="D280" s="80">
        <f t="shared" si="266"/>
        <v>3.7751767700508333E-3</v>
      </c>
      <c r="E280" s="80">
        <f t="shared" si="266"/>
        <v>3.7736760572420875E-3</v>
      </c>
      <c r="F280" s="80">
        <f t="shared" si="266"/>
        <v>3.773227255034187E-3</v>
      </c>
      <c r="G280" s="80">
        <f t="shared" si="266"/>
        <v>3.7733081448815733E-3</v>
      </c>
      <c r="H280" s="80">
        <f t="shared" si="266"/>
        <v>3.7754126073039013E-3</v>
      </c>
      <c r="I280" s="80">
        <f t="shared" si="266"/>
        <v>3.7971287773985157E-3</v>
      </c>
      <c r="J280" s="80">
        <f t="shared" si="266"/>
        <v>4.0112414435571645E-3</v>
      </c>
      <c r="K280" s="80">
        <f t="shared" si="266"/>
        <v>5.8764333555929504E-3</v>
      </c>
      <c r="L280" s="80">
        <f t="shared" si="266"/>
        <v>1.381729119002444E-2</v>
      </c>
      <c r="M280" s="80">
        <f t="shared" si="266"/>
        <v>2.1458539927187281E-2</v>
      </c>
      <c r="N280" s="80">
        <f t="shared" si="266"/>
        <v>2.2803807763291026E-2</v>
      </c>
      <c r="O280" s="80">
        <f t="shared" si="266"/>
        <v>2.7522403281878809E-2</v>
      </c>
      <c r="P280" s="80">
        <f t="shared" si="266"/>
        <v>3.1803127105735095E-2</v>
      </c>
      <c r="Q280" s="80">
        <f t="shared" si="266"/>
        <v>3.4446836906417047E-2</v>
      </c>
      <c r="R280" s="80">
        <f t="shared" si="266"/>
        <v>4.3622639946533696E-2</v>
      </c>
      <c r="S280" s="80">
        <f t="shared" si="266"/>
        <v>2.9479779793304517E-2</v>
      </c>
      <c r="T280" s="80">
        <f t="shared" si="266"/>
        <v>1.0278453360961561E-2</v>
      </c>
      <c r="U280" s="80">
        <f t="shared" si="266"/>
        <v>5.903097559818607E-2</v>
      </c>
      <c r="V280" s="80">
        <f t="shared" si="266"/>
        <v>9.2093713677105893E-2</v>
      </c>
      <c r="W280" s="80">
        <f t="shared" si="266"/>
        <v>6.7449589398672183E-2</v>
      </c>
      <c r="X280" s="80">
        <f t="shared" si="266"/>
        <v>7.3271618753043347E-3</v>
      </c>
      <c r="Y280" s="80">
        <f t="shared" si="266"/>
        <v>7.5621376992167852E-2</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375.16847580002155</v>
      </c>
      <c r="C281" s="21">
        <f t="shared" ref="C281:AF281" si="267">(C248-C247)^2</f>
        <v>604.50263280883746</v>
      </c>
      <c r="D281" s="21">
        <f t="shared" si="267"/>
        <v>602.88130854284168</v>
      </c>
      <c r="E281" s="21">
        <f t="shared" si="267"/>
        <v>602.40026965609195</v>
      </c>
      <c r="F281" s="21">
        <f t="shared" si="267"/>
        <v>602.25641858608822</v>
      </c>
      <c r="G281" s="21">
        <f t="shared" si="267"/>
        <v>602.28203508429044</v>
      </c>
      <c r="H281" s="21">
        <f t="shared" si="267"/>
        <v>602.95354305259445</v>
      </c>
      <c r="I281" s="21">
        <f t="shared" si="267"/>
        <v>609.90574312024057</v>
      </c>
      <c r="J281" s="21">
        <f t="shared" si="267"/>
        <v>680.58189643578078</v>
      </c>
      <c r="K281" s="21">
        <f t="shared" si="267"/>
        <v>1459.6870798065311</v>
      </c>
      <c r="L281" s="21">
        <f t="shared" si="267"/>
        <v>8019.7551695827306</v>
      </c>
      <c r="M281" s="21">
        <f t="shared" si="267"/>
        <v>18653.327236597048</v>
      </c>
      <c r="N281" s="21">
        <f t="shared" si="267"/>
        <v>20115.607373910472</v>
      </c>
      <c r="O281" s="21">
        <f t="shared" si="267"/>
        <v>27817.294120765921</v>
      </c>
      <c r="P281" s="21">
        <f t="shared" si="267"/>
        <v>34858.550527433217</v>
      </c>
      <c r="Q281" s="21">
        <f t="shared" si="267"/>
        <v>38135.717247555796</v>
      </c>
      <c r="R281" s="21">
        <f t="shared" si="267"/>
        <v>55972.197241686845</v>
      </c>
      <c r="S281" s="21">
        <f t="shared" si="267"/>
        <v>22294.122358388435</v>
      </c>
      <c r="T281" s="21">
        <f t="shared" si="267"/>
        <v>2216.2645210547221</v>
      </c>
      <c r="U281" s="21">
        <f t="shared" si="267"/>
        <v>58173.906640760681</v>
      </c>
      <c r="V281" s="21">
        <f t="shared" si="267"/>
        <v>112478.32697058706</v>
      </c>
      <c r="W281" s="21">
        <f t="shared" si="267"/>
        <v>47512.699875102189</v>
      </c>
      <c r="X281" s="21">
        <f t="shared" si="267"/>
        <v>416.62621501593469</v>
      </c>
      <c r="Y281" s="21">
        <f t="shared" si="267"/>
        <v>30123.994634160554</v>
      </c>
      <c r="Z281" s="21">
        <f t="shared" si="267"/>
        <v>92673.259569534508</v>
      </c>
      <c r="AA281" s="21">
        <f t="shared" si="267"/>
        <v>83777.167127409688</v>
      </c>
      <c r="AB281" s="21">
        <f t="shared" si="267"/>
        <v>35231.600972426953</v>
      </c>
      <c r="AC281" s="21">
        <f t="shared" si="267"/>
        <v>19610.746608772828</v>
      </c>
      <c r="AD281" s="21">
        <f t="shared" si="267"/>
        <v>3800.6653060887197</v>
      </c>
      <c r="AE281" s="21">
        <f t="shared" si="267"/>
        <v>144.80347796813908</v>
      </c>
      <c r="AF281" s="21">
        <f t="shared" si="267"/>
        <v>77.777333204650802</v>
      </c>
      <c r="AG281" s="3"/>
      <c r="AH281" s="3"/>
    </row>
    <row r="282" spans="1:34" s="3" customFormat="1" x14ac:dyDescent="0.25">
      <c r="A282" s="71">
        <f>SUM(B282:AF282)</f>
        <v>483531.00953549496</v>
      </c>
      <c r="B282" s="21">
        <f>IF($D$61&lt;=B246,IF($E$61&gt;=B246,ABS(B281),0),0)</f>
        <v>375.16847580002155</v>
      </c>
      <c r="C282" s="21">
        <f t="shared" ref="C282:AF282" si="268">IF($D$61&lt;=C246,IF($E$61&gt;=C246,ABS(C281),0),0)</f>
        <v>604.50263280883746</v>
      </c>
      <c r="D282" s="21">
        <f t="shared" si="268"/>
        <v>602.88130854284168</v>
      </c>
      <c r="E282" s="21">
        <f t="shared" si="268"/>
        <v>602.40026965609195</v>
      </c>
      <c r="F282" s="21">
        <f t="shared" si="268"/>
        <v>602.25641858608822</v>
      </c>
      <c r="G282" s="21">
        <f t="shared" si="268"/>
        <v>602.28203508429044</v>
      </c>
      <c r="H282" s="21">
        <f t="shared" si="268"/>
        <v>602.95354305259445</v>
      </c>
      <c r="I282" s="21">
        <f t="shared" si="268"/>
        <v>609.90574312024057</v>
      </c>
      <c r="J282" s="21">
        <f t="shared" si="268"/>
        <v>680.58189643578078</v>
      </c>
      <c r="K282" s="21">
        <f t="shared" si="268"/>
        <v>1459.6870798065311</v>
      </c>
      <c r="L282" s="21">
        <f t="shared" si="268"/>
        <v>8019.7551695827306</v>
      </c>
      <c r="M282" s="21">
        <f t="shared" si="268"/>
        <v>18653.327236597048</v>
      </c>
      <c r="N282" s="21">
        <f t="shared" si="268"/>
        <v>20115.607373910472</v>
      </c>
      <c r="O282" s="21">
        <f t="shared" si="268"/>
        <v>27817.294120765921</v>
      </c>
      <c r="P282" s="21">
        <f t="shared" si="268"/>
        <v>34858.550527433217</v>
      </c>
      <c r="Q282" s="21">
        <f t="shared" si="268"/>
        <v>38135.717247555796</v>
      </c>
      <c r="R282" s="21">
        <f t="shared" si="268"/>
        <v>55972.197241686845</v>
      </c>
      <c r="S282" s="21">
        <f t="shared" si="268"/>
        <v>22294.122358388435</v>
      </c>
      <c r="T282" s="21">
        <f t="shared" si="268"/>
        <v>2216.2645210547221</v>
      </c>
      <c r="U282" s="21">
        <f t="shared" si="268"/>
        <v>58173.906640760681</v>
      </c>
      <c r="V282" s="21">
        <f t="shared" si="268"/>
        <v>112478.32697058706</v>
      </c>
      <c r="W282" s="21">
        <f t="shared" si="268"/>
        <v>47512.699875102189</v>
      </c>
      <c r="X282" s="21">
        <f t="shared" si="268"/>
        <v>416.62621501593469</v>
      </c>
      <c r="Y282" s="21">
        <f t="shared" si="268"/>
        <v>30123.994634160554</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6479.0859474371819</v>
      </c>
      <c r="C286" s="26">
        <f>INDEX(Comparison!$AM$3:$AS$33,G$14,$F$122)</f>
        <v>6479.1324839978006</v>
      </c>
      <c r="D286" s="26">
        <f>INDEX(Comparison!$AM$3:$AS$33,H$14,$F$122)</f>
        <v>6479.041978197979</v>
      </c>
      <c r="E286" s="26">
        <f>INDEX(Comparison!$AM$3:$AS$33,I$14,$F$122)</f>
        <v>6478.4539559822069</v>
      </c>
      <c r="F286" s="26">
        <f>INDEX(Comparison!$AM$3:$AS$33,J$14,$F$122)</f>
        <v>6472.7726535549082</v>
      </c>
      <c r="G286" s="26">
        <f>INDEX(Comparison!$AM$3:$AS$33,K$14,$F$122)</f>
        <v>6425.3224026678754</v>
      </c>
      <c r="H286" s="26">
        <f>INDEX(Comparison!$AM$3:$AS$33,L$14,$F$122)</f>
        <v>6280.1372572444334</v>
      </c>
      <c r="I286" s="26">
        <f>INDEX(Comparison!$AM$3:$AS$33,M$14,$F$122)</f>
        <v>6130.7451181848783</v>
      </c>
      <c r="J286" s="26">
        <f>INDEX(Comparison!$AM$3:$AS$33,N$14,$F$122)</f>
        <v>5959.459898848826</v>
      </c>
      <c r="K286" s="26">
        <f>INDEX(Comparison!$AM$3:$AS$33,O$14,$F$122)</f>
        <v>5758.6320512376351</v>
      </c>
      <c r="L286" s="26">
        <f>INDEX(Comparison!$AM$3:$AS$33,P$14,$F$122)</f>
        <v>5553.7107715147085</v>
      </c>
      <c r="M286" s="26">
        <f>INDEX(Comparison!$AM$3:$AS$33,Q$14,$F$122)</f>
        <v>5296.2160470219478</v>
      </c>
      <c r="N286" s="26">
        <f>INDEX(Comparison!$AM$3:$AS$33,R$14,$F$122)</f>
        <v>5014.3504980568096</v>
      </c>
      <c r="O286" s="26">
        <f>INDEX(Comparison!$AM$3:$AS$33,S$14,$F$122)</f>
        <v>4737.7084148388376</v>
      </c>
      <c r="P286" s="26">
        <f>INDEX(Comparison!$AM$3:$AS$33,T$14,$F$122)</f>
        <v>4438.626264954587</v>
      </c>
      <c r="Q286" s="26">
        <f>INDEX(Comparison!$AM$3:$AS$33,U$14,$F$122)</f>
        <v>4115.3629839514006</v>
      </c>
      <c r="R286" s="26">
        <f>INDEX(Comparison!$AM$3:$AS$33,V$14,$F$122)</f>
        <v>3662.5886079597385</v>
      </c>
      <c r="S286" s="26">
        <f>INDEX(Comparison!$AM$3:$AS$33,W$14,$F$122)</f>
        <v>3039.7716426269371</v>
      </c>
      <c r="T286" s="26">
        <f>INDEX(Comparison!$AM$3:$AS$33,X$14,$F$122)</f>
        <v>2356.5178874385392</v>
      </c>
      <c r="U286" s="26">
        <f>INDEX(Comparison!$AM$3:$AS$33,Y$14,$F$122)</f>
        <v>1664.6092730189016</v>
      </c>
      <c r="V286" s="26">
        <f>INDEX(Comparison!$AM$3:$AS$33,Z$14,$F$122)</f>
        <v>1039.9214556238178</v>
      </c>
      <c r="W286" s="26">
        <f>INDEX(Comparison!$AM$3:$AS$33,AA$14,$F$122)</f>
        <v>595.89522173414423</v>
      </c>
      <c r="X286" s="26">
        <f>INDEX(Comparison!$AM$3:$AS$33,AB$14,$F$122)</f>
        <v>331.71701217899948</v>
      </c>
      <c r="Y286" s="26">
        <f>INDEX(Comparison!$AM$3:$AS$33,AC$14,$F$122)</f>
        <v>192.72704730170403</v>
      </c>
      <c r="Z286" s="26">
        <f>INDEX(Comparison!$AM$3:$AS$33,AD$14,$F$122)</f>
        <v>148.89299884614732</v>
      </c>
      <c r="AA286" s="26">
        <f>INDEX(Comparison!$AM$3:$AS$33,AE$14,$F$122)</f>
        <v>134.12130031566326</v>
      </c>
      <c r="AB286" s="26">
        <f>INDEX(Comparison!$AM$3:$AS$33,AF$14,$F$122)</f>
        <v>124.90206072555479</v>
      </c>
      <c r="AC286" s="26">
        <f>INDEX(Comparison!$AM$3:$AS$33,AG$14,$F$122)</f>
        <v>124.64007063602084</v>
      </c>
      <c r="AD286" s="26">
        <f>INDEX(Comparison!$AM$3:$AS$33,AH$14,$F$122)</f>
        <v>123.89500698166064</v>
      </c>
      <c r="AE286" s="26">
        <f>INDEX(Comparison!$AM$3:$AS$33,AI$14,$F$122)</f>
        <v>123.88320178471095</v>
      </c>
      <c r="AF286" s="26">
        <f>INDEX(Comparison!$AM$3:$AS$33,AJ$14,$F$122)</f>
        <v>123.47472292148701</v>
      </c>
      <c r="AG286" s="26"/>
      <c r="AH286" s="26"/>
    </row>
    <row r="287" spans="1:34" x14ac:dyDescent="0.25">
      <c r="A287" s="70" t="s">
        <v>22</v>
      </c>
      <c r="B287" s="27">
        <f>($C$17+SUM(B288:B318))*$B$51</f>
        <v>6479.4168420146907</v>
      </c>
      <c r="C287" s="27">
        <f t="shared" ref="C287:AF287" si="269">($C$17+SUM(C288:C318))*$B$51</f>
        <v>6479.4092700429064</v>
      </c>
      <c r="D287" s="27">
        <f t="shared" si="269"/>
        <v>6479.3335951039044</v>
      </c>
      <c r="E287" s="27">
        <f t="shared" si="269"/>
        <v>6478.5812970212164</v>
      </c>
      <c r="F287" s="27">
        <f t="shared" si="269"/>
        <v>6471.4780699366693</v>
      </c>
      <c r="G287" s="27">
        <f t="shared" si="269"/>
        <v>6425.6181276512525</v>
      </c>
      <c r="H287" s="27">
        <f t="shared" si="269"/>
        <v>6280.1254055873014</v>
      </c>
      <c r="I287" s="27">
        <f t="shared" si="269"/>
        <v>6130.6631083115117</v>
      </c>
      <c r="J287" s="27">
        <f t="shared" si="269"/>
        <v>5959.6544149147976</v>
      </c>
      <c r="K287" s="27">
        <f t="shared" si="269"/>
        <v>5758.2234110906811</v>
      </c>
      <c r="L287" s="27">
        <f t="shared" si="269"/>
        <v>5554.4011822453831</v>
      </c>
      <c r="M287" s="27">
        <f t="shared" si="269"/>
        <v>5295.2241140663546</v>
      </c>
      <c r="N287" s="27">
        <f t="shared" si="269"/>
        <v>5015.5520173302257</v>
      </c>
      <c r="O287" s="27">
        <f t="shared" si="269"/>
        <v>4736.434192381339</v>
      </c>
      <c r="P287" s="27">
        <f t="shared" si="269"/>
        <v>4439.7671183589837</v>
      </c>
      <c r="Q287" s="27">
        <f t="shared" si="269"/>
        <v>4114.4765792083581</v>
      </c>
      <c r="R287" s="27">
        <f t="shared" si="269"/>
        <v>3663.1719665539763</v>
      </c>
      <c r="S287" s="27">
        <f t="shared" si="269"/>
        <v>3039.4188931680615</v>
      </c>
      <c r="T287" s="27">
        <f t="shared" si="269"/>
        <v>2356.6782636235766</v>
      </c>
      <c r="U287" s="27">
        <f t="shared" si="269"/>
        <v>1664.533098224249</v>
      </c>
      <c r="V287" s="27">
        <f t="shared" si="269"/>
        <v>1039.944854555554</v>
      </c>
      <c r="W287" s="27">
        <f t="shared" si="269"/>
        <v>595.87787258468143</v>
      </c>
      <c r="X287" s="27">
        <f t="shared" si="269"/>
        <v>331.72634039578111</v>
      </c>
      <c r="Y287" s="27">
        <f t="shared" si="269"/>
        <v>192.6998896870258</v>
      </c>
      <c r="Z287" s="27">
        <f t="shared" si="269"/>
        <v>148.93380358133584</v>
      </c>
      <c r="AA287" s="27">
        <f t="shared" si="269"/>
        <v>134.0648584626768</v>
      </c>
      <c r="AB287" s="27">
        <f t="shared" si="269"/>
        <v>124.98881336070936</v>
      </c>
      <c r="AC287" s="27">
        <f t="shared" si="269"/>
        <v>124.50135750188259</v>
      </c>
      <c r="AD287" s="27">
        <f t="shared" si="269"/>
        <v>124.08487657839991</v>
      </c>
      <c r="AE287" s="27">
        <f t="shared" si="269"/>
        <v>123.76177757710495</v>
      </c>
      <c r="AF287" s="27">
        <f t="shared" si="269"/>
        <v>123.49174274110352</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0</v>
      </c>
      <c r="C289" s="3">
        <f t="shared" si="271"/>
        <v>0</v>
      </c>
      <c r="D289" s="3">
        <f t="shared" si="271"/>
        <v>0</v>
      </c>
      <c r="E289" s="3">
        <f t="shared" si="271"/>
        <v>0</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0</v>
      </c>
      <c r="C290" s="3">
        <f t="shared" si="272"/>
        <v>0</v>
      </c>
      <c r="D290" s="3">
        <f t="shared" si="272"/>
        <v>0</v>
      </c>
      <c r="E290" s="3">
        <f t="shared" si="272"/>
        <v>0</v>
      </c>
      <c r="F290" s="3">
        <f t="shared" si="272"/>
        <v>0</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0</v>
      </c>
      <c r="C291" s="3">
        <f t="shared" si="273"/>
        <v>0</v>
      </c>
      <c r="D291" s="3">
        <f t="shared" si="273"/>
        <v>0</v>
      </c>
      <c r="E291" s="3">
        <f t="shared" si="273"/>
        <v>0</v>
      </c>
      <c r="F291" s="3">
        <f t="shared" si="273"/>
        <v>0</v>
      </c>
      <c r="G291" s="3">
        <f t="shared" si="273"/>
        <v>0</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4.1305922290606825E-3</v>
      </c>
      <c r="C292" s="3">
        <f t="shared" si="274"/>
        <v>4.1298932364550464E-3</v>
      </c>
      <c r="D292" s="3">
        <f t="shared" si="274"/>
        <v>4.122909812819449E-3</v>
      </c>
      <c r="E292" s="3">
        <f t="shared" si="274"/>
        <v>4.0537217652256968E-3</v>
      </c>
      <c r="F292" s="3">
        <f t="shared" si="274"/>
        <v>3.4225906196771148E-3</v>
      </c>
      <c r="G292" s="3">
        <f t="shared" si="274"/>
        <v>6.3003568072511412E-4</v>
      </c>
      <c r="H292" s="3">
        <f t="shared" si="274"/>
        <v>2.8149263925950019E-11</v>
      </c>
      <c r="I292" s="3">
        <f t="shared" si="274"/>
        <v>8.9224889327231181E-85</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2.799747774043607E-2</v>
      </c>
      <c r="C293" s="3">
        <f t="shared" si="275"/>
        <v>2.7997050316154185E-2</v>
      </c>
      <c r="D293" s="3">
        <f t="shared" si="275"/>
        <v>2.7992776432209578E-2</v>
      </c>
      <c r="E293" s="3">
        <f t="shared" si="275"/>
        <v>2.7950073459923095E-2</v>
      </c>
      <c r="F293" s="3">
        <f t="shared" si="275"/>
        <v>2.7526610275354465E-2</v>
      </c>
      <c r="G293" s="3">
        <f t="shared" si="275"/>
        <v>2.3629282726881889E-2</v>
      </c>
      <c r="H293" s="3">
        <f t="shared" si="275"/>
        <v>5.1336775235122515E-3</v>
      </c>
      <c r="I293" s="3">
        <f t="shared" si="275"/>
        <v>1.2028432724733439E-9</v>
      </c>
      <c r="J293" s="3">
        <f t="shared" si="275"/>
        <v>5.9980990429446234E-76</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2.1979594267692734E-2</v>
      </c>
      <c r="C294" s="3">
        <f t="shared" si="276"/>
        <v>2.1979563997892072E-2</v>
      </c>
      <c r="D294" s="3">
        <f t="shared" si="276"/>
        <v>2.1979261302178227E-2</v>
      </c>
      <c r="E294" s="3">
        <f t="shared" si="276"/>
        <v>2.1976234574305031E-2</v>
      </c>
      <c r="F294" s="3">
        <f t="shared" si="276"/>
        <v>2.1945990210419136E-2</v>
      </c>
      <c r="G294" s="3">
        <f t="shared" si="276"/>
        <v>2.1645826422658616E-2</v>
      </c>
      <c r="H294" s="3">
        <f t="shared" si="276"/>
        <v>1.886097222220829E-2</v>
      </c>
      <c r="I294" s="3">
        <f t="shared" si="276"/>
        <v>4.7584237528727705E-3</v>
      </c>
      <c r="J294" s="3">
        <f t="shared" si="276"/>
        <v>4.9711115372687477E-9</v>
      </c>
      <c r="K294" s="3">
        <f t="shared" si="276"/>
        <v>7.6976371527932231E-69</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2.8250917969970375E-2</v>
      </c>
      <c r="C295" s="3">
        <f t="shared" si="277"/>
        <v>2.8250914460275865E-2</v>
      </c>
      <c r="D295" s="3">
        <f t="shared" si="277"/>
        <v>2.825087936335471E-2</v>
      </c>
      <c r="E295" s="3">
        <f t="shared" si="277"/>
        <v>2.8250528396541276E-2</v>
      </c>
      <c r="F295" s="3">
        <f t="shared" si="277"/>
        <v>2.8247018968205521E-2</v>
      </c>
      <c r="G295" s="3">
        <f t="shared" si="277"/>
        <v>2.8211948653688746E-2</v>
      </c>
      <c r="H295" s="3">
        <f t="shared" si="277"/>
        <v>2.7863631411550335E-2</v>
      </c>
      <c r="I295" s="3">
        <f t="shared" si="277"/>
        <v>2.4608437208666539E-2</v>
      </c>
      <c r="J295" s="3">
        <f t="shared" si="277"/>
        <v>7.1047239832374067E-3</v>
      </c>
      <c r="K295" s="3">
        <f t="shared" si="277"/>
        <v>2.8587683981503159E-8</v>
      </c>
      <c r="L295" s="3">
        <f t="shared" si="277"/>
        <v>3.1805087529153888E-62</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3.443790296759363E-2</v>
      </c>
      <c r="C296" s="3">
        <f t="shared" si="278"/>
        <v>3.4437902581653392E-2</v>
      </c>
      <c r="D296" s="3">
        <f t="shared" si="278"/>
        <v>3.4437898722251198E-2</v>
      </c>
      <c r="E296" s="3">
        <f t="shared" si="278"/>
        <v>3.4437860128253041E-2</v>
      </c>
      <c r="F296" s="3">
        <f t="shared" si="278"/>
        <v>3.4437474190650366E-2</v>
      </c>
      <c r="G296" s="3">
        <f t="shared" si="278"/>
        <v>3.4433615052497132E-2</v>
      </c>
      <c r="H296" s="3">
        <f t="shared" si="278"/>
        <v>3.4395047448457415E-2</v>
      </c>
      <c r="I296" s="3">
        <f t="shared" si="278"/>
        <v>3.401173932739212E-2</v>
      </c>
      <c r="J296" s="3">
        <f t="shared" si="278"/>
        <v>3.0405918835703056E-2</v>
      </c>
      <c r="K296" s="3">
        <f t="shared" si="278"/>
        <v>9.914048329531024E-3</v>
      </c>
      <c r="L296" s="3">
        <f t="shared" si="278"/>
        <v>1.3464183746391628E-7</v>
      </c>
      <c r="M296" s="3">
        <f t="shared" si="278"/>
        <v>2.8738891406629078E-56</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2.9401070004149672E-2</v>
      </c>
      <c r="C297" s="3">
        <f t="shared" si="279"/>
        <v>2.9401069974426642E-2</v>
      </c>
      <c r="D297" s="3">
        <f t="shared" si="279"/>
        <v>2.9401069677196332E-2</v>
      </c>
      <c r="E297" s="3">
        <f t="shared" si="279"/>
        <v>2.9401066704893394E-2</v>
      </c>
      <c r="F297" s="3">
        <f t="shared" si="279"/>
        <v>2.940103698188053E-2</v>
      </c>
      <c r="G297" s="3">
        <f t="shared" si="279"/>
        <v>2.9400739753404601E-2</v>
      </c>
      <c r="H297" s="3">
        <f t="shared" si="279"/>
        <v>2.939776763390526E-2</v>
      </c>
      <c r="I297" s="3">
        <f t="shared" si="279"/>
        <v>2.9368062958730078E-2</v>
      </c>
      <c r="J297" s="3">
        <f t="shared" si="279"/>
        <v>2.9072662026207074E-2</v>
      </c>
      <c r="K297" s="3">
        <f t="shared" si="279"/>
        <v>2.6277241360076628E-2</v>
      </c>
      <c r="L297" s="3">
        <f t="shared" si="279"/>
        <v>9.5615758739036015E-3</v>
      </c>
      <c r="M297" s="3">
        <f t="shared" si="279"/>
        <v>3.8906891214496016E-7</v>
      </c>
      <c r="N297" s="3">
        <f t="shared" si="279"/>
        <v>4.8416911330422768E-51</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4.9041908611046917E-2</v>
      </c>
      <c r="C298" s="3">
        <f t="shared" si="280"/>
        <v>4.904190860657448E-2</v>
      </c>
      <c r="D298" s="3">
        <f t="shared" si="280"/>
        <v>4.9041908561850145E-2</v>
      </c>
      <c r="E298" s="3">
        <f t="shared" si="280"/>
        <v>4.9041908114606771E-2</v>
      </c>
      <c r="F298" s="3">
        <f t="shared" si="280"/>
        <v>4.9041903642173271E-2</v>
      </c>
      <c r="G298" s="3">
        <f t="shared" si="280"/>
        <v>4.9041858917860698E-2</v>
      </c>
      <c r="H298" s="3">
        <f t="shared" si="280"/>
        <v>4.9041411676978189E-2</v>
      </c>
      <c r="I298" s="3">
        <f t="shared" si="280"/>
        <v>4.9036939492472585E-2</v>
      </c>
      <c r="J298" s="3">
        <f t="shared" si="280"/>
        <v>4.8992240071791385E-2</v>
      </c>
      <c r="K298" s="3">
        <f t="shared" si="280"/>
        <v>4.8547480754324607E-2</v>
      </c>
      <c r="L298" s="3">
        <f t="shared" si="280"/>
        <v>4.4316015860647012E-2</v>
      </c>
      <c r="M298" s="3">
        <f t="shared" si="280"/>
        <v>1.7803312622522962E-2</v>
      </c>
      <c r="N298" s="3">
        <f t="shared" si="280"/>
        <v>1.9494042430324763E-6</v>
      </c>
      <c r="O298" s="3">
        <f t="shared" si="280"/>
        <v>4.829618170178452E-46</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4.1789859080308842E-2</v>
      </c>
      <c r="C299" s="3">
        <f t="shared" si="281"/>
        <v>4.1789859079965054E-2</v>
      </c>
      <c r="D299" s="3">
        <f t="shared" si="281"/>
        <v>4.1789859076527144E-2</v>
      </c>
      <c r="E299" s="3">
        <f t="shared" si="281"/>
        <v>4.1789859042148082E-2</v>
      </c>
      <c r="F299" s="3">
        <f t="shared" si="281"/>
        <v>4.178985869835744E-2</v>
      </c>
      <c r="G299" s="3">
        <f t="shared" si="281"/>
        <v>4.1789855260451196E-2</v>
      </c>
      <c r="H299" s="3">
        <f t="shared" si="281"/>
        <v>4.1789820881404365E-2</v>
      </c>
      <c r="I299" s="3">
        <f t="shared" si="281"/>
        <v>4.1789477092491499E-2</v>
      </c>
      <c r="J299" s="3">
        <f t="shared" si="281"/>
        <v>4.1786039358911196E-2</v>
      </c>
      <c r="K299" s="3">
        <f t="shared" si="281"/>
        <v>4.1751677573201862E-2</v>
      </c>
      <c r="L299" s="3">
        <f t="shared" si="281"/>
        <v>4.1409610002644336E-2</v>
      </c>
      <c r="M299" s="3">
        <f t="shared" si="281"/>
        <v>3.8139346140048887E-2</v>
      </c>
      <c r="N299" s="3">
        <f t="shared" si="281"/>
        <v>1.6753064959350149E-2</v>
      </c>
      <c r="O299" s="3">
        <f t="shared" si="281"/>
        <v>4.4802738935134597E-6</v>
      </c>
      <c r="P299" s="3">
        <f t="shared" si="281"/>
        <v>8.3831548106821785E-42</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4.6925793493943067E-2</v>
      </c>
      <c r="C300" s="3">
        <f t="shared" si="282"/>
        <v>4.6925793493908248E-2</v>
      </c>
      <c r="D300" s="3">
        <f t="shared" si="282"/>
        <v>4.6925793493559999E-2</v>
      </c>
      <c r="E300" s="3">
        <f t="shared" si="282"/>
        <v>4.6925793490077583E-2</v>
      </c>
      <c r="F300" s="3">
        <f t="shared" si="282"/>
        <v>4.6925793455253363E-2</v>
      </c>
      <c r="G300" s="3">
        <f t="shared" si="282"/>
        <v>4.6925793107011199E-2</v>
      </c>
      <c r="H300" s="3">
        <f t="shared" si="282"/>
        <v>4.6925789624589667E-2</v>
      </c>
      <c r="I300" s="3">
        <f t="shared" si="282"/>
        <v>4.692575480038854E-2</v>
      </c>
      <c r="J300" s="3">
        <f t="shared" si="282"/>
        <v>4.6925406559798676E-2</v>
      </c>
      <c r="K300" s="3">
        <f t="shared" si="282"/>
        <v>4.6921924296034846E-2</v>
      </c>
      <c r="L300" s="3">
        <f t="shared" si="282"/>
        <v>4.6887115867978245E-2</v>
      </c>
      <c r="M300" s="3">
        <f t="shared" si="282"/>
        <v>4.654044865161866E-2</v>
      </c>
      <c r="N300" s="3">
        <f t="shared" si="282"/>
        <v>4.321166794494697E-2</v>
      </c>
      <c r="O300" s="3">
        <f t="shared" si="282"/>
        <v>2.0573381324910801E-2</v>
      </c>
      <c r="P300" s="3">
        <f t="shared" si="282"/>
        <v>1.2312666938125535E-5</v>
      </c>
      <c r="Q300" s="3">
        <f t="shared" si="282"/>
        <v>7.2579954640187616E-38</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4.7062467056074704E-2</v>
      </c>
      <c r="C301" s="3">
        <f t="shared" si="283"/>
        <v>4.7062467056071547E-2</v>
      </c>
      <c r="D301" s="3">
        <f t="shared" si="283"/>
        <v>4.7062467056040044E-2</v>
      </c>
      <c r="E301" s="3">
        <f t="shared" si="283"/>
        <v>4.7062467055724991E-2</v>
      </c>
      <c r="F301" s="3">
        <f t="shared" si="283"/>
        <v>4.70624670525744E-2</v>
      </c>
      <c r="G301" s="3">
        <f t="shared" si="283"/>
        <v>4.7062467021068567E-2</v>
      </c>
      <c r="H301" s="3">
        <f t="shared" si="283"/>
        <v>4.7062466706010206E-2</v>
      </c>
      <c r="I301" s="3">
        <f t="shared" si="283"/>
        <v>4.7062463555426683E-2</v>
      </c>
      <c r="J301" s="3">
        <f t="shared" si="283"/>
        <v>4.7062432049603087E-2</v>
      </c>
      <c r="K301" s="3">
        <f t="shared" si="283"/>
        <v>4.7062116992527117E-2</v>
      </c>
      <c r="L301" s="3">
        <f t="shared" si="283"/>
        <v>4.7058966537767463E-2</v>
      </c>
      <c r="M301" s="3">
        <f t="shared" si="283"/>
        <v>4.7027473587300521E-2</v>
      </c>
      <c r="N301" s="3">
        <f t="shared" si="283"/>
        <v>4.6713700928170503E-2</v>
      </c>
      <c r="O301" s="3">
        <f t="shared" si="283"/>
        <v>4.3688844025737424E-2</v>
      </c>
      <c r="P301" s="3">
        <f t="shared" si="283"/>
        <v>2.2368318176496017E-2</v>
      </c>
      <c r="Q301" s="3">
        <f t="shared" si="283"/>
        <v>2.7686057157836812E-5</v>
      </c>
      <c r="R301" s="3">
        <f t="shared" si="283"/>
        <v>2.3363553926416621E-34</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5.1874996245126849E-2</v>
      </c>
      <c r="C302" s="3">
        <f t="shared" si="284"/>
        <v>5.1874996245126537E-2</v>
      </c>
      <c r="D302" s="3">
        <f t="shared" si="284"/>
        <v>5.1874996245123407E-2</v>
      </c>
      <c r="E302" s="3">
        <f t="shared" si="284"/>
        <v>5.1874996245092071E-2</v>
      </c>
      <c r="F302" s="3">
        <f t="shared" si="284"/>
        <v>5.1874996244778801E-2</v>
      </c>
      <c r="G302" s="3">
        <f t="shared" si="284"/>
        <v>5.1874996241646092E-2</v>
      </c>
      <c r="H302" s="3">
        <f t="shared" si="284"/>
        <v>5.1874996210318935E-2</v>
      </c>
      <c r="I302" s="3">
        <f t="shared" si="284"/>
        <v>5.1874995897047353E-2</v>
      </c>
      <c r="J302" s="3">
        <f t="shared" si="284"/>
        <v>5.187499276433169E-2</v>
      </c>
      <c r="K302" s="3">
        <f t="shared" si="284"/>
        <v>5.1874961437185473E-2</v>
      </c>
      <c r="L302" s="3">
        <f t="shared" si="284"/>
        <v>5.1874648166763793E-2</v>
      </c>
      <c r="M302" s="3">
        <f t="shared" si="284"/>
        <v>5.1871515566595486E-2</v>
      </c>
      <c r="N302" s="3">
        <f t="shared" si="284"/>
        <v>5.1840199967437765E-2</v>
      </c>
      <c r="O302" s="3">
        <f t="shared" si="284"/>
        <v>5.1528081907786238E-2</v>
      </c>
      <c r="P302" s="3">
        <f t="shared" si="284"/>
        <v>4.850841231543461E-2</v>
      </c>
      <c r="Q302" s="3">
        <f t="shared" si="284"/>
        <v>2.6518435531309149E-2</v>
      </c>
      <c r="R302" s="3">
        <f t="shared" si="284"/>
        <v>6.3220261234404844E-5</v>
      </c>
      <c r="S302" s="3">
        <f t="shared" si="284"/>
        <v>3.7492133617320649E-31</v>
      </c>
      <c r="T302" s="3">
        <f t="shared" si="284"/>
        <v>2.0173388707182205E-293</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9.371908513336058E-2</v>
      </c>
      <c r="C303" s="3">
        <f t="shared" si="285"/>
        <v>9.3719085133360538E-2</v>
      </c>
      <c r="D303" s="3">
        <f t="shared" si="285"/>
        <v>9.3719085133360025E-2</v>
      </c>
      <c r="E303" s="3">
        <f t="shared" si="285"/>
        <v>9.3719085133354918E-2</v>
      </c>
      <c r="F303" s="3">
        <f t="shared" si="285"/>
        <v>9.3719085133303862E-2</v>
      </c>
      <c r="G303" s="3">
        <f t="shared" si="285"/>
        <v>9.3719085132793312E-2</v>
      </c>
      <c r="H303" s="3">
        <f t="shared" si="285"/>
        <v>9.3719085127687826E-2</v>
      </c>
      <c r="I303" s="3">
        <f t="shared" si="285"/>
        <v>9.3719085076632902E-2</v>
      </c>
      <c r="J303" s="3">
        <f t="shared" si="285"/>
        <v>9.3719084566083785E-2</v>
      </c>
      <c r="K303" s="3">
        <f t="shared" si="285"/>
        <v>9.3719079460592561E-2</v>
      </c>
      <c r="L303" s="3">
        <f t="shared" si="285"/>
        <v>9.3719028405695723E-2</v>
      </c>
      <c r="M303" s="3">
        <f t="shared" si="285"/>
        <v>9.3718517858257119E-2</v>
      </c>
      <c r="N303" s="3">
        <f t="shared" si="285"/>
        <v>9.3713412536838847E-2</v>
      </c>
      <c r="O303" s="3">
        <f t="shared" si="285"/>
        <v>9.3662374616353225E-2</v>
      </c>
      <c r="P303" s="3">
        <f t="shared" si="285"/>
        <v>9.3153521703045181E-2</v>
      </c>
      <c r="Q303" s="3">
        <f t="shared" si="285"/>
        <v>8.8214589597662513E-2</v>
      </c>
      <c r="R303" s="3">
        <f t="shared" si="285"/>
        <v>5.116250685024433E-2</v>
      </c>
      <c r="S303" s="3">
        <f t="shared" si="285"/>
        <v>2.203260223288958E-4</v>
      </c>
      <c r="T303" s="3">
        <f t="shared" si="285"/>
        <v>4.8328751451579006E-28</v>
      </c>
      <c r="U303" s="3">
        <f t="shared" si="285"/>
        <v>1.2462448913041812E-264</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0.10682658591512105</v>
      </c>
      <c r="C304" s="3">
        <f t="shared" si="286"/>
        <v>0.10682658591512105</v>
      </c>
      <c r="D304" s="3">
        <f t="shared" si="286"/>
        <v>0.10682658591512099</v>
      </c>
      <c r="E304" s="3">
        <f t="shared" si="286"/>
        <v>0.10682658591512047</v>
      </c>
      <c r="F304" s="3">
        <f t="shared" si="286"/>
        <v>0.10682658591511522</v>
      </c>
      <c r="G304" s="3">
        <f t="shared" si="286"/>
        <v>0.10682658591506272</v>
      </c>
      <c r="H304" s="3">
        <f t="shared" si="286"/>
        <v>0.10682658591453774</v>
      </c>
      <c r="I304" s="3">
        <f t="shared" si="286"/>
        <v>0.10682658590928804</v>
      </c>
      <c r="J304" s="3">
        <f t="shared" si="286"/>
        <v>0.10682658585679092</v>
      </c>
      <c r="K304" s="3">
        <f t="shared" si="286"/>
        <v>0.10682658533181975</v>
      </c>
      <c r="L304" s="3">
        <f t="shared" si="286"/>
        <v>0.10682658008210831</v>
      </c>
      <c r="M304" s="3">
        <f t="shared" si="286"/>
        <v>0.10682652758500789</v>
      </c>
      <c r="N304" s="3">
        <f t="shared" si="286"/>
        <v>0.10682600261542273</v>
      </c>
      <c r="O304" s="3">
        <f t="shared" si="286"/>
        <v>0.10682075306145902</v>
      </c>
      <c r="P304" s="3">
        <f t="shared" si="286"/>
        <v>0.10676827170803553</v>
      </c>
      <c r="Q304" s="3">
        <f t="shared" si="286"/>
        <v>0.10624487421912308</v>
      </c>
      <c r="R304" s="3">
        <f t="shared" si="286"/>
        <v>0.10114996260725238</v>
      </c>
      <c r="S304" s="3">
        <f t="shared" si="286"/>
        <v>6.1878976985699934E-2</v>
      </c>
      <c r="T304" s="3">
        <f t="shared" si="286"/>
        <v>4.5427319417362498E-4</v>
      </c>
      <c r="U304" s="3">
        <f t="shared" si="286"/>
        <v>2.0656510877570539E-25</v>
      </c>
      <c r="V304" s="3">
        <f t="shared" si="286"/>
        <v>7.8064848272296396E-239</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0.11271230139024535</v>
      </c>
      <c r="C305" s="3">
        <f t="shared" si="287"/>
        <v>0.11271230139024535</v>
      </c>
      <c r="D305" s="3">
        <f t="shared" si="287"/>
        <v>0.11271230139024535</v>
      </c>
      <c r="E305" s="3">
        <f t="shared" si="287"/>
        <v>0.1127123013902453</v>
      </c>
      <c r="F305" s="3">
        <f t="shared" si="287"/>
        <v>0.1127123013902448</v>
      </c>
      <c r="G305" s="3">
        <f t="shared" si="287"/>
        <v>0.1127123013902398</v>
      </c>
      <c r="H305" s="3">
        <f t="shared" si="287"/>
        <v>0.11271230139018983</v>
      </c>
      <c r="I305" s="3">
        <f t="shared" si="287"/>
        <v>0.11271230138969017</v>
      </c>
      <c r="J305" s="3">
        <f t="shared" si="287"/>
        <v>0.11271230138469357</v>
      </c>
      <c r="K305" s="3">
        <f t="shared" si="287"/>
        <v>0.11271230133472765</v>
      </c>
      <c r="L305" s="3">
        <f t="shared" si="287"/>
        <v>0.11271230083506831</v>
      </c>
      <c r="M305" s="3">
        <f t="shared" si="287"/>
        <v>0.11271229583847509</v>
      </c>
      <c r="N305" s="3">
        <f t="shared" si="287"/>
        <v>0.11271224587255504</v>
      </c>
      <c r="O305" s="3">
        <f t="shared" si="287"/>
        <v>0.11271174621457285</v>
      </c>
      <c r="P305" s="3">
        <f t="shared" si="287"/>
        <v>0.11270674975657448</v>
      </c>
      <c r="Q305" s="3">
        <f t="shared" si="287"/>
        <v>0.11265679735695402</v>
      </c>
      <c r="R305" s="3">
        <f t="shared" si="287"/>
        <v>0.1121584894015774</v>
      </c>
      <c r="S305" s="3">
        <f t="shared" si="287"/>
        <v>0.10729504277597941</v>
      </c>
      <c r="T305" s="3">
        <f t="shared" si="287"/>
        <v>6.8873906341097746E-2</v>
      </c>
      <c r="U305" s="3">
        <f t="shared" si="287"/>
        <v>8.1809794197860769E-4</v>
      </c>
      <c r="V305" s="3">
        <f t="shared" si="287"/>
        <v>4.5741578190694993E-23</v>
      </c>
      <c r="W305" s="3">
        <f t="shared" si="287"/>
        <v>1.3657449088010936E-215</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0.10920571405178373</v>
      </c>
      <c r="C306" s="3">
        <f t="shared" si="288"/>
        <v>0.10920571405178373</v>
      </c>
      <c r="D306" s="3">
        <f t="shared" si="288"/>
        <v>0.10920571405178373</v>
      </c>
      <c r="E306" s="3">
        <f t="shared" si="288"/>
        <v>0.10920571405178373</v>
      </c>
      <c r="F306" s="3">
        <f t="shared" si="288"/>
        <v>0.10920571405178368</v>
      </c>
      <c r="G306" s="3">
        <f t="shared" si="288"/>
        <v>0.10920571405178324</v>
      </c>
      <c r="H306" s="3">
        <f t="shared" si="288"/>
        <v>0.10920571405177888</v>
      </c>
      <c r="I306" s="3">
        <f t="shared" si="288"/>
        <v>0.10920571405173521</v>
      </c>
      <c r="J306" s="3">
        <f t="shared" si="288"/>
        <v>0.10920571405129849</v>
      </c>
      <c r="K306" s="3">
        <f t="shared" si="288"/>
        <v>0.10920571404693137</v>
      </c>
      <c r="L306" s="3">
        <f t="shared" si="288"/>
        <v>0.10920571400326022</v>
      </c>
      <c r="M306" s="3">
        <f t="shared" si="288"/>
        <v>0.10920571356654871</v>
      </c>
      <c r="N306" s="3">
        <f t="shared" si="288"/>
        <v>0.10920570919943368</v>
      </c>
      <c r="O306" s="3">
        <f t="shared" si="288"/>
        <v>0.1092056655282929</v>
      </c>
      <c r="P306" s="3">
        <f t="shared" si="288"/>
        <v>0.10920522881784578</v>
      </c>
      <c r="Q306" s="3">
        <f t="shared" si="288"/>
        <v>0.10920086180942484</v>
      </c>
      <c r="R306" s="3">
        <f t="shared" si="288"/>
        <v>0.10915720132884109</v>
      </c>
      <c r="S306" s="3">
        <f t="shared" si="288"/>
        <v>0.10872155546609574</v>
      </c>
      <c r="T306" s="3">
        <f t="shared" si="288"/>
        <v>0.10445958732322787</v>
      </c>
      <c r="U306" s="3">
        <f t="shared" si="288"/>
        <v>7.0028494847647574E-2</v>
      </c>
      <c r="V306" s="3">
        <f t="shared" si="288"/>
        <v>1.2839249955775606E-3</v>
      </c>
      <c r="W306" s="3">
        <f t="shared" si="288"/>
        <v>5.5104653057620889E-21</v>
      </c>
      <c r="X306" s="3">
        <f t="shared" si="288"/>
        <v>1.1686230766266818E-194</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8.5595472993728092E-2</v>
      </c>
      <c r="C307" s="3">
        <f t="shared" si="289"/>
        <v>8.5595472993728092E-2</v>
      </c>
      <c r="D307" s="3">
        <f t="shared" si="289"/>
        <v>8.5595472993728092E-2</v>
      </c>
      <c r="E307" s="3">
        <f t="shared" si="289"/>
        <v>8.5595472993728092E-2</v>
      </c>
      <c r="F307" s="3">
        <f t="shared" si="289"/>
        <v>8.5595472993728092E-2</v>
      </c>
      <c r="G307" s="3">
        <f t="shared" si="289"/>
        <v>8.559547299372805E-2</v>
      </c>
      <c r="H307" s="3">
        <f t="shared" si="289"/>
        <v>8.5595472993727745E-2</v>
      </c>
      <c r="I307" s="3">
        <f t="shared" si="289"/>
        <v>8.5595472993724664E-2</v>
      </c>
      <c r="J307" s="3">
        <f t="shared" si="289"/>
        <v>8.5595472993693786E-2</v>
      </c>
      <c r="K307" s="3">
        <f t="shared" si="289"/>
        <v>8.5595472993385005E-2</v>
      </c>
      <c r="L307" s="3">
        <f t="shared" si="289"/>
        <v>8.5595472990297225E-2</v>
      </c>
      <c r="M307" s="3">
        <f t="shared" si="289"/>
        <v>8.5595472959419397E-2</v>
      </c>
      <c r="N307" s="3">
        <f t="shared" si="289"/>
        <v>8.5595472650641172E-2</v>
      </c>
      <c r="O307" s="3">
        <f t="shared" si="289"/>
        <v>8.5595469562858989E-2</v>
      </c>
      <c r="P307" s="3">
        <f t="shared" si="289"/>
        <v>8.5595438685043254E-2</v>
      </c>
      <c r="Q307" s="3">
        <f t="shared" si="289"/>
        <v>8.5595129907498554E-2</v>
      </c>
      <c r="R307" s="3">
        <f t="shared" si="289"/>
        <v>8.5592042193314635E-2</v>
      </c>
      <c r="S307" s="3">
        <f t="shared" si="289"/>
        <v>8.5561171176965198E-2</v>
      </c>
      <c r="T307" s="3">
        <f t="shared" si="289"/>
        <v>8.5253072745643921E-2</v>
      </c>
      <c r="U307" s="3">
        <f t="shared" si="289"/>
        <v>8.2232452963428224E-2</v>
      </c>
      <c r="V307" s="3">
        <f t="shared" si="289"/>
        <v>5.7329121606396541E-2</v>
      </c>
      <c r="W307" s="3">
        <f t="shared" si="289"/>
        <v>1.5548758224191201E-3</v>
      </c>
      <c r="X307" s="3">
        <f t="shared" si="289"/>
        <v>3.3488827314868016E-19</v>
      </c>
      <c r="Y307" s="3">
        <f t="shared" si="289"/>
        <v>7.1935329115729735E-176</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3.0330599560697977E-2</v>
      </c>
      <c r="C308" s="3">
        <f t="shared" si="290"/>
        <v>3.0330599560697977E-2</v>
      </c>
      <c r="D308" s="3">
        <f t="shared" si="290"/>
        <v>3.0330599560697977E-2</v>
      </c>
      <c r="E308" s="3">
        <f t="shared" si="290"/>
        <v>3.0330599560697977E-2</v>
      </c>
      <c r="F308" s="3">
        <f t="shared" si="290"/>
        <v>3.0330599560697977E-2</v>
      </c>
      <c r="G308" s="3">
        <f t="shared" si="290"/>
        <v>3.0330599560697977E-2</v>
      </c>
      <c r="H308" s="3">
        <f t="shared" si="290"/>
        <v>3.0330599560697967E-2</v>
      </c>
      <c r="I308" s="3">
        <f t="shared" si="290"/>
        <v>3.0330599560697866E-2</v>
      </c>
      <c r="J308" s="3">
        <f t="shared" si="290"/>
        <v>3.0330599560696881E-2</v>
      </c>
      <c r="K308" s="3">
        <f t="shared" si="290"/>
        <v>3.033059956068701E-2</v>
      </c>
      <c r="L308" s="3">
        <f t="shared" si="290"/>
        <v>3.0330599560588308E-2</v>
      </c>
      <c r="M308" s="3">
        <f t="shared" si="290"/>
        <v>3.0330599559601296E-2</v>
      </c>
      <c r="N308" s="3">
        <f t="shared" si="290"/>
        <v>3.0330599549731149E-2</v>
      </c>
      <c r="O308" s="3">
        <f t="shared" si="290"/>
        <v>3.033059945102972E-2</v>
      </c>
      <c r="P308" s="3">
        <f t="shared" si="290"/>
        <v>3.033059846401541E-2</v>
      </c>
      <c r="Q308" s="3">
        <f t="shared" si="290"/>
        <v>3.0330588593874094E-2</v>
      </c>
      <c r="R308" s="3">
        <f t="shared" si="290"/>
        <v>3.0330489892637608E-2</v>
      </c>
      <c r="S308" s="3">
        <f t="shared" si="290"/>
        <v>3.0329502897938114E-2</v>
      </c>
      <c r="T308" s="3">
        <f t="shared" si="290"/>
        <v>3.0319634717267726E-2</v>
      </c>
      <c r="U308" s="3">
        <f t="shared" si="290"/>
        <v>3.022112933053096E-2</v>
      </c>
      <c r="V308" s="3">
        <f t="shared" si="290"/>
        <v>2.9253506877894665E-2</v>
      </c>
      <c r="W308" s="3">
        <f t="shared" si="290"/>
        <v>2.1127611624423732E-2</v>
      </c>
      <c r="X308" s="3">
        <f t="shared" si="290"/>
        <v>8.1578382717265377E-4</v>
      </c>
      <c r="Y308" s="3">
        <f t="shared" si="290"/>
        <v>6.0092732767358747E-18</v>
      </c>
      <c r="Z308" s="3">
        <f t="shared" si="290"/>
        <v>2.8267707304247495E-159</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3.2127590787364095E-2</v>
      </c>
      <c r="C309" s="3">
        <f t="shared" si="291"/>
        <v>3.2127590787364095E-2</v>
      </c>
      <c r="D309" s="3">
        <f t="shared" si="291"/>
        <v>3.2127590787364095E-2</v>
      </c>
      <c r="E309" s="3">
        <f t="shared" si="291"/>
        <v>3.2127590787364095E-2</v>
      </c>
      <c r="F309" s="3">
        <f t="shared" si="291"/>
        <v>3.2127590787364095E-2</v>
      </c>
      <c r="G309" s="3">
        <f t="shared" si="291"/>
        <v>3.2127590787364095E-2</v>
      </c>
      <c r="H309" s="3">
        <f t="shared" si="291"/>
        <v>3.2127590787364088E-2</v>
      </c>
      <c r="I309" s="3">
        <f t="shared" si="291"/>
        <v>3.212759078736406E-2</v>
      </c>
      <c r="J309" s="3">
        <f t="shared" si="291"/>
        <v>3.2127590787363776E-2</v>
      </c>
      <c r="K309" s="3">
        <f t="shared" si="291"/>
        <v>3.2127590787360882E-2</v>
      </c>
      <c r="L309" s="3">
        <f t="shared" si="291"/>
        <v>3.2127590787331968E-2</v>
      </c>
      <c r="M309" s="3">
        <f t="shared" si="291"/>
        <v>3.212759078704281E-2</v>
      </c>
      <c r="N309" s="3">
        <f t="shared" si="291"/>
        <v>3.2127590784151241E-2</v>
      </c>
      <c r="O309" s="3">
        <f t="shared" si="291"/>
        <v>3.2127590755235559E-2</v>
      </c>
      <c r="P309" s="3">
        <f t="shared" si="291"/>
        <v>3.2127590466078708E-2</v>
      </c>
      <c r="Q309" s="3">
        <f t="shared" si="291"/>
        <v>3.2127587574510383E-2</v>
      </c>
      <c r="R309" s="3">
        <f t="shared" si="291"/>
        <v>3.2127558658841419E-2</v>
      </c>
      <c r="S309" s="3">
        <f t="shared" si="291"/>
        <v>3.2127269503583175E-2</v>
      </c>
      <c r="T309" s="3">
        <f t="shared" si="291"/>
        <v>3.2124378094132253E-2</v>
      </c>
      <c r="U309" s="3">
        <f t="shared" si="291"/>
        <v>3.2095478308014506E-2</v>
      </c>
      <c r="V309" s="3">
        <f t="shared" si="291"/>
        <v>3.1807906532596797E-2</v>
      </c>
      <c r="W309" s="3">
        <f t="shared" si="291"/>
        <v>2.9070160521650509E-2</v>
      </c>
      <c r="X309" s="3">
        <f t="shared" si="291"/>
        <v>1.18187314181882E-2</v>
      </c>
      <c r="Y309" s="3">
        <f t="shared" si="291"/>
        <v>1.4581600591959282E-6</v>
      </c>
      <c r="Z309" s="3">
        <f t="shared" si="291"/>
        <v>1.1916495310875903E-45</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1.5939358035986794E-2</v>
      </c>
      <c r="C310" s="3">
        <f t="shared" si="292"/>
        <v>1.5939358035986794E-2</v>
      </c>
      <c r="D310" s="3">
        <f t="shared" si="292"/>
        <v>1.5939358035986794E-2</v>
      </c>
      <c r="E310" s="3">
        <f t="shared" si="292"/>
        <v>1.5939358035986794E-2</v>
      </c>
      <c r="F310" s="3">
        <f t="shared" si="292"/>
        <v>1.5939358035986794E-2</v>
      </c>
      <c r="G310" s="3">
        <f t="shared" si="292"/>
        <v>1.5939358035986794E-2</v>
      </c>
      <c r="H310" s="3">
        <f t="shared" si="292"/>
        <v>1.5939358035986794E-2</v>
      </c>
      <c r="I310" s="3">
        <f t="shared" si="292"/>
        <v>1.5939358035986791E-2</v>
      </c>
      <c r="J310" s="3">
        <f t="shared" si="292"/>
        <v>1.5939358035986777E-2</v>
      </c>
      <c r="K310" s="3">
        <f t="shared" si="292"/>
        <v>1.5939358035986635E-2</v>
      </c>
      <c r="L310" s="3">
        <f t="shared" si="292"/>
        <v>1.5939358035985198E-2</v>
      </c>
      <c r="M310" s="3">
        <f t="shared" si="292"/>
        <v>1.5939358035970855E-2</v>
      </c>
      <c r="N310" s="3">
        <f t="shared" si="292"/>
        <v>1.5939358035827394E-2</v>
      </c>
      <c r="O310" s="3">
        <f t="shared" si="292"/>
        <v>1.5939358034392809E-2</v>
      </c>
      <c r="P310" s="3">
        <f t="shared" si="292"/>
        <v>1.5939358020046965E-2</v>
      </c>
      <c r="Q310" s="3">
        <f t="shared" si="292"/>
        <v>1.5939357876588511E-2</v>
      </c>
      <c r="R310" s="3">
        <f t="shared" si="292"/>
        <v>1.5939356442004039E-2</v>
      </c>
      <c r="S310" s="3">
        <f t="shared" si="292"/>
        <v>1.5939342096166424E-2</v>
      </c>
      <c r="T310" s="3">
        <f t="shared" si="292"/>
        <v>1.5939198638500403E-2</v>
      </c>
      <c r="U310" s="3">
        <f t="shared" si="292"/>
        <v>1.5937764132851601E-2</v>
      </c>
      <c r="V310" s="3">
        <f t="shared" si="292"/>
        <v>1.5923426175139713E-2</v>
      </c>
      <c r="W310" s="3">
        <f t="shared" si="292"/>
        <v>1.5780754117350988E-2</v>
      </c>
      <c r="X310" s="3">
        <f t="shared" si="292"/>
        <v>1.4422485015603387E-2</v>
      </c>
      <c r="Y310" s="3">
        <f t="shared" si="292"/>
        <v>5.8635891141815537E-3</v>
      </c>
      <c r="Z310" s="3">
        <f t="shared" si="292"/>
        <v>7.2343224897027816E-7</v>
      </c>
      <c r="AA310" s="3">
        <f t="shared" si="292"/>
        <v>5.9120923990638422E-46</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1.0098226932664881E-3</v>
      </c>
      <c r="C311" s="3">
        <f t="shared" si="293"/>
        <v>1.0098226932664881E-3</v>
      </c>
      <c r="D311" s="3">
        <f t="shared" si="293"/>
        <v>1.0098226932664881E-3</v>
      </c>
      <c r="E311" s="3">
        <f t="shared" si="293"/>
        <v>1.0098226932664881E-3</v>
      </c>
      <c r="F311" s="3">
        <f t="shared" si="293"/>
        <v>1.0098226932664881E-3</v>
      </c>
      <c r="G311" s="3">
        <f t="shared" si="293"/>
        <v>1.0098226932664881E-3</v>
      </c>
      <c r="H311" s="3">
        <f t="shared" si="293"/>
        <v>1.0098226932664881E-3</v>
      </c>
      <c r="I311" s="3">
        <f t="shared" si="293"/>
        <v>1.0098226932664881E-3</v>
      </c>
      <c r="J311" s="3">
        <f t="shared" si="293"/>
        <v>1.0098226932664879E-3</v>
      </c>
      <c r="K311" s="3">
        <f t="shared" si="293"/>
        <v>1.009822693266487E-3</v>
      </c>
      <c r="L311" s="3">
        <f t="shared" si="293"/>
        <v>1.0098226932664779E-3</v>
      </c>
      <c r="M311" s="3">
        <f t="shared" si="293"/>
        <v>1.0098226932663871E-3</v>
      </c>
      <c r="N311" s="3">
        <f t="shared" si="293"/>
        <v>1.0098226932654783E-3</v>
      </c>
      <c r="O311" s="3">
        <f t="shared" si="293"/>
        <v>1.0098226932563896E-3</v>
      </c>
      <c r="P311" s="3">
        <f t="shared" si="293"/>
        <v>1.0098226931655027E-3</v>
      </c>
      <c r="Q311" s="3">
        <f t="shared" si="293"/>
        <v>1.0098226922566355E-3</v>
      </c>
      <c r="R311" s="3">
        <f t="shared" si="293"/>
        <v>1.0098226831679632E-3</v>
      </c>
      <c r="S311" s="3">
        <f t="shared" si="293"/>
        <v>1.0098225922812443E-3</v>
      </c>
      <c r="T311" s="3">
        <f t="shared" si="293"/>
        <v>1.0098216834145042E-3</v>
      </c>
      <c r="U311" s="3">
        <f t="shared" si="293"/>
        <v>1.0098125947920927E-3</v>
      </c>
      <c r="V311" s="3">
        <f t="shared" si="293"/>
        <v>1.009721713066837E-3</v>
      </c>
      <c r="W311" s="3">
        <f t="shared" si="293"/>
        <v>1.0088133455504117E-3</v>
      </c>
      <c r="X311" s="3">
        <f t="shared" si="293"/>
        <v>9.9977449459262503E-4</v>
      </c>
      <c r="Y311" s="3">
        <f t="shared" si="293"/>
        <v>9.1372266242907845E-4</v>
      </c>
      <c r="Z311" s="3">
        <f t="shared" si="293"/>
        <v>3.7148204702613686E-4</v>
      </c>
      <c r="AA311" s="3">
        <f t="shared" si="293"/>
        <v>4.583235412628535E-8</v>
      </c>
      <c r="AB311" s="3">
        <f t="shared" si="293"/>
        <v>3.7455492597530909E-47</v>
      </c>
      <c r="AC311" s="3">
        <f t="shared" si="293"/>
        <v>0</v>
      </c>
      <c r="AD311" s="3">
        <f t="shared" si="293"/>
        <v>0</v>
      </c>
      <c r="AE311" s="3">
        <f t="shared" si="293"/>
        <v>0</v>
      </c>
      <c r="AF311" s="3">
        <f t="shared" si="293"/>
        <v>0</v>
      </c>
      <c r="AG311" s="3"/>
      <c r="AH311" s="3"/>
    </row>
    <row r="312" spans="1:34" x14ac:dyDescent="0.25">
      <c r="B312" s="3">
        <f t="shared" ref="B312:AF312" si="294">$C42*EXP(-B$285/$A42/EXP(-$F$126))</f>
        <v>3.5232790951536608E-3</v>
      </c>
      <c r="C312" s="3">
        <f t="shared" si="294"/>
        <v>3.5232790951536608E-3</v>
      </c>
      <c r="D312" s="3">
        <f t="shared" si="294"/>
        <v>3.5232790951536608E-3</v>
      </c>
      <c r="E312" s="3">
        <f t="shared" si="294"/>
        <v>3.5232790951536608E-3</v>
      </c>
      <c r="F312" s="3">
        <f t="shared" si="294"/>
        <v>3.5232790951536608E-3</v>
      </c>
      <c r="G312" s="3">
        <f t="shared" si="294"/>
        <v>3.5232790951536608E-3</v>
      </c>
      <c r="H312" s="3">
        <f t="shared" si="294"/>
        <v>3.5232790951536608E-3</v>
      </c>
      <c r="I312" s="3">
        <f t="shared" si="294"/>
        <v>3.5232790951536608E-3</v>
      </c>
      <c r="J312" s="3">
        <f t="shared" si="294"/>
        <v>3.5232790951536608E-3</v>
      </c>
      <c r="K312" s="3">
        <f t="shared" si="294"/>
        <v>3.5232790951536604E-3</v>
      </c>
      <c r="L312" s="3">
        <f t="shared" si="294"/>
        <v>3.5232790951536573E-3</v>
      </c>
      <c r="M312" s="3">
        <f t="shared" si="294"/>
        <v>3.5232790951536257E-3</v>
      </c>
      <c r="N312" s="3">
        <f t="shared" si="294"/>
        <v>3.5232790951533082E-3</v>
      </c>
      <c r="O312" s="3">
        <f t="shared" si="294"/>
        <v>3.5232790951501376E-3</v>
      </c>
      <c r="P312" s="3">
        <f t="shared" si="294"/>
        <v>3.5232790951184268E-3</v>
      </c>
      <c r="Q312" s="3">
        <f t="shared" si="294"/>
        <v>3.5232790948013224E-3</v>
      </c>
      <c r="R312" s="3">
        <f t="shared" si="294"/>
        <v>3.5232790916302778E-3</v>
      </c>
      <c r="S312" s="3">
        <f t="shared" si="294"/>
        <v>3.5232790599198302E-3</v>
      </c>
      <c r="T312" s="3">
        <f t="shared" si="294"/>
        <v>3.5232787428153734E-3</v>
      </c>
      <c r="U312" s="3">
        <f t="shared" si="294"/>
        <v>3.5232755717723701E-3</v>
      </c>
      <c r="V312" s="3">
        <f t="shared" si="294"/>
        <v>3.5232438614993095E-3</v>
      </c>
      <c r="W312" s="3">
        <f t="shared" si="294"/>
        <v>3.5229267744652589E-3</v>
      </c>
      <c r="X312" s="3">
        <f t="shared" si="294"/>
        <v>3.5197574732575535E-3</v>
      </c>
      <c r="Y312" s="3">
        <f t="shared" si="294"/>
        <v>3.4882208531794635E-3</v>
      </c>
      <c r="Z312" s="3">
        <f t="shared" si="294"/>
        <v>3.1879853530435141E-3</v>
      </c>
      <c r="AA312" s="3">
        <f t="shared" si="294"/>
        <v>1.2961037014115515E-3</v>
      </c>
      <c r="AB312" s="3">
        <f t="shared" si="294"/>
        <v>1.5990943385563908E-7</v>
      </c>
      <c r="AC312" s="3">
        <f t="shared" si="294"/>
        <v>1.3068249995520551E-46</v>
      </c>
      <c r="AD312" s="3">
        <f t="shared" si="294"/>
        <v>0</v>
      </c>
      <c r="AE312" s="3">
        <f t="shared" si="294"/>
        <v>0</v>
      </c>
      <c r="AF312" s="3">
        <f t="shared" si="294"/>
        <v>0</v>
      </c>
      <c r="AG312" s="3"/>
      <c r="AH312" s="3"/>
    </row>
    <row r="313" spans="1:34" x14ac:dyDescent="0.25">
      <c r="B313" s="3">
        <f t="shared" ref="B313:AF313" si="295">$C43*EXP(-B$285/$A43/EXP(-$F$126))</f>
        <v>1.7526056431954549E-4</v>
      </c>
      <c r="C313" s="3">
        <f t="shared" si="295"/>
        <v>1.7526056431954549E-4</v>
      </c>
      <c r="D313" s="3">
        <f t="shared" si="295"/>
        <v>1.7526056431954549E-4</v>
      </c>
      <c r="E313" s="3">
        <f t="shared" si="295"/>
        <v>1.7526056431954549E-4</v>
      </c>
      <c r="F313" s="3">
        <f t="shared" si="295"/>
        <v>1.7526056431954549E-4</v>
      </c>
      <c r="G313" s="3">
        <f t="shared" si="295"/>
        <v>1.7526056431954549E-4</v>
      </c>
      <c r="H313" s="3">
        <f t="shared" si="295"/>
        <v>1.7526056431954549E-4</v>
      </c>
      <c r="I313" s="3">
        <f t="shared" si="295"/>
        <v>1.7526056431954549E-4</v>
      </c>
      <c r="J313" s="3">
        <f t="shared" si="295"/>
        <v>1.7526056431954549E-4</v>
      </c>
      <c r="K313" s="3">
        <f t="shared" si="295"/>
        <v>1.7526056431954549E-4</v>
      </c>
      <c r="L313" s="3">
        <f t="shared" si="295"/>
        <v>1.7526056431954546E-4</v>
      </c>
      <c r="M313" s="3">
        <f t="shared" si="295"/>
        <v>1.7526056431954533E-4</v>
      </c>
      <c r="N313" s="3">
        <f t="shared" si="295"/>
        <v>1.7526056431954373E-4</v>
      </c>
      <c r="O313" s="3">
        <f t="shared" si="295"/>
        <v>1.7526056431952796E-4</v>
      </c>
      <c r="P313" s="3">
        <f t="shared" si="295"/>
        <v>1.7526056431937023E-4</v>
      </c>
      <c r="Q313" s="3">
        <f t="shared" si="295"/>
        <v>1.7526056431779283E-4</v>
      </c>
      <c r="R313" s="3">
        <f t="shared" si="295"/>
        <v>1.752605643020189E-4</v>
      </c>
      <c r="S313" s="3">
        <f t="shared" si="295"/>
        <v>1.7526056414427977E-4</v>
      </c>
      <c r="T313" s="3">
        <f t="shared" si="295"/>
        <v>1.7526056256688815E-4</v>
      </c>
      <c r="U313" s="3">
        <f t="shared" si="295"/>
        <v>1.7526054679297282E-4</v>
      </c>
      <c r="V313" s="3">
        <f t="shared" si="295"/>
        <v>1.752603890538976E-4</v>
      </c>
      <c r="W313" s="3">
        <f t="shared" si="295"/>
        <v>1.752588116709537E-4</v>
      </c>
      <c r="X313" s="3">
        <f t="shared" si="295"/>
        <v>1.7524303862231767E-4</v>
      </c>
      <c r="Y313" s="3">
        <f t="shared" si="295"/>
        <v>1.7508538619026223E-4</v>
      </c>
      <c r="Z313" s="3">
        <f t="shared" si="295"/>
        <v>1.7351664136978524E-4</v>
      </c>
      <c r="AA313" s="3">
        <f t="shared" si="295"/>
        <v>1.5858184859252086E-4</v>
      </c>
      <c r="AB313" s="3">
        <f t="shared" si="295"/>
        <v>6.4472856106828876E-5</v>
      </c>
      <c r="AC313" s="3">
        <f t="shared" si="295"/>
        <v>7.9544699300456769E-9</v>
      </c>
      <c r="AD313" s="3">
        <f t="shared" si="295"/>
        <v>6.500617200704449E-48</v>
      </c>
      <c r="AE313" s="3">
        <f t="shared" si="295"/>
        <v>0</v>
      </c>
      <c r="AF313" s="3">
        <f t="shared" si="295"/>
        <v>0</v>
      </c>
      <c r="AG313" s="3"/>
      <c r="AH313" s="3"/>
    </row>
    <row r="314" spans="1:34" x14ac:dyDescent="0.25">
      <c r="B314" s="3">
        <f t="shared" ref="B314:AF314" si="296">$C44*EXP(-B$285/$A44/EXP(-$F$126))</f>
        <v>0</v>
      </c>
      <c r="C314" s="3">
        <f t="shared" si="296"/>
        <v>0</v>
      </c>
      <c r="D314" s="3">
        <f t="shared" si="296"/>
        <v>0</v>
      </c>
      <c r="E314" s="3">
        <f t="shared" si="296"/>
        <v>0</v>
      </c>
      <c r="F314" s="3">
        <f t="shared" si="296"/>
        <v>0</v>
      </c>
      <c r="G314" s="3">
        <f t="shared" si="296"/>
        <v>0</v>
      </c>
      <c r="H314" s="3">
        <f t="shared" si="296"/>
        <v>0</v>
      </c>
      <c r="I314" s="3">
        <f t="shared" si="296"/>
        <v>0</v>
      </c>
      <c r="J314" s="3">
        <f t="shared" si="296"/>
        <v>0</v>
      </c>
      <c r="K314" s="3">
        <f t="shared" si="296"/>
        <v>0</v>
      </c>
      <c r="L314" s="3">
        <f t="shared" si="296"/>
        <v>0</v>
      </c>
      <c r="M314" s="3">
        <f t="shared" si="296"/>
        <v>0</v>
      </c>
      <c r="N314" s="3">
        <f t="shared" si="296"/>
        <v>0</v>
      </c>
      <c r="O314" s="3">
        <f t="shared" si="296"/>
        <v>0</v>
      </c>
      <c r="P314" s="3">
        <f t="shared" si="296"/>
        <v>0</v>
      </c>
      <c r="Q314" s="3">
        <f t="shared" si="296"/>
        <v>0</v>
      </c>
      <c r="R314" s="3">
        <f t="shared" si="296"/>
        <v>0</v>
      </c>
      <c r="S314" s="3">
        <f t="shared" si="296"/>
        <v>0</v>
      </c>
      <c r="T314" s="3">
        <f t="shared" si="296"/>
        <v>0</v>
      </c>
      <c r="U314" s="3">
        <f t="shared" si="296"/>
        <v>0</v>
      </c>
      <c r="V314" s="3">
        <f t="shared" si="296"/>
        <v>0</v>
      </c>
      <c r="W314" s="3">
        <f t="shared" si="296"/>
        <v>0</v>
      </c>
      <c r="X314" s="3">
        <f t="shared" si="296"/>
        <v>0</v>
      </c>
      <c r="Y314" s="3">
        <f t="shared" si="296"/>
        <v>0</v>
      </c>
      <c r="Z314" s="3">
        <f t="shared" si="296"/>
        <v>0</v>
      </c>
      <c r="AA314" s="3">
        <f t="shared" si="296"/>
        <v>0</v>
      </c>
      <c r="AB314" s="3">
        <f t="shared" si="296"/>
        <v>0</v>
      </c>
      <c r="AC314" s="3">
        <f t="shared" si="296"/>
        <v>0</v>
      </c>
      <c r="AD314" s="3">
        <f t="shared" si="296"/>
        <v>0</v>
      </c>
      <c r="AE314" s="3">
        <f t="shared" si="296"/>
        <v>0</v>
      </c>
      <c r="AF314" s="3">
        <f t="shared" si="296"/>
        <v>0</v>
      </c>
      <c r="AG314" s="3"/>
      <c r="AH314" s="3"/>
    </row>
    <row r="315" spans="1:34" x14ac:dyDescent="0.25">
      <c r="B315" s="3">
        <f t="shared" ref="B315:AF315" si="297">$C45*EXP(-B$285/$A45/EXP(-$F$126))</f>
        <v>1.1765348907566872E-4</v>
      </c>
      <c r="C315" s="3">
        <f t="shared" si="297"/>
        <v>1.1765348907566872E-4</v>
      </c>
      <c r="D315" s="3">
        <f t="shared" si="297"/>
        <v>1.1765348907566872E-4</v>
      </c>
      <c r="E315" s="3">
        <f t="shared" si="297"/>
        <v>1.1765348907566872E-4</v>
      </c>
      <c r="F315" s="3">
        <f t="shared" si="297"/>
        <v>1.1765348907566872E-4</v>
      </c>
      <c r="G315" s="3">
        <f t="shared" si="297"/>
        <v>1.1765348907566872E-4</v>
      </c>
      <c r="H315" s="3">
        <f t="shared" si="297"/>
        <v>1.1765348907566872E-4</v>
      </c>
      <c r="I315" s="3">
        <f t="shared" si="297"/>
        <v>1.1765348907566872E-4</v>
      </c>
      <c r="J315" s="3">
        <f t="shared" si="297"/>
        <v>1.1765348907566872E-4</v>
      </c>
      <c r="K315" s="3">
        <f t="shared" si="297"/>
        <v>1.1765348907566872E-4</v>
      </c>
      <c r="L315" s="3">
        <f t="shared" si="297"/>
        <v>1.1765348907566872E-4</v>
      </c>
      <c r="M315" s="3">
        <f t="shared" si="297"/>
        <v>1.1765348907566872E-4</v>
      </c>
      <c r="N315" s="3">
        <f t="shared" si="297"/>
        <v>1.1765348907566871E-4</v>
      </c>
      <c r="O315" s="3">
        <f t="shared" si="297"/>
        <v>1.176534890756686E-4</v>
      </c>
      <c r="P315" s="3">
        <f t="shared" si="297"/>
        <v>1.1765348907566754E-4</v>
      </c>
      <c r="Q315" s="3">
        <f t="shared" si="297"/>
        <v>1.1765348907565696E-4</v>
      </c>
      <c r="R315" s="3">
        <f t="shared" si="297"/>
        <v>1.1765348907555107E-4</v>
      </c>
      <c r="S315" s="3">
        <f t="shared" si="297"/>
        <v>1.1765348907449215E-4</v>
      </c>
      <c r="T315" s="3">
        <f t="shared" si="297"/>
        <v>1.1765348906390302E-4</v>
      </c>
      <c r="U315" s="3">
        <f t="shared" si="297"/>
        <v>1.1765348895801177E-4</v>
      </c>
      <c r="V315" s="3">
        <f t="shared" si="297"/>
        <v>1.1765348789909913E-4</v>
      </c>
      <c r="W315" s="3">
        <f t="shared" si="297"/>
        <v>1.1765347730997326E-4</v>
      </c>
      <c r="X315" s="3">
        <f t="shared" si="297"/>
        <v>1.1765337141876701E-4</v>
      </c>
      <c r="Y315" s="3">
        <f t="shared" si="297"/>
        <v>1.1765231251194631E-4</v>
      </c>
      <c r="Z315" s="3">
        <f t="shared" si="297"/>
        <v>1.1764172396789709E-4</v>
      </c>
      <c r="AA315" s="3">
        <f t="shared" si="297"/>
        <v>1.1753589092573726E-4</v>
      </c>
      <c r="AB315" s="3">
        <f t="shared" si="297"/>
        <v>1.1648278293013599E-4</v>
      </c>
      <c r="AC315" s="3">
        <f t="shared" si="297"/>
        <v>1.0645696516737023E-4</v>
      </c>
      <c r="AD315" s="3">
        <f t="shared" si="297"/>
        <v>4.3281022750855102E-5</v>
      </c>
      <c r="AE315" s="3">
        <f t="shared" si="297"/>
        <v>5.3398843296603142E-9</v>
      </c>
      <c r="AF315" s="3">
        <f t="shared" si="297"/>
        <v>4.3639040977508169E-48</v>
      </c>
      <c r="AG315" s="3"/>
      <c r="AH315" s="3"/>
    </row>
    <row r="316" spans="1:34" x14ac:dyDescent="0.25">
      <c r="B316" s="3">
        <f t="shared" ref="B316:AF316" si="298">$C46*EXP(-B$285/$A46/EXP(-$F$126))</f>
        <v>0</v>
      </c>
      <c r="C316" s="3">
        <f t="shared" si="298"/>
        <v>0</v>
      </c>
      <c r="D316" s="3">
        <f t="shared" si="298"/>
        <v>0</v>
      </c>
      <c r="E316" s="3">
        <f t="shared" si="298"/>
        <v>0</v>
      </c>
      <c r="F316" s="3">
        <f t="shared" si="298"/>
        <v>0</v>
      </c>
      <c r="G316" s="3">
        <f t="shared" si="298"/>
        <v>0</v>
      </c>
      <c r="H316" s="3">
        <f t="shared" si="298"/>
        <v>0</v>
      </c>
      <c r="I316" s="3">
        <f t="shared" si="298"/>
        <v>0</v>
      </c>
      <c r="J316" s="3">
        <f t="shared" si="298"/>
        <v>0</v>
      </c>
      <c r="K316" s="3">
        <f t="shared" si="298"/>
        <v>0</v>
      </c>
      <c r="L316" s="3">
        <f t="shared" si="298"/>
        <v>0</v>
      </c>
      <c r="M316" s="3">
        <f t="shared" si="298"/>
        <v>0</v>
      </c>
      <c r="N316" s="3">
        <f t="shared" si="298"/>
        <v>0</v>
      </c>
      <c r="O316" s="3">
        <f t="shared" si="298"/>
        <v>0</v>
      </c>
      <c r="P316" s="3">
        <f t="shared" si="298"/>
        <v>0</v>
      </c>
      <c r="Q316" s="3">
        <f t="shared" si="298"/>
        <v>0</v>
      </c>
      <c r="R316" s="3">
        <f t="shared" si="298"/>
        <v>0</v>
      </c>
      <c r="S316" s="3">
        <f t="shared" si="298"/>
        <v>0</v>
      </c>
      <c r="T316" s="3">
        <f t="shared" si="298"/>
        <v>0</v>
      </c>
      <c r="U316" s="3">
        <f t="shared" si="298"/>
        <v>0</v>
      </c>
      <c r="V316" s="3">
        <f t="shared" si="298"/>
        <v>0</v>
      </c>
      <c r="W316" s="3">
        <f t="shared" si="298"/>
        <v>0</v>
      </c>
      <c r="X316" s="3">
        <f t="shared" si="298"/>
        <v>0</v>
      </c>
      <c r="Y316" s="3">
        <f t="shared" si="298"/>
        <v>0</v>
      </c>
      <c r="Z316" s="3">
        <f t="shared" si="298"/>
        <v>0</v>
      </c>
      <c r="AA316" s="3">
        <f t="shared" si="298"/>
        <v>0</v>
      </c>
      <c r="AB316" s="3">
        <f t="shared" si="298"/>
        <v>0</v>
      </c>
      <c r="AC316" s="3">
        <f t="shared" si="298"/>
        <v>0</v>
      </c>
      <c r="AD316" s="3">
        <f t="shared" si="298"/>
        <v>0</v>
      </c>
      <c r="AE316" s="3">
        <f t="shared" si="298"/>
        <v>0</v>
      </c>
      <c r="AF316" s="3">
        <f t="shared" si="298"/>
        <v>0</v>
      </c>
      <c r="AG316" s="3"/>
      <c r="AH316" s="3"/>
    </row>
    <row r="317" spans="1:34" x14ac:dyDescent="0.25">
      <c r="B317" s="3">
        <f t="shared" ref="B317:AF317" si="299">$C47*EXP(-B$285/$A47/EXP(-$F$126))</f>
        <v>6.5987032321069097E-5</v>
      </c>
      <c r="C317" s="3">
        <f t="shared" si="299"/>
        <v>6.5987032321069097E-5</v>
      </c>
      <c r="D317" s="3">
        <f t="shared" si="299"/>
        <v>6.5987032321069097E-5</v>
      </c>
      <c r="E317" s="3">
        <f t="shared" si="299"/>
        <v>6.5987032321069097E-5</v>
      </c>
      <c r="F317" s="3">
        <f t="shared" si="299"/>
        <v>6.5987032321069097E-5</v>
      </c>
      <c r="G317" s="3">
        <f t="shared" si="299"/>
        <v>6.5987032321069097E-5</v>
      </c>
      <c r="H317" s="3">
        <f t="shared" si="299"/>
        <v>6.5987032321069097E-5</v>
      </c>
      <c r="I317" s="3">
        <f t="shared" si="299"/>
        <v>6.5987032321069097E-5</v>
      </c>
      <c r="J317" s="3">
        <f t="shared" si="299"/>
        <v>6.5987032321069097E-5</v>
      </c>
      <c r="K317" s="3">
        <f t="shared" si="299"/>
        <v>6.5987032321069097E-5</v>
      </c>
      <c r="L317" s="3">
        <f t="shared" si="299"/>
        <v>6.5987032321069097E-5</v>
      </c>
      <c r="M317" s="3">
        <f t="shared" si="299"/>
        <v>6.5987032321069097E-5</v>
      </c>
      <c r="N317" s="3">
        <f t="shared" si="299"/>
        <v>6.5987032321069097E-5</v>
      </c>
      <c r="O317" s="3">
        <f t="shared" si="299"/>
        <v>6.5987032321069097E-5</v>
      </c>
      <c r="P317" s="3">
        <f t="shared" si="299"/>
        <v>6.5987032321069083E-5</v>
      </c>
      <c r="Q317" s="3">
        <f t="shared" si="299"/>
        <v>6.5987032321069029E-5</v>
      </c>
      <c r="R317" s="3">
        <f t="shared" si="299"/>
        <v>6.5987032321068433E-5</v>
      </c>
      <c r="S317" s="3">
        <f t="shared" si="299"/>
        <v>6.5987032321062497E-5</v>
      </c>
      <c r="T317" s="3">
        <f t="shared" si="299"/>
        <v>6.598703232100311E-5</v>
      </c>
      <c r="U317" s="3">
        <f t="shared" si="299"/>
        <v>6.5987032320409211E-5</v>
      </c>
      <c r="V317" s="3">
        <f t="shared" si="299"/>
        <v>6.5987032314470195E-5</v>
      </c>
      <c r="W317" s="3">
        <f t="shared" si="299"/>
        <v>6.5987032255080121E-5</v>
      </c>
      <c r="X317" s="3">
        <f t="shared" si="299"/>
        <v>6.5987031661179311E-5</v>
      </c>
      <c r="Y317" s="3">
        <f t="shared" si="299"/>
        <v>6.5987025722171494E-5</v>
      </c>
      <c r="Z317" s="3">
        <f t="shared" si="299"/>
        <v>6.5986966332122761E-5</v>
      </c>
      <c r="AA317" s="3">
        <f t="shared" si="299"/>
        <v>6.5986372434575382E-5</v>
      </c>
      <c r="AB317" s="3">
        <f t="shared" si="299"/>
        <v>6.5980433753080276E-5</v>
      </c>
      <c r="AC317" s="3">
        <f t="shared" si="299"/>
        <v>6.592107632621173E-5</v>
      </c>
      <c r="AD317" s="3">
        <f t="shared" si="299"/>
        <v>6.5330431102774084E-5</v>
      </c>
      <c r="AE317" s="3">
        <f t="shared" si="299"/>
        <v>5.970735977735609E-5</v>
      </c>
      <c r="AF317" s="3">
        <f t="shared" si="299"/>
        <v>2.4274556322870951E-5</v>
      </c>
      <c r="AG317" s="3"/>
      <c r="AH317" s="3"/>
    </row>
    <row r="318" spans="1:34" x14ac:dyDescent="0.25">
      <c r="B318" s="3">
        <f t="shared" ref="B318:AF318" si="300">$C48*EXP(-B$285/$A48/EXP(-$F$126))</f>
        <v>6.9850122094838041E-5</v>
      </c>
      <c r="C318" s="3">
        <f t="shared" si="300"/>
        <v>6.9850122094838041E-5</v>
      </c>
      <c r="D318" s="3">
        <f t="shared" si="300"/>
        <v>6.9850122094838041E-5</v>
      </c>
      <c r="E318" s="3">
        <f t="shared" si="300"/>
        <v>6.9850122094838041E-5</v>
      </c>
      <c r="F318" s="3">
        <f t="shared" si="300"/>
        <v>6.9850122094838041E-5</v>
      </c>
      <c r="G318" s="3">
        <f t="shared" si="300"/>
        <v>6.9850122094838041E-5</v>
      </c>
      <c r="H318" s="3">
        <f t="shared" si="300"/>
        <v>6.9850122094838041E-5</v>
      </c>
      <c r="I318" s="3">
        <f t="shared" si="300"/>
        <v>6.9850122094838041E-5</v>
      </c>
      <c r="J318" s="3">
        <f t="shared" si="300"/>
        <v>6.9850122094838041E-5</v>
      </c>
      <c r="K318" s="3">
        <f t="shared" si="300"/>
        <v>6.9850122094838041E-5</v>
      </c>
      <c r="L318" s="3">
        <f t="shared" si="300"/>
        <v>6.9850122094838041E-5</v>
      </c>
      <c r="M318" s="3">
        <f t="shared" si="300"/>
        <v>6.9850122094838041E-5</v>
      </c>
      <c r="N318" s="3">
        <f t="shared" si="300"/>
        <v>6.9850122094838041E-5</v>
      </c>
      <c r="O318" s="3">
        <f t="shared" si="300"/>
        <v>6.9850122094838041E-5</v>
      </c>
      <c r="P318" s="3">
        <f t="shared" si="300"/>
        <v>6.9850122094838041E-5</v>
      </c>
      <c r="Q318" s="3">
        <f t="shared" si="300"/>
        <v>6.9850122094838028E-5</v>
      </c>
      <c r="R318" s="3">
        <f t="shared" si="300"/>
        <v>6.9850122094837974E-5</v>
      </c>
      <c r="S318" s="3">
        <f t="shared" si="300"/>
        <v>6.985012209483735E-5</v>
      </c>
      <c r="T318" s="3">
        <f t="shared" si="300"/>
        <v>6.9850122094831048E-5</v>
      </c>
      <c r="U318" s="3">
        <f t="shared" si="300"/>
        <v>6.9850122094768192E-5</v>
      </c>
      <c r="V318" s="3">
        <f t="shared" si="300"/>
        <v>6.9850122094139517E-5</v>
      </c>
      <c r="W318" s="3">
        <f t="shared" si="300"/>
        <v>6.9850122087852825E-5</v>
      </c>
      <c r="X318" s="3">
        <f t="shared" si="300"/>
        <v>6.9850122024985863E-5</v>
      </c>
      <c r="Y318" s="3">
        <f t="shared" si="300"/>
        <v>6.9850121396316207E-5</v>
      </c>
      <c r="Z318" s="3">
        <f t="shared" si="300"/>
        <v>6.9850115109620082E-5</v>
      </c>
      <c r="AA318" s="3">
        <f t="shared" si="300"/>
        <v>6.9850052242689887E-5</v>
      </c>
      <c r="AB318" s="3">
        <f t="shared" si="300"/>
        <v>6.9849423576499926E-5</v>
      </c>
      <c r="AC318" s="3">
        <f t="shared" si="300"/>
        <v>6.9843137225789422E-5</v>
      </c>
      <c r="AD318" s="3">
        <f t="shared" si="300"/>
        <v>6.9780304827238293E-5</v>
      </c>
      <c r="AE318" s="3">
        <f t="shared" si="300"/>
        <v>6.9155081362556433E-5</v>
      </c>
      <c r="AF318" s="3">
        <f t="shared" si="300"/>
        <v>6.3202817640233808E-5</v>
      </c>
      <c r="AG318" s="3"/>
      <c r="AH318" s="3"/>
    </row>
    <row r="319" spans="1:34" x14ac:dyDescent="0.25">
      <c r="A319" s="79">
        <f>AVERAGE(B319:AF319)</f>
        <v>5.4975205630376138E-5</v>
      </c>
      <c r="B319" s="80">
        <f>IF($A$64&lt;=B285,IF($B$64&gt;=B285,ABS((B287-B286)/B286),0),0)</f>
        <v>0</v>
      </c>
      <c r="C319" s="80">
        <f t="shared" ref="C319:AF319" si="301">IF($A$64&lt;=C285,IF($B$64&gt;=C285,ABS((C287-C286)/C286),0),0)</f>
        <v>0</v>
      </c>
      <c r="D319" s="80">
        <f t="shared" si="301"/>
        <v>0</v>
      </c>
      <c r="E319" s="80">
        <f t="shared" si="301"/>
        <v>0</v>
      </c>
      <c r="F319" s="80">
        <f t="shared" si="301"/>
        <v>0</v>
      </c>
      <c r="G319" s="80">
        <f t="shared" si="301"/>
        <v>0</v>
      </c>
      <c r="H319" s="80">
        <f t="shared" si="301"/>
        <v>0</v>
      </c>
      <c r="I319" s="80">
        <f t="shared" si="301"/>
        <v>0</v>
      </c>
      <c r="J319" s="80">
        <f t="shared" si="301"/>
        <v>0</v>
      </c>
      <c r="K319" s="80">
        <f t="shared" si="301"/>
        <v>0</v>
      </c>
      <c r="L319" s="80">
        <f t="shared" si="301"/>
        <v>1.2431521177078798E-4</v>
      </c>
      <c r="M319" s="80">
        <f t="shared" si="301"/>
        <v>1.8729087839062351E-4</v>
      </c>
      <c r="N319" s="80">
        <f t="shared" si="301"/>
        <v>2.3961613251441926E-4</v>
      </c>
      <c r="O319" s="80">
        <f t="shared" si="301"/>
        <v>2.6895333058227612E-4</v>
      </c>
      <c r="P319" s="80">
        <f t="shared" si="301"/>
        <v>2.5702848951360545E-4</v>
      </c>
      <c r="Q319" s="80">
        <f t="shared" si="301"/>
        <v>2.153892005393379E-4</v>
      </c>
      <c r="R319" s="80">
        <f t="shared" si="301"/>
        <v>1.5927494367508067E-4</v>
      </c>
      <c r="S319" s="80">
        <f t="shared" si="301"/>
        <v>1.1604472320520627E-4</v>
      </c>
      <c r="T319" s="80">
        <f t="shared" si="301"/>
        <v>6.8056425920766131E-5</v>
      </c>
      <c r="U319" s="80">
        <f t="shared" si="301"/>
        <v>4.5761366278145629E-5</v>
      </c>
      <c r="V319" s="80">
        <f t="shared" si="301"/>
        <v>2.2500672151411567E-5</v>
      </c>
      <c r="W319" s="80">
        <f t="shared" si="301"/>
        <v>0</v>
      </c>
      <c r="X319" s="80">
        <f t="shared" si="301"/>
        <v>0</v>
      </c>
      <c r="Y319" s="80">
        <f t="shared" si="301"/>
        <v>0</v>
      </c>
      <c r="Z319" s="80">
        <f t="shared" si="301"/>
        <v>0</v>
      </c>
      <c r="AA319" s="80">
        <f t="shared" si="301"/>
        <v>0</v>
      </c>
      <c r="AB319" s="80">
        <f t="shared" si="301"/>
        <v>0</v>
      </c>
      <c r="AC319" s="80">
        <f t="shared" si="301"/>
        <v>0</v>
      </c>
      <c r="AD319" s="80">
        <f t="shared" si="301"/>
        <v>0</v>
      </c>
      <c r="AE319" s="80">
        <f t="shared" si="301"/>
        <v>0</v>
      </c>
      <c r="AF319" s="80">
        <f t="shared" si="301"/>
        <v>0</v>
      </c>
    </row>
    <row r="320" spans="1:34" x14ac:dyDescent="0.25">
      <c r="B320" s="21">
        <f>(B287-B286)^2</f>
        <v>0.10949122142475586</v>
      </c>
      <c r="C320" s="21">
        <f t="shared" ref="C320:AF320" si="302">(C287-C286)^2</f>
        <v>7.6610514765330331E-2</v>
      </c>
      <c r="D320" s="21">
        <f t="shared" si="302"/>
        <v>8.5040419821483859E-2</v>
      </c>
      <c r="E320" s="21">
        <f t="shared" si="302"/>
        <v>1.62157402160138E-2</v>
      </c>
      <c r="F320" s="21">
        <f t="shared" si="302"/>
        <v>1.6759467446125298</v>
      </c>
      <c r="G320" s="21">
        <f t="shared" si="302"/>
        <v>8.7453265793393728E-2</v>
      </c>
      <c r="H320" s="21">
        <f t="shared" si="302"/>
        <v>1.4046177677344392E-4</v>
      </c>
      <c r="I320" s="21">
        <f t="shared" si="302"/>
        <v>6.7256193296036807E-3</v>
      </c>
      <c r="J320" s="21">
        <f t="shared" si="302"/>
        <v>3.7836499921061577E-2</v>
      </c>
      <c r="K320" s="21">
        <f t="shared" si="302"/>
        <v>0.16698676970257453</v>
      </c>
      <c r="L320" s="21">
        <f t="shared" si="302"/>
        <v>0.47666697703057603</v>
      </c>
      <c r="M320" s="21">
        <f t="shared" si="302"/>
        <v>0.98393098839197302</v>
      </c>
      <c r="N320" s="21">
        <f t="shared" si="302"/>
        <v>1.443648564390412</v>
      </c>
      <c r="O320" s="21">
        <f t="shared" si="302"/>
        <v>1.6236428711937236</v>
      </c>
      <c r="P320" s="21">
        <f t="shared" si="302"/>
        <v>1.3015464903235261</v>
      </c>
      <c r="Q320" s="21">
        <f t="shared" si="302"/>
        <v>0.78571336848819828</v>
      </c>
      <c r="R320" s="21">
        <f t="shared" si="302"/>
        <v>0.34030724947107821</v>
      </c>
      <c r="S320" s="21">
        <f t="shared" si="302"/>
        <v>0.12443218073708372</v>
      </c>
      <c r="T320" s="21">
        <f t="shared" si="302"/>
        <v>2.5720520727157175E-2</v>
      </c>
      <c r="U320" s="21">
        <f t="shared" si="302"/>
        <v>5.8025993403681654E-3</v>
      </c>
      <c r="V320" s="21">
        <f t="shared" si="302"/>
        <v>5.4751000639582557E-4</v>
      </c>
      <c r="W320" s="21">
        <f t="shared" si="302"/>
        <v>3.0099298708265734E-4</v>
      </c>
      <c r="X320" s="21">
        <f t="shared" si="302"/>
        <v>8.7015628325000393E-5</v>
      </c>
      <c r="Y320" s="21">
        <f t="shared" si="302"/>
        <v>7.3753603501126007E-4</v>
      </c>
      <c r="Z320" s="21">
        <f t="shared" si="302"/>
        <v>1.6650264138049083E-3</v>
      </c>
      <c r="AA320" s="21">
        <f t="shared" si="302"/>
        <v>3.1856827685459261E-3</v>
      </c>
      <c r="AB320" s="21">
        <f t="shared" si="302"/>
        <v>7.5260197062615476E-3</v>
      </c>
      <c r="AC320" s="21">
        <f t="shared" si="302"/>
        <v>1.9241333582454147E-2</v>
      </c>
      <c r="AD320" s="21">
        <f t="shared" si="302"/>
        <v>3.6050463765933453E-2</v>
      </c>
      <c r="AE320" s="21">
        <f t="shared" si="302"/>
        <v>1.4743838192744376E-2</v>
      </c>
      <c r="AF320" s="21">
        <f t="shared" si="302"/>
        <v>2.8967425977845175E-4</v>
      </c>
      <c r="AG320" s="3"/>
      <c r="AH320" s="3"/>
    </row>
    <row r="321" spans="1:34" x14ac:dyDescent="0.25">
      <c r="A321" s="71">
        <f>SUM(B321:AF321)</f>
        <v>7.1119593201004925</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0.47666697703057603</v>
      </c>
      <c r="M321" s="60">
        <f t="shared" ref="M321" si="313">IF($A$64&lt;=M285,IF($B$64&gt;=M285,ABS(M320),0),0)</f>
        <v>0.98393098839197302</v>
      </c>
      <c r="N321" s="60">
        <f t="shared" ref="N321" si="314">IF($A$64&lt;=N285,IF($B$64&gt;=N285,ABS(N320),0),0)</f>
        <v>1.443648564390412</v>
      </c>
      <c r="O321" s="60">
        <f t="shared" ref="O321" si="315">IF($A$64&lt;=O285,IF($B$64&gt;=O285,ABS(O320),0),0)</f>
        <v>1.6236428711937236</v>
      </c>
      <c r="P321" s="60">
        <f t="shared" ref="P321" si="316">IF($A$64&lt;=P285,IF($B$64&gt;=P285,ABS(P320),0),0)</f>
        <v>1.3015464903235261</v>
      </c>
      <c r="Q321" s="60">
        <f t="shared" ref="Q321" si="317">IF($A$64&lt;=Q285,IF($B$64&gt;=Q285,ABS(Q320),0),0)</f>
        <v>0.78571336848819828</v>
      </c>
      <c r="R321" s="60">
        <f t="shared" ref="R321" si="318">IF($A$64&lt;=R285,IF($B$64&gt;=R285,ABS(R320),0),0)</f>
        <v>0.34030724947107821</v>
      </c>
      <c r="S321" s="60">
        <f t="shared" ref="S321" si="319">IF($A$64&lt;=S285,IF($B$64&gt;=S285,ABS(S320),0),0)</f>
        <v>0.12443218073708372</v>
      </c>
      <c r="T321" s="60">
        <f t="shared" ref="T321" si="320">IF($A$64&lt;=T285,IF($B$64&gt;=T285,ABS(T320),0),0)</f>
        <v>2.5720520727157175E-2</v>
      </c>
      <c r="U321" s="60">
        <f t="shared" ref="U321" si="321">IF($A$64&lt;=U285,IF($B$64&gt;=U285,ABS(U320),0),0)</f>
        <v>5.8025993403681654E-3</v>
      </c>
      <c r="V321" s="60">
        <f t="shared" ref="V321" si="322">IF($A$64&lt;=V285,IF($B$64&gt;=V285,ABS(V320),0),0)</f>
        <v>5.4751000639582557E-4</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5863.6829549380891</v>
      </c>
      <c r="C325" s="26">
        <f>INDEX(Comparison!$AM$3:$AS$33,G$14,$G$122)</f>
        <v>5609.1927579282792</v>
      </c>
      <c r="D325" s="26">
        <f>INDEX(Comparison!$AM$3:$AS$33,H$14,$G$122)</f>
        <v>5370.7345311781783</v>
      </c>
      <c r="E325" s="26">
        <f>INDEX(Comparison!$AM$3:$AS$33,I$14,$G$122)</f>
        <v>5097.9534912421213</v>
      </c>
      <c r="F325" s="26">
        <f>INDEX(Comparison!$AM$3:$AS$33,J$14,$G$122)</f>
        <v>4821.046341164677</v>
      </c>
      <c r="G325" s="26">
        <f>INDEX(Comparison!$AM$3:$AS$33,K$14,$G$122)</f>
        <v>4535.3452020984814</v>
      </c>
      <c r="H325" s="26">
        <f>INDEX(Comparison!$AM$3:$AS$33,L$14,$G$122)</f>
        <v>4228.4929725950406</v>
      </c>
      <c r="I325" s="26">
        <f>INDEX(Comparison!$AM$3:$AS$33,M$14,$G$122)</f>
        <v>3871.0057883923755</v>
      </c>
      <c r="J325" s="26">
        <f>INDEX(Comparison!$AM$3:$AS$33,N$14,$G$122)</f>
        <v>3401.7561264704505</v>
      </c>
      <c r="K325" s="26">
        <f>INDEX(Comparison!$AM$3:$AS$33,O$14,$G$122)</f>
        <v>2827.0529060658037</v>
      </c>
      <c r="L325" s="26">
        <f>INDEX(Comparison!$AM$3:$AS$33,P$14,$G$122)</f>
        <v>2150.7951483518323</v>
      </c>
      <c r="M325" s="26">
        <f>INDEX(Comparison!$AM$3:$AS$33,Q$14,$G$122)</f>
        <v>1410.5199057082755</v>
      </c>
      <c r="N325" s="26">
        <f>INDEX(Comparison!$AM$3:$AS$33,R$14,$G$122)</f>
        <v>826.67973456797017</v>
      </c>
      <c r="O325" s="26">
        <f>INDEX(Comparison!$AM$3:$AS$33,S$14,$G$122)</f>
        <v>463.10914863390207</v>
      </c>
      <c r="P325" s="26">
        <f>INDEX(Comparison!$AM$3:$AS$33,T$14,$G$122)</f>
        <v>257.27368574751409</v>
      </c>
      <c r="Q325" s="26">
        <f>INDEX(Comparison!$AM$3:$AS$33,U$14,$G$122)</f>
        <v>179.98076982609024</v>
      </c>
      <c r="R325" s="26">
        <f>INDEX(Comparison!$AM$3:$AS$33,V$14,$G$122)</f>
        <v>157.55849658546879</v>
      </c>
      <c r="S325" s="26">
        <f>INDEX(Comparison!$AM$3:$AS$33,W$14,$G$122)</f>
        <v>143.13037816485394</v>
      </c>
      <c r="T325" s="26">
        <f>INDEX(Comparison!$AM$3:$AS$33,X$14,$G$122)</f>
        <v>139.03929298884987</v>
      </c>
      <c r="U325" s="26">
        <f>INDEX(Comparison!$AM$3:$AS$33,Y$14,$G$122)</f>
        <v>135.60631839895524</v>
      </c>
      <c r="V325" s="26">
        <f>INDEX(Comparison!$AM$3:$AS$33,Z$14,$G$122)</f>
        <v>132.22937471479068</v>
      </c>
      <c r="W325" s="26">
        <f>INDEX(Comparison!$AM$3:$AS$33,AA$14,$G$122)</f>
        <v>129.58780540541244</v>
      </c>
      <c r="X325" s="26">
        <f>INDEX(Comparison!$AM$3:$AS$33,AB$14,$G$122)</f>
        <v>127.7135675720335</v>
      </c>
      <c r="Y325" s="26">
        <f>INDEX(Comparison!$AM$3:$AS$33,AC$14,$G$122)</f>
        <v>126.4367312836393</v>
      </c>
      <c r="Z325" s="26">
        <f>INDEX(Comparison!$AM$3:$AS$33,AD$14,$G$122)</f>
        <v>125.52960401951817</v>
      </c>
      <c r="AA325" s="26">
        <f>INDEX(Comparison!$AM$3:$AS$33,AE$14,$G$122)</f>
        <v>124.83927834622055</v>
      </c>
      <c r="AB325" s="26">
        <f>INDEX(Comparison!$AM$3:$AS$33,AF$14,$G$122)</f>
        <v>124.70417941781746</v>
      </c>
      <c r="AC325" s="26">
        <f>INDEX(Comparison!$AM$3:$AS$33,AG$14,$G$122)</f>
        <v>123.9260383626436</v>
      </c>
      <c r="AD325" s="26">
        <f>INDEX(Comparison!$AM$3:$AS$33,AH$14,$G$122)</f>
        <v>123.91358498832378</v>
      </c>
      <c r="AE325" s="26">
        <f>INDEX(Comparison!$AM$3:$AS$33,AI$14,$G$122)</f>
        <v>123.65466987195585</v>
      </c>
      <c r="AF325" s="26">
        <f>INDEX(Comparison!$AM$3:$AS$33,AJ$14,$G$122)</f>
        <v>123.64094316844046</v>
      </c>
      <c r="AG325" s="26"/>
      <c r="AH325" s="26"/>
    </row>
    <row r="326" spans="1:34" x14ac:dyDescent="0.25">
      <c r="A326" s="77" t="s">
        <v>22</v>
      </c>
      <c r="B326" s="27">
        <f>($C$17+SUM(B327:B357))*$B$51</f>
        <v>5887.3082555201454</v>
      </c>
      <c r="C326" s="27">
        <f t="shared" ref="C326:AF326" si="333">($C$17+SUM(C327:C357))*$B$51</f>
        <v>5677.670379058075</v>
      </c>
      <c r="D326" s="27">
        <f t="shared" si="333"/>
        <v>5466.1597626372686</v>
      </c>
      <c r="E326" s="27">
        <f t="shared" si="333"/>
        <v>5177.3887593939899</v>
      </c>
      <c r="F326" s="27">
        <f t="shared" si="333"/>
        <v>4906.2771640081955</v>
      </c>
      <c r="G326" s="27">
        <f t="shared" si="333"/>
        <v>4616.9257048692834</v>
      </c>
      <c r="H326" s="27">
        <f t="shared" si="333"/>
        <v>4315.8904175493399</v>
      </c>
      <c r="I326" s="27">
        <f t="shared" si="333"/>
        <v>3962.5290864916556</v>
      </c>
      <c r="J326" s="27">
        <f t="shared" si="333"/>
        <v>3427.3901155018166</v>
      </c>
      <c r="K326" s="27">
        <f t="shared" si="333"/>
        <v>2781.4081551553295</v>
      </c>
      <c r="L326" s="27">
        <f t="shared" si="333"/>
        <v>2096.3081419142868</v>
      </c>
      <c r="M326" s="27">
        <f t="shared" si="333"/>
        <v>1426.9332399838986</v>
      </c>
      <c r="N326" s="27">
        <f t="shared" si="333"/>
        <v>865.68913937349544</v>
      </c>
      <c r="O326" s="27">
        <f t="shared" si="333"/>
        <v>508.41486487080414</v>
      </c>
      <c r="P326" s="27">
        <f t="shared" si="333"/>
        <v>258.04445668291345</v>
      </c>
      <c r="Q326" s="27">
        <f t="shared" si="333"/>
        <v>163.56337931559983</v>
      </c>
      <c r="R326" s="27">
        <f t="shared" si="333"/>
        <v>144.55369194533361</v>
      </c>
      <c r="S326" s="27">
        <f t="shared" si="333"/>
        <v>127.72690408271667</v>
      </c>
      <c r="T326" s="27">
        <f t="shared" si="333"/>
        <v>124.66888395336946</v>
      </c>
      <c r="U326" s="27">
        <f t="shared" si="333"/>
        <v>124.41448742298911</v>
      </c>
      <c r="V326" s="27">
        <f t="shared" si="333"/>
        <v>123.87135066195268</v>
      </c>
      <c r="W326" s="27">
        <f t="shared" si="333"/>
        <v>123.70746469320316</v>
      </c>
      <c r="X326" s="27">
        <f t="shared" si="333"/>
        <v>123.32429986920823</v>
      </c>
      <c r="Y326" s="27">
        <f t="shared" si="333"/>
        <v>122.9655927602879</v>
      </c>
      <c r="Z326" s="27">
        <f t="shared" si="333"/>
        <v>122.92103227924302</v>
      </c>
      <c r="AA326" s="27">
        <f t="shared" si="333"/>
        <v>122.9210322792066</v>
      </c>
      <c r="AB326" s="27">
        <f t="shared" si="333"/>
        <v>122.9210322792066</v>
      </c>
      <c r="AC326" s="27">
        <f t="shared" si="333"/>
        <v>122.9210322792066</v>
      </c>
      <c r="AD326" s="27">
        <f t="shared" si="333"/>
        <v>122.9210322792066</v>
      </c>
      <c r="AE326" s="27">
        <f t="shared" si="333"/>
        <v>122.9210322792066</v>
      </c>
      <c r="AF326" s="27">
        <f t="shared" si="333"/>
        <v>122.9210322792066</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0</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1.4826530557724458E-173</v>
      </c>
      <c r="C332" s="3">
        <f t="shared" si="339"/>
        <v>0</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7.7891924158287077E-18</v>
      </c>
      <c r="C333" s="3">
        <f t="shared" si="340"/>
        <v>6.8666780139957092E-157</v>
      </c>
      <c r="D333" s="3">
        <f t="shared" si="340"/>
        <v>0</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1.1409496281566374E-3</v>
      </c>
      <c r="C334" s="3">
        <f t="shared" si="341"/>
        <v>3.2611560482128367E-16</v>
      </c>
      <c r="D334" s="3">
        <f t="shared" si="341"/>
        <v>1.1869233522293108E-141</v>
      </c>
      <c r="E334" s="3">
        <f t="shared" si="341"/>
        <v>0</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2.5781453688652017E-2</v>
      </c>
      <c r="C335" s="3">
        <f t="shared" si="342"/>
        <v>1.9043366562014497E-3</v>
      </c>
      <c r="D335" s="3">
        <f t="shared" si="342"/>
        <v>9.2067634361675638E-15</v>
      </c>
      <c r="E335" s="3">
        <f t="shared" si="342"/>
        <v>6.4230241619168811E-128</v>
      </c>
      <c r="F335" s="3">
        <f t="shared" si="342"/>
        <v>0</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2.864318497401799E-2</v>
      </c>
      <c r="C336" s="3">
        <f t="shared" si="343"/>
        <v>2.2643567467729896E-2</v>
      </c>
      <c r="D336" s="3">
        <f t="shared" si="343"/>
        <v>2.1586402927892263E-3</v>
      </c>
      <c r="E336" s="3">
        <f t="shared" si="343"/>
        <v>1.3382417259341859E-13</v>
      </c>
      <c r="F336" s="3">
        <f t="shared" si="343"/>
        <v>1.1222185505329322E-115</v>
      </c>
      <c r="G336" s="3">
        <f t="shared" si="343"/>
        <v>0</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4.8926509820564228E-2</v>
      </c>
      <c r="C337" s="3">
        <f t="shared" si="344"/>
        <v>4.7900063679916761E-2</v>
      </c>
      <c r="D337" s="3">
        <f t="shared" si="344"/>
        <v>3.8748476748296436E-2</v>
      </c>
      <c r="E337" s="3">
        <f t="shared" si="344"/>
        <v>4.6498620842244636E-3</v>
      </c>
      <c r="F337" s="3">
        <f t="shared" si="344"/>
        <v>2.8793499079873115E-12</v>
      </c>
      <c r="G337" s="3">
        <f t="shared" si="344"/>
        <v>2.3869217199112861E-104</v>
      </c>
      <c r="H337" s="3">
        <f t="shared" si="344"/>
        <v>0</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4.178097900380074E-2</v>
      </c>
      <c r="C338" s="3">
        <f t="shared" si="345"/>
        <v>4.1701143179950405E-2</v>
      </c>
      <c r="D338" s="3">
        <f t="shared" si="345"/>
        <v>4.0911127370230331E-2</v>
      </c>
      <c r="E338" s="3">
        <f t="shared" si="345"/>
        <v>3.3789075818327942E-2</v>
      </c>
      <c r="F338" s="3">
        <f t="shared" si="345"/>
        <v>4.9902806805929229E-3</v>
      </c>
      <c r="G338" s="3">
        <f t="shared" si="345"/>
        <v>2.4638347376208302E-11</v>
      </c>
      <c r="H338" s="3">
        <f t="shared" si="345"/>
        <v>2.1206919144406906E-94</v>
      </c>
      <c r="I338" s="3">
        <f t="shared" si="345"/>
        <v>0</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4.6924893901081628E-2</v>
      </c>
      <c r="C339" s="3">
        <f t="shared" si="346"/>
        <v>4.69167983413099E-2</v>
      </c>
      <c r="D339" s="3">
        <f t="shared" si="346"/>
        <v>4.6835919520108689E-2</v>
      </c>
      <c r="E339" s="3">
        <f t="shared" si="346"/>
        <v>4.603476017210166E-2</v>
      </c>
      <c r="F339" s="3">
        <f t="shared" si="346"/>
        <v>3.8739518966584945E-2</v>
      </c>
      <c r="G339" s="3">
        <f t="shared" si="346"/>
        <v>6.8998176233024764E-3</v>
      </c>
      <c r="H339" s="3">
        <f t="shared" si="346"/>
        <v>2.2165191612157709E-10</v>
      </c>
      <c r="I339" s="3">
        <f t="shared" si="346"/>
        <v>2.5942407351358933E-85</v>
      </c>
      <c r="J339" s="3">
        <f t="shared" si="346"/>
        <v>0</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4.7062385668249579E-2</v>
      </c>
      <c r="C340" s="3">
        <f t="shared" si="347"/>
        <v>4.7061653184154013E-2</v>
      </c>
      <c r="D340" s="3">
        <f t="shared" si="347"/>
        <v>4.7054328970194473E-2</v>
      </c>
      <c r="E340" s="3">
        <f t="shared" si="347"/>
        <v>4.69811494941215E-2</v>
      </c>
      <c r="F340" s="3">
        <f t="shared" si="347"/>
        <v>4.6255585148928725E-2</v>
      </c>
      <c r="G340" s="3">
        <f t="shared" si="347"/>
        <v>3.958854926371317E-2</v>
      </c>
      <c r="H340" s="3">
        <f t="shared" si="347"/>
        <v>8.3487924728767315E-3</v>
      </c>
      <c r="I340" s="3">
        <f t="shared" si="347"/>
        <v>1.452661587991186E-9</v>
      </c>
      <c r="J340" s="3">
        <f t="shared" si="347"/>
        <v>3.6946416575852549E-77</v>
      </c>
      <c r="K340" s="3">
        <f t="shared" si="347"/>
        <v>0</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5.187498815249536E-2</v>
      </c>
      <c r="C341" s="3">
        <f t="shared" si="348"/>
        <v>5.1874915318868453E-2</v>
      </c>
      <c r="D341" s="3">
        <f t="shared" si="348"/>
        <v>5.1874186988223672E-2</v>
      </c>
      <c r="E341" s="3">
        <f t="shared" si="348"/>
        <v>5.1866904244174408E-2</v>
      </c>
      <c r="F341" s="3">
        <f t="shared" si="348"/>
        <v>5.1794133014327934E-2</v>
      </c>
      <c r="G341" s="3">
        <f t="shared" si="348"/>
        <v>5.1072012689043697E-2</v>
      </c>
      <c r="H341" s="3">
        <f t="shared" si="348"/>
        <v>4.4382016220277737E-2</v>
      </c>
      <c r="I341" s="3">
        <f t="shared" si="348"/>
        <v>1.0900528971191125E-2</v>
      </c>
      <c r="J341" s="3">
        <f t="shared" si="348"/>
        <v>8.7066889728344142E-9</v>
      </c>
      <c r="K341" s="3">
        <f t="shared" si="348"/>
        <v>9.2025376032143952E-70</v>
      </c>
      <c r="L341" s="3">
        <f t="shared" si="348"/>
        <v>0</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9.3719083814477355E-2</v>
      </c>
      <c r="C342" s="3">
        <f t="shared" si="349"/>
        <v>9.3719071944528998E-2</v>
      </c>
      <c r="D342" s="3">
        <f t="shared" si="349"/>
        <v>9.3718953245128175E-2</v>
      </c>
      <c r="E342" s="3">
        <f t="shared" si="349"/>
        <v>9.371776625938856E-2</v>
      </c>
      <c r="F342" s="3">
        <f t="shared" si="349"/>
        <v>9.370589722880994E-2</v>
      </c>
      <c r="G342" s="3">
        <f t="shared" si="349"/>
        <v>9.3587289566059786E-2</v>
      </c>
      <c r="H342" s="3">
        <f t="shared" si="349"/>
        <v>9.240943864467889E-2</v>
      </c>
      <c r="I342" s="3">
        <f t="shared" si="349"/>
        <v>8.1416224036197915E-2</v>
      </c>
      <c r="J342" s="3">
        <f t="shared" si="349"/>
        <v>2.2943369619744636E-2</v>
      </c>
      <c r="K342" s="3">
        <f t="shared" si="349"/>
        <v>7.2463557768759017E-8</v>
      </c>
      <c r="L342" s="3">
        <f t="shared" si="349"/>
        <v>7.1572166776150534E-63</v>
      </c>
      <c r="M342" s="3">
        <f t="shared" si="349"/>
        <v>0</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0.10682658577950714</v>
      </c>
      <c r="C343" s="3">
        <f t="shared" si="350"/>
        <v>0.1068265845589819</v>
      </c>
      <c r="D343" s="3">
        <f t="shared" si="350"/>
        <v>0.10682657235373043</v>
      </c>
      <c r="E343" s="3">
        <f t="shared" si="350"/>
        <v>0.1068264503012924</v>
      </c>
      <c r="F343" s="3">
        <f t="shared" si="350"/>
        <v>0.10682522978458163</v>
      </c>
      <c r="G343" s="3">
        <f t="shared" si="350"/>
        <v>0.10681302538440525</v>
      </c>
      <c r="H343" s="3">
        <f t="shared" si="350"/>
        <v>0.10669105804336108</v>
      </c>
      <c r="I343" s="3">
        <f t="shared" si="350"/>
        <v>0.10547901839644443</v>
      </c>
      <c r="J343" s="3">
        <f t="shared" si="350"/>
        <v>9.4090690315564302E-2</v>
      </c>
      <c r="K343" s="3">
        <f t="shared" si="350"/>
        <v>3.0015971744123345E-2</v>
      </c>
      <c r="L343" s="3">
        <f t="shared" si="350"/>
        <v>3.2764982342040383E-7</v>
      </c>
      <c r="M343" s="3">
        <f t="shared" si="350"/>
        <v>7.8701904496136181E-57</v>
      </c>
      <c r="N343" s="3">
        <f t="shared" si="350"/>
        <v>0</v>
      </c>
      <c r="O343" s="3">
        <f t="shared" si="350"/>
        <v>0</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0.11271230137733783</v>
      </c>
      <c r="C344" s="3">
        <f t="shared" si="351"/>
        <v>0.11271230126117014</v>
      </c>
      <c r="D344" s="3">
        <f t="shared" si="351"/>
        <v>0.11271230009949335</v>
      </c>
      <c r="E344" s="3">
        <f t="shared" si="351"/>
        <v>0.11271228848272592</v>
      </c>
      <c r="F344" s="3">
        <f t="shared" si="351"/>
        <v>0.1127121723151176</v>
      </c>
      <c r="G344" s="3">
        <f t="shared" si="351"/>
        <v>0.11271101064561945</v>
      </c>
      <c r="H344" s="3">
        <f t="shared" si="351"/>
        <v>0.11269939460911955</v>
      </c>
      <c r="I344" s="3">
        <f t="shared" si="351"/>
        <v>0.11258330006717215</v>
      </c>
      <c r="J344" s="3">
        <f t="shared" si="351"/>
        <v>0.11142891192075602</v>
      </c>
      <c r="K344" s="3">
        <f t="shared" si="351"/>
        <v>0.10051642657316043</v>
      </c>
      <c r="L344" s="3">
        <f t="shared" si="351"/>
        <v>3.5861508215386008E-2</v>
      </c>
      <c r="M344" s="3">
        <f t="shared" si="351"/>
        <v>1.1982395472060111E-6</v>
      </c>
      <c r="N344" s="3">
        <f t="shared" si="351"/>
        <v>2.0782349041274871E-51</v>
      </c>
      <c r="O344" s="3">
        <f t="shared" si="351"/>
        <v>0</v>
      </c>
      <c r="P344" s="3">
        <f t="shared" si="351"/>
        <v>0</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0.10920571405065559</v>
      </c>
      <c r="C345" s="3">
        <f t="shared" si="352"/>
        <v>0.10920571404050231</v>
      </c>
      <c r="D345" s="3">
        <f t="shared" si="352"/>
        <v>0.10920571393896962</v>
      </c>
      <c r="E345" s="3">
        <f t="shared" si="352"/>
        <v>0.10920571292364256</v>
      </c>
      <c r="F345" s="3">
        <f t="shared" si="352"/>
        <v>0.10920570277037261</v>
      </c>
      <c r="G345" s="3">
        <f t="shared" si="352"/>
        <v>0.10920560123772496</v>
      </c>
      <c r="H345" s="3">
        <f t="shared" si="352"/>
        <v>0.10920458591644054</v>
      </c>
      <c r="I345" s="3">
        <f t="shared" si="352"/>
        <v>0.10919443322276984</v>
      </c>
      <c r="J345" s="3">
        <f t="shared" si="352"/>
        <v>0.10909295818557274</v>
      </c>
      <c r="K345" s="3">
        <f t="shared" si="352"/>
        <v>0.10808337995530483</v>
      </c>
      <c r="L345" s="3">
        <f t="shared" si="352"/>
        <v>9.8487453358532748E-2</v>
      </c>
      <c r="M345" s="3">
        <f t="shared" si="352"/>
        <v>3.8868771310238463E-2</v>
      </c>
      <c r="N345" s="3">
        <f t="shared" si="352"/>
        <v>3.562869018910429E-6</v>
      </c>
      <c r="O345" s="3">
        <f t="shared" si="352"/>
        <v>1.4920737904591234E-46</v>
      </c>
      <c r="P345" s="3">
        <f t="shared" si="352"/>
        <v>0</v>
      </c>
      <c r="Q345" s="3">
        <f t="shared" si="352"/>
        <v>0</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8.5595472993648322E-2</v>
      </c>
      <c r="C346" s="3">
        <f t="shared" si="353"/>
        <v>8.5595472992930438E-2</v>
      </c>
      <c r="D346" s="3">
        <f t="shared" si="353"/>
        <v>8.5595472985751528E-2</v>
      </c>
      <c r="E346" s="3">
        <f t="shared" si="353"/>
        <v>8.5595472913962523E-2</v>
      </c>
      <c r="F346" s="3">
        <f t="shared" si="353"/>
        <v>8.5595472196072386E-2</v>
      </c>
      <c r="G346" s="3">
        <f t="shared" si="353"/>
        <v>8.5595465017171468E-2</v>
      </c>
      <c r="H346" s="3">
        <f t="shared" si="353"/>
        <v>8.5595393228195288E-2</v>
      </c>
      <c r="I346" s="3">
        <f t="shared" si="353"/>
        <v>8.559467534174503E-2</v>
      </c>
      <c r="J346" s="3">
        <f t="shared" si="353"/>
        <v>8.5587496808383443E-2</v>
      </c>
      <c r="K346" s="3">
        <f t="shared" si="353"/>
        <v>8.5515744578588349E-2</v>
      </c>
      <c r="L346" s="3">
        <f t="shared" si="353"/>
        <v>8.4801522412969385E-2</v>
      </c>
      <c r="M346" s="3">
        <f t="shared" si="353"/>
        <v>7.7979298743567821E-2</v>
      </c>
      <c r="N346" s="3">
        <f t="shared" si="353"/>
        <v>3.3708240812282741E-2</v>
      </c>
      <c r="O346" s="3">
        <f t="shared" si="353"/>
        <v>7.6789831270579785E-6</v>
      </c>
      <c r="P346" s="3">
        <f t="shared" si="353"/>
        <v>2.8905465506374753E-42</v>
      </c>
      <c r="Q346" s="3">
        <f t="shared" si="353"/>
        <v>0</v>
      </c>
      <c r="R346" s="3">
        <f t="shared" si="353"/>
        <v>0</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3.0330599560695427E-2</v>
      </c>
      <c r="C347" s="3">
        <f t="shared" si="354"/>
        <v>3.033059956067248E-2</v>
      </c>
      <c r="D347" s="3">
        <f t="shared" si="354"/>
        <v>3.0330599560443008E-2</v>
      </c>
      <c r="E347" s="3">
        <f t="shared" si="354"/>
        <v>3.033059955814826E-2</v>
      </c>
      <c r="F347" s="3">
        <f t="shared" si="354"/>
        <v>3.033059953520079E-2</v>
      </c>
      <c r="G347" s="3">
        <f t="shared" si="354"/>
        <v>3.0330599305726111E-2</v>
      </c>
      <c r="H347" s="3">
        <f t="shared" si="354"/>
        <v>3.0330597010979423E-2</v>
      </c>
      <c r="I347" s="3">
        <f t="shared" si="354"/>
        <v>3.0330574063522062E-2</v>
      </c>
      <c r="J347" s="3">
        <f t="shared" si="354"/>
        <v>3.033034458990334E-2</v>
      </c>
      <c r="K347" s="3">
        <f t="shared" si="354"/>
        <v>3.0328049949201692E-2</v>
      </c>
      <c r="L347" s="3">
        <f t="shared" si="354"/>
        <v>3.0305113088069491E-2</v>
      </c>
      <c r="M347" s="3">
        <f t="shared" si="354"/>
        <v>3.0076696398356612E-2</v>
      </c>
      <c r="N347" s="3">
        <f t="shared" si="354"/>
        <v>2.7885109981589391E-2</v>
      </c>
      <c r="O347" s="3">
        <f t="shared" si="354"/>
        <v>1.3085630695874343E-2</v>
      </c>
      <c r="P347" s="3">
        <f t="shared" si="354"/>
        <v>6.7766902672810957E-6</v>
      </c>
      <c r="Q347" s="3">
        <f t="shared" si="354"/>
        <v>9.402587987298406E-39</v>
      </c>
      <c r="R347" s="3">
        <f t="shared" si="354"/>
        <v>0</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3.2127590787363353E-2</v>
      </c>
      <c r="C348" s="3">
        <f t="shared" si="355"/>
        <v>3.2127590787356629E-2</v>
      </c>
      <c r="D348" s="3">
        <f t="shared" si="355"/>
        <v>3.2127590787289398E-2</v>
      </c>
      <c r="E348" s="3">
        <f t="shared" si="355"/>
        <v>3.2127590786617123E-2</v>
      </c>
      <c r="F348" s="3">
        <f t="shared" si="355"/>
        <v>3.212759077989441E-2</v>
      </c>
      <c r="G348" s="3">
        <f t="shared" si="355"/>
        <v>3.2127590712667242E-2</v>
      </c>
      <c r="H348" s="3">
        <f t="shared" si="355"/>
        <v>3.2127590040395601E-2</v>
      </c>
      <c r="I348" s="3">
        <f t="shared" si="355"/>
        <v>3.2127583317679946E-2</v>
      </c>
      <c r="J348" s="3">
        <f t="shared" si="355"/>
        <v>3.2127516090600751E-2</v>
      </c>
      <c r="K348" s="3">
        <f t="shared" si="355"/>
        <v>3.2126843827545735E-2</v>
      </c>
      <c r="L348" s="3">
        <f t="shared" si="355"/>
        <v>3.2120121970631799E-2</v>
      </c>
      <c r="M348" s="3">
        <f t="shared" si="355"/>
        <v>3.2052980705246044E-2</v>
      </c>
      <c r="N348" s="3">
        <f t="shared" si="355"/>
        <v>3.138923890961063E-2</v>
      </c>
      <c r="O348" s="3">
        <f t="shared" si="355"/>
        <v>2.546269804771124E-2</v>
      </c>
      <c r="P348" s="3">
        <f t="shared" si="355"/>
        <v>3.1415267630174343E-3</v>
      </c>
      <c r="Q348" s="3">
        <f t="shared" si="355"/>
        <v>2.5674630561100263E-12</v>
      </c>
      <c r="R348" s="3">
        <f t="shared" si="355"/>
        <v>3.4130181343440667E-103</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1.5939358035986756E-2</v>
      </c>
      <c r="C349" s="3">
        <f t="shared" si="356"/>
        <v>1.5939358035986423E-2</v>
      </c>
      <c r="D349" s="3">
        <f t="shared" si="356"/>
        <v>1.5939358035983089E-2</v>
      </c>
      <c r="E349" s="3">
        <f t="shared" si="356"/>
        <v>1.5939358035949733E-2</v>
      </c>
      <c r="F349" s="3">
        <f t="shared" si="356"/>
        <v>1.5939358035616202E-2</v>
      </c>
      <c r="G349" s="3">
        <f t="shared" si="356"/>
        <v>1.5939358032280884E-2</v>
      </c>
      <c r="H349" s="3">
        <f t="shared" si="356"/>
        <v>1.5939357998927685E-2</v>
      </c>
      <c r="I349" s="3">
        <f t="shared" si="356"/>
        <v>1.5939357665395726E-2</v>
      </c>
      <c r="J349" s="3">
        <f t="shared" si="356"/>
        <v>1.5939354330076479E-2</v>
      </c>
      <c r="K349" s="3">
        <f t="shared" si="356"/>
        <v>1.5939320976922421E-2</v>
      </c>
      <c r="L349" s="3">
        <f t="shared" si="356"/>
        <v>1.5938987449220357E-2</v>
      </c>
      <c r="M349" s="3">
        <f t="shared" si="356"/>
        <v>1.5935652556021328E-2</v>
      </c>
      <c r="N349" s="3">
        <f t="shared" si="356"/>
        <v>1.5902341976493106E-2</v>
      </c>
      <c r="O349" s="3">
        <f t="shared" si="356"/>
        <v>1.5573041899369281E-2</v>
      </c>
      <c r="P349" s="3">
        <f t="shared" si="356"/>
        <v>1.2632726289090974E-2</v>
      </c>
      <c r="Q349" s="3">
        <f t="shared" si="356"/>
        <v>1.5585955444584344E-3</v>
      </c>
      <c r="R349" s="3">
        <f t="shared" si="356"/>
        <v>1.2737871683675083E-12</v>
      </c>
      <c r="S349" s="3">
        <f t="shared" si="356"/>
        <v>1.693289683209673E-103</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1.0098226932664879E-3</v>
      </c>
      <c r="C350" s="3">
        <f t="shared" si="357"/>
        <v>1.0098226932664857E-3</v>
      </c>
      <c r="D350" s="3">
        <f t="shared" si="357"/>
        <v>1.0098226932664647E-3</v>
      </c>
      <c r="E350" s="3">
        <f t="shared" si="357"/>
        <v>1.0098226932662533E-3</v>
      </c>
      <c r="F350" s="3">
        <f t="shared" si="357"/>
        <v>1.0098226932641402E-3</v>
      </c>
      <c r="G350" s="3">
        <f t="shared" si="357"/>
        <v>1.0098226932430097E-3</v>
      </c>
      <c r="H350" s="3">
        <f t="shared" si="357"/>
        <v>1.0098226930317037E-3</v>
      </c>
      <c r="I350" s="3">
        <f t="shared" si="357"/>
        <v>1.009822690918644E-3</v>
      </c>
      <c r="J350" s="3">
        <f t="shared" si="357"/>
        <v>1.0098226697880474E-3</v>
      </c>
      <c r="K350" s="3">
        <f t="shared" si="357"/>
        <v>1.0098224584821056E-3</v>
      </c>
      <c r="L350" s="3">
        <f t="shared" si="357"/>
        <v>1.0098203454251189E-3</v>
      </c>
      <c r="M350" s="3">
        <f t="shared" si="357"/>
        <v>1.0097992150984384E-3</v>
      </c>
      <c r="N350" s="3">
        <f t="shared" si="357"/>
        <v>1.0095879361482827E-3</v>
      </c>
      <c r="O350" s="3">
        <f t="shared" si="357"/>
        <v>1.0074775764300611E-3</v>
      </c>
      <c r="P350" s="3">
        <f t="shared" si="357"/>
        <v>9.8661508686032637E-4</v>
      </c>
      <c r="Q350" s="3">
        <f t="shared" si="357"/>
        <v>8.0033422022058557E-4</v>
      </c>
      <c r="R350" s="3">
        <f t="shared" si="357"/>
        <v>9.8743321209342883E-5</v>
      </c>
      <c r="S350" s="3">
        <f t="shared" si="357"/>
        <v>8.0699560553508637E-14</v>
      </c>
      <c r="T350" s="3">
        <f t="shared" si="357"/>
        <v>1.0727673878198886E-104</v>
      </c>
      <c r="U350" s="3">
        <f t="shared" si="357"/>
        <v>0</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3.5232790951536608E-3</v>
      </c>
      <c r="C351" s="3">
        <f t="shared" si="358"/>
        <v>3.5232790951536599E-3</v>
      </c>
      <c r="D351" s="3">
        <f t="shared" si="358"/>
        <v>3.5232790951536526E-3</v>
      </c>
      <c r="E351" s="3">
        <f t="shared" si="358"/>
        <v>3.5232790951535788E-3</v>
      </c>
      <c r="F351" s="3">
        <f t="shared" si="358"/>
        <v>3.5232790951528416E-3</v>
      </c>
      <c r="G351" s="3">
        <f t="shared" si="358"/>
        <v>3.523279095145469E-3</v>
      </c>
      <c r="H351" s="3">
        <f t="shared" si="358"/>
        <v>3.5232790950717441E-3</v>
      </c>
      <c r="I351" s="3">
        <f t="shared" si="358"/>
        <v>3.5232790943344962E-3</v>
      </c>
      <c r="J351" s="3">
        <f t="shared" si="358"/>
        <v>3.5232790869620147E-3</v>
      </c>
      <c r="K351" s="3">
        <f t="shared" si="358"/>
        <v>3.523279013237202E-3</v>
      </c>
      <c r="L351" s="3">
        <f t="shared" si="358"/>
        <v>3.5232782759891555E-3</v>
      </c>
      <c r="M351" s="3">
        <f t="shared" si="358"/>
        <v>3.5232709035171788E-3</v>
      </c>
      <c r="N351" s="3">
        <f t="shared" si="358"/>
        <v>3.5231971796458855E-3</v>
      </c>
      <c r="O351" s="3">
        <f t="shared" si="358"/>
        <v>3.5224600257739306E-3</v>
      </c>
      <c r="P351" s="3">
        <f t="shared" si="358"/>
        <v>3.5150969645870076E-3</v>
      </c>
      <c r="Q351" s="3">
        <f t="shared" si="358"/>
        <v>3.4423075790205749E-3</v>
      </c>
      <c r="R351" s="3">
        <f t="shared" si="358"/>
        <v>2.7923722115196724E-3</v>
      </c>
      <c r="S351" s="3">
        <f t="shared" si="358"/>
        <v>3.4451620242120209E-4</v>
      </c>
      <c r="T351" s="3">
        <f t="shared" si="358"/>
        <v>2.8156138357967286E-13</v>
      </c>
      <c r="U351" s="3">
        <f t="shared" si="358"/>
        <v>3.7428936155537326E-104</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1.7526056431954549E-4</v>
      </c>
      <c r="C352" s="3">
        <f t="shared" si="359"/>
        <v>1.7526056431954549E-4</v>
      </c>
      <c r="D352" s="3">
        <f t="shared" si="359"/>
        <v>1.7526056431954546E-4</v>
      </c>
      <c r="E352" s="3">
        <f t="shared" si="359"/>
        <v>1.7526056431954509E-4</v>
      </c>
      <c r="F352" s="3">
        <f t="shared" si="359"/>
        <v>1.7526056431954143E-4</v>
      </c>
      <c r="G352" s="3">
        <f t="shared" si="359"/>
        <v>1.7526056431950475E-4</v>
      </c>
      <c r="H352" s="3">
        <f t="shared" si="359"/>
        <v>1.7526056431913799E-4</v>
      </c>
      <c r="I352" s="3">
        <f t="shared" si="359"/>
        <v>1.7526056431547068E-4</v>
      </c>
      <c r="J352" s="3">
        <f t="shared" si="359"/>
        <v>1.752605642787973E-4</v>
      </c>
      <c r="K352" s="3">
        <f t="shared" si="359"/>
        <v>1.7526056391206358E-4</v>
      </c>
      <c r="L352" s="3">
        <f t="shared" si="359"/>
        <v>1.7526056024472642E-4</v>
      </c>
      <c r="M352" s="3">
        <f t="shared" si="359"/>
        <v>1.7526052357135906E-4</v>
      </c>
      <c r="N352" s="3">
        <f t="shared" si="359"/>
        <v>1.7526015683810739E-4</v>
      </c>
      <c r="O352" s="3">
        <f t="shared" si="359"/>
        <v>1.7525648954779693E-4</v>
      </c>
      <c r="P352" s="3">
        <f t="shared" si="359"/>
        <v>1.7521982086498753E-4</v>
      </c>
      <c r="Q352" s="3">
        <f t="shared" si="359"/>
        <v>1.748535557398334E-4</v>
      </c>
      <c r="R352" s="3">
        <f t="shared" si="359"/>
        <v>1.7123275010783175E-4</v>
      </c>
      <c r="S352" s="3">
        <f t="shared" si="359"/>
        <v>1.3890262915995622E-4</v>
      </c>
      <c r="T352" s="3">
        <f t="shared" si="359"/>
        <v>1.7137474047009406E-5</v>
      </c>
      <c r="U352" s="3">
        <f t="shared" si="359"/>
        <v>1.4005875107834261E-14</v>
      </c>
      <c r="V352" s="3">
        <f t="shared" si="359"/>
        <v>1.8618497982526752E-105</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0</v>
      </c>
      <c r="C353" s="3">
        <f t="shared" si="360"/>
        <v>0</v>
      </c>
      <c r="D353" s="3">
        <f t="shared" si="360"/>
        <v>0</v>
      </c>
      <c r="E353" s="3">
        <f t="shared" si="360"/>
        <v>0</v>
      </c>
      <c r="F353" s="3">
        <f t="shared" si="360"/>
        <v>0</v>
      </c>
      <c r="G353" s="3">
        <f t="shared" si="360"/>
        <v>0</v>
      </c>
      <c r="H353" s="3">
        <f t="shared" si="360"/>
        <v>0</v>
      </c>
      <c r="I353" s="3">
        <f t="shared" si="360"/>
        <v>0</v>
      </c>
      <c r="J353" s="3">
        <f t="shared" si="360"/>
        <v>0</v>
      </c>
      <c r="K353" s="3">
        <f t="shared" si="360"/>
        <v>0</v>
      </c>
      <c r="L353" s="3">
        <f t="shared" si="360"/>
        <v>0</v>
      </c>
      <c r="M353" s="3">
        <f t="shared" si="360"/>
        <v>0</v>
      </c>
      <c r="N353" s="3">
        <f t="shared" si="360"/>
        <v>0</v>
      </c>
      <c r="O353" s="3">
        <f t="shared" si="360"/>
        <v>0</v>
      </c>
      <c r="P353" s="3">
        <f t="shared" si="360"/>
        <v>0</v>
      </c>
      <c r="Q353" s="3">
        <f t="shared" si="360"/>
        <v>0</v>
      </c>
      <c r="R353" s="3">
        <f t="shared" si="360"/>
        <v>0</v>
      </c>
      <c r="S353" s="3">
        <f t="shared" si="360"/>
        <v>0</v>
      </c>
      <c r="T353" s="3">
        <f t="shared" si="360"/>
        <v>0</v>
      </c>
      <c r="U353" s="3">
        <f t="shared" si="360"/>
        <v>0</v>
      </c>
      <c r="V353" s="3">
        <f t="shared" si="360"/>
        <v>0</v>
      </c>
      <c r="W353" s="3">
        <f t="shared" si="360"/>
        <v>0</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1.1765348907566872E-4</v>
      </c>
      <c r="C354" s="3">
        <f t="shared" si="361"/>
        <v>1.1765348907566872E-4</v>
      </c>
      <c r="D354" s="3">
        <f t="shared" si="361"/>
        <v>1.1765348907566872E-4</v>
      </c>
      <c r="E354" s="3">
        <f t="shared" si="361"/>
        <v>1.1765348907566872E-4</v>
      </c>
      <c r="F354" s="3">
        <f t="shared" si="361"/>
        <v>1.176534890756687E-4</v>
      </c>
      <c r="G354" s="3">
        <f t="shared" si="361"/>
        <v>1.1765348907566845E-4</v>
      </c>
      <c r="H354" s="3">
        <f t="shared" si="361"/>
        <v>1.17653489075666E-4</v>
      </c>
      <c r="I354" s="3">
        <f t="shared" si="361"/>
        <v>1.1765348907564137E-4</v>
      </c>
      <c r="J354" s="3">
        <f t="shared" si="361"/>
        <v>1.1765348907539518E-4</v>
      </c>
      <c r="K354" s="3">
        <f t="shared" si="361"/>
        <v>1.1765348907293327E-4</v>
      </c>
      <c r="L354" s="3">
        <f t="shared" si="361"/>
        <v>1.1765348904831422E-4</v>
      </c>
      <c r="M354" s="3">
        <f t="shared" si="361"/>
        <v>1.1765348880212362E-4</v>
      </c>
      <c r="N354" s="3">
        <f t="shared" si="361"/>
        <v>1.1765348634021775E-4</v>
      </c>
      <c r="O354" s="3">
        <f t="shared" si="361"/>
        <v>1.1765346172116187E-4</v>
      </c>
      <c r="P354" s="3">
        <f t="shared" si="361"/>
        <v>1.1765321553088634E-4</v>
      </c>
      <c r="Q354" s="3">
        <f t="shared" si="361"/>
        <v>1.1765075365646437E-4</v>
      </c>
      <c r="R354" s="3">
        <f t="shared" si="361"/>
        <v>1.1762613774535462E-4</v>
      </c>
      <c r="S354" s="3">
        <f t="shared" si="361"/>
        <v>1.1738026172602062E-4</v>
      </c>
      <c r="T354" s="3">
        <f t="shared" si="361"/>
        <v>1.1494959275309003E-4</v>
      </c>
      <c r="U354" s="3">
        <f t="shared" si="361"/>
        <v>9.3246184764395577E-5</v>
      </c>
      <c r="V354" s="3">
        <f t="shared" si="361"/>
        <v>1.1504491175197684E-5</v>
      </c>
      <c r="W354" s="3">
        <f t="shared" si="361"/>
        <v>9.402229648138748E-15</v>
      </c>
      <c r="X354" s="3">
        <f t="shared" si="361"/>
        <v>1.2498711604047242E-105</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0</v>
      </c>
      <c r="C355" s="3">
        <f t="shared" si="362"/>
        <v>0</v>
      </c>
      <c r="D355" s="3">
        <f t="shared" si="362"/>
        <v>0</v>
      </c>
      <c r="E355" s="3">
        <f t="shared" si="362"/>
        <v>0</v>
      </c>
      <c r="F355" s="3">
        <f t="shared" si="362"/>
        <v>0</v>
      </c>
      <c r="G355" s="3">
        <f t="shared" si="362"/>
        <v>0</v>
      </c>
      <c r="H355" s="3">
        <f t="shared" si="362"/>
        <v>0</v>
      </c>
      <c r="I355" s="3">
        <f t="shared" si="362"/>
        <v>0</v>
      </c>
      <c r="J355" s="3">
        <f t="shared" si="362"/>
        <v>0</v>
      </c>
      <c r="K355" s="3">
        <f t="shared" si="362"/>
        <v>0</v>
      </c>
      <c r="L355" s="3">
        <f t="shared" si="362"/>
        <v>0</v>
      </c>
      <c r="M355" s="3">
        <f t="shared" si="362"/>
        <v>0</v>
      </c>
      <c r="N355" s="3">
        <f t="shared" si="362"/>
        <v>0</v>
      </c>
      <c r="O355" s="3">
        <f t="shared" si="362"/>
        <v>0</v>
      </c>
      <c r="P355" s="3">
        <f t="shared" si="362"/>
        <v>0</v>
      </c>
      <c r="Q355" s="3">
        <f t="shared" si="362"/>
        <v>0</v>
      </c>
      <c r="R355" s="3">
        <f t="shared" si="362"/>
        <v>0</v>
      </c>
      <c r="S355" s="3">
        <f t="shared" si="362"/>
        <v>0</v>
      </c>
      <c r="T355" s="3">
        <f t="shared" si="362"/>
        <v>0</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6.5987032321069097E-5</v>
      </c>
      <c r="C356" s="3">
        <f t="shared" si="363"/>
        <v>6.5987032321069097E-5</v>
      </c>
      <c r="D356" s="3">
        <f t="shared" si="363"/>
        <v>6.5987032321069097E-5</v>
      </c>
      <c r="E356" s="3">
        <f t="shared" si="363"/>
        <v>6.5987032321069097E-5</v>
      </c>
      <c r="F356" s="3">
        <f t="shared" si="363"/>
        <v>6.5987032321069097E-5</v>
      </c>
      <c r="G356" s="3">
        <f t="shared" si="363"/>
        <v>6.5987032321069097E-5</v>
      </c>
      <c r="H356" s="3">
        <f t="shared" si="363"/>
        <v>6.5987032321069083E-5</v>
      </c>
      <c r="I356" s="3">
        <f t="shared" si="363"/>
        <v>6.5987032321068948E-5</v>
      </c>
      <c r="J356" s="3">
        <f t="shared" si="363"/>
        <v>6.5987032321067565E-5</v>
      </c>
      <c r="K356" s="3">
        <f t="shared" si="363"/>
        <v>6.5987032321053755E-5</v>
      </c>
      <c r="L356" s="3">
        <f t="shared" si="363"/>
        <v>6.5987032320915669E-5</v>
      </c>
      <c r="M356" s="3">
        <f t="shared" si="363"/>
        <v>6.5987032319534897E-5</v>
      </c>
      <c r="N356" s="3">
        <f t="shared" si="363"/>
        <v>6.598703230572708E-5</v>
      </c>
      <c r="O356" s="3">
        <f t="shared" si="363"/>
        <v>6.5987032167648824E-5</v>
      </c>
      <c r="P356" s="3">
        <f t="shared" si="363"/>
        <v>6.5987030786866482E-5</v>
      </c>
      <c r="Q356" s="3">
        <f t="shared" si="363"/>
        <v>6.5987016979044463E-5</v>
      </c>
      <c r="R356" s="3">
        <f t="shared" si="363"/>
        <v>6.598687890098323E-5</v>
      </c>
      <c r="S356" s="3">
        <f t="shared" si="363"/>
        <v>6.5985498136261934E-5</v>
      </c>
      <c r="T356" s="3">
        <f t="shared" si="363"/>
        <v>6.5971692078024537E-5</v>
      </c>
      <c r="U356" s="3">
        <f t="shared" si="363"/>
        <v>6.583379027024786E-5</v>
      </c>
      <c r="V356" s="3">
        <f t="shared" si="363"/>
        <v>6.4470527409633217E-5</v>
      </c>
      <c r="W356" s="3">
        <f t="shared" si="363"/>
        <v>5.2297973109044229E-5</v>
      </c>
      <c r="X356" s="3">
        <f t="shared" si="363"/>
        <v>6.4523987939446404E-6</v>
      </c>
      <c r="Y356" s="3">
        <f t="shared" si="363"/>
        <v>5.273326244348094E-15</v>
      </c>
      <c r="Z356" s="3">
        <f t="shared" si="363"/>
        <v>7.0100163885284166E-106</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6.9850122094838041E-5</v>
      </c>
      <c r="C357" s="3">
        <f t="shared" si="364"/>
        <v>6.9850122094838041E-5</v>
      </c>
      <c r="D357" s="3">
        <f t="shared" si="364"/>
        <v>6.9850122094838041E-5</v>
      </c>
      <c r="E357" s="3">
        <f t="shared" si="364"/>
        <v>6.9850122094838041E-5</v>
      </c>
      <c r="F357" s="3">
        <f t="shared" si="364"/>
        <v>6.9850122094838041E-5</v>
      </c>
      <c r="G357" s="3">
        <f t="shared" si="364"/>
        <v>6.9850122094838041E-5</v>
      </c>
      <c r="H357" s="3">
        <f t="shared" si="364"/>
        <v>6.9850122094838041E-5</v>
      </c>
      <c r="I357" s="3">
        <f t="shared" si="364"/>
        <v>6.9850122094838028E-5</v>
      </c>
      <c r="J357" s="3">
        <f t="shared" si="364"/>
        <v>6.9850122094837879E-5</v>
      </c>
      <c r="K357" s="3">
        <f t="shared" si="364"/>
        <v>6.9850122094836415E-5</v>
      </c>
      <c r="L357" s="3">
        <f t="shared" si="364"/>
        <v>6.9850122094821805E-5</v>
      </c>
      <c r="M357" s="3">
        <f t="shared" si="364"/>
        <v>6.9850122094675641E-5</v>
      </c>
      <c r="N357" s="3">
        <f t="shared" si="364"/>
        <v>6.9850122093214015E-5</v>
      </c>
      <c r="O357" s="3">
        <f t="shared" si="364"/>
        <v>6.9850122078597845E-5</v>
      </c>
      <c r="P357" s="3">
        <f t="shared" si="364"/>
        <v>6.9850121932436062E-5</v>
      </c>
      <c r="Q357" s="3">
        <f t="shared" si="364"/>
        <v>6.9850120470818343E-5</v>
      </c>
      <c r="R357" s="3">
        <f t="shared" si="364"/>
        <v>6.9850105854642709E-5</v>
      </c>
      <c r="S357" s="3">
        <f t="shared" si="364"/>
        <v>6.9849959693054655E-5</v>
      </c>
      <c r="T357" s="3">
        <f t="shared" si="364"/>
        <v>6.9848498093995356E-5</v>
      </c>
      <c r="U357" s="3">
        <f t="shared" si="364"/>
        <v>6.9833883785401531E-5</v>
      </c>
      <c r="V357" s="3">
        <f t="shared" si="364"/>
        <v>6.9687908769228163E-5</v>
      </c>
      <c r="W357" s="3">
        <f t="shared" si="364"/>
        <v>6.8244836184936674E-5</v>
      </c>
      <c r="X357" s="3">
        <f t="shared" si="364"/>
        <v>5.5359662019728652E-5</v>
      </c>
      <c r="Y357" s="3">
        <f t="shared" si="364"/>
        <v>6.8301426463410434E-6</v>
      </c>
      <c r="Z357" s="3">
        <f t="shared" si="364"/>
        <v>5.5820434569841915E-15</v>
      </c>
      <c r="AA357" s="3">
        <f t="shared" si="364"/>
        <v>7.4204049402170833E-106</v>
      </c>
      <c r="AB357" s="3">
        <f t="shared" si="364"/>
        <v>0</v>
      </c>
      <c r="AC357" s="3">
        <f t="shared" si="364"/>
        <v>0</v>
      </c>
      <c r="AD357" s="3">
        <f t="shared" si="364"/>
        <v>0</v>
      </c>
      <c r="AE357" s="3">
        <f t="shared" si="364"/>
        <v>0</v>
      </c>
      <c r="AF357" s="3">
        <f t="shared" si="364"/>
        <v>0</v>
      </c>
      <c r="AG357" s="3"/>
      <c r="AH357" s="3"/>
    </row>
    <row r="358" spans="1:34" x14ac:dyDescent="0.25">
      <c r="A358" s="79">
        <f>AVERAGE(B358:AF358)</f>
        <v>2.3079162438713267E-2</v>
      </c>
      <c r="B358" s="80">
        <f>IF($A$64&lt;=B324,IF($B$64&gt;=B324,ABS((B326-B325)/B325),0),0)</f>
        <v>0</v>
      </c>
      <c r="C358" s="80">
        <f t="shared" ref="C358:AF358" si="365">IF($A$64&lt;=C324,IF($B$64&gt;=C324,ABS((C326-C325)/C325),0),0)</f>
        <v>0</v>
      </c>
      <c r="D358" s="80">
        <f t="shared" si="365"/>
        <v>0</v>
      </c>
      <c r="E358" s="80">
        <f t="shared" si="365"/>
        <v>0</v>
      </c>
      <c r="F358" s="80">
        <f t="shared" si="365"/>
        <v>0</v>
      </c>
      <c r="G358" s="80">
        <f t="shared" si="365"/>
        <v>0</v>
      </c>
      <c r="H358" s="80">
        <f t="shared" si="365"/>
        <v>0</v>
      </c>
      <c r="I358" s="80">
        <f t="shared" si="365"/>
        <v>0</v>
      </c>
      <c r="J358" s="80">
        <f t="shared" si="365"/>
        <v>0</v>
      </c>
      <c r="K358" s="80">
        <f t="shared" si="365"/>
        <v>0</v>
      </c>
      <c r="L358" s="80">
        <f t="shared" si="365"/>
        <v>2.5333424468294525E-2</v>
      </c>
      <c r="M358" s="80">
        <f t="shared" si="365"/>
        <v>1.1636371957034788E-2</v>
      </c>
      <c r="N358" s="80">
        <f t="shared" si="365"/>
        <v>4.7188050189608081E-2</v>
      </c>
      <c r="O358" s="80">
        <f t="shared" si="365"/>
        <v>9.7829456339929122E-2</v>
      </c>
      <c r="P358" s="80">
        <f t="shared" si="365"/>
        <v>2.9959182695263368E-3</v>
      </c>
      <c r="Q358" s="80">
        <f t="shared" si="365"/>
        <v>9.1217470212812263E-2</v>
      </c>
      <c r="R358" s="80">
        <f t="shared" si="365"/>
        <v>8.2539532440134844E-2</v>
      </c>
      <c r="S358" s="80">
        <f t="shared" si="365"/>
        <v>0.10761848239090052</v>
      </c>
      <c r="T358" s="80">
        <f t="shared" si="365"/>
        <v>0.10335502091939455</v>
      </c>
      <c r="U358" s="80">
        <f t="shared" si="365"/>
        <v>8.2531781026896109E-2</v>
      </c>
      <c r="V358" s="80">
        <f t="shared" si="365"/>
        <v>6.320852738558029E-2</v>
      </c>
      <c r="W358" s="80">
        <f t="shared" si="365"/>
        <v>0</v>
      </c>
      <c r="X358" s="80">
        <f t="shared" si="365"/>
        <v>0</v>
      </c>
      <c r="Y358" s="80">
        <f t="shared" si="365"/>
        <v>0</v>
      </c>
      <c r="Z358" s="80">
        <f t="shared" si="365"/>
        <v>0</v>
      </c>
      <c r="AA358" s="80">
        <f t="shared" si="365"/>
        <v>0</v>
      </c>
      <c r="AB358" s="80">
        <f t="shared" si="365"/>
        <v>0</v>
      </c>
      <c r="AC358" s="80">
        <f t="shared" si="365"/>
        <v>0</v>
      </c>
      <c r="AD358" s="80">
        <f t="shared" si="365"/>
        <v>0</v>
      </c>
      <c r="AE358" s="80">
        <f t="shared" si="365"/>
        <v>0</v>
      </c>
      <c r="AF358" s="80">
        <f t="shared" si="365"/>
        <v>0</v>
      </c>
    </row>
    <row r="359" spans="1:34" x14ac:dyDescent="0.25">
      <c r="B359" s="21">
        <f>(B326-B325)^2</f>
        <v>558.1548275925096</v>
      </c>
      <c r="C359" s="21">
        <f t="shared" ref="C359:AF359" si="366">(C326-C325)^2</f>
        <v>4689.184595595857</v>
      </c>
      <c r="D359" s="21">
        <f t="shared" si="366"/>
        <v>9105.9747990209671</v>
      </c>
      <c r="E359" s="21">
        <f t="shared" si="366"/>
        <v>6309.9618263592565</v>
      </c>
      <c r="F359" s="21">
        <f t="shared" si="366"/>
        <v>7264.2931625832489</v>
      </c>
      <c r="G359" s="21">
        <f t="shared" si="366"/>
        <v>6655.3784323368354</v>
      </c>
      <c r="H359" s="21">
        <f t="shared" si="366"/>
        <v>7638.3133845397788</v>
      </c>
      <c r="I359" s="21">
        <f t="shared" si="366"/>
        <v>8376.5140949696797</v>
      </c>
      <c r="J359" s="21">
        <f t="shared" si="366"/>
        <v>657.10139366019894</v>
      </c>
      <c r="K359" s="21">
        <f t="shared" si="366"/>
        <v>2083.4432856792314</v>
      </c>
      <c r="L359" s="21">
        <f t="shared" si="366"/>
        <v>2968.8338705251203</v>
      </c>
      <c r="M359" s="21">
        <f t="shared" si="366"/>
        <v>269.39754204334503</v>
      </c>
      <c r="N359" s="21">
        <f t="shared" si="366"/>
        <v>1521.7336632813376</v>
      </c>
      <c r="O359" s="21">
        <f t="shared" si="366"/>
        <v>2052.6079237386921</v>
      </c>
      <c r="P359" s="21">
        <f t="shared" si="366"/>
        <v>0.59408783485639671</v>
      </c>
      <c r="Q359" s="21">
        <f t="shared" si="366"/>
        <v>269.53071117394046</v>
      </c>
      <c r="R359" s="21">
        <f t="shared" si="366"/>
        <v>169.12494372808143</v>
      </c>
      <c r="S359" s="21">
        <f t="shared" si="366"/>
        <v>237.26701379907445</v>
      </c>
      <c r="T359" s="21">
        <f t="shared" si="366"/>
        <v>206.50865584701691</v>
      </c>
      <c r="U359" s="21">
        <f t="shared" si="366"/>
        <v>125.25708059459491</v>
      </c>
      <c r="V359" s="21">
        <f t="shared" si="366"/>
        <v>69.856566067818619</v>
      </c>
      <c r="W359" s="21">
        <f t="shared" si="366"/>
        <v>34.578406891665885</v>
      </c>
      <c r="X359" s="21">
        <f t="shared" si="366"/>
        <v>19.265670967064978</v>
      </c>
      <c r="Y359" s="21">
        <f t="shared" si="366"/>
        <v>12.048802648294133</v>
      </c>
      <c r="Z359" s="21">
        <f t="shared" si="366"/>
        <v>6.8046465241621386</v>
      </c>
      <c r="AA359" s="21">
        <f t="shared" si="366"/>
        <v>3.6796679736145004</v>
      </c>
      <c r="AB359" s="21">
        <f t="shared" si="366"/>
        <v>3.1796137179360886</v>
      </c>
      <c r="AC359" s="21">
        <f t="shared" si="366"/>
        <v>1.0100372277453697</v>
      </c>
      <c r="AD359" s="21">
        <f t="shared" si="366"/>
        <v>0.98516088037584792</v>
      </c>
      <c r="AE359" s="21">
        <f t="shared" si="366"/>
        <v>0.53822411749490984</v>
      </c>
      <c r="AF359" s="21">
        <f t="shared" si="366"/>
        <v>0.51827168843748506</v>
      </c>
      <c r="AG359" s="3"/>
      <c r="AH359" s="3"/>
    </row>
    <row r="360" spans="1:34" x14ac:dyDescent="0.25">
      <c r="A360" s="71">
        <f>SUM(B360:AF360)</f>
        <v>7890.7120586338779</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2968.8338705251203</v>
      </c>
      <c r="M360" s="60">
        <f t="shared" si="367"/>
        <v>269.39754204334503</v>
      </c>
      <c r="N360" s="60">
        <f t="shared" si="367"/>
        <v>1521.7336632813376</v>
      </c>
      <c r="O360" s="60">
        <f t="shared" si="367"/>
        <v>2052.6079237386921</v>
      </c>
      <c r="P360" s="60">
        <f t="shared" si="367"/>
        <v>0.59408783485639671</v>
      </c>
      <c r="Q360" s="60">
        <f t="shared" si="367"/>
        <v>269.53071117394046</v>
      </c>
      <c r="R360" s="60">
        <f t="shared" si="367"/>
        <v>169.12494372808143</v>
      </c>
      <c r="S360" s="60">
        <f t="shared" si="367"/>
        <v>237.26701379907445</v>
      </c>
      <c r="T360" s="60">
        <f t="shared" si="367"/>
        <v>206.50865584701691</v>
      </c>
      <c r="U360" s="60">
        <f t="shared" si="367"/>
        <v>125.25708059459491</v>
      </c>
      <c r="V360" s="60">
        <f t="shared" si="367"/>
        <v>69.856566067818619</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5469.0375175567433</v>
      </c>
      <c r="C364" s="26">
        <f>INDEX(Comparison!$AM$3:$AS$33,G$14,$H$122)</f>
        <v>5144.4254375399241</v>
      </c>
      <c r="D364" s="26">
        <f>INDEX(Comparison!$AM$3:$AS$33,H$14,$H$122)</f>
        <v>4859.4796757955091</v>
      </c>
      <c r="E364" s="26">
        <f>INDEX(Comparison!$AM$3:$AS$33,I$14,$H$122)</f>
        <v>4579.0872874253573</v>
      </c>
      <c r="F364" s="26">
        <f>INDEX(Comparison!$AM$3:$AS$33,J$14,$H$122)</f>
        <v>4274.6287252900811</v>
      </c>
      <c r="G364" s="26">
        <f>INDEX(Comparison!$AM$3:$AS$33,K$14,$H$122)</f>
        <v>3938.1560081824523</v>
      </c>
      <c r="H364" s="26">
        <f>INDEX(Comparison!$AM$3:$AS$33,L$14,$H$122)</f>
        <v>3491.5925245283374</v>
      </c>
      <c r="I364" s="26">
        <f>INDEX(Comparison!$AM$3:$AS$33,M$14,$H$122)</f>
        <v>2939.5473684961994</v>
      </c>
      <c r="J364" s="26">
        <f>INDEX(Comparison!$AM$3:$AS$33,N$14,$H$122)</f>
        <v>2290.3210430692648</v>
      </c>
      <c r="K364" s="26">
        <f>INDEX(Comparison!$AM$3:$AS$33,O$14,$H$122)</f>
        <v>1556.8723374202477</v>
      </c>
      <c r="L364" s="26">
        <f>INDEX(Comparison!$AM$3:$AS$33,P$14,$H$122)</f>
        <v>939.61789874376836</v>
      </c>
      <c r="M364" s="26">
        <f>INDEX(Comparison!$AM$3:$AS$33,Q$14,$H$122)</f>
        <v>532.22470015904992</v>
      </c>
      <c r="N364" s="26">
        <f>INDEX(Comparison!$AM$3:$AS$33,R$14,$H$122)</f>
        <v>294.61415856723238</v>
      </c>
      <c r="O364" s="26">
        <f>INDEX(Comparison!$AM$3:$AS$33,S$14,$H$122)</f>
        <v>191.85627557437303</v>
      </c>
      <c r="P364" s="26">
        <f>INDEX(Comparison!$AM$3:$AS$33,T$14,$H$122)</f>
        <v>162.27843823453597</v>
      </c>
      <c r="Q364" s="26">
        <f>INDEX(Comparison!$AM$3:$AS$33,U$14,$H$122)</f>
        <v>147.30961753431595</v>
      </c>
      <c r="R364" s="26">
        <f>INDEX(Comparison!$AM$3:$AS$33,V$14,$H$122)</f>
        <v>142.06591803394016</v>
      </c>
      <c r="S364" s="26">
        <f>INDEX(Comparison!$AM$3:$AS$33,W$14,$H$122)</f>
        <v>140.2404472955443</v>
      </c>
      <c r="T364" s="26">
        <f>INDEX(Comparison!$AM$3:$AS$33,X$14,$H$122)</f>
        <v>137.13168564571805</v>
      </c>
      <c r="U364" s="26">
        <f>INDEX(Comparison!$AM$3:$AS$33,Y$14,$H$122)</f>
        <v>133.5914564553571</v>
      </c>
      <c r="V364" s="26">
        <f>INDEX(Comparison!$AM$3:$AS$33,Z$14,$H$122)</f>
        <v>130.60597118111332</v>
      </c>
      <c r="W364" s="26">
        <f>INDEX(Comparison!$AM$3:$AS$33,AA$14,$H$122)</f>
        <v>128.42317853149575</v>
      </c>
      <c r="X364" s="26">
        <f>INDEX(Comparison!$AM$3:$AS$33,AB$14,$H$122)</f>
        <v>126.92571513683149</v>
      </c>
      <c r="Y364" s="26">
        <f>INDEX(Comparison!$AM$3:$AS$33,AC$14,$H$122)</f>
        <v>125.87891264299097</v>
      </c>
      <c r="Z364" s="26">
        <f>INDEX(Comparison!$AM$3:$AS$33,AD$14,$H$122)</f>
        <v>125.11103067782525</v>
      </c>
      <c r="AA364" s="26">
        <f>INDEX(Comparison!$AM$3:$AS$33,AE$14,$H$122)</f>
        <v>124.96985459314666</v>
      </c>
      <c r="AB364" s="26">
        <f>INDEX(Comparison!$AM$3:$AS$33,AF$14,$H$122)</f>
        <v>124.77108605330615</v>
      </c>
      <c r="AC364" s="26">
        <f>INDEX(Comparison!$AM$3:$AS$33,AG$14,$H$122)</f>
        <v>123.93614365125383</v>
      </c>
      <c r="AD364" s="26">
        <f>INDEX(Comparison!$AM$3:$AS$33,AH$14,$H$122)</f>
        <v>123.92285545904397</v>
      </c>
      <c r="AE364" s="26">
        <f>INDEX(Comparison!$AM$3:$AS$33,AI$14,$H$122)</f>
        <v>123.48008539289999</v>
      </c>
      <c r="AF364" s="26">
        <f>INDEX(Comparison!$AM$3:$AS$33,AJ$14,$H$122)</f>
        <v>123.46865182434244</v>
      </c>
      <c r="AG364" s="26"/>
      <c r="AH364" s="26"/>
    </row>
    <row r="365" spans="1:34" x14ac:dyDescent="0.25">
      <c r="A365" s="70" t="s">
        <v>22</v>
      </c>
      <c r="B365" s="27">
        <f>($C$17+SUM(B366:B396))*$B$51</f>
        <v>5502.343893150306</v>
      </c>
      <c r="C365" s="27">
        <f t="shared" ref="C365:AF365" si="368">($C$17+SUM(C366:C396))*$B$51</f>
        <v>5223.6777510637694</v>
      </c>
      <c r="D365" s="27">
        <f t="shared" si="368"/>
        <v>4950.81488743317</v>
      </c>
      <c r="E365" s="27">
        <f t="shared" si="368"/>
        <v>4666.1853605289725</v>
      </c>
      <c r="F365" s="27">
        <f t="shared" si="368"/>
        <v>4368.2554793125046</v>
      </c>
      <c r="G365" s="27">
        <f t="shared" si="368"/>
        <v>4029.0652709902984</v>
      </c>
      <c r="H365" s="27">
        <f t="shared" si="368"/>
        <v>3529.9268634056225</v>
      </c>
      <c r="I365" s="27">
        <f t="shared" si="368"/>
        <v>2894.5678965560733</v>
      </c>
      <c r="J365" s="27">
        <f t="shared" si="368"/>
        <v>2211.2208170237145</v>
      </c>
      <c r="K365" s="27">
        <f t="shared" si="368"/>
        <v>1531.7073233059241</v>
      </c>
      <c r="L365" s="27">
        <f t="shared" si="368"/>
        <v>941.34528052947473</v>
      </c>
      <c r="M365" s="27">
        <f t="shared" si="368"/>
        <v>545.46014363625318</v>
      </c>
      <c r="N365" s="27">
        <f t="shared" si="368"/>
        <v>284.45884432021245</v>
      </c>
      <c r="O365" s="27">
        <f t="shared" si="368"/>
        <v>174.03756758018892</v>
      </c>
      <c r="P365" s="27">
        <f t="shared" si="368"/>
        <v>146.47838781443434</v>
      </c>
      <c r="Q365" s="27">
        <f t="shared" si="368"/>
        <v>129.99099543767664</v>
      </c>
      <c r="R365" s="27">
        <f t="shared" si="368"/>
        <v>124.78346752391624</v>
      </c>
      <c r="S365" s="27">
        <f t="shared" si="368"/>
        <v>124.45777407003584</v>
      </c>
      <c r="T365" s="27">
        <f t="shared" si="368"/>
        <v>123.94799158185069</v>
      </c>
      <c r="U365" s="27">
        <f t="shared" si="368"/>
        <v>123.73460917886567</v>
      </c>
      <c r="V365" s="27">
        <f t="shared" si="368"/>
        <v>123.39100169850515</v>
      </c>
      <c r="W365" s="27">
        <f t="shared" si="368"/>
        <v>123.0091998996094</v>
      </c>
      <c r="X365" s="27">
        <f t="shared" si="368"/>
        <v>122.92103231269576</v>
      </c>
      <c r="Y365" s="27">
        <f t="shared" si="368"/>
        <v>122.9210322792066</v>
      </c>
      <c r="Z365" s="27">
        <f t="shared" si="368"/>
        <v>122.9210322792066</v>
      </c>
      <c r="AA365" s="27">
        <f t="shared" si="368"/>
        <v>122.9210322792066</v>
      </c>
      <c r="AB365" s="27">
        <f t="shared" si="368"/>
        <v>122.9210322792066</v>
      </c>
      <c r="AC365" s="27">
        <f t="shared" si="368"/>
        <v>122.9210322792066</v>
      </c>
      <c r="AD365" s="27">
        <f t="shared" si="368"/>
        <v>122.9210322792066</v>
      </c>
      <c r="AE365" s="27">
        <f t="shared" si="368"/>
        <v>122.9210322792066</v>
      </c>
      <c r="AF365" s="27">
        <f t="shared" si="368"/>
        <v>122.9210322792066</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9.585589787609213E-101</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4.5110370438473424E-11</v>
      </c>
      <c r="C374" s="3">
        <f t="shared" si="377"/>
        <v>5.1219301028593429E-91</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4.645840110692849E-3</v>
      </c>
      <c r="C375" s="3">
        <f t="shared" si="378"/>
        <v>2.8534769354547555E-10</v>
      </c>
      <c r="D375" s="3">
        <f t="shared" si="378"/>
        <v>2.1800951031720622E-82</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4.1522504308427556E-2</v>
      </c>
      <c r="C376" s="3">
        <f t="shared" si="379"/>
        <v>9.2838713795218731E-3</v>
      </c>
      <c r="D376" s="3">
        <f t="shared" si="379"/>
        <v>2.8985772350129738E-9</v>
      </c>
      <c r="E376" s="3">
        <f t="shared" si="379"/>
        <v>2.5511881953817192E-74</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4.1167102838189959E-2</v>
      </c>
      <c r="C377" s="3">
        <f t="shared" si="380"/>
        <v>3.5963742809317252E-2</v>
      </c>
      <c r="D377" s="3">
        <f t="shared" si="380"/>
        <v>9.3113075606198296E-3</v>
      </c>
      <c r="E377" s="3">
        <f t="shared" si="380"/>
        <v>1.2602843989512121E-8</v>
      </c>
      <c r="F377" s="3">
        <f t="shared" si="380"/>
        <v>2.6004436162680233E-67</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4.6862279774324417E-2</v>
      </c>
      <c r="C378" s="3">
        <f t="shared" si="381"/>
        <v>4.6294510809377042E-2</v>
      </c>
      <c r="D378" s="3">
        <f t="shared" si="381"/>
        <v>4.0981737508018923E-2</v>
      </c>
      <c r="E378" s="3">
        <f t="shared" si="381"/>
        <v>1.2111531059353399E-2</v>
      </c>
      <c r="F378" s="3">
        <f t="shared" si="381"/>
        <v>6.1558190697951299E-8</v>
      </c>
      <c r="G378" s="3">
        <f t="shared" si="381"/>
        <v>7.0819660597738172E-61</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4.7056717361897628E-2</v>
      </c>
      <c r="C379" s="3">
        <f t="shared" si="382"/>
        <v>4.700500171420989E-2</v>
      </c>
      <c r="D379" s="3">
        <f t="shared" si="382"/>
        <v>4.6490960924944119E-2</v>
      </c>
      <c r="E379" s="3">
        <f t="shared" si="382"/>
        <v>4.1649809711862662E-2</v>
      </c>
      <c r="F379" s="3">
        <f t="shared" si="382"/>
        <v>1.3869410735361227E-2</v>
      </c>
      <c r="G379" s="3">
        <f t="shared" si="382"/>
        <v>2.3254547420187063E-7</v>
      </c>
      <c r="H379" s="3">
        <f t="shared" si="382"/>
        <v>4.0832569609970349E-55</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5.1874424504751604E-2</v>
      </c>
      <c r="C380" s="3">
        <f t="shared" si="383"/>
        <v>5.1869279124930417E-2</v>
      </c>
      <c r="D380" s="3">
        <f t="shared" si="383"/>
        <v>5.1817853388487913E-2</v>
      </c>
      <c r="E380" s="3">
        <f t="shared" si="383"/>
        <v>5.1306391929090416E-2</v>
      </c>
      <c r="F380" s="3">
        <f t="shared" si="383"/>
        <v>4.6461372977080445E-2</v>
      </c>
      <c r="G380" s="3">
        <f t="shared" si="383"/>
        <v>1.7230492459456698E-2</v>
      </c>
      <c r="H380" s="3">
        <f t="shared" si="383"/>
        <v>8.4791866636891336E-7</v>
      </c>
      <c r="I380" s="3">
        <f t="shared" si="383"/>
        <v>7.0618624828257158E-50</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9.3718991954457653E-2</v>
      </c>
      <c r="C381" s="3">
        <f t="shared" si="384"/>
        <v>9.3718153348500061E-2</v>
      </c>
      <c r="D381" s="3">
        <f t="shared" si="384"/>
        <v>9.3709767701628685E-2</v>
      </c>
      <c r="E381" s="3">
        <f t="shared" si="384"/>
        <v>9.3625952489714392E-2</v>
      </c>
      <c r="F381" s="3">
        <f t="shared" si="384"/>
        <v>9.2791912423809228E-2</v>
      </c>
      <c r="G381" s="3">
        <f t="shared" si="384"/>
        <v>8.4849422613960362E-2</v>
      </c>
      <c r="H381" s="3">
        <f t="shared" si="384"/>
        <v>3.4676603253013791E-2</v>
      </c>
      <c r="I381" s="3">
        <f t="shared" si="384"/>
        <v>4.5072654036928713E-6</v>
      </c>
      <c r="J381" s="3">
        <f t="shared" si="384"/>
        <v>6.2041023253354887E-45</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0.10682657633401409</v>
      </c>
      <c r="C382" s="3">
        <f t="shared" si="385"/>
        <v>0.10682649010409007</v>
      </c>
      <c r="D382" s="3">
        <f t="shared" si="385"/>
        <v>0.10682562780867812</v>
      </c>
      <c r="E382" s="3">
        <f t="shared" si="385"/>
        <v>0.10681700523737053</v>
      </c>
      <c r="F382" s="3">
        <f t="shared" si="385"/>
        <v>0.10673081779404815</v>
      </c>
      <c r="G382" s="3">
        <f t="shared" si="385"/>
        <v>0.10587275893107659</v>
      </c>
      <c r="H382" s="3">
        <f t="shared" si="385"/>
        <v>9.7662573531595631E-2</v>
      </c>
      <c r="I382" s="3">
        <f t="shared" si="385"/>
        <v>4.3567987818944526E-2</v>
      </c>
      <c r="J382" s="3">
        <f t="shared" si="385"/>
        <v>1.3600688227006138E-5</v>
      </c>
      <c r="K382" s="3">
        <f t="shared" si="385"/>
        <v>1.1953489711374307E-40</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0.11271230047833054</v>
      </c>
      <c r="C383" s="3">
        <f t="shared" si="386"/>
        <v>0.11271229227109765</v>
      </c>
      <c r="D383" s="3">
        <f t="shared" si="386"/>
        <v>0.11271221019880152</v>
      </c>
      <c r="E383" s="3">
        <f t="shared" si="386"/>
        <v>0.11271138947912714</v>
      </c>
      <c r="F383" s="3">
        <f t="shared" si="386"/>
        <v>0.11270318261106223</v>
      </c>
      <c r="G383" s="3">
        <f t="shared" si="386"/>
        <v>0.11262114678945728</v>
      </c>
      <c r="H383" s="3">
        <f t="shared" si="386"/>
        <v>0.11180406564220779</v>
      </c>
      <c r="I383" s="3">
        <f t="shared" si="386"/>
        <v>0.10395230135869127</v>
      </c>
      <c r="J383" s="3">
        <f t="shared" si="386"/>
        <v>5.0187923544871414E-2</v>
      </c>
      <c r="K383" s="3">
        <f t="shared" si="386"/>
        <v>3.4534281163592759E-5</v>
      </c>
      <c r="L383" s="3">
        <f t="shared" si="386"/>
        <v>8.217928314267275E-37</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0.10920571397208068</v>
      </c>
      <c r="C384" s="3">
        <f t="shared" si="387"/>
        <v>0.1092057132547533</v>
      </c>
      <c r="D384" s="3">
        <f t="shared" si="387"/>
        <v>0.1092057060814797</v>
      </c>
      <c r="E384" s="3">
        <f t="shared" si="387"/>
        <v>0.10920563434876958</v>
      </c>
      <c r="F384" s="3">
        <f t="shared" si="387"/>
        <v>0.10920491702425994</v>
      </c>
      <c r="G384" s="3">
        <f t="shared" si="387"/>
        <v>0.10919774403830705</v>
      </c>
      <c r="H384" s="3">
        <f t="shared" si="387"/>
        <v>0.10912604008683748</v>
      </c>
      <c r="I384" s="3">
        <f t="shared" si="387"/>
        <v>0.10841158509247772</v>
      </c>
      <c r="J384" s="3">
        <f t="shared" si="387"/>
        <v>0.10151931466128229</v>
      </c>
      <c r="K384" s="3">
        <f t="shared" si="387"/>
        <v>5.263547016771318E-2</v>
      </c>
      <c r="L384" s="3">
        <f t="shared" si="387"/>
        <v>7.3888491555820321E-5</v>
      </c>
      <c r="M384" s="3">
        <f t="shared" si="387"/>
        <v>2.19563294554946E-33</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8.5595472988092669E-2</v>
      </c>
      <c r="C385" s="3">
        <f t="shared" si="388"/>
        <v>8.5595472937373809E-2</v>
      </c>
      <c r="D385" s="3">
        <f t="shared" si="388"/>
        <v>8.5595472430185268E-2</v>
      </c>
      <c r="E385" s="3">
        <f t="shared" si="388"/>
        <v>8.5595467358299981E-2</v>
      </c>
      <c r="F385" s="3">
        <f t="shared" si="388"/>
        <v>8.5595416639463684E-2</v>
      </c>
      <c r="G385" s="3">
        <f t="shared" si="388"/>
        <v>8.559490945275372E-2</v>
      </c>
      <c r="H385" s="3">
        <f t="shared" si="388"/>
        <v>8.5589837750941491E-2</v>
      </c>
      <c r="I385" s="3">
        <f t="shared" si="388"/>
        <v>8.5539137257952855E-2</v>
      </c>
      <c r="J385" s="3">
        <f t="shared" si="388"/>
        <v>8.5033781224185881E-2</v>
      </c>
      <c r="K385" s="3">
        <f t="shared" si="388"/>
        <v>8.014155203658066E-2</v>
      </c>
      <c r="L385" s="3">
        <f t="shared" si="388"/>
        <v>4.4311894966253235E-2</v>
      </c>
      <c r="M385" s="3">
        <f t="shared" si="388"/>
        <v>1.1834395029390334E-4</v>
      </c>
      <c r="N385" s="3">
        <f t="shared" si="388"/>
        <v>2.1847585769017492E-30</v>
      </c>
      <c r="O385" s="3">
        <f t="shared" si="388"/>
        <v>1.0045634305637519E-287</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3.033059956051784E-2</v>
      </c>
      <c r="C386" s="3">
        <f t="shared" si="389"/>
        <v>3.0330599558896606E-2</v>
      </c>
      <c r="D386" s="3">
        <f t="shared" si="389"/>
        <v>3.0330599542684245E-2</v>
      </c>
      <c r="E386" s="3">
        <f t="shared" si="389"/>
        <v>3.0330599380560649E-2</v>
      </c>
      <c r="F386" s="3">
        <f t="shared" si="389"/>
        <v>3.0330597759324743E-2</v>
      </c>
      <c r="G386" s="3">
        <f t="shared" si="389"/>
        <v>3.0330581546970454E-2</v>
      </c>
      <c r="H386" s="3">
        <f t="shared" si="389"/>
        <v>3.0330419423904163E-2</v>
      </c>
      <c r="I386" s="3">
        <f t="shared" si="389"/>
        <v>3.0328798240902424E-2</v>
      </c>
      <c r="J386" s="3">
        <f t="shared" si="389"/>
        <v>3.0312591176058556E-2</v>
      </c>
      <c r="K386" s="3">
        <f t="shared" si="389"/>
        <v>3.0150996103893605E-2</v>
      </c>
      <c r="L386" s="3">
        <f t="shared" si="389"/>
        <v>2.8581675744769455E-2</v>
      </c>
      <c r="M386" s="3">
        <f t="shared" si="389"/>
        <v>1.6747420356862715E-2</v>
      </c>
      <c r="N386" s="3">
        <f t="shared" si="389"/>
        <v>7.9900639212777765E-5</v>
      </c>
      <c r="O386" s="3">
        <f t="shared" si="389"/>
        <v>4.8817280183126947E-28</v>
      </c>
      <c r="P386" s="3">
        <f t="shared" si="389"/>
        <v>3.538399262751805E-260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3.2127590787311325E-2</v>
      </c>
      <c r="C387" s="3">
        <f t="shared" si="390"/>
        <v>3.2127590786836364E-2</v>
      </c>
      <c r="D387" s="3">
        <f t="shared" si="390"/>
        <v>3.2127590782086775E-2</v>
      </c>
      <c r="E387" s="3">
        <f t="shared" si="390"/>
        <v>3.2127590734590858E-2</v>
      </c>
      <c r="F387" s="3">
        <f t="shared" si="390"/>
        <v>3.2127590259631716E-2</v>
      </c>
      <c r="G387" s="3">
        <f t="shared" si="390"/>
        <v>3.2127585510040697E-2</v>
      </c>
      <c r="H387" s="3">
        <f t="shared" si="390"/>
        <v>3.2127538014169156E-2</v>
      </c>
      <c r="I387" s="3">
        <f t="shared" si="390"/>
        <v>3.2127063059315557E-2</v>
      </c>
      <c r="J387" s="3">
        <f t="shared" si="390"/>
        <v>3.212231389694252E-2</v>
      </c>
      <c r="K387" s="3">
        <f t="shared" si="390"/>
        <v>3.2074860868396282E-2</v>
      </c>
      <c r="L387" s="3">
        <f t="shared" si="390"/>
        <v>3.1604169073364795E-2</v>
      </c>
      <c r="M387" s="3">
        <f t="shared" si="390"/>
        <v>2.726090876217652E-2</v>
      </c>
      <c r="N387" s="3">
        <f t="shared" si="390"/>
        <v>6.2158404314994068E-3</v>
      </c>
      <c r="O387" s="3">
        <f t="shared" si="390"/>
        <v>2.3609953671742909E-9</v>
      </c>
      <c r="P387" s="3">
        <f t="shared" si="390"/>
        <v>1.4758693489405965E-73</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1.5939358035984175E-2</v>
      </c>
      <c r="C388" s="3">
        <f t="shared" si="391"/>
        <v>1.5939358035960614E-2</v>
      </c>
      <c r="D388" s="3">
        <f t="shared" si="391"/>
        <v>1.5939358035724972E-2</v>
      </c>
      <c r="E388" s="3">
        <f t="shared" si="391"/>
        <v>1.5939358033368572E-2</v>
      </c>
      <c r="F388" s="3">
        <f t="shared" si="391"/>
        <v>1.5939358009804578E-2</v>
      </c>
      <c r="G388" s="3">
        <f t="shared" si="391"/>
        <v>1.5939357774164629E-2</v>
      </c>
      <c r="H388" s="3">
        <f t="shared" si="391"/>
        <v>1.5939355417765352E-2</v>
      </c>
      <c r="I388" s="3">
        <f t="shared" si="391"/>
        <v>1.5939331853791733E-2</v>
      </c>
      <c r="J388" s="3">
        <f t="shared" si="391"/>
        <v>1.5939096215971501E-2</v>
      </c>
      <c r="K388" s="3">
        <f t="shared" si="391"/>
        <v>1.5936740029354961E-2</v>
      </c>
      <c r="L388" s="3">
        <f t="shared" si="391"/>
        <v>1.5913197311293825E-2</v>
      </c>
      <c r="M388" s="3">
        <f t="shared" si="391"/>
        <v>1.5679674508564438E-2</v>
      </c>
      <c r="N388" s="3">
        <f t="shared" si="391"/>
        <v>1.3524866773315604E-2</v>
      </c>
      <c r="O388" s="3">
        <f t="shared" si="391"/>
        <v>3.0838448730241817E-3</v>
      </c>
      <c r="P388" s="3">
        <f t="shared" si="391"/>
        <v>1.171353019520475E-9</v>
      </c>
      <c r="Q388" s="3">
        <f t="shared" si="391"/>
        <v>7.3221830179545034E-74</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1.0098226932664714E-3</v>
      </c>
      <c r="C389" s="3">
        <f t="shared" si="392"/>
        <v>1.0098226932663222E-3</v>
      </c>
      <c r="D389" s="3">
        <f t="shared" si="392"/>
        <v>1.0098226932648295E-3</v>
      </c>
      <c r="E389" s="3">
        <f t="shared" si="392"/>
        <v>1.0098226932499005E-3</v>
      </c>
      <c r="F389" s="3">
        <f t="shared" si="392"/>
        <v>1.0098226931006132E-3</v>
      </c>
      <c r="G389" s="3">
        <f t="shared" si="392"/>
        <v>1.009822691607739E-3</v>
      </c>
      <c r="H389" s="3">
        <f t="shared" si="392"/>
        <v>1.0098226766789968E-3</v>
      </c>
      <c r="I389" s="3">
        <f t="shared" si="392"/>
        <v>1.0098225273915877E-3</v>
      </c>
      <c r="J389" s="3">
        <f t="shared" si="392"/>
        <v>1.0098210345187097E-3</v>
      </c>
      <c r="K389" s="3">
        <f t="shared" si="392"/>
        <v>1.0098061059113136E-3</v>
      </c>
      <c r="L389" s="3">
        <f t="shared" si="392"/>
        <v>1.0096568319750874E-3</v>
      </c>
      <c r="M389" s="3">
        <f t="shared" si="392"/>
        <v>1.0081653057225474E-3</v>
      </c>
      <c r="N389" s="3">
        <f t="shared" si="392"/>
        <v>9.9337069322567514E-4</v>
      </c>
      <c r="O389" s="3">
        <f t="shared" si="392"/>
        <v>8.5685492227883565E-4</v>
      </c>
      <c r="P389" s="3">
        <f t="shared" si="392"/>
        <v>1.9537402499287897E-4</v>
      </c>
      <c r="Q389" s="3">
        <f t="shared" si="392"/>
        <v>7.4209943604216774E-11</v>
      </c>
      <c r="R389" s="3">
        <f t="shared" si="392"/>
        <v>4.6388986050046997E-75</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3.5232790951536547E-3</v>
      </c>
      <c r="C390" s="3">
        <f t="shared" si="393"/>
        <v>3.5232790951536031E-3</v>
      </c>
      <c r="D390" s="3">
        <f t="shared" si="393"/>
        <v>3.5232790951530818E-3</v>
      </c>
      <c r="E390" s="3">
        <f t="shared" si="393"/>
        <v>3.5232790951478738E-3</v>
      </c>
      <c r="F390" s="3">
        <f t="shared" si="393"/>
        <v>3.5232790950957865E-3</v>
      </c>
      <c r="G390" s="3">
        <f t="shared" si="393"/>
        <v>3.5232790945749219E-3</v>
      </c>
      <c r="H390" s="3">
        <f t="shared" si="393"/>
        <v>3.5232790893662724E-3</v>
      </c>
      <c r="I390" s="3">
        <f t="shared" si="393"/>
        <v>3.5232790372797767E-3</v>
      </c>
      <c r="J390" s="3">
        <f t="shared" si="393"/>
        <v>3.5232785164148652E-3</v>
      </c>
      <c r="K390" s="3">
        <f t="shared" si="393"/>
        <v>3.5232733077699835E-3</v>
      </c>
      <c r="L390" s="3">
        <f t="shared" si="393"/>
        <v>3.5232212217446756E-3</v>
      </c>
      <c r="M390" s="3">
        <f t="shared" si="393"/>
        <v>3.5227004038402409E-3</v>
      </c>
      <c r="N390" s="3">
        <f t="shared" si="393"/>
        <v>3.5174964573449919E-3</v>
      </c>
      <c r="O390" s="3">
        <f t="shared" si="393"/>
        <v>3.4658779412641959E-3</v>
      </c>
      <c r="P390" s="3">
        <f t="shared" si="393"/>
        <v>2.9895733730038593E-3</v>
      </c>
      <c r="Q390" s="3">
        <f t="shared" si="393"/>
        <v>6.8166146649646013E-4</v>
      </c>
      <c r="R390" s="3">
        <f t="shared" si="393"/>
        <v>2.5891906044170289E-10</v>
      </c>
      <c r="S390" s="3">
        <f t="shared" si="393"/>
        <v>1.6185152689213121E-74</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1.7526056431954546E-4</v>
      </c>
      <c r="C391" s="3">
        <f t="shared" si="394"/>
        <v>1.7526056431954519E-4</v>
      </c>
      <c r="D391" s="3">
        <f t="shared" si="394"/>
        <v>1.7526056431954262E-4</v>
      </c>
      <c r="E391" s="3">
        <f t="shared" si="394"/>
        <v>1.7526056431951671E-4</v>
      </c>
      <c r="F391" s="3">
        <f t="shared" si="394"/>
        <v>1.7526056431925761E-4</v>
      </c>
      <c r="G391" s="3">
        <f t="shared" si="394"/>
        <v>1.7526056431666664E-4</v>
      </c>
      <c r="H391" s="3">
        <f t="shared" si="394"/>
        <v>1.7526056429075694E-4</v>
      </c>
      <c r="I391" s="3">
        <f t="shared" si="394"/>
        <v>1.7526056403166E-4</v>
      </c>
      <c r="J391" s="3">
        <f t="shared" si="394"/>
        <v>1.7526056144069051E-4</v>
      </c>
      <c r="K391" s="3">
        <f t="shared" si="394"/>
        <v>1.7526053553099791E-4</v>
      </c>
      <c r="L391" s="3">
        <f t="shared" si="394"/>
        <v>1.7526027643428242E-4</v>
      </c>
      <c r="M391" s="3">
        <f t="shared" si="394"/>
        <v>1.7525768548819437E-4</v>
      </c>
      <c r="N391" s="3">
        <f t="shared" si="394"/>
        <v>1.7523177813388787E-4</v>
      </c>
      <c r="O391" s="3">
        <f t="shared" si="394"/>
        <v>1.7497291513302577E-4</v>
      </c>
      <c r="P391" s="3">
        <f t="shared" si="394"/>
        <v>1.724052246341091E-4</v>
      </c>
      <c r="Q391" s="3">
        <f t="shared" si="394"/>
        <v>1.4871212364301565E-4</v>
      </c>
      <c r="R391" s="3">
        <f t="shared" si="394"/>
        <v>3.3908291130665644E-5</v>
      </c>
      <c r="S391" s="3">
        <f t="shared" si="394"/>
        <v>1.2879564581902722E-11</v>
      </c>
      <c r="T391" s="3">
        <f t="shared" si="394"/>
        <v>8.0510766172663582E-76</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0</v>
      </c>
      <c r="C392" s="3">
        <f t="shared" si="395"/>
        <v>0</v>
      </c>
      <c r="D392" s="3">
        <f t="shared" si="395"/>
        <v>0</v>
      </c>
      <c r="E392" s="3">
        <f t="shared" si="395"/>
        <v>0</v>
      </c>
      <c r="F392" s="3">
        <f t="shared" si="395"/>
        <v>0</v>
      </c>
      <c r="G392" s="3">
        <f t="shared" si="395"/>
        <v>0</v>
      </c>
      <c r="H392" s="3">
        <f t="shared" si="395"/>
        <v>0</v>
      </c>
      <c r="I392" s="3">
        <f t="shared" si="395"/>
        <v>0</v>
      </c>
      <c r="J392" s="3">
        <f t="shared" si="395"/>
        <v>0</v>
      </c>
      <c r="K392" s="3">
        <f t="shared" si="395"/>
        <v>0</v>
      </c>
      <c r="L392" s="3">
        <f t="shared" si="395"/>
        <v>0</v>
      </c>
      <c r="M392" s="3">
        <f t="shared" si="395"/>
        <v>0</v>
      </c>
      <c r="N392" s="3">
        <f t="shared" si="395"/>
        <v>0</v>
      </c>
      <c r="O392" s="3">
        <f t="shared" si="395"/>
        <v>0</v>
      </c>
      <c r="P392" s="3">
        <f t="shared" si="395"/>
        <v>0</v>
      </c>
      <c r="Q392" s="3">
        <f t="shared" si="395"/>
        <v>0</v>
      </c>
      <c r="R392" s="3">
        <f t="shared" si="395"/>
        <v>0</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1.1765348907566872E-4</v>
      </c>
      <c r="C393" s="3">
        <f t="shared" si="396"/>
        <v>1.1765348907566872E-4</v>
      </c>
      <c r="D393" s="3">
        <f t="shared" si="396"/>
        <v>1.1765348907566871E-4</v>
      </c>
      <c r="E393" s="3">
        <f t="shared" si="396"/>
        <v>1.1765348907566853E-4</v>
      </c>
      <c r="F393" s="3">
        <f t="shared" si="396"/>
        <v>1.1765348907566679E-4</v>
      </c>
      <c r="G393" s="3">
        <f t="shared" si="396"/>
        <v>1.176534890756494E-4</v>
      </c>
      <c r="H393" s="3">
        <f t="shared" si="396"/>
        <v>1.1765348907547546E-4</v>
      </c>
      <c r="I393" s="3">
        <f t="shared" si="396"/>
        <v>1.1765348907373612E-4</v>
      </c>
      <c r="J393" s="3">
        <f t="shared" si="396"/>
        <v>1.1765348905634279E-4</v>
      </c>
      <c r="K393" s="3">
        <f t="shared" si="396"/>
        <v>1.1765348888240943E-4</v>
      </c>
      <c r="L393" s="3">
        <f t="shared" si="396"/>
        <v>1.1765348714307576E-4</v>
      </c>
      <c r="M393" s="3">
        <f t="shared" si="396"/>
        <v>1.1765346974974059E-4</v>
      </c>
      <c r="N393" s="3">
        <f t="shared" si="396"/>
        <v>1.1765329581653034E-4</v>
      </c>
      <c r="O393" s="3">
        <f t="shared" si="396"/>
        <v>1.1765155649856997E-4</v>
      </c>
      <c r="P393" s="3">
        <f t="shared" si="396"/>
        <v>1.1763416473312224E-4</v>
      </c>
      <c r="Q393" s="3">
        <f t="shared" si="396"/>
        <v>1.1746038841691405E-4</v>
      </c>
      <c r="R393" s="3">
        <f t="shared" si="396"/>
        <v>1.1573668207580476E-4</v>
      </c>
      <c r="S393" s="3">
        <f t="shared" si="396"/>
        <v>9.9831358425574716E-5</v>
      </c>
      <c r="T393" s="3">
        <f t="shared" si="396"/>
        <v>2.2762843287681086E-5</v>
      </c>
      <c r="U393" s="3">
        <f t="shared" si="396"/>
        <v>8.6461305012885256E-12</v>
      </c>
      <c r="V393" s="3">
        <f t="shared" si="396"/>
        <v>5.4047369898333772E-76</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0</v>
      </c>
      <c r="C394" s="3">
        <f t="shared" si="397"/>
        <v>0</v>
      </c>
      <c r="D394" s="3">
        <f t="shared" si="397"/>
        <v>0</v>
      </c>
      <c r="E394" s="3">
        <f t="shared" si="397"/>
        <v>0</v>
      </c>
      <c r="F394" s="3">
        <f t="shared" si="397"/>
        <v>0</v>
      </c>
      <c r="G394" s="3">
        <f t="shared" si="397"/>
        <v>0</v>
      </c>
      <c r="H394" s="3">
        <f t="shared" si="397"/>
        <v>0</v>
      </c>
      <c r="I394" s="3">
        <f t="shared" si="397"/>
        <v>0</v>
      </c>
      <c r="J394" s="3">
        <f t="shared" si="397"/>
        <v>0</v>
      </c>
      <c r="K394" s="3">
        <f t="shared" si="397"/>
        <v>0</v>
      </c>
      <c r="L394" s="3">
        <f t="shared" si="397"/>
        <v>0</v>
      </c>
      <c r="M394" s="3">
        <f t="shared" si="397"/>
        <v>0</v>
      </c>
      <c r="N394" s="3">
        <f t="shared" si="397"/>
        <v>0</v>
      </c>
      <c r="O394" s="3">
        <f t="shared" si="397"/>
        <v>0</v>
      </c>
      <c r="P394" s="3">
        <f t="shared" si="397"/>
        <v>0</v>
      </c>
      <c r="Q394" s="3">
        <f t="shared" si="397"/>
        <v>0</v>
      </c>
      <c r="R394" s="3">
        <f t="shared" si="397"/>
        <v>0</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6.5987032321069097E-5</v>
      </c>
      <c r="C395" s="3">
        <f t="shared" si="398"/>
        <v>6.5987032321069097E-5</v>
      </c>
      <c r="D395" s="3">
        <f t="shared" si="398"/>
        <v>6.5987032321069097E-5</v>
      </c>
      <c r="E395" s="3">
        <f t="shared" si="398"/>
        <v>6.5987032321069097E-5</v>
      </c>
      <c r="F395" s="3">
        <f t="shared" si="398"/>
        <v>6.5987032321069083E-5</v>
      </c>
      <c r="G395" s="3">
        <f t="shared" si="398"/>
        <v>6.5987032321068988E-5</v>
      </c>
      <c r="H395" s="3">
        <f t="shared" si="398"/>
        <v>6.5987032321068013E-5</v>
      </c>
      <c r="I395" s="3">
        <f t="shared" si="398"/>
        <v>6.5987032321058255E-5</v>
      </c>
      <c r="J395" s="3">
        <f t="shared" si="398"/>
        <v>6.5987032320960704E-5</v>
      </c>
      <c r="K395" s="3">
        <f t="shared" si="398"/>
        <v>6.5987032319985179E-5</v>
      </c>
      <c r="L395" s="3">
        <f t="shared" si="398"/>
        <v>6.5987032310229975E-5</v>
      </c>
      <c r="M395" s="3">
        <f t="shared" si="398"/>
        <v>6.5987032212677855E-5</v>
      </c>
      <c r="N395" s="3">
        <f t="shared" si="398"/>
        <v>6.5987031237156718E-5</v>
      </c>
      <c r="O395" s="3">
        <f t="shared" si="398"/>
        <v>6.5987021481946054E-5</v>
      </c>
      <c r="P395" s="3">
        <f t="shared" si="398"/>
        <v>6.5986923929918848E-5</v>
      </c>
      <c r="Q395" s="3">
        <f t="shared" si="398"/>
        <v>6.5985948417578589E-5</v>
      </c>
      <c r="R395" s="3">
        <f t="shared" si="398"/>
        <v>6.5976194087318313E-5</v>
      </c>
      <c r="S395" s="3">
        <f t="shared" si="398"/>
        <v>6.5878730055572577E-5</v>
      </c>
      <c r="T395" s="3">
        <f t="shared" si="398"/>
        <v>6.4911973634352831E-5</v>
      </c>
      <c r="U395" s="3">
        <f t="shared" si="398"/>
        <v>5.5991327812198074E-5</v>
      </c>
      <c r="V395" s="3">
        <f t="shared" si="398"/>
        <v>1.2766748249833874E-5</v>
      </c>
      <c r="W395" s="3">
        <f t="shared" si="398"/>
        <v>4.8492611423854153E-12</v>
      </c>
      <c r="X395" s="3">
        <f t="shared" si="398"/>
        <v>3.0312960307164243E-76</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6.9850122094838041E-5</v>
      </c>
      <c r="C396" s="3">
        <f t="shared" si="399"/>
        <v>6.9850122094838041E-5</v>
      </c>
      <c r="D396" s="3">
        <f t="shared" si="399"/>
        <v>6.9850122094838041E-5</v>
      </c>
      <c r="E396" s="3">
        <f t="shared" si="399"/>
        <v>6.9850122094838041E-5</v>
      </c>
      <c r="F396" s="3">
        <f t="shared" si="399"/>
        <v>6.9850122094838041E-5</v>
      </c>
      <c r="G396" s="3">
        <f t="shared" si="399"/>
        <v>6.9850122094838028E-5</v>
      </c>
      <c r="H396" s="3">
        <f t="shared" si="399"/>
        <v>6.9850122094837919E-5</v>
      </c>
      <c r="I396" s="3">
        <f t="shared" si="399"/>
        <v>6.9850122094836889E-5</v>
      </c>
      <c r="J396" s="3">
        <f t="shared" si="399"/>
        <v>6.9850122094826562E-5</v>
      </c>
      <c r="K396" s="3">
        <f t="shared" si="399"/>
        <v>6.9850122094723306E-5</v>
      </c>
      <c r="L396" s="3">
        <f t="shared" si="399"/>
        <v>6.9850122093690671E-5</v>
      </c>
      <c r="M396" s="3">
        <f t="shared" si="399"/>
        <v>6.9850122083364363E-5</v>
      </c>
      <c r="N396" s="3">
        <f t="shared" si="399"/>
        <v>6.9850121980101235E-5</v>
      </c>
      <c r="O396" s="3">
        <f t="shared" si="399"/>
        <v>6.9850120947469993E-5</v>
      </c>
      <c r="P396" s="3">
        <f t="shared" si="399"/>
        <v>6.9850110621158423E-5</v>
      </c>
      <c r="Q396" s="3">
        <f t="shared" si="399"/>
        <v>6.9850007358126712E-5</v>
      </c>
      <c r="R396" s="3">
        <f t="shared" si="399"/>
        <v>6.9848974736205785E-5</v>
      </c>
      <c r="S396" s="3">
        <f t="shared" si="399"/>
        <v>6.9838649356571814E-5</v>
      </c>
      <c r="T396" s="3">
        <f t="shared" si="399"/>
        <v>6.9735479471856135E-5</v>
      </c>
      <c r="U396" s="3">
        <f t="shared" si="399"/>
        <v>6.8712126069181491E-5</v>
      </c>
      <c r="V396" s="3">
        <f t="shared" si="399"/>
        <v>5.9269237399624459E-5</v>
      </c>
      <c r="W396" s="3">
        <f t="shared" si="399"/>
        <v>1.3514154109340433E-5</v>
      </c>
      <c r="X396" s="3">
        <f t="shared" si="399"/>
        <v>5.13315224144766E-12</v>
      </c>
      <c r="Y396" s="3">
        <f t="shared" si="399"/>
        <v>3.2087576968290864E-76</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2.6720561525676055E-2</v>
      </c>
      <c r="B397" s="80">
        <f>IF($A$64&lt;=B363,IF($B$64&gt;=B363,ABS((B365-B364)/B364),0),0)</f>
        <v>0</v>
      </c>
      <c r="C397" s="80">
        <f t="shared" ref="C397:AF397" si="400">IF($A$64&lt;=C363,IF($B$64&gt;=C363,ABS((C365-C364)/C364),0),0)</f>
        <v>0</v>
      </c>
      <c r="D397" s="80">
        <f t="shared" si="400"/>
        <v>0</v>
      </c>
      <c r="E397" s="80">
        <f t="shared" si="400"/>
        <v>0</v>
      </c>
      <c r="F397" s="80">
        <f t="shared" si="400"/>
        <v>0</v>
      </c>
      <c r="G397" s="80">
        <f t="shared" si="400"/>
        <v>0</v>
      </c>
      <c r="H397" s="80">
        <f t="shared" si="400"/>
        <v>0</v>
      </c>
      <c r="I397" s="80">
        <f t="shared" si="400"/>
        <v>0</v>
      </c>
      <c r="J397" s="80">
        <f t="shared" si="400"/>
        <v>0</v>
      </c>
      <c r="K397" s="80">
        <f t="shared" si="400"/>
        <v>0</v>
      </c>
      <c r="L397" s="80">
        <f t="shared" si="400"/>
        <v>1.8383874849721476E-3</v>
      </c>
      <c r="M397" s="80">
        <f t="shared" si="400"/>
        <v>2.4868149624111741E-2</v>
      </c>
      <c r="N397" s="80">
        <f t="shared" si="400"/>
        <v>3.4469878489232345E-2</v>
      </c>
      <c r="O397" s="80">
        <f t="shared" si="400"/>
        <v>9.287529397117214E-2</v>
      </c>
      <c r="P397" s="80">
        <f t="shared" si="400"/>
        <v>9.736383090689045E-2</v>
      </c>
      <c r="Q397" s="80">
        <f t="shared" si="400"/>
        <v>0.11756613306395225</v>
      </c>
      <c r="R397" s="80">
        <f t="shared" si="400"/>
        <v>0.12165092619818266</v>
      </c>
      <c r="S397" s="80">
        <f t="shared" si="400"/>
        <v>0.11254009474347923</v>
      </c>
      <c r="T397" s="80">
        <f t="shared" si="400"/>
        <v>9.6138933914424796E-2</v>
      </c>
      <c r="U397" s="80">
        <f t="shared" si="400"/>
        <v>7.3783515338687433E-2</v>
      </c>
      <c r="V397" s="80">
        <f t="shared" si="400"/>
        <v>5.5242263560852503E-2</v>
      </c>
      <c r="W397" s="80">
        <f t="shared" si="400"/>
        <v>0</v>
      </c>
      <c r="X397" s="80">
        <f t="shared" si="400"/>
        <v>0</v>
      </c>
      <c r="Y397" s="80">
        <f t="shared" si="400"/>
        <v>0</v>
      </c>
      <c r="Z397" s="80">
        <f t="shared" si="400"/>
        <v>0</v>
      </c>
      <c r="AA397" s="80">
        <f t="shared" si="400"/>
        <v>0</v>
      </c>
      <c r="AB397" s="80">
        <f t="shared" si="400"/>
        <v>0</v>
      </c>
      <c r="AC397" s="80">
        <f t="shared" si="400"/>
        <v>0</v>
      </c>
      <c r="AD397" s="80">
        <f t="shared" si="400"/>
        <v>0</v>
      </c>
      <c r="AE397" s="80">
        <f t="shared" si="400"/>
        <v>0</v>
      </c>
      <c r="AF397" s="80">
        <f t="shared" si="400"/>
        <v>0</v>
      </c>
    </row>
    <row r="398" spans="1:34" x14ac:dyDescent="0.25">
      <c r="B398" s="21">
        <f>(B365-B364)^2</f>
        <v>1109.3146551794714</v>
      </c>
      <c r="C398" s="21">
        <f t="shared" ref="C398:AF398" si="401">(C365-C364)^2</f>
        <v>6280.9291988818659</v>
      </c>
      <c r="D398" s="21">
        <f t="shared" si="401"/>
        <v>8342.1208848963088</v>
      </c>
      <c r="E398" s="21">
        <f t="shared" si="401"/>
        <v>7586.0743383626987</v>
      </c>
      <c r="F398" s="21">
        <f t="shared" si="401"/>
        <v>8765.9690687753919</v>
      </c>
      <c r="G398" s="21">
        <f t="shared" si="401"/>
        <v>8264.494064266024</v>
      </c>
      <c r="H398" s="21">
        <f t="shared" si="401"/>
        <v>1469.5215371585291</v>
      </c>
      <c r="I398" s="21">
        <f t="shared" si="401"/>
        <v>2023.1528960125941</v>
      </c>
      <c r="J398" s="21">
        <f t="shared" si="401"/>
        <v>6256.8457604571449</v>
      </c>
      <c r="K398" s="21">
        <f t="shared" si="401"/>
        <v>633.27793537410798</v>
      </c>
      <c r="L398" s="21">
        <f t="shared" si="401"/>
        <v>2.9838478335901293</v>
      </c>
      <c r="M398" s="21">
        <f t="shared" si="401"/>
        <v>175.17696403824237</v>
      </c>
      <c r="N398" s="21">
        <f t="shared" si="401"/>
        <v>103.13040745572597</v>
      </c>
      <c r="O398" s="21">
        <f t="shared" si="401"/>
        <v>317.50635458200065</v>
      </c>
      <c r="P398" s="21">
        <f t="shared" si="401"/>
        <v>249.6415932777536</v>
      </c>
      <c r="Q398" s="21">
        <f t="shared" si="401"/>
        <v>299.9346713262031</v>
      </c>
      <c r="R398" s="21">
        <f t="shared" si="401"/>
        <v>298.68309563142606</v>
      </c>
      <c r="S398" s="21">
        <f t="shared" si="401"/>
        <v>249.09277414318163</v>
      </c>
      <c r="T398" s="21">
        <f t="shared" si="401"/>
        <v>173.80978916965157</v>
      </c>
      <c r="U398" s="21">
        <f t="shared" si="401"/>
        <v>97.157438232076643</v>
      </c>
      <c r="V398" s="21">
        <f t="shared" si="401"/>
        <v>52.055784634967182</v>
      </c>
      <c r="W398" s="21">
        <f t="shared" si="401"/>
        <v>29.311164626522011</v>
      </c>
      <c r="X398" s="21">
        <f t="shared" si="401"/>
        <v>16.037484521927706</v>
      </c>
      <c r="Y398" s="21">
        <f t="shared" si="401"/>
        <v>8.7490562464611514</v>
      </c>
      <c r="Z398" s="21">
        <f t="shared" si="401"/>
        <v>4.7960929859522761</v>
      </c>
      <c r="AA398" s="21">
        <f t="shared" si="401"/>
        <v>4.1976728740987204</v>
      </c>
      <c r="AB398" s="21">
        <f t="shared" si="401"/>
        <v>3.4226989670599877</v>
      </c>
      <c r="AC398" s="21">
        <f t="shared" si="401"/>
        <v>1.0304510976596089</v>
      </c>
      <c r="AD398" s="21">
        <f t="shared" si="401"/>
        <v>1.0036496836594662</v>
      </c>
      <c r="AE398" s="21">
        <f t="shared" si="401"/>
        <v>0.31254038393027972</v>
      </c>
      <c r="AF398" s="21">
        <f t="shared" si="401"/>
        <v>0.29988716621478978</v>
      </c>
      <c r="AG398" s="3"/>
      <c r="AH398" s="3"/>
    </row>
    <row r="399" spans="1:34" x14ac:dyDescent="0.25">
      <c r="A399" s="71">
        <f>SUM(B399:AF399)</f>
        <v>2019.172720324819</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2.9838478335901293</v>
      </c>
      <c r="M399" s="60">
        <f t="shared" ref="M399" si="412">IF($A$64&lt;=M363,IF($B$64&gt;=M363,ABS(M398),0),0)</f>
        <v>175.17696403824237</v>
      </c>
      <c r="N399" s="60">
        <f t="shared" ref="N399" si="413">IF($A$64&lt;=N363,IF($B$64&gt;=N363,ABS(N398),0),0)</f>
        <v>103.13040745572597</v>
      </c>
      <c r="O399" s="60">
        <f t="shared" ref="O399" si="414">IF($A$64&lt;=O363,IF($B$64&gt;=O363,ABS(O398),0),0)</f>
        <v>317.50635458200065</v>
      </c>
      <c r="P399" s="60">
        <f t="shared" ref="P399" si="415">IF($A$64&lt;=P363,IF($B$64&gt;=P363,ABS(P398),0),0)</f>
        <v>249.6415932777536</v>
      </c>
      <c r="Q399" s="60">
        <f t="shared" ref="Q399" si="416">IF($A$64&lt;=Q363,IF($B$64&gt;=Q363,ABS(Q398),0),0)</f>
        <v>299.9346713262031</v>
      </c>
      <c r="R399" s="60">
        <f t="shared" ref="R399" si="417">IF($A$64&lt;=R363,IF($B$64&gt;=R363,ABS(R398),0),0)</f>
        <v>298.68309563142606</v>
      </c>
      <c r="S399" s="60">
        <f t="shared" ref="S399" si="418">IF($A$64&lt;=S363,IF($B$64&gt;=S363,ABS(S398),0),0)</f>
        <v>249.09277414318163</v>
      </c>
      <c r="T399" s="60">
        <f t="shared" ref="T399" si="419">IF($A$64&lt;=T363,IF($B$64&gt;=T363,ABS(T398),0),0)</f>
        <v>173.80978916965157</v>
      </c>
      <c r="U399" s="60">
        <f t="shared" ref="U399" si="420">IF($A$64&lt;=U363,IF($B$64&gt;=U363,ABS(U398),0),0)</f>
        <v>97.157438232076643</v>
      </c>
      <c r="V399" s="60">
        <f t="shared" ref="V399" si="421">IF($A$64&lt;=V363,IF($B$64&gt;=V363,ABS(V398),0),0)</f>
        <v>52.055784634967182</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7" t="s">
        <v>163</v>
      </c>
      <c r="K402" s="117"/>
      <c r="L402" s="117"/>
      <c r="M402" s="117"/>
      <c r="N402" s="117"/>
      <c r="O402" s="117"/>
      <c r="P402" s="117"/>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-24.635258353926584</v>
      </c>
      <c r="C403" s="107">
        <f t="shared" ref="C403:H403" si="432">IF(C125=$B$2,0,C126)</f>
        <v>-21.515320311547747</v>
      </c>
      <c r="D403" s="107">
        <f t="shared" si="432"/>
        <v>-17.307980119238746</v>
      </c>
      <c r="E403" s="107">
        <f t="shared" si="432"/>
        <v>-10.743887226601039</v>
      </c>
      <c r="F403" s="107">
        <f t="shared" si="432"/>
        <v>0</v>
      </c>
      <c r="G403" s="107">
        <f t="shared" si="432"/>
        <v>19.264403481926625</v>
      </c>
      <c r="H403" s="107">
        <f t="shared" si="432"/>
        <v>23.522139954401055</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2.0000609778255006E-26</v>
      </c>
      <c r="C404" s="3">
        <f t="shared" ref="C404:H419" si="433">$A404/EXP(-C$403)</f>
        <v>4.5291333983091265E-25</v>
      </c>
      <c r="D404" s="3">
        <f t="shared" si="433"/>
        <v>3.0425641330285944E-23</v>
      </c>
      <c r="E404" s="3">
        <f t="shared" si="433"/>
        <v>2.1576900720265182E-20</v>
      </c>
      <c r="F404" s="3">
        <f t="shared" si="433"/>
        <v>1.0000000000000001E-15</v>
      </c>
      <c r="G404" s="3">
        <f t="shared" si="433"/>
        <v>2.3250062750322023E-7</v>
      </c>
      <c r="H404" s="3">
        <f t="shared" si="433"/>
        <v>1.6426142449134175E-5</v>
      </c>
      <c r="I404" s="109">
        <f>Comparison!AL3</f>
        <v>1.0000000000000001E-15</v>
      </c>
      <c r="J404" s="3">
        <f>Comparison!AM3</f>
        <v>6574.1423129756067</v>
      </c>
      <c r="K404" s="3">
        <f>Comparison!AN3</f>
        <v>6543.7252261807771</v>
      </c>
      <c r="L404" s="3">
        <f>Comparison!AO3</f>
        <v>6524.0904126194901</v>
      </c>
      <c r="M404" s="3">
        <f>Comparison!AP3</f>
        <v>6503.9509699618966</v>
      </c>
      <c r="N404" s="3">
        <f>Comparison!AQ3</f>
        <v>6479.0859474371819</v>
      </c>
      <c r="O404" s="3">
        <f>Comparison!AR3</f>
        <v>5863.6829549380891</v>
      </c>
      <c r="P404" s="3">
        <f>Comparison!AS3</f>
        <v>5469.0375175567433</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2.0000609778255006E-25</v>
      </c>
      <c r="C405" s="3">
        <f t="shared" si="433"/>
        <v>4.5291333983091254E-24</v>
      </c>
      <c r="D405" s="3">
        <f t="shared" si="433"/>
        <v>3.0425641330285944E-22</v>
      </c>
      <c r="E405" s="3">
        <f t="shared" si="433"/>
        <v>2.1576900720265182E-19</v>
      </c>
      <c r="F405" s="3">
        <f t="shared" si="433"/>
        <v>1E-14</v>
      </c>
      <c r="G405" s="3">
        <f t="shared" si="433"/>
        <v>2.3250062750322023E-6</v>
      </c>
      <c r="H405" s="3">
        <f t="shared" si="433"/>
        <v>1.6426142449134175E-4</v>
      </c>
      <c r="I405" s="109">
        <f>Comparison!AL4</f>
        <v>1E-14</v>
      </c>
      <c r="J405" s="3">
        <f>Comparison!AM4</f>
        <v>6574.1983504239388</v>
      </c>
      <c r="K405" s="3">
        <f>Comparison!AN4</f>
        <v>6543.7799387981568</v>
      </c>
      <c r="L405" s="3">
        <f>Comparison!AO4</f>
        <v>6524.1443595856636</v>
      </c>
      <c r="M405" s="3">
        <f>Comparison!AP4</f>
        <v>6504.0043184804708</v>
      </c>
      <c r="N405" s="3">
        <f>Comparison!AQ4</f>
        <v>6479.1324839978006</v>
      </c>
      <c r="O405" s="3">
        <f>Comparison!AR4</f>
        <v>5609.1927579282792</v>
      </c>
      <c r="P405" s="3">
        <f>Comparison!AS4</f>
        <v>5144.4254375399241</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2.0000609778255007E-24</v>
      </c>
      <c r="C406" s="3">
        <f t="shared" si="433"/>
        <v>4.5291333983091262E-23</v>
      </c>
      <c r="D406" s="3">
        <f t="shared" si="433"/>
        <v>3.0425641330285946E-21</v>
      </c>
      <c r="E406" s="3">
        <f t="shared" si="433"/>
        <v>2.1576900720265181E-18</v>
      </c>
      <c r="F406" s="3">
        <f t="shared" si="433"/>
        <v>1E-13</v>
      </c>
      <c r="G406" s="3">
        <f t="shared" si="433"/>
        <v>2.3250062750322021E-5</v>
      </c>
      <c r="H406" s="3">
        <f t="shared" si="433"/>
        <v>1.6426142449134176E-3</v>
      </c>
      <c r="I406" s="109">
        <f>Comparison!AL5</f>
        <v>1E-13</v>
      </c>
      <c r="J406" s="3">
        <f>Comparison!AM5</f>
        <v>6574.1641202956771</v>
      </c>
      <c r="K406" s="3">
        <f>Comparison!AN5</f>
        <v>6543.7462938558028</v>
      </c>
      <c r="L406" s="3">
        <f>Comparison!AO5</f>
        <v>6524.1111351538066</v>
      </c>
      <c r="M406" s="3">
        <f>Comparison!AP5</f>
        <v>6503.9713230315656</v>
      </c>
      <c r="N406" s="3">
        <f>Comparison!AQ5</f>
        <v>6479.041978197979</v>
      </c>
      <c r="O406" s="3">
        <f>Comparison!AR5</f>
        <v>5370.7345311781783</v>
      </c>
      <c r="P406" s="3">
        <f>Comparison!AS5</f>
        <v>4859.4796757955091</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2.0000609778255004E-23</v>
      </c>
      <c r="C407" s="3">
        <f t="shared" si="433"/>
        <v>4.5291333983091253E-22</v>
      </c>
      <c r="D407" s="3">
        <f t="shared" si="433"/>
        <v>3.0425641330285945E-20</v>
      </c>
      <c r="E407" s="3">
        <f t="shared" si="433"/>
        <v>2.157690072026518E-17</v>
      </c>
      <c r="F407" s="3">
        <f t="shared" si="433"/>
        <v>9.9999999999999998E-13</v>
      </c>
      <c r="G407" s="3">
        <f t="shared" si="433"/>
        <v>2.3250062750322019E-4</v>
      </c>
      <c r="H407" s="3">
        <f t="shared" si="433"/>
        <v>1.6426142449134176E-2</v>
      </c>
      <c r="I407" s="109">
        <f>Comparison!AL6</f>
        <v>9.9999999999999998E-13</v>
      </c>
      <c r="J407" s="3">
        <f>Comparison!AM6</f>
        <v>6574.1538463873376</v>
      </c>
      <c r="K407" s="3">
        <f>Comparison!AN6</f>
        <v>6543.7363350192272</v>
      </c>
      <c r="L407" s="3">
        <f>Comparison!AO6</f>
        <v>6524.1012603146964</v>
      </c>
      <c r="M407" s="3">
        <f>Comparison!AP6</f>
        <v>6503.9615090652051</v>
      </c>
      <c r="N407" s="3">
        <f>Comparison!AQ6</f>
        <v>6478.4539559822069</v>
      </c>
      <c r="O407" s="3">
        <f>Comparison!AR6</f>
        <v>5097.9534912421213</v>
      </c>
      <c r="P407" s="3">
        <f>Comparison!AS6</f>
        <v>4579.0872874253573</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2.0000609778255005E-22</v>
      </c>
      <c r="C408" s="3">
        <f t="shared" si="433"/>
        <v>4.5291333983091255E-21</v>
      </c>
      <c r="D408" s="3">
        <f t="shared" si="433"/>
        <v>3.042564133028594E-19</v>
      </c>
      <c r="E408" s="3">
        <f t="shared" si="433"/>
        <v>2.1576900720265178E-16</v>
      </c>
      <c r="F408" s="3">
        <f t="shared" si="433"/>
        <v>9.9999999999999994E-12</v>
      </c>
      <c r="G408" s="3">
        <f t="shared" si="433"/>
        <v>2.325006275032202E-3</v>
      </c>
      <c r="H408" s="3">
        <f t="shared" si="433"/>
        <v>0.16426142449134173</v>
      </c>
      <c r="I408" s="109">
        <f>Comparison!AL7</f>
        <v>9.9999999999999994E-12</v>
      </c>
      <c r="J408" s="3">
        <f>Comparison!AM7</f>
        <v>6574.1506604943988</v>
      </c>
      <c r="K408" s="3">
        <f>Comparison!AN7</f>
        <v>6543.7332030080934</v>
      </c>
      <c r="L408" s="3">
        <f>Comparison!AO7</f>
        <v>6524.0981470711258</v>
      </c>
      <c r="M408" s="3">
        <f>Comparison!AP7</f>
        <v>6503.9584150129849</v>
      </c>
      <c r="N408" s="3">
        <f>Comparison!AQ7</f>
        <v>6472.7726535549082</v>
      </c>
      <c r="O408" s="3">
        <f>Comparison!AR7</f>
        <v>4821.046341164677</v>
      </c>
      <c r="P408" s="3">
        <f>Comparison!AS7</f>
        <v>4274.6287252900811</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2.0000609778255004E-21</v>
      </c>
      <c r="C409" s="3">
        <f t="shared" si="433"/>
        <v>4.5291333983091261E-20</v>
      </c>
      <c r="D409" s="3">
        <f t="shared" si="433"/>
        <v>3.0425641330285944E-18</v>
      </c>
      <c r="E409" s="3">
        <f t="shared" si="433"/>
        <v>2.1576900720265179E-15</v>
      </c>
      <c r="F409" s="3">
        <f t="shared" si="433"/>
        <v>1E-10</v>
      </c>
      <c r="G409" s="3">
        <f t="shared" si="433"/>
        <v>2.3250062750322022E-2</v>
      </c>
      <c r="H409" s="3">
        <f t="shared" si="433"/>
        <v>1.6426142449134176</v>
      </c>
      <c r="I409" s="109">
        <f>Comparison!AL8</f>
        <v>1E-10</v>
      </c>
      <c r="J409" s="3">
        <f>Comparison!AM8</f>
        <v>6574.149598530772</v>
      </c>
      <c r="K409" s="3">
        <f>Comparison!AN8</f>
        <v>6543.7321508487757</v>
      </c>
      <c r="L409" s="3">
        <f>Comparison!AO8</f>
        <v>6524.0971012165301</v>
      </c>
      <c r="M409" s="3">
        <f>Comparison!AP8</f>
        <v>6503.9573030886877</v>
      </c>
      <c r="N409" s="3">
        <f>Comparison!AQ8</f>
        <v>6425.3224026678754</v>
      </c>
      <c r="O409" s="3">
        <f>Comparison!AR8</f>
        <v>4535.3452020984814</v>
      </c>
      <c r="P409" s="3">
        <f>Comparison!AS8</f>
        <v>3938.1560081824523</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2.0000609778255006E-20</v>
      </c>
      <c r="C410" s="3">
        <f t="shared" si="433"/>
        <v>4.5291333983091264E-19</v>
      </c>
      <c r="D410" s="3">
        <f t="shared" si="433"/>
        <v>3.0425641330285947E-17</v>
      </c>
      <c r="E410" s="3">
        <f t="shared" si="433"/>
        <v>2.1576900720265181E-14</v>
      </c>
      <c r="F410" s="3">
        <f t="shared" si="433"/>
        <v>1.0000000000000001E-9</v>
      </c>
      <c r="G410" s="3">
        <f t="shared" si="433"/>
        <v>0.23250062750322023</v>
      </c>
      <c r="H410" s="3">
        <f t="shared" si="433"/>
        <v>16.426142449134176</v>
      </c>
      <c r="I410" s="109">
        <f>Comparison!AL9</f>
        <v>1.0000000000000001E-9</v>
      </c>
      <c r="J410" s="3">
        <f>Comparison!AM9</f>
        <v>6574.1492527752453</v>
      </c>
      <c r="K410" s="3">
        <f>Comparison!AN9</f>
        <v>6543.7318082853499</v>
      </c>
      <c r="L410" s="3">
        <f>Comparison!AO9</f>
        <v>6524.0967607058046</v>
      </c>
      <c r="M410" s="3">
        <f>Comparison!AP9</f>
        <v>6503.9546441408229</v>
      </c>
      <c r="N410" s="3">
        <f>Comparison!AQ9</f>
        <v>6280.1372572444334</v>
      </c>
      <c r="O410" s="3">
        <f>Comparison!AR9</f>
        <v>4228.4929725950406</v>
      </c>
      <c r="P410" s="3">
        <f>Comparison!AS9</f>
        <v>3491.5925245283374</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2.0000609778255006E-19</v>
      </c>
      <c r="C411" s="3">
        <f t="shared" si="433"/>
        <v>4.5291333983091262E-18</v>
      </c>
      <c r="D411" s="3">
        <f t="shared" si="433"/>
        <v>3.0425641330285943E-16</v>
      </c>
      <c r="E411" s="3">
        <f t="shared" si="433"/>
        <v>2.1576900720265181E-13</v>
      </c>
      <c r="F411" s="3">
        <f t="shared" si="433"/>
        <v>1E-8</v>
      </c>
      <c r="G411" s="3">
        <f t="shared" si="433"/>
        <v>2.325006275032202</v>
      </c>
      <c r="H411" s="3">
        <f t="shared" si="433"/>
        <v>164.26142449134176</v>
      </c>
      <c r="I411" s="109">
        <f>Comparison!AL10</f>
        <v>1E-8</v>
      </c>
      <c r="J411" s="3">
        <f>Comparison!AM10</f>
        <v>6574.149203381603</v>
      </c>
      <c r="K411" s="3">
        <f>Comparison!AN10</f>
        <v>6543.7317593477201</v>
      </c>
      <c r="L411" s="3">
        <f>Comparison!AO10</f>
        <v>6524.0967120614177</v>
      </c>
      <c r="M411" s="3">
        <f>Comparison!AP10</f>
        <v>6503.932647473689</v>
      </c>
      <c r="N411" s="3">
        <f>Comparison!AQ10</f>
        <v>6130.7451181848783</v>
      </c>
      <c r="O411" s="3">
        <f>Comparison!AR10</f>
        <v>3871.0057883923755</v>
      </c>
      <c r="P411" s="3">
        <f>Comparison!AS10</f>
        <v>2939.5473684961994</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2.0000609778255005E-18</v>
      </c>
      <c r="C412" s="3">
        <f t="shared" si="433"/>
        <v>4.5291333983091257E-17</v>
      </c>
      <c r="D412" s="3">
        <f t="shared" si="433"/>
        <v>3.0425641330285943E-15</v>
      </c>
      <c r="E412" s="3">
        <f t="shared" si="433"/>
        <v>2.1576900720265178E-12</v>
      </c>
      <c r="F412" s="3">
        <f t="shared" si="433"/>
        <v>9.9999999999999995E-8</v>
      </c>
      <c r="G412" s="3">
        <f t="shared" si="433"/>
        <v>23.250062750322019</v>
      </c>
      <c r="H412" s="3">
        <f t="shared" si="433"/>
        <v>1642.6142449134175</v>
      </c>
      <c r="I412" s="109">
        <f>Comparison!AL11</f>
        <v>9.9999999999999995E-8</v>
      </c>
      <c r="J412" s="3">
        <f>Comparison!AM11</f>
        <v>6574.149203381603</v>
      </c>
      <c r="K412" s="3">
        <f>Comparison!AN11</f>
        <v>6543.7315146595847</v>
      </c>
      <c r="L412" s="3">
        <f>Comparison!AO11</f>
        <v>6524.0963715507314</v>
      </c>
      <c r="M412" s="3">
        <f>Comparison!AP11</f>
        <v>6503.7133657579243</v>
      </c>
      <c r="N412" s="3">
        <f>Comparison!AQ11</f>
        <v>5959.459898848826</v>
      </c>
      <c r="O412" s="3">
        <f>Comparison!AR11</f>
        <v>3401.7561264704505</v>
      </c>
      <c r="P412" s="3">
        <f>Comparison!AS11</f>
        <v>2290.3210430692648</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2.0000609778255005E-17</v>
      </c>
      <c r="C413" s="3">
        <f t="shared" si="433"/>
        <v>4.5291333983091258E-16</v>
      </c>
      <c r="D413" s="3">
        <f t="shared" si="433"/>
        <v>3.0425641330285943E-14</v>
      </c>
      <c r="E413" s="3">
        <f t="shared" si="433"/>
        <v>2.1576900720265181E-11</v>
      </c>
      <c r="F413" s="3">
        <f t="shared" si="433"/>
        <v>9.9999999999999995E-7</v>
      </c>
      <c r="G413" s="3">
        <f t="shared" si="433"/>
        <v>232.50062750322019</v>
      </c>
      <c r="H413" s="3">
        <f t="shared" si="433"/>
        <v>16426.142449134175</v>
      </c>
      <c r="I413" s="109">
        <f>Comparison!AL12</f>
        <v>9.9999999999999995E-7</v>
      </c>
      <c r="J413" s="3">
        <f>Comparison!AM12</f>
        <v>6574.149203381603</v>
      </c>
      <c r="K413" s="3">
        <f>Comparison!AN12</f>
        <v>6543.731490190773</v>
      </c>
      <c r="L413" s="3">
        <f>Comparison!AO12</f>
        <v>6524.0939393325853</v>
      </c>
      <c r="M413" s="3">
        <f>Comparison!AP12</f>
        <v>6501.5374241274303</v>
      </c>
      <c r="N413" s="3">
        <f>Comparison!AQ12</f>
        <v>5758.6320512376351</v>
      </c>
      <c r="O413" s="3">
        <f>Comparison!AR12</f>
        <v>2827.0529060658037</v>
      </c>
      <c r="P413" s="3">
        <f>Comparison!AS12</f>
        <v>1556.8723374202477</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2.0000609778255006E-16</v>
      </c>
      <c r="C414" s="3">
        <f t="shared" si="433"/>
        <v>4.529133398309126E-15</v>
      </c>
      <c r="D414" s="3">
        <f t="shared" si="433"/>
        <v>3.0425641330285947E-13</v>
      </c>
      <c r="E414" s="3">
        <f t="shared" si="433"/>
        <v>2.1576900720265183E-10</v>
      </c>
      <c r="F414" s="3">
        <f t="shared" si="433"/>
        <v>1.0000000000000001E-5</v>
      </c>
      <c r="G414" s="3">
        <f t="shared" si="433"/>
        <v>2325.0062750322022</v>
      </c>
      <c r="H414" s="3">
        <f t="shared" si="433"/>
        <v>164261.42449134175</v>
      </c>
      <c r="I414" s="109">
        <f>Comparison!AL13</f>
        <v>1.0000000000000001E-5</v>
      </c>
      <c r="J414" s="3">
        <f>Comparison!AM13</f>
        <v>6574.1491786847801</v>
      </c>
      <c r="K414" s="3">
        <f>Comparison!AN13</f>
        <v>6543.7313923155243</v>
      </c>
      <c r="L414" s="3">
        <f>Comparison!AO13</f>
        <v>6524.06939835293</v>
      </c>
      <c r="M414" s="3">
        <f>Comparison!AP13</f>
        <v>6481.233154233405</v>
      </c>
      <c r="N414" s="3">
        <f>Comparison!AQ13</f>
        <v>5553.7107715147085</v>
      </c>
      <c r="O414" s="3">
        <f>Comparison!AR13</f>
        <v>2150.7951483518323</v>
      </c>
      <c r="P414" s="3">
        <f>Comparison!AS13</f>
        <v>939.61789874376836</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2.0000609778255008E-15</v>
      </c>
      <c r="C415" s="3">
        <f t="shared" si="433"/>
        <v>4.529133398309126E-14</v>
      </c>
      <c r="D415" s="3">
        <f t="shared" si="433"/>
        <v>3.0425641330285947E-12</v>
      </c>
      <c r="E415" s="3">
        <f t="shared" si="433"/>
        <v>2.157690072026518E-9</v>
      </c>
      <c r="F415" s="3">
        <f t="shared" si="433"/>
        <v>1E-4</v>
      </c>
      <c r="G415" s="3">
        <f t="shared" si="433"/>
        <v>23250.06275032202</v>
      </c>
      <c r="H415" s="3">
        <f t="shared" si="433"/>
        <v>1642614.2449134176</v>
      </c>
      <c r="I415" s="109">
        <f>Comparison!AL14</f>
        <v>1E-4</v>
      </c>
      <c r="J415" s="3">
        <f>Comparison!AM14</f>
        <v>6574.1489070197567</v>
      </c>
      <c r="K415" s="3">
        <f>Comparison!AN14</f>
        <v>6543.7286518097571</v>
      </c>
      <c r="L415" s="3">
        <f>Comparison!AO14</f>
        <v>6523.8242419120506</v>
      </c>
      <c r="M415" s="3">
        <f>Comparison!AP14</f>
        <v>6364.7007036045688</v>
      </c>
      <c r="N415" s="3">
        <f>Comparison!AQ14</f>
        <v>5296.2160470219478</v>
      </c>
      <c r="O415" s="3">
        <f>Comparison!AR14</f>
        <v>1410.5199057082755</v>
      </c>
      <c r="P415" s="3">
        <f>Comparison!AS14</f>
        <v>532.22470015904992</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2.0000609778255006E-14</v>
      </c>
      <c r="C416" s="3">
        <f t="shared" si="433"/>
        <v>4.5291333983091256E-13</v>
      </c>
      <c r="D416" s="3">
        <f t="shared" si="433"/>
        <v>3.0425641330285945E-11</v>
      </c>
      <c r="E416" s="3">
        <f t="shared" si="433"/>
        <v>2.1576900720265182E-8</v>
      </c>
      <c r="F416" s="3">
        <f t="shared" si="433"/>
        <v>1E-3</v>
      </c>
      <c r="G416" s="3">
        <f t="shared" si="433"/>
        <v>232500.62750322022</v>
      </c>
      <c r="H416" s="3">
        <f t="shared" si="433"/>
        <v>16426142.449134175</v>
      </c>
      <c r="I416" s="109">
        <f>Comparison!AL15</f>
        <v>1E-3</v>
      </c>
      <c r="J416" s="3">
        <f>Comparison!AM15</f>
        <v>6574.1483883865922</v>
      </c>
      <c r="K416" s="3">
        <f>Comparison!AN15</f>
        <v>6543.7023234963144</v>
      </c>
      <c r="L416" s="3">
        <f>Comparison!AO15</f>
        <v>6521.3925487999713</v>
      </c>
      <c r="M416" s="3">
        <f>Comparison!AP15</f>
        <v>6219.55344224686</v>
      </c>
      <c r="N416" s="3">
        <f>Comparison!AQ15</f>
        <v>5014.3504980568096</v>
      </c>
      <c r="O416" s="3">
        <f>Comparison!AR15</f>
        <v>826.67973456797017</v>
      </c>
      <c r="P416" s="3">
        <f>Comparison!AS15</f>
        <v>294.61415856723238</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2.0000609778255006E-13</v>
      </c>
      <c r="C417" s="3">
        <f t="shared" si="433"/>
        <v>4.5291333983091258E-12</v>
      </c>
      <c r="D417" s="3">
        <f t="shared" si="433"/>
        <v>3.0425641330285947E-10</v>
      </c>
      <c r="E417" s="3">
        <f t="shared" si="433"/>
        <v>2.1576900720265182E-7</v>
      </c>
      <c r="F417" s="3">
        <f t="shared" si="433"/>
        <v>0.01</v>
      </c>
      <c r="G417" s="3">
        <f t="shared" si="433"/>
        <v>2325006.2750322022</v>
      </c>
      <c r="H417" s="3">
        <f t="shared" si="433"/>
        <v>164261424.49134174</v>
      </c>
      <c r="I417" s="109">
        <f>Comparison!AL16</f>
        <v>0.01</v>
      </c>
      <c r="J417" s="3">
        <f>Comparison!AM16</f>
        <v>6574.141102834109</v>
      </c>
      <c r="K417" s="3">
        <f>Comparison!AN16</f>
        <v>6543.4393456132884</v>
      </c>
      <c r="L417" s="3">
        <f>Comparison!AO16</f>
        <v>6498.8766153292054</v>
      </c>
      <c r="M417" s="3">
        <f>Comparison!AP16</f>
        <v>6059.9785511387736</v>
      </c>
      <c r="N417" s="3">
        <f>Comparison!AQ16</f>
        <v>4737.7084148388376</v>
      </c>
      <c r="O417" s="3">
        <f>Comparison!AR16</f>
        <v>463.10914863390207</v>
      </c>
      <c r="P417" s="3">
        <f>Comparison!AS16</f>
        <v>191.85627557437303</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2.0000609778255008E-12</v>
      </c>
      <c r="C418" s="3">
        <f t="shared" si="433"/>
        <v>4.5291333983091259E-11</v>
      </c>
      <c r="D418" s="3">
        <f t="shared" si="433"/>
        <v>3.0425641330285947E-9</v>
      </c>
      <c r="E418" s="3">
        <f t="shared" si="433"/>
        <v>2.1576900720265182E-6</v>
      </c>
      <c r="F418" s="3">
        <f t="shared" si="433"/>
        <v>0.1</v>
      </c>
      <c r="G418" s="3">
        <f t="shared" si="433"/>
        <v>23250062.750322022</v>
      </c>
      <c r="H418" s="3">
        <f t="shared" si="433"/>
        <v>1642614244.9134176</v>
      </c>
      <c r="I418" s="109">
        <f>Comparison!AL17</f>
        <v>0.1</v>
      </c>
      <c r="J418" s="3">
        <f>Comparison!AM17</f>
        <v>6574.0681741087647</v>
      </c>
      <c r="K418" s="3">
        <f>Comparison!AN17</f>
        <v>6540.8297975507394</v>
      </c>
      <c r="L418" s="3">
        <f>Comparison!AO17</f>
        <v>6376.7108933957061</v>
      </c>
      <c r="M418" s="3">
        <f>Comparison!AP17</f>
        <v>5870.6317266704709</v>
      </c>
      <c r="N418" s="3">
        <f>Comparison!AQ17</f>
        <v>4438.626264954587</v>
      </c>
      <c r="O418" s="3">
        <f>Comparison!AR17</f>
        <v>257.27368574751409</v>
      </c>
      <c r="P418" s="3">
        <f>Comparison!AS17</f>
        <v>162.27843823453597</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2.0000609778255007E-11</v>
      </c>
      <c r="C419" s="3">
        <f t="shared" si="433"/>
        <v>4.5291333983091258E-10</v>
      </c>
      <c r="D419" s="3">
        <f t="shared" si="433"/>
        <v>3.0425641330285945E-8</v>
      </c>
      <c r="E419" s="3">
        <f t="shared" si="433"/>
        <v>2.157690072026518E-5</v>
      </c>
      <c r="F419" s="3">
        <f t="shared" si="433"/>
        <v>1</v>
      </c>
      <c r="G419" s="3">
        <f t="shared" si="433"/>
        <v>232500627.5032202</v>
      </c>
      <c r="H419" s="3">
        <f t="shared" si="433"/>
        <v>16426142449.134174</v>
      </c>
      <c r="I419" s="109">
        <f>Comparison!AL18</f>
        <v>1</v>
      </c>
      <c r="J419" s="3">
        <f>Comparison!AM18</f>
        <v>6573.3425313051102</v>
      </c>
      <c r="K419" s="3">
        <f>Comparison!AN18</f>
        <v>6516.7915822655277</v>
      </c>
      <c r="L419" s="3">
        <f>Comparison!AO18</f>
        <v>6230.3639399807598</v>
      </c>
      <c r="M419" s="3">
        <f>Comparison!AP18</f>
        <v>5669.1325406322439</v>
      </c>
      <c r="N419" s="3">
        <f>Comparison!AQ18</f>
        <v>4115.3629839514006</v>
      </c>
      <c r="O419" s="3">
        <f>Comparison!AR18</f>
        <v>179.98076982609024</v>
      </c>
      <c r="P419" s="3">
        <f>Comparison!AS18</f>
        <v>147.30961753431595</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2.0000609778255006E-10</v>
      </c>
      <c r="C420" s="3">
        <f t="shared" si="434"/>
        <v>4.5291333983091261E-9</v>
      </c>
      <c r="D420" s="3">
        <f t="shared" si="434"/>
        <v>3.0425641330285945E-7</v>
      </c>
      <c r="E420" s="3">
        <f t="shared" si="434"/>
        <v>2.1576900720265182E-4</v>
      </c>
      <c r="F420" s="3">
        <f t="shared" si="434"/>
        <v>10</v>
      </c>
      <c r="G420" s="3">
        <f t="shared" si="434"/>
        <v>2325006275.0322022</v>
      </c>
      <c r="H420" s="3">
        <f t="shared" si="434"/>
        <v>164261424491.34174</v>
      </c>
      <c r="I420" s="109">
        <f>Comparison!AL19</f>
        <v>10</v>
      </c>
      <c r="J420" s="3">
        <f>Comparison!AM19</f>
        <v>6566.2492544539882</v>
      </c>
      <c r="K420" s="3">
        <f>Comparison!AN19</f>
        <v>6390.814079024768</v>
      </c>
      <c r="L420" s="3">
        <f>Comparison!AO19</f>
        <v>6066.3152248046426</v>
      </c>
      <c r="M420" s="3">
        <f>Comparison!AP19</f>
        <v>5423.4324257349326</v>
      </c>
      <c r="N420" s="3">
        <f>Comparison!AQ19</f>
        <v>3662.5886079597385</v>
      </c>
      <c r="O420" s="3">
        <f>Comparison!AR19</f>
        <v>157.55849658546879</v>
      </c>
      <c r="P420" s="3">
        <f>Comparison!AS19</f>
        <v>142.06591803394016</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2.0000609778255006E-9</v>
      </c>
      <c r="C421" s="3">
        <f t="shared" si="434"/>
        <v>4.5291333983091256E-8</v>
      </c>
      <c r="D421" s="3">
        <f t="shared" si="434"/>
        <v>3.0425641330285943E-6</v>
      </c>
      <c r="E421" s="3">
        <f t="shared" si="434"/>
        <v>2.1576900720265179E-3</v>
      </c>
      <c r="F421" s="3">
        <f t="shared" si="434"/>
        <v>100</v>
      </c>
      <c r="G421" s="3">
        <f t="shared" si="434"/>
        <v>23250062750.322021</v>
      </c>
      <c r="H421" s="3">
        <f t="shared" si="434"/>
        <v>1642614244913.4175</v>
      </c>
      <c r="I421" s="109">
        <f>Comparison!AL20</f>
        <v>100</v>
      </c>
      <c r="J421" s="3">
        <f>Comparison!AM20</f>
        <v>6509.2168204054406</v>
      </c>
      <c r="K421" s="3">
        <f>Comparison!AN20</f>
        <v>6240.1474757230608</v>
      </c>
      <c r="L421" s="3">
        <f>Comparison!AO20</f>
        <v>5850.8000974148181</v>
      </c>
      <c r="M421" s="3">
        <f>Comparison!AP20</f>
        <v>5064.9009314494624</v>
      </c>
      <c r="N421" s="3">
        <f>Comparison!AQ20</f>
        <v>3039.7716426269371</v>
      </c>
      <c r="O421" s="3">
        <f>Comparison!AR20</f>
        <v>143.13037816485394</v>
      </c>
      <c r="P421" s="3">
        <f>Comparison!AS20</f>
        <v>140.2404472955443</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2.0000609778255006E-8</v>
      </c>
      <c r="C422" s="3">
        <f t="shared" si="434"/>
        <v>4.5291333983091257E-7</v>
      </c>
      <c r="D422" s="3">
        <f t="shared" si="434"/>
        <v>3.0425641330285943E-5</v>
      </c>
      <c r="E422" s="3">
        <f t="shared" si="434"/>
        <v>2.157690072026518E-2</v>
      </c>
      <c r="F422" s="3">
        <f t="shared" si="434"/>
        <v>1000</v>
      </c>
      <c r="G422" s="3">
        <f t="shared" si="434"/>
        <v>232500627503.22021</v>
      </c>
      <c r="H422" s="3">
        <f t="shared" si="434"/>
        <v>16426142449134.176</v>
      </c>
      <c r="I422" s="109">
        <f>Comparison!AL21</f>
        <v>1000</v>
      </c>
      <c r="J422" s="3">
        <f>Comparison!AM21</f>
        <v>6358.877795711509</v>
      </c>
      <c r="K422" s="3">
        <f>Comparison!AN21</f>
        <v>6044.4265071962272</v>
      </c>
      <c r="L422" s="3">
        <f>Comparison!AO21</f>
        <v>5524.1383776461034</v>
      </c>
      <c r="M422" s="3">
        <f>Comparison!AP21</f>
        <v>4580.1850776889687</v>
      </c>
      <c r="N422" s="3">
        <f>Comparison!AQ21</f>
        <v>2356.5178874385392</v>
      </c>
      <c r="O422" s="3">
        <f>Comparison!AR21</f>
        <v>139.03929298884987</v>
      </c>
      <c r="P422" s="3">
        <f>Comparison!AS21</f>
        <v>137.13168564571805</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2.0000609778255006E-7</v>
      </c>
      <c r="C423" s="3">
        <f t="shared" si="434"/>
        <v>4.5291333983091262E-6</v>
      </c>
      <c r="D423" s="3">
        <f t="shared" si="434"/>
        <v>3.0425641330285942E-4</v>
      </c>
      <c r="E423" s="3">
        <f t="shared" si="434"/>
        <v>0.2157690072026518</v>
      </c>
      <c r="F423" s="3">
        <f t="shared" si="434"/>
        <v>10000</v>
      </c>
      <c r="G423" s="3">
        <f t="shared" si="434"/>
        <v>2325006275032.2021</v>
      </c>
      <c r="H423" s="3">
        <f t="shared" si="434"/>
        <v>164261424491341.75</v>
      </c>
      <c r="I423" s="109">
        <f>Comparison!AL22</f>
        <v>10000</v>
      </c>
      <c r="J423" s="3">
        <f>Comparison!AM22</f>
        <v>6198.1657141301985</v>
      </c>
      <c r="K423" s="3">
        <f>Comparison!AN22</f>
        <v>5697.9764219559002</v>
      </c>
      <c r="L423" s="3">
        <f>Comparison!AO22</f>
        <v>5037.8540321693981</v>
      </c>
      <c r="M423" s="3">
        <f>Comparison!AP22</f>
        <v>4085.8663253030418</v>
      </c>
      <c r="N423" s="3">
        <f>Comparison!AQ22</f>
        <v>1664.6092730189016</v>
      </c>
      <c r="O423" s="3">
        <f>Comparison!AR22</f>
        <v>135.60631839895524</v>
      </c>
      <c r="P423" s="3">
        <f>Comparison!AS22</f>
        <v>133.5914564553571</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2.0000609778255004E-6</v>
      </c>
      <c r="C424" s="3">
        <f t="shared" si="434"/>
        <v>4.5291333983091255E-5</v>
      </c>
      <c r="D424" s="3">
        <f t="shared" si="434"/>
        <v>3.0425641330285944E-3</v>
      </c>
      <c r="E424" s="3">
        <f t="shared" si="434"/>
        <v>2.1576900720265182</v>
      </c>
      <c r="F424" s="3">
        <f t="shared" si="434"/>
        <v>100000</v>
      </c>
      <c r="G424" s="3">
        <f t="shared" si="434"/>
        <v>23250062750322.02</v>
      </c>
      <c r="H424" s="3">
        <f t="shared" si="434"/>
        <v>1642614244913417.5</v>
      </c>
      <c r="I424" s="109">
        <f>Comparison!AL23</f>
        <v>100000</v>
      </c>
      <c r="J424" s="3">
        <f>Comparison!AM23</f>
        <v>5965.2165970487267</v>
      </c>
      <c r="K424" s="3">
        <f>Comparison!AN23</f>
        <v>5222.1642197271249</v>
      </c>
      <c r="L424" s="3">
        <f>Comparison!AO23</f>
        <v>4531.1485912762591</v>
      </c>
      <c r="M424" s="3">
        <f>Comparison!AP23</f>
        <v>3641.7022773125063</v>
      </c>
      <c r="N424" s="3">
        <f>Comparison!AQ23</f>
        <v>1039.9214556238178</v>
      </c>
      <c r="O424" s="3">
        <f>Comparison!AR23</f>
        <v>132.22937471479068</v>
      </c>
      <c r="P424" s="3">
        <f>Comparison!AS23</f>
        <v>130.60597118111332</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2.0000609778255004E-5</v>
      </c>
      <c r="C425" s="3">
        <f t="shared" si="434"/>
        <v>4.5291333983091259E-4</v>
      </c>
      <c r="D425" s="3">
        <f t="shared" si="434"/>
        <v>3.0425641330285944E-2</v>
      </c>
      <c r="E425" s="3">
        <f t="shared" si="434"/>
        <v>21.576900720265179</v>
      </c>
      <c r="F425" s="3">
        <f t="shared" si="434"/>
        <v>1000000</v>
      </c>
      <c r="G425" s="3">
        <f t="shared" si="434"/>
        <v>232500627503220.22</v>
      </c>
      <c r="H425" s="3">
        <f t="shared" si="434"/>
        <v>1.6426142449134174E+16</v>
      </c>
      <c r="I425" s="109">
        <f>Comparison!AL24</f>
        <v>1000000</v>
      </c>
      <c r="J425" s="3">
        <f>Comparison!AM24</f>
        <v>5562.9083959530062</v>
      </c>
      <c r="K425" s="3">
        <f>Comparison!AN24</f>
        <v>4741.2273341563377</v>
      </c>
      <c r="L425" s="3">
        <f>Comparison!AO24</f>
        <v>4100.3073895013431</v>
      </c>
      <c r="M425" s="3">
        <f>Comparison!AP24</f>
        <v>3231.6591203117327</v>
      </c>
      <c r="N425" s="3">
        <f>Comparison!AQ24</f>
        <v>595.89522173414423</v>
      </c>
      <c r="O425" s="3">
        <f>Comparison!AR24</f>
        <v>129.58780540541244</v>
      </c>
      <c r="P425" s="3">
        <f>Comparison!AS24</f>
        <v>128.42317853149575</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2.0000609778255006E-4</v>
      </c>
      <c r="C426" s="3">
        <f t="shared" si="434"/>
        <v>4.5291333983091256E-3</v>
      </c>
      <c r="D426" s="3">
        <f t="shared" si="434"/>
        <v>0.30425641330285946</v>
      </c>
      <c r="E426" s="3">
        <f t="shared" si="434"/>
        <v>215.76900720265181</v>
      </c>
      <c r="F426" s="3">
        <f t="shared" si="434"/>
        <v>10000000</v>
      </c>
      <c r="G426" s="3">
        <f t="shared" si="434"/>
        <v>2325006275032202</v>
      </c>
      <c r="H426" s="3">
        <f t="shared" si="434"/>
        <v>1.6426142449134176E+17</v>
      </c>
      <c r="I426" s="109">
        <f>Comparison!AL25</f>
        <v>10000000</v>
      </c>
      <c r="J426" s="3">
        <f>Comparison!AM25</f>
        <v>5068.6144859756578</v>
      </c>
      <c r="K426" s="3">
        <f>Comparison!AN25</f>
        <v>4311.1706397553053</v>
      </c>
      <c r="L426" s="3">
        <f>Comparison!AO25</f>
        <v>3736.9018653482362</v>
      </c>
      <c r="M426" s="3">
        <f>Comparison!AP25</f>
        <v>2785.7203085552951</v>
      </c>
      <c r="N426" s="3">
        <f>Comparison!AQ25</f>
        <v>331.71701217899948</v>
      </c>
      <c r="O426" s="3">
        <f>Comparison!AR25</f>
        <v>127.7135675720335</v>
      </c>
      <c r="P426" s="3">
        <f>Comparison!AS25</f>
        <v>126.92571513683149</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2.0000609778255004E-3</v>
      </c>
      <c r="C427" s="3">
        <f t="shared" si="434"/>
        <v>4.5291333983091257E-2</v>
      </c>
      <c r="D427" s="3">
        <f t="shared" si="434"/>
        <v>3.0425641330285944</v>
      </c>
      <c r="E427" s="3">
        <f t="shared" si="434"/>
        <v>2157.690072026518</v>
      </c>
      <c r="F427" s="3">
        <f t="shared" si="434"/>
        <v>100000000</v>
      </c>
      <c r="G427" s="3">
        <f t="shared" si="434"/>
        <v>2.325006275032202E+16</v>
      </c>
      <c r="H427" s="3">
        <f t="shared" si="434"/>
        <v>1.6426142449134175E+18</v>
      </c>
      <c r="I427" s="109">
        <f>Comparison!AL26</f>
        <v>100000000</v>
      </c>
      <c r="J427" s="3">
        <f>Comparison!AM26</f>
        <v>4583.1082918040429</v>
      </c>
      <c r="K427" s="3">
        <f>Comparison!AN26</f>
        <v>3952.2593271118144</v>
      </c>
      <c r="L427" s="3">
        <f>Comparison!AO26</f>
        <v>3408.8002756648089</v>
      </c>
      <c r="M427" s="3">
        <f>Comparison!AP26</f>
        <v>2295.1533050928924</v>
      </c>
      <c r="N427" s="3">
        <f>Comparison!AQ26</f>
        <v>192.72704730170403</v>
      </c>
      <c r="O427" s="3">
        <f>Comparison!AR26</f>
        <v>126.4367312836393</v>
      </c>
      <c r="P427" s="3">
        <f>Comparison!AS26</f>
        <v>125.87891264299097</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2.0000609778255005E-2</v>
      </c>
      <c r="C428" s="3">
        <f t="shared" si="434"/>
        <v>0.45291333983091259</v>
      </c>
      <c r="D428" s="3">
        <f t="shared" si="434"/>
        <v>30.425641330285945</v>
      </c>
      <c r="E428" s="3">
        <f t="shared" si="434"/>
        <v>21576.900720265181</v>
      </c>
      <c r="F428" s="3">
        <f t="shared" si="434"/>
        <v>1000000000</v>
      </c>
      <c r="G428" s="3">
        <f t="shared" si="434"/>
        <v>2.3250062750322019E+17</v>
      </c>
      <c r="H428" s="3">
        <f t="shared" si="434"/>
        <v>1.6426142449134174E+19</v>
      </c>
      <c r="I428" s="109">
        <f>Comparison!AL27</f>
        <v>1000000000</v>
      </c>
      <c r="J428" s="3">
        <f>Comparison!AM27</f>
        <v>4165.9762057055259</v>
      </c>
      <c r="K428" s="3">
        <f>Comparison!AN27</f>
        <v>3639.2172363975619</v>
      </c>
      <c r="L428" s="3">
        <f>Comparison!AO27</f>
        <v>3078.2308446927527</v>
      </c>
      <c r="M428" s="3">
        <f>Comparison!AP27</f>
        <v>1754.5150163075152</v>
      </c>
      <c r="N428" s="3">
        <f>Comparison!AQ27</f>
        <v>148.89299884614732</v>
      </c>
      <c r="O428" s="3">
        <f>Comparison!AR27</f>
        <v>125.52960401951817</v>
      </c>
      <c r="P428" s="3">
        <f>Comparison!AS27</f>
        <v>125.11103067782525</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0.20000609778255005</v>
      </c>
      <c r="C429" s="3">
        <f t="shared" si="434"/>
        <v>4.529133398309126</v>
      </c>
      <c r="D429" s="3">
        <f t="shared" si="434"/>
        <v>304.25641330285941</v>
      </c>
      <c r="E429" s="3">
        <f t="shared" si="434"/>
        <v>215769.00720265182</v>
      </c>
      <c r="F429" s="3">
        <f t="shared" si="434"/>
        <v>10000000000</v>
      </c>
      <c r="G429" s="3">
        <f t="shared" si="434"/>
        <v>2.3250062750322022E+18</v>
      </c>
      <c r="H429" s="3">
        <f t="shared" si="434"/>
        <v>1.6426142449134174E+20</v>
      </c>
      <c r="I429" s="109">
        <f>Comparison!AL28</f>
        <v>10000000000</v>
      </c>
      <c r="J429" s="3">
        <f>Comparison!AM28</f>
        <v>3823.5689905233821</v>
      </c>
      <c r="K429" s="3">
        <f>Comparison!AN28</f>
        <v>3344.7021990881808</v>
      </c>
      <c r="L429" s="3">
        <f>Comparison!AO28</f>
        <v>2685.2498641877337</v>
      </c>
      <c r="M429" s="3">
        <f>Comparison!AP28</f>
        <v>1171.8757952014325</v>
      </c>
      <c r="N429" s="3">
        <f>Comparison!AQ28</f>
        <v>134.12130031566326</v>
      </c>
      <c r="O429" s="3">
        <f>Comparison!AR28</f>
        <v>124.83927834622055</v>
      </c>
      <c r="P429" s="3">
        <f>Comparison!AS28</f>
        <v>124.96985459314666</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2.0000609778255005</v>
      </c>
      <c r="C430" s="3">
        <f t="shared" si="434"/>
        <v>45.291333983091256</v>
      </c>
      <c r="D430" s="3">
        <f t="shared" si="434"/>
        <v>3042.5641330285944</v>
      </c>
      <c r="E430" s="3">
        <f t="shared" si="434"/>
        <v>2157690.0720265182</v>
      </c>
      <c r="F430" s="3">
        <f t="shared" si="434"/>
        <v>100000000000</v>
      </c>
      <c r="G430" s="3">
        <f t="shared" si="434"/>
        <v>2.325006275032202E+19</v>
      </c>
      <c r="H430" s="3">
        <f t="shared" si="434"/>
        <v>1.6426142449134176E+21</v>
      </c>
      <c r="I430" s="109">
        <f>Comparison!AL29</f>
        <v>100000000000</v>
      </c>
      <c r="J430" s="3">
        <f>Comparison!AM29</f>
        <v>3510.558848270296</v>
      </c>
      <c r="K430" s="3">
        <f>Comparison!AN29</f>
        <v>3034.0126163953428</v>
      </c>
      <c r="L430" s="3">
        <f>Comparison!AO29</f>
        <v>2228.0957655931211</v>
      </c>
      <c r="M430" s="3">
        <f>Comparison!AP29</f>
        <v>704.46209389908893</v>
      </c>
      <c r="N430" s="3">
        <f>Comparison!AQ29</f>
        <v>124.90206072555479</v>
      </c>
      <c r="O430" s="3">
        <f>Comparison!AR29</f>
        <v>124.70417941781746</v>
      </c>
      <c r="P430" s="3">
        <f>Comparison!AS29</f>
        <v>124.77108605330615</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20.000609778255004</v>
      </c>
      <c r="C431" s="3">
        <f t="shared" si="434"/>
        <v>452.91333983091261</v>
      </c>
      <c r="D431" s="3">
        <f t="shared" si="434"/>
        <v>30425.641330285944</v>
      </c>
      <c r="E431" s="3">
        <f t="shared" si="434"/>
        <v>21576900.72026518</v>
      </c>
      <c r="F431" s="3">
        <f t="shared" si="434"/>
        <v>1000000000000</v>
      </c>
      <c r="G431" s="3">
        <f t="shared" si="434"/>
        <v>2.325006275032202E+20</v>
      </c>
      <c r="H431" s="3">
        <f t="shared" si="434"/>
        <v>1.6426142449134176E+22</v>
      </c>
      <c r="I431" s="109">
        <f>Comparison!AL30</f>
        <v>1000000000000</v>
      </c>
      <c r="J431" s="3">
        <f>Comparison!AM30</f>
        <v>3215.4703591878829</v>
      </c>
      <c r="K431" s="3">
        <f>Comparison!AN30</f>
        <v>2653.5608861364908</v>
      </c>
      <c r="L431" s="3">
        <f>Comparison!AO30</f>
        <v>1704.9584752004923</v>
      </c>
      <c r="M431" s="3">
        <f>Comparison!AP30</f>
        <v>403.25761176970258</v>
      </c>
      <c r="N431" s="3">
        <f>Comparison!AQ30</f>
        <v>124.64007063602084</v>
      </c>
      <c r="O431" s="3">
        <f>Comparison!AR30</f>
        <v>123.9260383626436</v>
      </c>
      <c r="P431" s="3">
        <f>Comparison!AS30</f>
        <v>123.93614365125383</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200.00609778255006</v>
      </c>
      <c r="C432" s="3">
        <f t="shared" si="434"/>
        <v>4529.1333983091254</v>
      </c>
      <c r="D432" s="3">
        <f t="shared" si="434"/>
        <v>304256.41330285947</v>
      </c>
      <c r="E432" s="3">
        <f t="shared" si="434"/>
        <v>215769007.2026518</v>
      </c>
      <c r="F432" s="3">
        <f t="shared" si="434"/>
        <v>10000000000000</v>
      </c>
      <c r="G432" s="3">
        <f t="shared" si="434"/>
        <v>2.3250062750322021E+21</v>
      </c>
      <c r="H432" s="3">
        <f t="shared" si="434"/>
        <v>1.6426142449134174E+23</v>
      </c>
      <c r="I432" s="109">
        <f>Comparison!AL31</f>
        <v>10000000000000</v>
      </c>
      <c r="J432" s="3">
        <f>Comparison!AM31</f>
        <v>2870.194204228324</v>
      </c>
      <c r="K432" s="3">
        <f>Comparison!AN31</f>
        <v>2203.3378680125074</v>
      </c>
      <c r="L432" s="3">
        <f>Comparison!AO31</f>
        <v>1135.4901421385146</v>
      </c>
      <c r="M432" s="3">
        <f>Comparison!AP31</f>
        <v>227.19076746573165</v>
      </c>
      <c r="N432" s="3">
        <f>Comparison!AQ31</f>
        <v>123.89500698166064</v>
      </c>
      <c r="O432" s="3">
        <f>Comparison!AR31</f>
        <v>123.91358498832378</v>
      </c>
      <c r="P432" s="3">
        <f>Comparison!AS31</f>
        <v>123.92285545904397</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2000.0609778255005</v>
      </c>
      <c r="C433" s="3">
        <f t="shared" si="434"/>
        <v>45291.333983091259</v>
      </c>
      <c r="D433" s="3">
        <f t="shared" si="434"/>
        <v>3042564.1330285943</v>
      </c>
      <c r="E433" s="3">
        <f t="shared" si="434"/>
        <v>2157690072.0265179</v>
      </c>
      <c r="F433" s="3">
        <f t="shared" si="434"/>
        <v>100000000000000</v>
      </c>
      <c r="G433" s="3">
        <f t="shared" si="434"/>
        <v>2.3250062750322019E+22</v>
      </c>
      <c r="H433" s="3">
        <f t="shared" si="434"/>
        <v>1.6426142449134176E+24</v>
      </c>
      <c r="I433" s="109">
        <f>Comparison!AL32</f>
        <v>100000000000000</v>
      </c>
      <c r="J433" s="3">
        <f>Comparison!AM32</f>
        <v>2458.5183678646754</v>
      </c>
      <c r="K433" s="3">
        <f>Comparison!AN32</f>
        <v>1683.4592204898881</v>
      </c>
      <c r="L433" s="3">
        <f>Comparison!AO32</f>
        <v>680.51042901870051</v>
      </c>
      <c r="M433" s="3">
        <f>Comparison!AP32</f>
        <v>157.01371189082064</v>
      </c>
      <c r="N433" s="3">
        <f>Comparison!AQ32</f>
        <v>123.88320178471095</v>
      </c>
      <c r="O433" s="3">
        <f>Comparison!AR32</f>
        <v>123.65466987195585</v>
      </c>
      <c r="P433" s="3">
        <f>Comparison!AS32</f>
        <v>123.48008539289999</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20000.609778255006</v>
      </c>
      <c r="C434" s="3">
        <f t="shared" si="434"/>
        <v>452913.33983091259</v>
      </c>
      <c r="D434" s="3">
        <f t="shared" si="434"/>
        <v>30425641.330285944</v>
      </c>
      <c r="E434" s="3">
        <f t="shared" si="434"/>
        <v>21576900720.265179</v>
      </c>
      <c r="F434" s="3">
        <f t="shared" si="434"/>
        <v>1000000000000000</v>
      </c>
      <c r="G434" s="3">
        <f t="shared" si="434"/>
        <v>2.325006275032202E+23</v>
      </c>
      <c r="H434" s="3">
        <f t="shared" si="434"/>
        <v>1.6426142449134175E+25</v>
      </c>
      <c r="I434" s="109">
        <f>Comparison!AL33</f>
        <v>1000000000000000</v>
      </c>
      <c r="J434" s="3">
        <f>Comparison!AM33</f>
        <v>1982.6966326072995</v>
      </c>
      <c r="K434" s="3">
        <f>Comparison!AN33</f>
        <v>1118.1414735463829</v>
      </c>
      <c r="L434" s="3">
        <f>Comparison!AO33</f>
        <v>389.33964903055204</v>
      </c>
      <c r="M434" s="3">
        <f>Comparison!AP33</f>
        <v>136.97082983111966</v>
      </c>
      <c r="N434" s="3">
        <f>Comparison!AQ33</f>
        <v>123.47472292148701</v>
      </c>
      <c r="O434" s="3">
        <f>Comparison!AR33</f>
        <v>123.64094316844046</v>
      </c>
      <c r="P434" s="3">
        <f>Comparison!AS33</f>
        <v>123.46865182434244</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15"/>
      <c r="B532" s="115"/>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15"/>
      <c r="B581" s="115"/>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15"/>
      <c r="B596" s="115"/>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15"/>
      <c r="B650" s="115"/>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-24.635258353926584</v>
      </c>
      <c r="M1" s="54">
        <v>1</v>
      </c>
      <c r="N1" s="56">
        <f>INDEX($H$217:$P$217,1,Q1)</f>
        <v>0.43165775503716436</v>
      </c>
      <c r="O1" s="11"/>
      <c r="P1" s="55">
        <v>1</v>
      </c>
      <c r="Q1" s="11">
        <v>2</v>
      </c>
    </row>
    <row r="2" spans="1:17" x14ac:dyDescent="0.25">
      <c r="A2" s="11">
        <f>'Mastercurve bestimmen'!M119</f>
        <v>0</v>
      </c>
      <c r="B2" s="11">
        <f>'Mastercurve bestimmen'!N119</f>
        <v>-21.515320311547747</v>
      </c>
      <c r="M2" s="54">
        <v>2</v>
      </c>
      <c r="N2" s="56">
        <f t="shared" ref="N2:N9" si="0">INDEX($H$217:$P$217,1,Q2)</f>
        <v>2.0762876980577548E-3</v>
      </c>
      <c r="O2" s="11"/>
      <c r="P2" s="55">
        <v>2</v>
      </c>
      <c r="Q2" s="11">
        <f>Q1+1</f>
        <v>3</v>
      </c>
    </row>
    <row r="3" spans="1:17" x14ac:dyDescent="0.25">
      <c r="A3" s="11">
        <f>'Mastercurve bestimmen'!M120</f>
        <v>25</v>
      </c>
      <c r="B3" s="11">
        <f>'Mastercurve bestimmen'!N120</f>
        <v>-17.307980119238746</v>
      </c>
      <c r="M3" s="54">
        <v>3</v>
      </c>
      <c r="N3" s="56">
        <f t="shared" si="0"/>
        <v>-2.1248637466606744E-5</v>
      </c>
      <c r="O3" s="11"/>
      <c r="P3" s="55">
        <v>3</v>
      </c>
      <c r="Q3" s="11">
        <f t="shared" ref="Q3:Q8" si="1">Q2+1</f>
        <v>4</v>
      </c>
    </row>
    <row r="4" spans="1:17" x14ac:dyDescent="0.25">
      <c r="A4" s="11">
        <f>'Mastercurve bestimmen'!M121</f>
        <v>50</v>
      </c>
      <c r="B4" s="11">
        <f>'Mastercurve bestimmen'!N121</f>
        <v>-10.743887226601039</v>
      </c>
      <c r="M4" s="54">
        <v>4</v>
      </c>
      <c r="N4" s="56">
        <f t="shared" si="0"/>
        <v>-5.6537894644792848E-7</v>
      </c>
      <c r="O4" s="11"/>
      <c r="P4" s="55">
        <v>4</v>
      </c>
      <c r="Q4" s="11">
        <f t="shared" si="1"/>
        <v>5</v>
      </c>
    </row>
    <row r="5" spans="1:17" x14ac:dyDescent="0.25">
      <c r="A5" s="11">
        <f>'Mastercurve bestimmen'!M122</f>
        <v>80</v>
      </c>
      <c r="B5" s="11">
        <f>'Mastercurve bestimmen'!N122</f>
        <v>0</v>
      </c>
      <c r="M5" s="54">
        <v>5</v>
      </c>
      <c r="N5" s="56">
        <f t="shared" si="0"/>
        <v>-2.7888878550353888E-9</v>
      </c>
      <c r="O5" s="11"/>
      <c r="P5" s="55">
        <v>5</v>
      </c>
      <c r="Q5" s="11">
        <f t="shared" si="1"/>
        <v>6</v>
      </c>
    </row>
    <row r="6" spans="1:17" x14ac:dyDescent="0.25">
      <c r="A6" s="11">
        <f>'Mastercurve bestimmen'!M123</f>
        <v>125</v>
      </c>
      <c r="B6" s="11">
        <f>'Mastercurve bestimmen'!N123</f>
        <v>19.264403481926625</v>
      </c>
      <c r="M6" s="54">
        <v>6</v>
      </c>
      <c r="N6" s="56">
        <f t="shared" si="0"/>
        <v>3.6133023618390619E-11</v>
      </c>
      <c r="O6" s="11"/>
      <c r="P6" s="55">
        <v>6</v>
      </c>
      <c r="Q6" s="11">
        <f t="shared" si="1"/>
        <v>7</v>
      </c>
    </row>
    <row r="7" spans="1:17" x14ac:dyDescent="0.25">
      <c r="A7" s="11">
        <f>'Mastercurve bestimmen'!M124</f>
        <v>160</v>
      </c>
      <c r="B7" s="11">
        <f>'Mastercurve bestimmen'!N124</f>
        <v>23.522139954401055</v>
      </c>
      <c r="M7" s="54">
        <v>7</v>
      </c>
      <c r="N7" s="56">
        <f t="shared" si="0"/>
        <v>3.9036645628577627E-13</v>
      </c>
      <c r="O7" s="11"/>
      <c r="P7" s="55">
        <v>7</v>
      </c>
      <c r="Q7" s="11">
        <f t="shared" si="1"/>
        <v>8</v>
      </c>
    </row>
    <row r="8" spans="1:17" x14ac:dyDescent="0.25">
      <c r="A8" s="11"/>
      <c r="B8" s="11"/>
      <c r="M8" s="54">
        <v>8</v>
      </c>
      <c r="N8" s="56">
        <f t="shared" si="0"/>
        <v>9.3559102399155838E-16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-24.635258353926584</v>
      </c>
      <c r="E15" s="11">
        <f>A15-'Mastercurve bestimmen'!$B$2</f>
        <v>-120</v>
      </c>
      <c r="F15" s="11">
        <f>B15</f>
        <v>-24.635258353926584</v>
      </c>
      <c r="G15" s="11"/>
      <c r="H15" s="11">
        <f>IF($H$12&gt;=H$14,$E15^H$14,0)</f>
        <v>4.29981696E+16</v>
      </c>
      <c r="I15" s="11">
        <f t="shared" ref="I15:O30" si="3">IF($H$12&gt;=I$14,$E15^I$14,0)</f>
        <v>-358318080000000</v>
      </c>
      <c r="J15" s="11">
        <f t="shared" si="3"/>
        <v>2985984000000</v>
      </c>
      <c r="K15" s="11">
        <f t="shared" si="3"/>
        <v>-24883200000</v>
      </c>
      <c r="L15" s="11">
        <f t="shared" si="3"/>
        <v>207360000</v>
      </c>
      <c r="M15" s="11">
        <f t="shared" si="3"/>
        <v>-1728000</v>
      </c>
      <c r="N15" s="11">
        <f t="shared" si="3"/>
        <v>14400</v>
      </c>
      <c r="O15" s="11">
        <f t="shared" si="3"/>
        <v>-120</v>
      </c>
      <c r="P15" s="11">
        <v>0</v>
      </c>
    </row>
    <row r="16" spans="1:17" x14ac:dyDescent="0.25">
      <c r="A16" s="11">
        <f>A15+1</f>
        <v>-39</v>
      </c>
      <c r="B16" s="11">
        <v>-24.575080231860515</v>
      </c>
      <c r="E16" s="11">
        <f>A16-'Mastercurve bestimmen'!$B$2</f>
        <v>-119</v>
      </c>
      <c r="F16" s="11">
        <f t="shared" ref="F16:F79" si="4">B16</f>
        <v>-24.575080231860515</v>
      </c>
      <c r="G16" s="11"/>
      <c r="H16" s="11">
        <f t="shared" ref="H16:O47" si="5">IF($H$12&gt;=H$14,$E16^H$14,0)</f>
        <v>4.021385347163424E+16</v>
      </c>
      <c r="I16" s="11">
        <f t="shared" si="3"/>
        <v>-337931541778439</v>
      </c>
      <c r="J16" s="11">
        <f t="shared" si="3"/>
        <v>2839760855281</v>
      </c>
      <c r="K16" s="11">
        <f t="shared" si="3"/>
        <v>-23863536599</v>
      </c>
      <c r="L16" s="11">
        <f t="shared" si="3"/>
        <v>200533921</v>
      </c>
      <c r="M16" s="11">
        <f t="shared" si="3"/>
        <v>-1685159</v>
      </c>
      <c r="N16" s="11">
        <f t="shared" si="3"/>
        <v>14161</v>
      </c>
      <c r="O16" s="11">
        <f t="shared" si="3"/>
        <v>-119</v>
      </c>
      <c r="P16" s="11">
        <f>P15</f>
        <v>0</v>
      </c>
    </row>
    <row r="17" spans="1:16" x14ac:dyDescent="0.25">
      <c r="A17" s="11">
        <f t="shared" ref="A17:A80" si="6">A16+1</f>
        <v>-38</v>
      </c>
      <c r="B17" s="11">
        <v>-24.514835241768203</v>
      </c>
      <c r="E17" s="11">
        <f>A17-'Mastercurve bestimmen'!$B$2</f>
        <v>-118</v>
      </c>
      <c r="F17" s="11">
        <f t="shared" si="4"/>
        <v>-24.514835241768203</v>
      </c>
      <c r="G17" s="11"/>
      <c r="H17" s="11">
        <f t="shared" si="5"/>
        <v>3.7588592026706176E+16</v>
      </c>
      <c r="I17" s="11">
        <f t="shared" si="3"/>
        <v>-318547390056832</v>
      </c>
      <c r="J17" s="11">
        <f t="shared" si="3"/>
        <v>2699554153024</v>
      </c>
      <c r="K17" s="11">
        <f t="shared" si="3"/>
        <v>-22877577568</v>
      </c>
      <c r="L17" s="11">
        <f t="shared" si="3"/>
        <v>193877776</v>
      </c>
      <c r="M17" s="11">
        <f t="shared" si="3"/>
        <v>-1643032</v>
      </c>
      <c r="N17" s="11">
        <f t="shared" si="3"/>
        <v>13924</v>
      </c>
      <c r="O17" s="11">
        <f t="shared" si="3"/>
        <v>-118</v>
      </c>
      <c r="P17" s="11">
        <f t="shared" ref="P17:P80" si="7">P16</f>
        <v>0</v>
      </c>
    </row>
    <row r="18" spans="1:16" x14ac:dyDescent="0.25">
      <c r="A18" s="11">
        <f t="shared" si="6"/>
        <v>-37</v>
      </c>
      <c r="B18" s="11">
        <v>-24.454456515623409</v>
      </c>
      <c r="E18" s="11">
        <f>A18-'Mastercurve bestimmen'!$B$2</f>
        <v>-117</v>
      </c>
      <c r="F18" s="11">
        <f t="shared" si="4"/>
        <v>-24.454456515623409</v>
      </c>
      <c r="G18" s="11"/>
      <c r="H18" s="11">
        <f t="shared" si="5"/>
        <v>3.511453275801584E+16</v>
      </c>
      <c r="I18" s="11">
        <f t="shared" si="3"/>
        <v>-300124211606973</v>
      </c>
      <c r="J18" s="11">
        <f t="shared" si="3"/>
        <v>2565164201769</v>
      </c>
      <c r="K18" s="11">
        <f t="shared" si="3"/>
        <v>-21924480357</v>
      </c>
      <c r="L18" s="11">
        <f t="shared" si="3"/>
        <v>187388721</v>
      </c>
      <c r="M18" s="11">
        <f t="shared" si="3"/>
        <v>-1601613</v>
      </c>
      <c r="N18" s="11">
        <f t="shared" si="3"/>
        <v>13689</v>
      </c>
      <c r="O18" s="11">
        <f t="shared" si="3"/>
        <v>-117</v>
      </c>
      <c r="P18" s="11">
        <f t="shared" si="7"/>
        <v>0</v>
      </c>
    </row>
    <row r="19" spans="1:16" x14ac:dyDescent="0.25">
      <c r="A19" s="11">
        <f t="shared" si="6"/>
        <v>-36</v>
      </c>
      <c r="B19" s="11">
        <v>-24.393877185399891</v>
      </c>
      <c r="E19" s="11">
        <f>A19-'Mastercurve bestimmen'!$B$2</f>
        <v>-116</v>
      </c>
      <c r="F19" s="11">
        <f t="shared" si="4"/>
        <v>-24.393877185399891</v>
      </c>
      <c r="G19" s="11"/>
      <c r="H19" s="11">
        <f t="shared" si="5"/>
        <v>3.2784148919812096E+16</v>
      </c>
      <c r="I19" s="11">
        <f t="shared" si="3"/>
        <v>-282621973446656</v>
      </c>
      <c r="J19" s="11">
        <f t="shared" si="3"/>
        <v>2436396322816</v>
      </c>
      <c r="K19" s="11">
        <f t="shared" si="3"/>
        <v>-21003416576</v>
      </c>
      <c r="L19" s="11">
        <f t="shared" si="3"/>
        <v>181063936</v>
      </c>
      <c r="M19" s="11">
        <f t="shared" si="3"/>
        <v>-1560896</v>
      </c>
      <c r="N19" s="11">
        <f t="shared" si="3"/>
        <v>13456</v>
      </c>
      <c r="O19" s="11">
        <f t="shared" si="3"/>
        <v>-116</v>
      </c>
      <c r="P19" s="11">
        <f t="shared" si="7"/>
        <v>0</v>
      </c>
    </row>
    <row r="20" spans="1:16" x14ac:dyDescent="0.25">
      <c r="A20" s="11">
        <f t="shared" si="6"/>
        <v>-35</v>
      </c>
      <c r="B20" s="11">
        <v>-24.333030383071407</v>
      </c>
      <c r="E20" s="11">
        <f>A20-'Mastercurve bestimmen'!$B$2</f>
        <v>-115</v>
      </c>
      <c r="F20" s="11">
        <f t="shared" si="4"/>
        <v>-24.333030383071407</v>
      </c>
      <c r="G20" s="11"/>
      <c r="H20" s="11">
        <f t="shared" si="5"/>
        <v>3.0590228625390624E+16</v>
      </c>
      <c r="I20" s="11">
        <f t="shared" si="3"/>
        <v>-266001988046875</v>
      </c>
      <c r="J20" s="11">
        <f t="shared" si="3"/>
        <v>2313060765625</v>
      </c>
      <c r="K20" s="11">
        <f t="shared" si="3"/>
        <v>-20113571875</v>
      </c>
      <c r="L20" s="11">
        <f t="shared" si="3"/>
        <v>174900625</v>
      </c>
      <c r="M20" s="11">
        <f t="shared" si="3"/>
        <v>-1520875</v>
      </c>
      <c r="N20" s="11">
        <f t="shared" si="3"/>
        <v>13225</v>
      </c>
      <c r="O20" s="11">
        <f t="shared" si="3"/>
        <v>-115</v>
      </c>
      <c r="P20" s="11">
        <f t="shared" si="7"/>
        <v>0</v>
      </c>
    </row>
    <row r="21" spans="1:16" x14ac:dyDescent="0.25">
      <c r="A21" s="11">
        <f t="shared" si="6"/>
        <v>-34</v>
      </c>
      <c r="B21" s="11">
        <v>-24.271849240611715</v>
      </c>
      <c r="E21" s="11">
        <f>A21-'Mastercurve bestimmen'!$B$2</f>
        <v>-114</v>
      </c>
      <c r="F21" s="11">
        <f t="shared" si="4"/>
        <v>-24.271849240611715</v>
      </c>
      <c r="G21" s="11"/>
      <c r="H21" s="11">
        <f t="shared" si="5"/>
        <v>2.8525864220672256E+16</v>
      </c>
      <c r="I21" s="11">
        <f t="shared" si="3"/>
        <v>-250226879128704</v>
      </c>
      <c r="J21" s="11">
        <f t="shared" si="3"/>
        <v>2194972623936</v>
      </c>
      <c r="K21" s="11">
        <f t="shared" si="3"/>
        <v>-19254145824</v>
      </c>
      <c r="L21" s="11">
        <f t="shared" si="3"/>
        <v>168896016</v>
      </c>
      <c r="M21" s="11">
        <f t="shared" si="3"/>
        <v>-1481544</v>
      </c>
      <c r="N21" s="11">
        <f t="shared" si="3"/>
        <v>12996</v>
      </c>
      <c r="O21" s="11">
        <f t="shared" si="3"/>
        <v>-114</v>
      </c>
      <c r="P21" s="11">
        <f t="shared" si="7"/>
        <v>0</v>
      </c>
    </row>
    <row r="22" spans="1:16" x14ac:dyDescent="0.25">
      <c r="A22" s="11">
        <f t="shared" si="6"/>
        <v>-33</v>
      </c>
      <c r="B22">
        <v>-24.210266889994568</v>
      </c>
      <c r="E22" s="11">
        <f>A22-'Mastercurve bestimmen'!$B$2</f>
        <v>-113</v>
      </c>
      <c r="F22" s="11">
        <f t="shared" si="4"/>
        <v>-24.210266889994568</v>
      </c>
      <c r="G22" s="11"/>
      <c r="H22" s="11">
        <f t="shared" si="5"/>
        <v>2.658444192906432E+16</v>
      </c>
      <c r="I22" s="11">
        <f t="shared" si="3"/>
        <v>-235260548044817</v>
      </c>
      <c r="J22" s="11">
        <f t="shared" si="3"/>
        <v>2081951752609</v>
      </c>
      <c r="K22" s="11">
        <f t="shared" si="3"/>
        <v>-18424351793</v>
      </c>
      <c r="L22" s="11">
        <f t="shared" si="3"/>
        <v>163047361</v>
      </c>
      <c r="M22" s="11">
        <f t="shared" si="3"/>
        <v>-1442897</v>
      </c>
      <c r="N22" s="11">
        <f t="shared" si="3"/>
        <v>12769</v>
      </c>
      <c r="O22" s="11">
        <f t="shared" si="3"/>
        <v>-113</v>
      </c>
      <c r="P22" s="11">
        <f t="shared" si="7"/>
        <v>0</v>
      </c>
    </row>
    <row r="23" spans="1:16" x14ac:dyDescent="0.25">
      <c r="A23" s="11">
        <f t="shared" si="6"/>
        <v>-32</v>
      </c>
      <c r="B23">
        <v>-24.148216463193734</v>
      </c>
      <c r="E23" s="11">
        <f>A23-'Mastercurve bestimmen'!$B$2</f>
        <v>-112</v>
      </c>
      <c r="F23" s="11">
        <f t="shared" si="4"/>
        <v>-24.148216463193734</v>
      </c>
      <c r="G23" s="11"/>
      <c r="H23" s="11">
        <f t="shared" si="5"/>
        <v>2.4759631762948096E+16</v>
      </c>
      <c r="I23" s="11">
        <f t="shared" si="3"/>
        <v>-221068140740608</v>
      </c>
      <c r="J23" s="11">
        <f t="shared" si="3"/>
        <v>1973822685184</v>
      </c>
      <c r="K23" s="11">
        <f t="shared" si="3"/>
        <v>-17623416832</v>
      </c>
      <c r="L23" s="11">
        <f t="shared" si="3"/>
        <v>157351936</v>
      </c>
      <c r="M23" s="11">
        <f t="shared" si="3"/>
        <v>-1404928</v>
      </c>
      <c r="N23" s="11">
        <f t="shared" si="3"/>
        <v>12544</v>
      </c>
      <c r="O23" s="11">
        <f t="shared" si="3"/>
        <v>-112</v>
      </c>
      <c r="P23" s="11">
        <f t="shared" si="7"/>
        <v>0</v>
      </c>
    </row>
    <row r="24" spans="1:16" x14ac:dyDescent="0.25">
      <c r="A24" s="11">
        <f t="shared" si="6"/>
        <v>-31</v>
      </c>
      <c r="B24">
        <v>-24.085631092182965</v>
      </c>
      <c r="E24" s="11">
        <f>A24-'Mastercurve bestimmen'!$B$2</f>
        <v>-111</v>
      </c>
      <c r="F24" s="11">
        <f t="shared" si="4"/>
        <v>-24.085631092182965</v>
      </c>
      <c r="G24" s="11"/>
      <c r="H24" s="11">
        <f t="shared" si="5"/>
        <v>2.304537769717568E+16</v>
      </c>
      <c r="I24" s="11">
        <f t="shared" si="3"/>
        <v>-207616015289871</v>
      </c>
      <c r="J24" s="11">
        <f t="shared" si="3"/>
        <v>1870414552161</v>
      </c>
      <c r="K24" s="11">
        <f t="shared" si="3"/>
        <v>-16850581551</v>
      </c>
      <c r="L24" s="11">
        <f t="shared" si="3"/>
        <v>151807041</v>
      </c>
      <c r="M24" s="11">
        <f t="shared" si="3"/>
        <v>-1367631</v>
      </c>
      <c r="N24" s="11">
        <f t="shared" si="3"/>
        <v>12321</v>
      </c>
      <c r="O24" s="11">
        <f t="shared" si="3"/>
        <v>-111</v>
      </c>
      <c r="P24" s="11">
        <f t="shared" si="7"/>
        <v>0</v>
      </c>
    </row>
    <row r="25" spans="1:16" x14ac:dyDescent="0.25">
      <c r="A25" s="11">
        <f t="shared" si="6"/>
        <v>-30</v>
      </c>
      <c r="B25">
        <v>-24.022443908936019</v>
      </c>
      <c r="E25" s="11">
        <f>A25-'Mastercurve bestimmen'!$B$2</f>
        <v>-110</v>
      </c>
      <c r="F25" s="11">
        <f t="shared" si="4"/>
        <v>-24.022443908936019</v>
      </c>
      <c r="G25" s="11"/>
      <c r="H25" s="11">
        <f t="shared" si="5"/>
        <v>2.14358881E+16</v>
      </c>
      <c r="I25" s="11">
        <f t="shared" si="3"/>
        <v>-194871710000000</v>
      </c>
      <c r="J25" s="11">
        <f t="shared" si="3"/>
        <v>1771561000000</v>
      </c>
      <c r="K25" s="11">
        <f t="shared" si="3"/>
        <v>-16105100000</v>
      </c>
      <c r="L25" s="11">
        <f t="shared" si="3"/>
        <v>146410000</v>
      </c>
      <c r="M25" s="11">
        <f t="shared" si="3"/>
        <v>-1331000</v>
      </c>
      <c r="N25" s="11">
        <f t="shared" si="3"/>
        <v>12100</v>
      </c>
      <c r="O25" s="11">
        <f t="shared" si="3"/>
        <v>-110</v>
      </c>
      <c r="P25" s="11">
        <f t="shared" si="7"/>
        <v>0</v>
      </c>
    </row>
    <row r="26" spans="1:16" x14ac:dyDescent="0.25">
      <c r="A26" s="11">
        <f t="shared" si="6"/>
        <v>-29</v>
      </c>
      <c r="B26">
        <v>-23.958588045426662</v>
      </c>
      <c r="E26" s="11">
        <f>A26-'Mastercurve bestimmen'!$B$2</f>
        <v>-109</v>
      </c>
      <c r="F26" s="11">
        <f t="shared" si="4"/>
        <v>-23.958588045426662</v>
      </c>
      <c r="G26" s="11"/>
      <c r="H26" s="11">
        <f t="shared" si="5"/>
        <v>1.992562641690192E+16</v>
      </c>
      <c r="I26" s="11">
        <f t="shared" si="3"/>
        <v>-182803912081669</v>
      </c>
      <c r="J26" s="11">
        <f t="shared" si="3"/>
        <v>1677100110841</v>
      </c>
      <c r="K26" s="11">
        <f t="shared" si="3"/>
        <v>-15386239549</v>
      </c>
      <c r="L26" s="11">
        <f t="shared" si="3"/>
        <v>141158161</v>
      </c>
      <c r="M26" s="11">
        <f t="shared" si="3"/>
        <v>-1295029</v>
      </c>
      <c r="N26" s="11">
        <f t="shared" si="3"/>
        <v>11881</v>
      </c>
      <c r="O26" s="11">
        <f t="shared" si="3"/>
        <v>-109</v>
      </c>
      <c r="P26" s="11">
        <f t="shared" si="7"/>
        <v>0</v>
      </c>
    </row>
    <row r="27" spans="1:16" x14ac:dyDescent="0.25">
      <c r="A27" s="11">
        <f t="shared" si="6"/>
        <v>-28</v>
      </c>
      <c r="B27">
        <v>-23.893996633628642</v>
      </c>
      <c r="E27" s="11">
        <f>A27-'Mastercurve bestimmen'!$B$2</f>
        <v>-108</v>
      </c>
      <c r="F27" s="11">
        <f t="shared" si="4"/>
        <v>-23.893996633628642</v>
      </c>
      <c r="G27" s="11"/>
      <c r="H27" s="11">
        <f t="shared" si="5"/>
        <v>1.8509302102818816E+16</v>
      </c>
      <c r="I27" s="11">
        <f t="shared" si="3"/>
        <v>-171382426877952</v>
      </c>
      <c r="J27" s="11">
        <f t="shared" si="3"/>
        <v>1586874322944</v>
      </c>
      <c r="K27" s="11">
        <f t="shared" si="3"/>
        <v>-14693280768</v>
      </c>
      <c r="L27" s="11">
        <f t="shared" si="3"/>
        <v>136048896</v>
      </c>
      <c r="M27" s="11">
        <f t="shared" si="3"/>
        <v>-1259712</v>
      </c>
      <c r="N27" s="11">
        <f t="shared" si="3"/>
        <v>11664</v>
      </c>
      <c r="O27" s="11">
        <f t="shared" si="3"/>
        <v>-108</v>
      </c>
      <c r="P27" s="11">
        <f t="shared" si="7"/>
        <v>0</v>
      </c>
    </row>
    <row r="28" spans="1:16" x14ac:dyDescent="0.25">
      <c r="A28" s="11">
        <f t="shared" si="6"/>
        <v>-27</v>
      </c>
      <c r="B28">
        <v>-23.828602805515725</v>
      </c>
      <c r="E28" s="11">
        <f>A28-'Mastercurve bestimmen'!$B$2</f>
        <v>-107</v>
      </c>
      <c r="F28" s="11">
        <f t="shared" si="4"/>
        <v>-23.828602805515725</v>
      </c>
      <c r="G28" s="11"/>
      <c r="H28" s="11">
        <f t="shared" si="5"/>
        <v>1.71818617983192E+16</v>
      </c>
      <c r="I28" s="11">
        <f t="shared" si="3"/>
        <v>-160578147647843</v>
      </c>
      <c r="J28" s="11">
        <f t="shared" si="3"/>
        <v>1500730351849</v>
      </c>
      <c r="K28" s="11">
        <f t="shared" si="3"/>
        <v>-14025517307</v>
      </c>
      <c r="L28" s="11">
        <f t="shared" si="3"/>
        <v>131079601</v>
      </c>
      <c r="M28" s="11">
        <f t="shared" si="3"/>
        <v>-1225043</v>
      </c>
      <c r="N28" s="11">
        <f t="shared" si="3"/>
        <v>11449</v>
      </c>
      <c r="O28" s="11">
        <f t="shared" si="3"/>
        <v>-107</v>
      </c>
      <c r="P28" s="11">
        <f t="shared" si="7"/>
        <v>0</v>
      </c>
    </row>
    <row r="29" spans="1:16" x14ac:dyDescent="0.25">
      <c r="A29" s="11">
        <f t="shared" si="6"/>
        <v>-26</v>
      </c>
      <c r="B29">
        <v>-23.762339693061666</v>
      </c>
      <c r="E29" s="11">
        <f>A29-'Mastercurve bestimmen'!$B$2</f>
        <v>-106</v>
      </c>
      <c r="F29" s="11">
        <f t="shared" si="4"/>
        <v>-23.762339693061666</v>
      </c>
      <c r="G29" s="11"/>
      <c r="H29" s="11">
        <f t="shared" si="5"/>
        <v>1.5938480745308416E+16</v>
      </c>
      <c r="I29" s="11">
        <f t="shared" si="3"/>
        <v>-150363025899136</v>
      </c>
      <c r="J29" s="11">
        <f t="shared" si="3"/>
        <v>1418519112256</v>
      </c>
      <c r="K29" s="11">
        <f t="shared" si="3"/>
        <v>-13382255776</v>
      </c>
      <c r="L29" s="11">
        <f t="shared" si="3"/>
        <v>126247696</v>
      </c>
      <c r="M29" s="11">
        <f t="shared" si="3"/>
        <v>-1191016</v>
      </c>
      <c r="N29" s="11">
        <f t="shared" si="3"/>
        <v>11236</v>
      </c>
      <c r="O29" s="11">
        <f t="shared" si="3"/>
        <v>-106</v>
      </c>
      <c r="P29" s="11">
        <f t="shared" si="7"/>
        <v>0</v>
      </c>
    </row>
    <row r="30" spans="1:16" x14ac:dyDescent="0.25">
      <c r="A30" s="11">
        <f t="shared" si="6"/>
        <v>-25</v>
      </c>
      <c r="B30">
        <v>-23.695140428240222</v>
      </c>
      <c r="E30" s="11">
        <f>A30-'Mastercurve bestimmen'!$B$2</f>
        <v>-105</v>
      </c>
      <c r="F30" s="11">
        <f t="shared" si="4"/>
        <v>-23.695140428240222</v>
      </c>
      <c r="G30" s="11"/>
      <c r="H30" s="11">
        <f t="shared" si="5"/>
        <v>1.4774554437890624E+16</v>
      </c>
      <c r="I30" s="11">
        <f t="shared" si="3"/>
        <v>-140710042265625</v>
      </c>
      <c r="J30" s="11">
        <f t="shared" si="3"/>
        <v>1340095640625</v>
      </c>
      <c r="K30" s="11">
        <f t="shared" si="3"/>
        <v>-12762815625</v>
      </c>
      <c r="L30" s="11">
        <f t="shared" si="3"/>
        <v>121550625</v>
      </c>
      <c r="M30" s="11">
        <f t="shared" si="3"/>
        <v>-1157625</v>
      </c>
      <c r="N30" s="11">
        <f t="shared" si="3"/>
        <v>11025</v>
      </c>
      <c r="O30" s="11">
        <f t="shared" si="3"/>
        <v>-105</v>
      </c>
      <c r="P30" s="11">
        <f t="shared" si="7"/>
        <v>0</v>
      </c>
    </row>
    <row r="31" spans="1:16" x14ac:dyDescent="0.25">
      <c r="A31" s="11">
        <f t="shared" si="6"/>
        <v>-24</v>
      </c>
      <c r="B31">
        <v>-23.626938143025153</v>
      </c>
      <c r="E31" s="11">
        <f>A31-'Mastercurve bestimmen'!$B$2</f>
        <v>-104</v>
      </c>
      <c r="F31" s="11">
        <f t="shared" si="4"/>
        <v>-23.626938143025153</v>
      </c>
      <c r="G31" s="11"/>
      <c r="H31" s="11">
        <f t="shared" si="5"/>
        <v>1.3685690504052736E+16</v>
      </c>
      <c r="I31" s="11">
        <f t="shared" si="5"/>
        <v>-131593177923584</v>
      </c>
      <c r="J31" s="11">
        <f t="shared" si="5"/>
        <v>1265319018496</v>
      </c>
      <c r="K31" s="11">
        <f t="shared" si="5"/>
        <v>-12166529024</v>
      </c>
      <c r="L31" s="11">
        <f t="shared" si="5"/>
        <v>116985856</v>
      </c>
      <c r="M31" s="11">
        <f t="shared" si="5"/>
        <v>-1124864</v>
      </c>
      <c r="N31" s="11">
        <f t="shared" si="5"/>
        <v>10816</v>
      </c>
      <c r="O31" s="11">
        <f t="shared" si="5"/>
        <v>-104</v>
      </c>
      <c r="P31" s="11">
        <f t="shared" si="7"/>
        <v>0</v>
      </c>
    </row>
    <row r="32" spans="1:16" x14ac:dyDescent="0.25">
      <c r="A32" s="11">
        <f t="shared" si="6"/>
        <v>-23</v>
      </c>
      <c r="B32">
        <v>-23.557665969390222</v>
      </c>
      <c r="E32" s="11">
        <f>A32-'Mastercurve bestimmen'!$B$2</f>
        <v>-103</v>
      </c>
      <c r="F32" s="11">
        <f t="shared" si="4"/>
        <v>-23.557665969390222</v>
      </c>
      <c r="G32" s="11"/>
      <c r="H32" s="11">
        <f t="shared" si="5"/>
        <v>1.266770081387616E+16</v>
      </c>
      <c r="I32" s="11">
        <f t="shared" si="5"/>
        <v>-122987386542487</v>
      </c>
      <c r="J32" s="11">
        <f t="shared" si="5"/>
        <v>1194052296529</v>
      </c>
      <c r="K32" s="11">
        <f t="shared" si="5"/>
        <v>-11592740743</v>
      </c>
      <c r="L32" s="11">
        <f t="shared" si="5"/>
        <v>112550881</v>
      </c>
      <c r="M32" s="11">
        <f t="shared" si="5"/>
        <v>-1092727</v>
      </c>
      <c r="N32" s="11">
        <f t="shared" si="5"/>
        <v>10609</v>
      </c>
      <c r="O32" s="11">
        <f t="shared" si="5"/>
        <v>-103</v>
      </c>
      <c r="P32" s="11">
        <f t="shared" si="7"/>
        <v>0</v>
      </c>
    </row>
    <row r="33" spans="1:16" x14ac:dyDescent="0.25">
      <c r="A33" s="11">
        <f t="shared" si="6"/>
        <v>-22</v>
      </c>
      <c r="B33">
        <v>-23.487257039309178</v>
      </c>
      <c r="E33" s="11">
        <f>A33-'Mastercurve bestimmen'!$B$2</f>
        <v>-102</v>
      </c>
      <c r="F33" s="11">
        <f t="shared" si="4"/>
        <v>-23.487257039309178</v>
      </c>
      <c r="G33" s="11"/>
      <c r="H33" s="11">
        <f t="shared" si="5"/>
        <v>1.1716593810022656E+16</v>
      </c>
      <c r="I33" s="11">
        <f t="shared" si="5"/>
        <v>-114868566764928</v>
      </c>
      <c r="J33" s="11">
        <f t="shared" si="5"/>
        <v>1126162419264</v>
      </c>
      <c r="K33" s="11">
        <f t="shared" si="5"/>
        <v>-11040808032</v>
      </c>
      <c r="L33" s="11">
        <f t="shared" si="5"/>
        <v>108243216</v>
      </c>
      <c r="M33" s="11">
        <f t="shared" si="5"/>
        <v>-1061208</v>
      </c>
      <c r="N33" s="11">
        <f t="shared" si="5"/>
        <v>10404</v>
      </c>
      <c r="O33" s="11">
        <f t="shared" si="5"/>
        <v>-102</v>
      </c>
      <c r="P33" s="11">
        <f t="shared" si="7"/>
        <v>0</v>
      </c>
    </row>
    <row r="34" spans="1:16" x14ac:dyDescent="0.25">
      <c r="A34" s="11">
        <f t="shared" si="6"/>
        <v>-21</v>
      </c>
      <c r="B34">
        <v>-23.415644484755784</v>
      </c>
      <c r="E34" s="11">
        <f>A34-'Mastercurve bestimmen'!$B$2</f>
        <v>-101</v>
      </c>
      <c r="F34" s="11">
        <f t="shared" si="4"/>
        <v>-23.415644484755784</v>
      </c>
      <c r="G34" s="11"/>
      <c r="H34" s="11">
        <f t="shared" si="5"/>
        <v>1.08285670562808E+16</v>
      </c>
      <c r="I34" s="11">
        <f t="shared" si="5"/>
        <v>-107213535210701</v>
      </c>
      <c r="J34" s="11">
        <f t="shared" si="5"/>
        <v>1061520150601</v>
      </c>
      <c r="K34" s="11">
        <f t="shared" si="5"/>
        <v>-10510100501</v>
      </c>
      <c r="L34" s="11">
        <f t="shared" si="5"/>
        <v>104060401</v>
      </c>
      <c r="M34" s="11">
        <f t="shared" si="5"/>
        <v>-1030301</v>
      </c>
      <c r="N34" s="11">
        <f t="shared" si="5"/>
        <v>10201</v>
      </c>
      <c r="O34" s="11">
        <f t="shared" si="5"/>
        <v>-101</v>
      </c>
      <c r="P34" s="11">
        <f t="shared" si="7"/>
        <v>0</v>
      </c>
    </row>
    <row r="35" spans="1:16" x14ac:dyDescent="0.25">
      <c r="A35" s="11">
        <f t="shared" si="6"/>
        <v>-20</v>
      </c>
      <c r="B35">
        <v>-23.3427614377038</v>
      </c>
      <c r="E35" s="11">
        <f>A35-'Mastercurve bestimmen'!$B$2</f>
        <v>-100</v>
      </c>
      <c r="F35" s="11">
        <f t="shared" si="4"/>
        <v>-23.3427614377038</v>
      </c>
      <c r="G35" s="11"/>
      <c r="H35" s="11">
        <f t="shared" si="5"/>
        <v>1E+16</v>
      </c>
      <c r="I35" s="11">
        <f t="shared" si="5"/>
        <v>-100000000000000</v>
      </c>
      <c r="J35" s="11">
        <f t="shared" si="5"/>
        <v>1000000000000</v>
      </c>
      <c r="K35" s="11">
        <f t="shared" si="5"/>
        <v>-10000000000</v>
      </c>
      <c r="L35" s="11">
        <f t="shared" si="5"/>
        <v>100000000</v>
      </c>
      <c r="M35" s="11">
        <f t="shared" si="5"/>
        <v>-1000000</v>
      </c>
      <c r="N35" s="11">
        <f t="shared" si="5"/>
        <v>10000</v>
      </c>
      <c r="O35" s="11">
        <f t="shared" si="5"/>
        <v>-100</v>
      </c>
      <c r="P35" s="11">
        <f t="shared" si="7"/>
        <v>0</v>
      </c>
    </row>
    <row r="36" spans="1:16" x14ac:dyDescent="0.25">
      <c r="A36" s="11">
        <f t="shared" si="6"/>
        <v>-19</v>
      </c>
      <c r="B36">
        <v>-23.268541030126986</v>
      </c>
      <c r="E36" s="11">
        <f>A36-'Mastercurve bestimmen'!$B$2</f>
        <v>-99</v>
      </c>
      <c r="F36" s="11">
        <f t="shared" si="4"/>
        <v>-23.268541030126986</v>
      </c>
      <c r="G36" s="11"/>
      <c r="H36" s="11">
        <f t="shared" si="5"/>
        <v>9227446944279200</v>
      </c>
      <c r="I36" s="11">
        <f t="shared" si="5"/>
        <v>-93206534790699</v>
      </c>
      <c r="J36" s="11">
        <f t="shared" si="5"/>
        <v>941480149401</v>
      </c>
      <c r="K36" s="11">
        <f t="shared" si="5"/>
        <v>-9509900499</v>
      </c>
      <c r="L36" s="11">
        <f t="shared" si="5"/>
        <v>96059601</v>
      </c>
      <c r="M36" s="11">
        <f t="shared" si="5"/>
        <v>-970299</v>
      </c>
      <c r="N36" s="11">
        <f t="shared" si="5"/>
        <v>9801</v>
      </c>
      <c r="O36" s="11">
        <f t="shared" si="5"/>
        <v>-99</v>
      </c>
      <c r="P36" s="11">
        <f t="shared" si="7"/>
        <v>0</v>
      </c>
    </row>
    <row r="37" spans="1:16" x14ac:dyDescent="0.25">
      <c r="A37" s="11">
        <f t="shared" si="6"/>
        <v>-18</v>
      </c>
      <c r="B37">
        <v>-23.192916393999091</v>
      </c>
      <c r="E37" s="11">
        <f>A37-'Mastercurve bestimmen'!$B$2</f>
        <v>-98</v>
      </c>
      <c r="F37" s="11">
        <f t="shared" si="4"/>
        <v>-23.192916393999091</v>
      </c>
      <c r="G37" s="11"/>
      <c r="H37" s="11">
        <f t="shared" si="5"/>
        <v>8507630225817856</v>
      </c>
      <c r="I37" s="11">
        <f t="shared" si="5"/>
        <v>-86812553324672</v>
      </c>
      <c r="J37" s="11">
        <f t="shared" si="5"/>
        <v>885842380864</v>
      </c>
      <c r="K37" s="11">
        <f t="shared" si="5"/>
        <v>-9039207968</v>
      </c>
      <c r="L37" s="11">
        <f t="shared" si="5"/>
        <v>92236816</v>
      </c>
      <c r="M37" s="11">
        <f t="shared" si="5"/>
        <v>-941192</v>
      </c>
      <c r="N37" s="11">
        <f t="shared" si="5"/>
        <v>9604</v>
      </c>
      <c r="O37" s="11">
        <f t="shared" si="5"/>
        <v>-98</v>
      </c>
      <c r="P37" s="11">
        <f t="shared" si="7"/>
        <v>0</v>
      </c>
    </row>
    <row r="38" spans="1:16" x14ac:dyDescent="0.25">
      <c r="A38" s="11">
        <f t="shared" si="6"/>
        <v>-17</v>
      </c>
      <c r="B38">
        <v>-23.115820661293881</v>
      </c>
      <c r="E38" s="11">
        <f>A38-'Mastercurve bestimmen'!$B$2</f>
        <v>-97</v>
      </c>
      <c r="F38" s="11">
        <f t="shared" si="4"/>
        <v>-23.115820661293881</v>
      </c>
      <c r="G38" s="11"/>
      <c r="H38" s="11">
        <f t="shared" si="5"/>
        <v>7837433594376961</v>
      </c>
      <c r="I38" s="11">
        <f t="shared" si="5"/>
        <v>-80798284478113</v>
      </c>
      <c r="J38" s="11">
        <f t="shared" si="5"/>
        <v>832972004929</v>
      </c>
      <c r="K38" s="11">
        <f t="shared" si="5"/>
        <v>-8587340257</v>
      </c>
      <c r="L38" s="11">
        <f t="shared" si="5"/>
        <v>88529281</v>
      </c>
      <c r="M38" s="11">
        <f t="shared" si="5"/>
        <v>-912673</v>
      </c>
      <c r="N38" s="11">
        <f t="shared" si="5"/>
        <v>9409</v>
      </c>
      <c r="O38" s="11">
        <f t="shared" si="5"/>
        <v>-97</v>
      </c>
      <c r="P38" s="11">
        <f t="shared" si="7"/>
        <v>0</v>
      </c>
    </row>
    <row r="39" spans="1:16" x14ac:dyDescent="0.25">
      <c r="A39" s="11">
        <f t="shared" si="6"/>
        <v>-16</v>
      </c>
      <c r="B39">
        <v>-23.037186963985118</v>
      </c>
      <c r="E39" s="11">
        <f>A39-'Mastercurve bestimmen'!$B$2</f>
        <v>-96</v>
      </c>
      <c r="F39" s="11">
        <f t="shared" si="4"/>
        <v>-23.037186963985118</v>
      </c>
      <c r="G39" s="11"/>
      <c r="H39" s="11">
        <f t="shared" si="5"/>
        <v>7213895789838336</v>
      </c>
      <c r="I39" s="11">
        <f t="shared" si="5"/>
        <v>-75144747810816</v>
      </c>
      <c r="J39" s="11">
        <f t="shared" si="5"/>
        <v>782757789696</v>
      </c>
      <c r="K39" s="11">
        <f t="shared" si="5"/>
        <v>-8153726976</v>
      </c>
      <c r="L39" s="11">
        <f t="shared" si="5"/>
        <v>84934656</v>
      </c>
      <c r="M39" s="11">
        <f t="shared" si="5"/>
        <v>-884736</v>
      </c>
      <c r="N39" s="11">
        <f t="shared" si="5"/>
        <v>9216</v>
      </c>
      <c r="O39" s="11">
        <f t="shared" si="5"/>
        <v>-96</v>
      </c>
      <c r="P39" s="11">
        <f t="shared" si="7"/>
        <v>0</v>
      </c>
    </row>
    <row r="40" spans="1:16" x14ac:dyDescent="0.25">
      <c r="A40" s="11">
        <f t="shared" si="6"/>
        <v>-15</v>
      </c>
      <c r="B40">
        <v>-22.956948434046552</v>
      </c>
      <c r="E40" s="11">
        <f>A40-'Mastercurve bestimmen'!$B$2</f>
        <v>-95</v>
      </c>
      <c r="F40" s="11">
        <f t="shared" si="4"/>
        <v>-22.956948434046552</v>
      </c>
      <c r="G40" s="11"/>
      <c r="H40" s="11">
        <f t="shared" si="5"/>
        <v>6634204312890625</v>
      </c>
      <c r="I40" s="11">
        <f t="shared" si="5"/>
        <v>-69833729609375</v>
      </c>
      <c r="J40" s="11">
        <f t="shared" si="5"/>
        <v>735091890625</v>
      </c>
      <c r="K40" s="11">
        <f t="shared" si="5"/>
        <v>-7737809375</v>
      </c>
      <c r="L40" s="11">
        <f t="shared" si="5"/>
        <v>81450625</v>
      </c>
      <c r="M40" s="11">
        <f t="shared" si="5"/>
        <v>-857375</v>
      </c>
      <c r="N40" s="11">
        <f t="shared" si="5"/>
        <v>9025</v>
      </c>
      <c r="O40" s="11">
        <f t="shared" si="5"/>
        <v>-95</v>
      </c>
      <c r="P40" s="11">
        <f t="shared" si="7"/>
        <v>0</v>
      </c>
    </row>
    <row r="41" spans="1:16" x14ac:dyDescent="0.25">
      <c r="A41" s="11">
        <f t="shared" si="6"/>
        <v>-14</v>
      </c>
      <c r="B41">
        <v>-22.875038203451943</v>
      </c>
      <c r="E41" s="11">
        <f>A41-'Mastercurve bestimmen'!$B$2</f>
        <v>-94</v>
      </c>
      <c r="F41" s="11">
        <f t="shared" si="4"/>
        <v>-22.875038203451943</v>
      </c>
      <c r="G41" s="11"/>
      <c r="H41" s="11">
        <f t="shared" si="5"/>
        <v>6095689385410816</v>
      </c>
      <c r="I41" s="11">
        <f t="shared" si="5"/>
        <v>-64847759419264</v>
      </c>
      <c r="J41" s="11">
        <f t="shared" si="5"/>
        <v>689869781056</v>
      </c>
      <c r="K41" s="11">
        <f t="shared" si="5"/>
        <v>-7339040224</v>
      </c>
      <c r="L41" s="11">
        <f t="shared" si="5"/>
        <v>78074896</v>
      </c>
      <c r="M41" s="11">
        <f t="shared" si="5"/>
        <v>-830584</v>
      </c>
      <c r="N41" s="11">
        <f t="shared" si="5"/>
        <v>8836</v>
      </c>
      <c r="O41" s="11">
        <f t="shared" si="5"/>
        <v>-94</v>
      </c>
      <c r="P41" s="11">
        <f t="shared" si="7"/>
        <v>0</v>
      </c>
    </row>
    <row r="42" spans="1:16" x14ac:dyDescent="0.25">
      <c r="A42" s="11">
        <f t="shared" si="6"/>
        <v>-13</v>
      </c>
      <c r="B42">
        <v>-22.79138940417505</v>
      </c>
      <c r="E42" s="11">
        <f>A42-'Mastercurve bestimmen'!$B$2</f>
        <v>-93</v>
      </c>
      <c r="F42" s="11">
        <f t="shared" si="4"/>
        <v>-22.79138940417505</v>
      </c>
      <c r="G42" s="11"/>
      <c r="H42" s="11">
        <f t="shared" si="5"/>
        <v>5595818096650401</v>
      </c>
      <c r="I42" s="11">
        <f t="shared" si="5"/>
        <v>-60170087060757</v>
      </c>
      <c r="J42" s="11">
        <f t="shared" si="5"/>
        <v>646990183449</v>
      </c>
      <c r="K42" s="11">
        <f t="shared" si="5"/>
        <v>-6956883693</v>
      </c>
      <c r="L42" s="11">
        <f t="shared" si="5"/>
        <v>74805201</v>
      </c>
      <c r="M42" s="11">
        <f t="shared" si="5"/>
        <v>-804357</v>
      </c>
      <c r="N42" s="11">
        <f t="shared" si="5"/>
        <v>8649</v>
      </c>
      <c r="O42" s="11">
        <f t="shared" si="5"/>
        <v>-93</v>
      </c>
      <c r="P42" s="11">
        <f t="shared" si="7"/>
        <v>0</v>
      </c>
    </row>
    <row r="43" spans="1:16" x14ac:dyDescent="0.25">
      <c r="A43" s="11">
        <f t="shared" si="6"/>
        <v>-12</v>
      </c>
      <c r="B43">
        <v>-22.705935168189637</v>
      </c>
      <c r="E43" s="11">
        <f>A43-'Mastercurve bestimmen'!$B$2</f>
        <v>-92</v>
      </c>
      <c r="F43" s="11">
        <f t="shared" si="4"/>
        <v>-22.705935168189637</v>
      </c>
      <c r="G43" s="11"/>
      <c r="H43" s="11">
        <f t="shared" si="5"/>
        <v>5132188731375616</v>
      </c>
      <c r="I43" s="11">
        <f t="shared" si="5"/>
        <v>-55784660123648</v>
      </c>
      <c r="J43" s="11">
        <f t="shared" si="5"/>
        <v>606355001344</v>
      </c>
      <c r="K43" s="11">
        <f t="shared" si="5"/>
        <v>-6590815232</v>
      </c>
      <c r="L43" s="11">
        <f t="shared" si="5"/>
        <v>71639296</v>
      </c>
      <c r="M43" s="11">
        <f t="shared" si="5"/>
        <v>-778688</v>
      </c>
      <c r="N43" s="11">
        <f t="shared" si="5"/>
        <v>8464</v>
      </c>
      <c r="O43" s="11">
        <f t="shared" si="5"/>
        <v>-92</v>
      </c>
      <c r="P43" s="11">
        <f t="shared" si="7"/>
        <v>0</v>
      </c>
    </row>
    <row r="44" spans="1:16" x14ac:dyDescent="0.25">
      <c r="A44" s="11">
        <f t="shared" si="6"/>
        <v>-11</v>
      </c>
      <c r="B44">
        <v>-22.618608627469456</v>
      </c>
      <c r="E44" s="11">
        <f>A44-'Mastercurve bestimmen'!$B$2</f>
        <v>-91</v>
      </c>
      <c r="F44" s="11">
        <f t="shared" si="4"/>
        <v>-22.618608627469456</v>
      </c>
      <c r="G44" s="11"/>
      <c r="H44" s="11">
        <f t="shared" si="5"/>
        <v>4702525276151521</v>
      </c>
      <c r="I44" s="11">
        <f t="shared" si="5"/>
        <v>-51676101935731</v>
      </c>
      <c r="J44" s="11">
        <f t="shared" si="5"/>
        <v>567869252041</v>
      </c>
      <c r="K44" s="11">
        <f t="shared" si="5"/>
        <v>-6240321451</v>
      </c>
      <c r="L44" s="11">
        <f t="shared" si="5"/>
        <v>68574961</v>
      </c>
      <c r="M44" s="11">
        <f t="shared" si="5"/>
        <v>-753571</v>
      </c>
      <c r="N44" s="11">
        <f t="shared" si="5"/>
        <v>8281</v>
      </c>
      <c r="O44" s="11">
        <f t="shared" si="5"/>
        <v>-91</v>
      </c>
      <c r="P44" s="11">
        <f t="shared" si="7"/>
        <v>0</v>
      </c>
    </row>
    <row r="45" spans="1:16" x14ac:dyDescent="0.25">
      <c r="A45" s="11">
        <f t="shared" si="6"/>
        <v>-10</v>
      </c>
      <c r="B45">
        <v>-22.529342913988263</v>
      </c>
      <c r="E45" s="11">
        <f>A45-'Mastercurve bestimmen'!$B$2</f>
        <v>-90</v>
      </c>
      <c r="F45" s="11">
        <f t="shared" si="4"/>
        <v>-22.529342913988263</v>
      </c>
      <c r="G45" s="11"/>
      <c r="H45" s="11">
        <f t="shared" si="5"/>
        <v>4304672100000000</v>
      </c>
      <c r="I45" s="11">
        <f t="shared" si="5"/>
        <v>-47829690000000</v>
      </c>
      <c r="J45" s="11">
        <f t="shared" si="5"/>
        <v>531441000000</v>
      </c>
      <c r="K45" s="11">
        <f t="shared" si="5"/>
        <v>-5904900000</v>
      </c>
      <c r="L45" s="11">
        <f t="shared" si="5"/>
        <v>65610000</v>
      </c>
      <c r="M45" s="11">
        <f t="shared" si="5"/>
        <v>-729000</v>
      </c>
      <c r="N45" s="11">
        <f t="shared" si="5"/>
        <v>8100</v>
      </c>
      <c r="O45" s="11">
        <f t="shared" si="5"/>
        <v>-90</v>
      </c>
      <c r="P45" s="11">
        <f t="shared" si="7"/>
        <v>0</v>
      </c>
    </row>
    <row r="46" spans="1:16" x14ac:dyDescent="0.25">
      <c r="A46" s="11">
        <f t="shared" si="6"/>
        <v>-9</v>
      </c>
      <c r="B46">
        <v>-22.438071159719822</v>
      </c>
      <c r="E46" s="11">
        <f>A46-'Mastercurve bestimmen'!$B$2</f>
        <v>-89</v>
      </c>
      <c r="F46" s="11">
        <f t="shared" si="4"/>
        <v>-22.438071159719822</v>
      </c>
      <c r="G46" s="11"/>
      <c r="H46" s="11">
        <f t="shared" si="5"/>
        <v>3936588805702081</v>
      </c>
      <c r="I46" s="11">
        <f t="shared" si="5"/>
        <v>-44231334895529</v>
      </c>
      <c r="J46" s="11">
        <f t="shared" si="5"/>
        <v>496981290961</v>
      </c>
      <c r="K46" s="11">
        <f t="shared" si="5"/>
        <v>-5584059449</v>
      </c>
      <c r="L46" s="11">
        <f t="shared" si="5"/>
        <v>62742241</v>
      </c>
      <c r="M46" s="11">
        <f t="shared" si="5"/>
        <v>-704969</v>
      </c>
      <c r="N46" s="11">
        <f t="shared" si="5"/>
        <v>7921</v>
      </c>
      <c r="O46" s="11">
        <f t="shared" si="5"/>
        <v>-89</v>
      </c>
      <c r="P46" s="11">
        <f t="shared" si="7"/>
        <v>0</v>
      </c>
    </row>
    <row r="47" spans="1:16" x14ac:dyDescent="0.25">
      <c r="A47" s="11">
        <f t="shared" si="6"/>
        <v>-8</v>
      </c>
      <c r="B47">
        <v>-22.34472649663789</v>
      </c>
      <c r="E47" s="11">
        <f>A47-'Mastercurve bestimmen'!$B$2</f>
        <v>-88</v>
      </c>
      <c r="F47" s="11">
        <f t="shared" si="4"/>
        <v>-22.34472649663789</v>
      </c>
      <c r="G47" s="11"/>
      <c r="H47" s="11">
        <f t="shared" si="5"/>
        <v>3596345248055296</v>
      </c>
      <c r="I47" s="11">
        <f t="shared" si="5"/>
        <v>-40867559636992</v>
      </c>
      <c r="J47" s="11">
        <f t="shared" si="5"/>
        <v>464404086784</v>
      </c>
      <c r="K47" s="11">
        <f t="shared" si="5"/>
        <v>-5277319168</v>
      </c>
      <c r="L47" s="11">
        <f t="shared" si="5"/>
        <v>59969536</v>
      </c>
      <c r="M47" s="11">
        <f t="shared" si="5"/>
        <v>-681472</v>
      </c>
      <c r="N47" s="11">
        <f t="shared" si="5"/>
        <v>7744</v>
      </c>
      <c r="O47" s="11">
        <f t="shared" si="5"/>
        <v>-88</v>
      </c>
      <c r="P47" s="11">
        <f t="shared" si="7"/>
        <v>0</v>
      </c>
    </row>
    <row r="48" spans="1:16" x14ac:dyDescent="0.25">
      <c r="A48" s="11">
        <f t="shared" si="6"/>
        <v>-7</v>
      </c>
      <c r="B48">
        <v>-22.249242056716227</v>
      </c>
      <c r="E48" s="11">
        <f>A48-'Mastercurve bestimmen'!$B$2</f>
        <v>-87</v>
      </c>
      <c r="F48" s="11">
        <f t="shared" si="4"/>
        <v>-22.249242056716227</v>
      </c>
      <c r="G48" s="11"/>
      <c r="H48" s="11">
        <f t="shared" ref="H48:O79" si="8">IF($H$12&gt;=H$14,$E48^H$14,0)</f>
        <v>3282116715437121</v>
      </c>
      <c r="I48" s="11">
        <f t="shared" si="8"/>
        <v>-37725479487783</v>
      </c>
      <c r="J48" s="11">
        <f t="shared" si="8"/>
        <v>433626201009</v>
      </c>
      <c r="K48" s="11">
        <f t="shared" si="8"/>
        <v>-4984209207</v>
      </c>
      <c r="L48" s="11">
        <f t="shared" si="8"/>
        <v>57289761</v>
      </c>
      <c r="M48" s="11">
        <f t="shared" si="8"/>
        <v>-658503</v>
      </c>
      <c r="N48" s="11">
        <f t="shared" si="8"/>
        <v>7569</v>
      </c>
      <c r="O48" s="11">
        <f t="shared" si="8"/>
        <v>-87</v>
      </c>
      <c r="P48" s="11">
        <f t="shared" si="7"/>
        <v>0</v>
      </c>
    </row>
    <row r="49" spans="1:16" x14ac:dyDescent="0.25">
      <c r="A49" s="11">
        <f t="shared" si="6"/>
        <v>-6</v>
      </c>
      <c r="B49">
        <v>-22.151550971928589</v>
      </c>
      <c r="E49" s="11">
        <f>A49-'Mastercurve bestimmen'!$B$2</f>
        <v>-86</v>
      </c>
      <c r="F49" s="11">
        <f t="shared" si="4"/>
        <v>-22.151550971928589</v>
      </c>
      <c r="G49" s="11"/>
      <c r="H49" s="11">
        <f t="shared" si="8"/>
        <v>2992179271065856</v>
      </c>
      <c r="I49" s="11">
        <f t="shared" si="8"/>
        <v>-34792782221696</v>
      </c>
      <c r="J49" s="11">
        <f t="shared" si="8"/>
        <v>404567235136</v>
      </c>
      <c r="K49" s="11">
        <f t="shared" si="8"/>
        <v>-4704270176</v>
      </c>
      <c r="L49" s="11">
        <f t="shared" si="8"/>
        <v>54700816</v>
      </c>
      <c r="M49" s="11">
        <f t="shared" si="8"/>
        <v>-636056</v>
      </c>
      <c r="N49" s="11">
        <f t="shared" si="8"/>
        <v>7396</v>
      </c>
      <c r="O49" s="11">
        <f t="shared" si="8"/>
        <v>-86</v>
      </c>
      <c r="P49" s="11">
        <f t="shared" si="7"/>
        <v>0</v>
      </c>
    </row>
    <row r="50" spans="1:16" x14ac:dyDescent="0.25">
      <c r="A50" s="11">
        <f t="shared" si="6"/>
        <v>-5</v>
      </c>
      <c r="B50">
        <v>-22.051586374248732</v>
      </c>
      <c r="E50" s="11">
        <f>A50-'Mastercurve bestimmen'!$B$2</f>
        <v>-85</v>
      </c>
      <c r="F50" s="11">
        <f t="shared" si="4"/>
        <v>-22.051586374248732</v>
      </c>
      <c r="G50" s="11"/>
      <c r="H50" s="11">
        <f t="shared" si="8"/>
        <v>2724905250390625</v>
      </c>
      <c r="I50" s="11">
        <f t="shared" si="8"/>
        <v>-32057708828125</v>
      </c>
      <c r="J50" s="11">
        <f t="shared" si="8"/>
        <v>377149515625</v>
      </c>
      <c r="K50" s="11">
        <f t="shared" si="8"/>
        <v>-4437053125</v>
      </c>
      <c r="L50" s="11">
        <f t="shared" si="8"/>
        <v>52200625</v>
      </c>
      <c r="M50" s="11">
        <f t="shared" si="8"/>
        <v>-614125</v>
      </c>
      <c r="N50" s="11">
        <f t="shared" si="8"/>
        <v>7225</v>
      </c>
      <c r="O50" s="11">
        <f t="shared" si="8"/>
        <v>-85</v>
      </c>
      <c r="P50" s="11">
        <f t="shared" si="7"/>
        <v>0</v>
      </c>
    </row>
    <row r="51" spans="1:16" x14ac:dyDescent="0.25">
      <c r="A51" s="11">
        <f t="shared" si="6"/>
        <v>-4</v>
      </c>
      <c r="B51">
        <v>-21.949281395650416</v>
      </c>
      <c r="E51" s="11">
        <f>A51-'Mastercurve bestimmen'!$B$2</f>
        <v>-84</v>
      </c>
      <c r="F51" s="11">
        <f t="shared" si="4"/>
        <v>-21.949281395650416</v>
      </c>
      <c r="G51" s="11"/>
      <c r="H51" s="11">
        <f t="shared" si="8"/>
        <v>2478758911082496</v>
      </c>
      <c r="I51" s="11">
        <f t="shared" si="8"/>
        <v>-29509034655744</v>
      </c>
      <c r="J51" s="11">
        <f t="shared" si="8"/>
        <v>351298031616</v>
      </c>
      <c r="K51" s="11">
        <f t="shared" si="8"/>
        <v>-4182119424</v>
      </c>
      <c r="L51" s="11">
        <f t="shared" si="8"/>
        <v>49787136</v>
      </c>
      <c r="M51" s="11">
        <f t="shared" si="8"/>
        <v>-592704</v>
      </c>
      <c r="N51" s="11">
        <f t="shared" si="8"/>
        <v>7056</v>
      </c>
      <c r="O51" s="11">
        <f t="shared" si="8"/>
        <v>-84</v>
      </c>
      <c r="P51" s="11">
        <f t="shared" si="7"/>
        <v>0</v>
      </c>
    </row>
    <row r="52" spans="1:16" x14ac:dyDescent="0.25">
      <c r="A52" s="11">
        <f t="shared" si="6"/>
        <v>-3</v>
      </c>
      <c r="B52">
        <v>-21.844569168107405</v>
      </c>
      <c r="E52" s="11">
        <f>A52-'Mastercurve bestimmen'!$B$2</f>
        <v>-83</v>
      </c>
      <c r="F52" s="11">
        <f t="shared" si="4"/>
        <v>-21.844569168107405</v>
      </c>
      <c r="G52" s="11"/>
      <c r="H52" s="11">
        <f t="shared" si="8"/>
        <v>2252292232139041</v>
      </c>
      <c r="I52" s="11">
        <f t="shared" si="8"/>
        <v>-27136050989627</v>
      </c>
      <c r="J52" s="11">
        <f t="shared" si="8"/>
        <v>326940373369</v>
      </c>
      <c r="K52" s="11">
        <f t="shared" si="8"/>
        <v>-3939040643</v>
      </c>
      <c r="L52" s="11">
        <f t="shared" si="8"/>
        <v>47458321</v>
      </c>
      <c r="M52" s="11">
        <f t="shared" si="8"/>
        <v>-571787</v>
      </c>
      <c r="N52" s="11">
        <f t="shared" si="8"/>
        <v>6889</v>
      </c>
      <c r="O52" s="11">
        <f t="shared" si="8"/>
        <v>-83</v>
      </c>
      <c r="P52" s="11">
        <f t="shared" si="7"/>
        <v>0</v>
      </c>
    </row>
    <row r="53" spans="1:16" x14ac:dyDescent="0.25">
      <c r="A53" s="11">
        <f t="shared" si="6"/>
        <v>-2</v>
      </c>
      <c r="B53">
        <v>-21.737382823593446</v>
      </c>
      <c r="E53" s="11">
        <f>A53-'Mastercurve bestimmen'!$B$2</f>
        <v>-82</v>
      </c>
      <c r="F53" s="11">
        <f t="shared" si="4"/>
        <v>-21.737382823593446</v>
      </c>
      <c r="G53" s="11"/>
      <c r="H53" s="11">
        <f t="shared" si="8"/>
        <v>2044140858654976</v>
      </c>
      <c r="I53" s="11">
        <f t="shared" si="8"/>
        <v>-24928547056768</v>
      </c>
      <c r="J53" s="11">
        <f t="shared" si="8"/>
        <v>304006671424</v>
      </c>
      <c r="K53" s="11">
        <f t="shared" si="8"/>
        <v>-3707398432</v>
      </c>
      <c r="L53" s="11">
        <f t="shared" si="8"/>
        <v>45212176</v>
      </c>
      <c r="M53" s="11">
        <f t="shared" si="8"/>
        <v>-551368</v>
      </c>
      <c r="N53" s="11">
        <f t="shared" si="8"/>
        <v>6724</v>
      </c>
      <c r="O53" s="11">
        <f t="shared" si="8"/>
        <v>-82</v>
      </c>
      <c r="P53" s="11">
        <f t="shared" si="7"/>
        <v>0</v>
      </c>
    </row>
    <row r="54" spans="1:16" x14ac:dyDescent="0.25">
      <c r="A54" s="11">
        <f t="shared" si="6"/>
        <v>-1</v>
      </c>
      <c r="B54">
        <v>-21.627655494082312</v>
      </c>
      <c r="E54" s="11">
        <f>A54-'Mastercurve bestimmen'!$B$2</f>
        <v>-81</v>
      </c>
      <c r="F54" s="11">
        <f t="shared" si="4"/>
        <v>-21.627655494082312</v>
      </c>
      <c r="G54" s="11"/>
      <c r="H54" s="11">
        <f t="shared" si="8"/>
        <v>1853020188851841</v>
      </c>
      <c r="I54" s="11">
        <f t="shared" si="8"/>
        <v>-22876792454961</v>
      </c>
      <c r="J54" s="11">
        <f t="shared" si="8"/>
        <v>282429536481</v>
      </c>
      <c r="K54" s="11">
        <f t="shared" si="8"/>
        <v>-3486784401</v>
      </c>
      <c r="L54" s="11">
        <f t="shared" si="8"/>
        <v>43046721</v>
      </c>
      <c r="M54" s="11">
        <f t="shared" si="8"/>
        <v>-531441</v>
      </c>
      <c r="N54" s="11">
        <f t="shared" si="8"/>
        <v>6561</v>
      </c>
      <c r="O54" s="11">
        <f t="shared" si="8"/>
        <v>-81</v>
      </c>
      <c r="P54" s="11">
        <f t="shared" si="7"/>
        <v>0</v>
      </c>
    </row>
    <row r="55" spans="1:16" x14ac:dyDescent="0.25">
      <c r="A55" s="11">
        <f t="shared" si="6"/>
        <v>0</v>
      </c>
      <c r="B55">
        <v>-21.51532031154775</v>
      </c>
      <c r="E55" s="11">
        <f>A55-'Mastercurve bestimmen'!$B$2</f>
        <v>-80</v>
      </c>
      <c r="F55" s="11">
        <f t="shared" si="4"/>
        <v>-21.51532031154775</v>
      </c>
      <c r="G55" s="11"/>
      <c r="H55" s="11">
        <f t="shared" si="8"/>
        <v>1677721600000000</v>
      </c>
      <c r="I55" s="11">
        <f t="shared" si="8"/>
        <v>-20971520000000</v>
      </c>
      <c r="J55" s="11">
        <f t="shared" si="8"/>
        <v>262144000000</v>
      </c>
      <c r="K55" s="11">
        <f t="shared" si="8"/>
        <v>-3276800000</v>
      </c>
      <c r="L55" s="11">
        <f t="shared" si="8"/>
        <v>40960000</v>
      </c>
      <c r="M55" s="11">
        <f t="shared" si="8"/>
        <v>-512000</v>
      </c>
      <c r="N55" s="11">
        <f t="shared" si="8"/>
        <v>6400</v>
      </c>
      <c r="O55" s="11">
        <f t="shared" si="8"/>
        <v>-80</v>
      </c>
      <c r="P55" s="11">
        <f t="shared" si="7"/>
        <v>0</v>
      </c>
    </row>
    <row r="56" spans="1:16" x14ac:dyDescent="0.25">
      <c r="A56" s="11">
        <f t="shared" si="6"/>
        <v>1</v>
      </c>
      <c r="B56">
        <v>-21.386133303597717</v>
      </c>
      <c r="E56" s="11">
        <f>A56-'Mastercurve bestimmen'!$B$2</f>
        <v>-79</v>
      </c>
      <c r="F56" s="11">
        <f t="shared" si="4"/>
        <v>-21.386133303597717</v>
      </c>
      <c r="G56" s="11"/>
      <c r="H56" s="11">
        <f t="shared" si="8"/>
        <v>1517108809906561</v>
      </c>
      <c r="I56" s="11">
        <f t="shared" si="8"/>
        <v>-19203908986159</v>
      </c>
      <c r="J56" s="11">
        <f t="shared" si="8"/>
        <v>243087455521</v>
      </c>
      <c r="K56" s="11">
        <f t="shared" si="8"/>
        <v>-3077056399</v>
      </c>
      <c r="L56" s="11">
        <f t="shared" si="8"/>
        <v>38950081</v>
      </c>
      <c r="M56" s="11">
        <f t="shared" si="8"/>
        <v>-493039</v>
      </c>
      <c r="N56" s="11">
        <f t="shared" si="8"/>
        <v>6241</v>
      </c>
      <c r="O56" s="11">
        <f t="shared" si="8"/>
        <v>-79</v>
      </c>
      <c r="P56" s="11">
        <f t="shared" si="7"/>
        <v>0</v>
      </c>
    </row>
    <row r="57" spans="1:16" x14ac:dyDescent="0.25">
      <c r="A57" s="11">
        <f t="shared" si="6"/>
        <v>2</v>
      </c>
      <c r="B57">
        <v>-21.254204171260067</v>
      </c>
      <c r="E57" s="11">
        <f>A57-'Mastercurve bestimmen'!$B$2</f>
        <v>-78</v>
      </c>
      <c r="F57" s="11">
        <f t="shared" si="4"/>
        <v>-21.254204171260067</v>
      </c>
      <c r="G57" s="11"/>
      <c r="H57" s="11">
        <f t="shared" si="8"/>
        <v>1370114370683136</v>
      </c>
      <c r="I57" s="11">
        <f t="shared" si="8"/>
        <v>-17565568854912</v>
      </c>
      <c r="J57" s="11">
        <f t="shared" si="8"/>
        <v>225199600704</v>
      </c>
      <c r="K57" s="11">
        <f t="shared" si="8"/>
        <v>-2887174368</v>
      </c>
      <c r="L57" s="11">
        <f t="shared" si="8"/>
        <v>37015056</v>
      </c>
      <c r="M57" s="11">
        <f t="shared" si="8"/>
        <v>-474552</v>
      </c>
      <c r="N57" s="11">
        <f t="shared" si="8"/>
        <v>6084</v>
      </c>
      <c r="O57" s="11">
        <f t="shared" si="8"/>
        <v>-78</v>
      </c>
      <c r="P57" s="11">
        <f t="shared" si="7"/>
        <v>0</v>
      </c>
    </row>
    <row r="58" spans="1:16" x14ac:dyDescent="0.25">
      <c r="A58" s="11">
        <f t="shared" si="6"/>
        <v>3</v>
      </c>
      <c r="B58">
        <v>-21.119465511196868</v>
      </c>
      <c r="E58" s="11">
        <f>A58-'Mastercurve bestimmen'!$B$2</f>
        <v>-77</v>
      </c>
      <c r="F58" s="11">
        <f t="shared" si="4"/>
        <v>-21.119465511196868</v>
      </c>
      <c r="G58" s="11"/>
      <c r="H58" s="11">
        <f t="shared" si="8"/>
        <v>1235736291547681</v>
      </c>
      <c r="I58" s="11">
        <f t="shared" si="8"/>
        <v>-16048523266853</v>
      </c>
      <c r="J58" s="11">
        <f t="shared" si="8"/>
        <v>208422380089</v>
      </c>
      <c r="K58" s="11">
        <f t="shared" si="8"/>
        <v>-2706784157</v>
      </c>
      <c r="L58" s="11">
        <f t="shared" si="8"/>
        <v>35153041</v>
      </c>
      <c r="M58" s="11">
        <f t="shared" si="8"/>
        <v>-456533</v>
      </c>
      <c r="N58" s="11">
        <f t="shared" si="8"/>
        <v>5929</v>
      </c>
      <c r="O58" s="11">
        <f t="shared" si="8"/>
        <v>-77</v>
      </c>
      <c r="P58" s="11">
        <f t="shared" si="7"/>
        <v>0</v>
      </c>
    </row>
    <row r="59" spans="1:16" x14ac:dyDescent="0.25">
      <c r="A59" s="11">
        <f t="shared" si="6"/>
        <v>4</v>
      </c>
      <c r="B59">
        <v>-20.981849920070161</v>
      </c>
      <c r="E59" s="11">
        <f>A59-'Mastercurve bestimmen'!$B$2</f>
        <v>-76</v>
      </c>
      <c r="F59" s="11">
        <f t="shared" si="4"/>
        <v>-20.981849920070161</v>
      </c>
      <c r="G59" s="11"/>
      <c r="H59" s="11">
        <f t="shared" si="8"/>
        <v>1113034787454976</v>
      </c>
      <c r="I59" s="11">
        <f t="shared" si="8"/>
        <v>-14645194571776</v>
      </c>
      <c r="J59" s="11">
        <f t="shared" si="8"/>
        <v>192699928576</v>
      </c>
      <c r="K59" s="11">
        <f t="shared" si="8"/>
        <v>-2535525376</v>
      </c>
      <c r="L59" s="11">
        <f t="shared" si="8"/>
        <v>33362176</v>
      </c>
      <c r="M59" s="11">
        <f t="shared" si="8"/>
        <v>-438976</v>
      </c>
      <c r="N59" s="11">
        <f t="shared" si="8"/>
        <v>5776</v>
      </c>
      <c r="O59" s="11">
        <f t="shared" si="8"/>
        <v>-76</v>
      </c>
      <c r="P59" s="11">
        <f t="shared" si="7"/>
        <v>0</v>
      </c>
    </row>
    <row r="60" spans="1:16" x14ac:dyDescent="0.25">
      <c r="A60" s="11">
        <f t="shared" si="6"/>
        <v>5</v>
      </c>
      <c r="B60">
        <v>-20.841289994542006</v>
      </c>
      <c r="E60" s="11">
        <f>A60-'Mastercurve bestimmen'!$B$2</f>
        <v>-75</v>
      </c>
      <c r="F60" s="11">
        <f t="shared" si="4"/>
        <v>-20.841289994542006</v>
      </c>
      <c r="G60" s="11"/>
      <c r="H60" s="11">
        <f t="shared" si="8"/>
        <v>1001129150390625</v>
      </c>
      <c r="I60" s="11">
        <f t="shared" si="8"/>
        <v>-13348388671875</v>
      </c>
      <c r="J60" s="11">
        <f t="shared" si="8"/>
        <v>177978515625</v>
      </c>
      <c r="K60" s="11">
        <f t="shared" si="8"/>
        <v>-2373046875</v>
      </c>
      <c r="L60" s="11">
        <f t="shared" si="8"/>
        <v>31640625</v>
      </c>
      <c r="M60" s="11">
        <f t="shared" si="8"/>
        <v>-421875</v>
      </c>
      <c r="N60" s="11">
        <f t="shared" si="8"/>
        <v>5625</v>
      </c>
      <c r="O60" s="11">
        <f t="shared" si="8"/>
        <v>-75</v>
      </c>
      <c r="P60" s="11">
        <f t="shared" si="7"/>
        <v>0</v>
      </c>
    </row>
    <row r="61" spans="1:16" x14ac:dyDescent="0.25">
      <c r="A61" s="11">
        <f t="shared" si="6"/>
        <v>6</v>
      </c>
      <c r="B61">
        <v>-20.697718331274459</v>
      </c>
      <c r="E61" s="11">
        <f>A61-'Mastercurve bestimmen'!$B$2</f>
        <v>-74</v>
      </c>
      <c r="F61" s="11">
        <f t="shared" si="4"/>
        <v>-20.697718331274459</v>
      </c>
      <c r="G61" s="11"/>
      <c r="H61" s="11">
        <f t="shared" si="8"/>
        <v>899194740203776</v>
      </c>
      <c r="I61" s="11">
        <f t="shared" si="8"/>
        <v>-12151280273024</v>
      </c>
      <c r="J61" s="11">
        <f t="shared" si="8"/>
        <v>164206490176</v>
      </c>
      <c r="K61" s="11">
        <f t="shared" si="8"/>
        <v>-2219006624</v>
      </c>
      <c r="L61" s="11">
        <f t="shared" si="8"/>
        <v>29986576</v>
      </c>
      <c r="M61" s="11">
        <f t="shared" si="8"/>
        <v>-405224</v>
      </c>
      <c r="N61" s="11">
        <f t="shared" si="8"/>
        <v>5476</v>
      </c>
      <c r="O61" s="11">
        <f t="shared" si="8"/>
        <v>-74</v>
      </c>
      <c r="P61" s="11">
        <f t="shared" si="7"/>
        <v>0</v>
      </c>
    </row>
    <row r="62" spans="1:16" x14ac:dyDescent="0.25">
      <c r="A62" s="11">
        <f t="shared" si="6"/>
        <v>7</v>
      </c>
      <c r="B62">
        <v>-20.551067526929572</v>
      </c>
      <c r="E62" s="11">
        <f>A62-'Mastercurve bestimmen'!$B$2</f>
        <v>-73</v>
      </c>
      <c r="F62" s="11">
        <f t="shared" si="4"/>
        <v>-20.551067526929572</v>
      </c>
      <c r="G62" s="11"/>
      <c r="H62" s="11">
        <f t="shared" si="8"/>
        <v>806460091894081</v>
      </c>
      <c r="I62" s="11">
        <f t="shared" si="8"/>
        <v>-11047398519097</v>
      </c>
      <c r="J62" s="11">
        <f t="shared" si="8"/>
        <v>151334226289</v>
      </c>
      <c r="K62" s="11">
        <f t="shared" si="8"/>
        <v>-2073071593</v>
      </c>
      <c r="L62" s="11">
        <f t="shared" si="8"/>
        <v>28398241</v>
      </c>
      <c r="M62" s="11">
        <f t="shared" si="8"/>
        <v>-389017</v>
      </c>
      <c r="N62" s="11">
        <f t="shared" si="8"/>
        <v>5329</v>
      </c>
      <c r="O62" s="11">
        <f t="shared" si="8"/>
        <v>-73</v>
      </c>
      <c r="P62" s="11">
        <f t="shared" si="7"/>
        <v>0</v>
      </c>
    </row>
    <row r="63" spans="1:16" x14ac:dyDescent="0.25">
      <c r="A63" s="11">
        <f t="shared" si="6"/>
        <v>8</v>
      </c>
      <c r="B63">
        <v>-20.401270178169401</v>
      </c>
      <c r="E63" s="11">
        <f>A63-'Mastercurve bestimmen'!$B$2</f>
        <v>-72</v>
      </c>
      <c r="F63" s="11">
        <f t="shared" si="4"/>
        <v>-20.401270178169401</v>
      </c>
      <c r="G63" s="11"/>
      <c r="H63" s="11">
        <f t="shared" si="8"/>
        <v>722204136308736</v>
      </c>
      <c r="I63" s="11">
        <f t="shared" si="8"/>
        <v>-10030613004288</v>
      </c>
      <c r="J63" s="11">
        <f t="shared" si="8"/>
        <v>139314069504</v>
      </c>
      <c r="K63" s="11">
        <f t="shared" si="8"/>
        <v>-1934917632</v>
      </c>
      <c r="L63" s="11">
        <f t="shared" si="8"/>
        <v>26873856</v>
      </c>
      <c r="M63" s="11">
        <f t="shared" si="8"/>
        <v>-373248</v>
      </c>
      <c r="N63" s="11">
        <f t="shared" si="8"/>
        <v>5184</v>
      </c>
      <c r="O63" s="11">
        <f t="shared" si="8"/>
        <v>-72</v>
      </c>
      <c r="P63" s="11">
        <f t="shared" si="7"/>
        <v>0</v>
      </c>
    </row>
    <row r="64" spans="1:16" x14ac:dyDescent="0.25">
      <c r="A64" s="11">
        <f t="shared" si="6"/>
        <v>9</v>
      </c>
      <c r="B64">
        <v>-20.248258881656</v>
      </c>
      <c r="E64" s="11">
        <f>A64-'Mastercurve bestimmen'!$B$2</f>
        <v>-71</v>
      </c>
      <c r="F64" s="11">
        <f t="shared" si="4"/>
        <v>-20.248258881656</v>
      </c>
      <c r="G64" s="11"/>
      <c r="H64" s="11">
        <f t="shared" si="8"/>
        <v>645753531245761</v>
      </c>
      <c r="I64" s="11">
        <f t="shared" si="8"/>
        <v>-9095120158391</v>
      </c>
      <c r="J64" s="11">
        <f t="shared" si="8"/>
        <v>128100283921</v>
      </c>
      <c r="K64" s="11">
        <f t="shared" si="8"/>
        <v>-1804229351</v>
      </c>
      <c r="L64" s="11">
        <f t="shared" si="8"/>
        <v>25411681</v>
      </c>
      <c r="M64" s="11">
        <f t="shared" si="8"/>
        <v>-357911</v>
      </c>
      <c r="N64" s="11">
        <f t="shared" si="8"/>
        <v>5041</v>
      </c>
      <c r="O64" s="11">
        <f t="shared" si="8"/>
        <v>-71</v>
      </c>
      <c r="P64" s="11">
        <f t="shared" si="7"/>
        <v>0</v>
      </c>
    </row>
    <row r="65" spans="1:16" x14ac:dyDescent="0.25">
      <c r="A65" s="11">
        <f t="shared" si="6"/>
        <v>10</v>
      </c>
      <c r="B65">
        <v>-20.091966234051419</v>
      </c>
      <c r="E65" s="11">
        <f>A65-'Mastercurve bestimmen'!$B$2</f>
        <v>-70</v>
      </c>
      <c r="F65" s="11">
        <f t="shared" si="4"/>
        <v>-20.091966234051419</v>
      </c>
      <c r="G65" s="11"/>
      <c r="H65" s="11">
        <f t="shared" si="8"/>
        <v>576480100000000</v>
      </c>
      <c r="I65" s="11">
        <f t="shared" si="8"/>
        <v>-8235430000000</v>
      </c>
      <c r="J65" s="11">
        <f t="shared" si="8"/>
        <v>117649000000</v>
      </c>
      <c r="K65" s="11">
        <f t="shared" si="8"/>
        <v>-1680700000</v>
      </c>
      <c r="L65" s="11">
        <f t="shared" si="8"/>
        <v>24010000</v>
      </c>
      <c r="M65" s="11">
        <f t="shared" si="8"/>
        <v>-343000</v>
      </c>
      <c r="N65" s="11">
        <f t="shared" si="8"/>
        <v>4900</v>
      </c>
      <c r="O65" s="11">
        <f t="shared" si="8"/>
        <v>-70</v>
      </c>
      <c r="P65" s="11">
        <f t="shared" si="7"/>
        <v>0</v>
      </c>
    </row>
    <row r="66" spans="1:16" x14ac:dyDescent="0.25">
      <c r="A66" s="11">
        <f t="shared" si="6"/>
        <v>11</v>
      </c>
      <c r="B66">
        <v>-19.932324832017724</v>
      </c>
      <c r="E66" s="11">
        <f>A66-'Mastercurve bestimmen'!$B$2</f>
        <v>-69</v>
      </c>
      <c r="F66" s="11">
        <f t="shared" si="4"/>
        <v>-19.932324832017724</v>
      </c>
      <c r="G66" s="11"/>
      <c r="H66" s="11">
        <f t="shared" si="8"/>
        <v>513798374428641</v>
      </c>
      <c r="I66" s="11">
        <f t="shared" si="8"/>
        <v>-7446353252589</v>
      </c>
      <c r="J66" s="11">
        <f t="shared" si="8"/>
        <v>107918163081</v>
      </c>
      <c r="K66" s="11">
        <f t="shared" si="8"/>
        <v>-1564031349</v>
      </c>
      <c r="L66" s="11">
        <f t="shared" si="8"/>
        <v>22667121</v>
      </c>
      <c r="M66" s="11">
        <f t="shared" si="8"/>
        <v>-328509</v>
      </c>
      <c r="N66" s="11">
        <f t="shared" si="8"/>
        <v>4761</v>
      </c>
      <c r="O66" s="11">
        <f t="shared" si="8"/>
        <v>-69</v>
      </c>
      <c r="P66" s="11">
        <f t="shared" si="7"/>
        <v>0</v>
      </c>
    </row>
    <row r="67" spans="1:16" x14ac:dyDescent="0.25">
      <c r="A67" s="11">
        <f t="shared" si="6"/>
        <v>12</v>
      </c>
      <c r="B67">
        <v>-19.769267272216958</v>
      </c>
      <c r="E67" s="11">
        <f>A67-'Mastercurve bestimmen'!$B$2</f>
        <v>-68</v>
      </c>
      <c r="F67" s="11">
        <f t="shared" si="4"/>
        <v>-19.769267272216958</v>
      </c>
      <c r="G67" s="11"/>
      <c r="H67" s="11">
        <f t="shared" si="8"/>
        <v>457163239653376</v>
      </c>
      <c r="I67" s="11">
        <f t="shared" si="8"/>
        <v>-6722988818432</v>
      </c>
      <c r="J67" s="11">
        <f t="shared" si="8"/>
        <v>98867482624</v>
      </c>
      <c r="K67" s="11">
        <f t="shared" si="8"/>
        <v>-1453933568</v>
      </c>
      <c r="L67" s="11">
        <f t="shared" si="8"/>
        <v>21381376</v>
      </c>
      <c r="M67" s="11">
        <f t="shared" si="8"/>
        <v>-314432</v>
      </c>
      <c r="N67" s="11">
        <f t="shared" si="8"/>
        <v>4624</v>
      </c>
      <c r="O67" s="11">
        <f t="shared" si="8"/>
        <v>-68</v>
      </c>
      <c r="P67" s="11">
        <f t="shared" si="7"/>
        <v>0</v>
      </c>
    </row>
    <row r="68" spans="1:16" x14ac:dyDescent="0.25">
      <c r="A68" s="11">
        <f t="shared" si="6"/>
        <v>13</v>
      </c>
      <c r="B68">
        <v>-19.602726151311181</v>
      </c>
      <c r="E68" s="11">
        <f>A68-'Mastercurve bestimmen'!$B$2</f>
        <v>-67</v>
      </c>
      <c r="F68" s="11">
        <f t="shared" si="4"/>
        <v>-19.602726151311181</v>
      </c>
      <c r="G68" s="11"/>
      <c r="H68" s="11">
        <f t="shared" si="8"/>
        <v>406067677556641</v>
      </c>
      <c r="I68" s="11">
        <f t="shared" si="8"/>
        <v>-6060711605323</v>
      </c>
      <c r="J68" s="11">
        <f t="shared" si="8"/>
        <v>90458382169</v>
      </c>
      <c r="K68" s="11">
        <f t="shared" si="8"/>
        <v>-1350125107</v>
      </c>
      <c r="L68" s="11">
        <f t="shared" si="8"/>
        <v>20151121</v>
      </c>
      <c r="M68" s="11">
        <f t="shared" si="8"/>
        <v>-300763</v>
      </c>
      <c r="N68" s="11">
        <f t="shared" si="8"/>
        <v>4489</v>
      </c>
      <c r="O68" s="11">
        <f t="shared" si="8"/>
        <v>-67</v>
      </c>
      <c r="P68" s="11">
        <f t="shared" si="7"/>
        <v>0</v>
      </c>
    </row>
    <row r="69" spans="1:16" x14ac:dyDescent="0.25">
      <c r="A69" s="11">
        <f t="shared" si="6"/>
        <v>14</v>
      </c>
      <c r="B69">
        <v>-19.432634065962446</v>
      </c>
      <c r="E69" s="11">
        <f>A69-'Mastercurve bestimmen'!$B$2</f>
        <v>-66</v>
      </c>
      <c r="F69" s="11">
        <f t="shared" si="4"/>
        <v>-19.432634065962446</v>
      </c>
      <c r="G69" s="11"/>
      <c r="H69" s="11">
        <f t="shared" si="8"/>
        <v>360040606269696</v>
      </c>
      <c r="I69" s="11">
        <f t="shared" si="8"/>
        <v>-5455160701056</v>
      </c>
      <c r="J69" s="11">
        <f t="shared" si="8"/>
        <v>82653950016</v>
      </c>
      <c r="K69" s="11">
        <f t="shared" si="8"/>
        <v>-1252332576</v>
      </c>
      <c r="L69" s="11">
        <f t="shared" si="8"/>
        <v>18974736</v>
      </c>
      <c r="M69" s="11">
        <f t="shared" si="8"/>
        <v>-287496</v>
      </c>
      <c r="N69" s="11">
        <f t="shared" si="8"/>
        <v>4356</v>
      </c>
      <c r="O69" s="11">
        <f t="shared" si="8"/>
        <v>-66</v>
      </c>
      <c r="P69" s="11">
        <f t="shared" si="7"/>
        <v>0</v>
      </c>
    </row>
    <row r="70" spans="1:16" x14ac:dyDescent="0.25">
      <c r="A70" s="11">
        <f t="shared" si="6"/>
        <v>15</v>
      </c>
      <c r="B70">
        <v>-19.25892361283281</v>
      </c>
      <c r="E70" s="11">
        <f>A70-'Mastercurve bestimmen'!$B$2</f>
        <v>-65</v>
      </c>
      <c r="F70" s="11">
        <f t="shared" si="4"/>
        <v>-19.25892361283281</v>
      </c>
      <c r="G70" s="11"/>
      <c r="H70" s="11">
        <f t="shared" si="8"/>
        <v>318644812890625</v>
      </c>
      <c r="I70" s="11">
        <f t="shared" si="8"/>
        <v>-4902227890625</v>
      </c>
      <c r="J70" s="11">
        <f t="shared" si="8"/>
        <v>75418890625</v>
      </c>
      <c r="K70" s="11">
        <f t="shared" si="8"/>
        <v>-1160290625</v>
      </c>
      <c r="L70" s="11">
        <f t="shared" si="8"/>
        <v>17850625</v>
      </c>
      <c r="M70" s="11">
        <f t="shared" si="8"/>
        <v>-274625</v>
      </c>
      <c r="N70" s="11">
        <f t="shared" si="8"/>
        <v>4225</v>
      </c>
      <c r="O70" s="11">
        <f t="shared" si="8"/>
        <v>-65</v>
      </c>
      <c r="P70" s="11">
        <f t="shared" si="7"/>
        <v>0</v>
      </c>
    </row>
    <row r="71" spans="1:16" x14ac:dyDescent="0.25">
      <c r="A71" s="11">
        <f t="shared" si="6"/>
        <v>16</v>
      </c>
      <c r="B71">
        <v>-19.08152738858432</v>
      </c>
      <c r="E71" s="11">
        <f>A71-'Mastercurve bestimmen'!$B$2</f>
        <v>-64</v>
      </c>
      <c r="F71" s="11">
        <f t="shared" si="4"/>
        <v>-19.08152738858432</v>
      </c>
      <c r="G71" s="11"/>
      <c r="H71" s="11">
        <f t="shared" si="8"/>
        <v>281474976710656</v>
      </c>
      <c r="I71" s="11">
        <f t="shared" si="8"/>
        <v>-4398046511104</v>
      </c>
      <c r="J71" s="11">
        <f t="shared" si="8"/>
        <v>68719476736</v>
      </c>
      <c r="K71" s="11">
        <f t="shared" si="8"/>
        <v>-1073741824</v>
      </c>
      <c r="L71" s="11">
        <f t="shared" si="8"/>
        <v>16777216</v>
      </c>
      <c r="M71" s="11">
        <f t="shared" si="8"/>
        <v>-262144</v>
      </c>
      <c r="N71" s="11">
        <f t="shared" si="8"/>
        <v>4096</v>
      </c>
      <c r="O71" s="11">
        <f t="shared" si="8"/>
        <v>-64</v>
      </c>
      <c r="P71" s="11">
        <f t="shared" si="7"/>
        <v>0</v>
      </c>
    </row>
    <row r="72" spans="1:16" x14ac:dyDescent="0.25">
      <c r="A72" s="11">
        <f t="shared" si="6"/>
        <v>17</v>
      </c>
      <c r="B72">
        <v>-18.90037798987904</v>
      </c>
      <c r="E72" s="11">
        <f>A72-'Mastercurve bestimmen'!$B$2</f>
        <v>-63</v>
      </c>
      <c r="F72" s="11">
        <f t="shared" si="4"/>
        <v>-18.90037798987904</v>
      </c>
      <c r="G72" s="11"/>
      <c r="H72" s="11">
        <f t="shared" si="8"/>
        <v>248155780267521</v>
      </c>
      <c r="I72" s="11">
        <f t="shared" si="8"/>
        <v>-3938980639167</v>
      </c>
      <c r="J72" s="11">
        <f t="shared" si="8"/>
        <v>62523502209</v>
      </c>
      <c r="K72" s="11">
        <f t="shared" si="8"/>
        <v>-992436543</v>
      </c>
      <c r="L72" s="11">
        <f t="shared" si="8"/>
        <v>15752961</v>
      </c>
      <c r="M72" s="11">
        <f t="shared" si="8"/>
        <v>-250047</v>
      </c>
      <c r="N72" s="11">
        <f t="shared" si="8"/>
        <v>3969</v>
      </c>
      <c r="O72" s="11">
        <f t="shared" si="8"/>
        <v>-63</v>
      </c>
      <c r="P72" s="11">
        <f t="shared" si="7"/>
        <v>0</v>
      </c>
    </row>
    <row r="73" spans="1:16" x14ac:dyDescent="0.25">
      <c r="A73" s="11">
        <f t="shared" si="6"/>
        <v>18</v>
      </c>
      <c r="B73">
        <v>-18.715408013379019</v>
      </c>
      <c r="E73" s="11">
        <f>A73-'Mastercurve bestimmen'!$B$2</f>
        <v>-62</v>
      </c>
      <c r="F73" s="11">
        <f t="shared" si="4"/>
        <v>-18.715408013379019</v>
      </c>
      <c r="G73" s="11"/>
      <c r="H73" s="11">
        <f t="shared" si="8"/>
        <v>218340105584896</v>
      </c>
      <c r="I73" s="11">
        <f t="shared" si="8"/>
        <v>-3521614606208</v>
      </c>
      <c r="J73" s="11">
        <f t="shared" si="8"/>
        <v>56800235584</v>
      </c>
      <c r="K73" s="11">
        <f t="shared" si="8"/>
        <v>-916132832</v>
      </c>
      <c r="L73" s="11">
        <f t="shared" si="8"/>
        <v>14776336</v>
      </c>
      <c r="M73" s="11">
        <f t="shared" si="8"/>
        <v>-238328</v>
      </c>
      <c r="N73" s="11">
        <f t="shared" si="8"/>
        <v>3844</v>
      </c>
      <c r="O73" s="11">
        <f t="shared" si="8"/>
        <v>-62</v>
      </c>
      <c r="P73" s="11">
        <f t="shared" si="7"/>
        <v>0</v>
      </c>
    </row>
    <row r="74" spans="1:16" x14ac:dyDescent="0.25">
      <c r="A74" s="11">
        <f t="shared" si="6"/>
        <v>19</v>
      </c>
      <c r="B74">
        <v>-18.526550055746313</v>
      </c>
      <c r="E74" s="11">
        <f>A74-'Mastercurve bestimmen'!$B$2</f>
        <v>-61</v>
      </c>
      <c r="F74" s="11">
        <f t="shared" si="4"/>
        <v>-18.526550055746313</v>
      </c>
      <c r="G74" s="11"/>
      <c r="H74" s="11">
        <f t="shared" si="8"/>
        <v>191707312997281</v>
      </c>
      <c r="I74" s="11">
        <f t="shared" si="8"/>
        <v>-3142742836021</v>
      </c>
      <c r="J74" s="11">
        <f t="shared" si="8"/>
        <v>51520374361</v>
      </c>
      <c r="K74" s="11">
        <f t="shared" si="8"/>
        <v>-844596301</v>
      </c>
      <c r="L74" s="11">
        <f t="shared" si="8"/>
        <v>13845841</v>
      </c>
      <c r="M74" s="11">
        <f t="shared" si="8"/>
        <v>-226981</v>
      </c>
      <c r="N74" s="11">
        <f t="shared" si="8"/>
        <v>3721</v>
      </c>
      <c r="O74" s="11">
        <f t="shared" si="8"/>
        <v>-61</v>
      </c>
      <c r="P74" s="11">
        <f t="shared" si="7"/>
        <v>0</v>
      </c>
    </row>
    <row r="75" spans="1:16" x14ac:dyDescent="0.25">
      <c r="A75" s="11">
        <f t="shared" si="6"/>
        <v>20</v>
      </c>
      <c r="B75">
        <v>-18.333736713642978</v>
      </c>
      <c r="E75" s="11">
        <f>A75-'Mastercurve bestimmen'!$B$2</f>
        <v>-60</v>
      </c>
      <c r="F75" s="11">
        <f t="shared" si="4"/>
        <v>-18.333736713642978</v>
      </c>
      <c r="G75" s="11"/>
      <c r="H75" s="11">
        <f t="shared" si="8"/>
        <v>167961600000000</v>
      </c>
      <c r="I75" s="11">
        <f t="shared" si="8"/>
        <v>-2799360000000</v>
      </c>
      <c r="J75" s="11">
        <f t="shared" si="8"/>
        <v>46656000000</v>
      </c>
      <c r="K75" s="11">
        <f t="shared" si="8"/>
        <v>-777600000</v>
      </c>
      <c r="L75" s="11">
        <f t="shared" si="8"/>
        <v>12960000</v>
      </c>
      <c r="M75" s="11">
        <f t="shared" si="8"/>
        <v>-216000</v>
      </c>
      <c r="N75" s="11">
        <f t="shared" si="8"/>
        <v>3600</v>
      </c>
      <c r="O75" s="11">
        <f t="shared" si="8"/>
        <v>-60</v>
      </c>
      <c r="P75" s="11">
        <f t="shared" si="7"/>
        <v>0</v>
      </c>
    </row>
    <row r="76" spans="1:16" x14ac:dyDescent="0.25">
      <c r="A76" s="11">
        <f t="shared" si="6"/>
        <v>21</v>
      </c>
      <c r="B76">
        <v>-18.136900583731066</v>
      </c>
      <c r="E76" s="11">
        <f>A76-'Mastercurve bestimmen'!$B$2</f>
        <v>-59</v>
      </c>
      <c r="F76" s="11">
        <f t="shared" si="4"/>
        <v>-18.136900583731066</v>
      </c>
      <c r="G76" s="11"/>
      <c r="H76" s="11">
        <f t="shared" si="8"/>
        <v>146830437604321</v>
      </c>
      <c r="I76" s="11">
        <f t="shared" si="8"/>
        <v>-2488651484819</v>
      </c>
      <c r="J76" s="11">
        <f t="shared" si="8"/>
        <v>42180533641</v>
      </c>
      <c r="K76" s="11">
        <f t="shared" si="8"/>
        <v>-714924299</v>
      </c>
      <c r="L76" s="11">
        <f t="shared" si="8"/>
        <v>12117361</v>
      </c>
      <c r="M76" s="11">
        <f t="shared" si="8"/>
        <v>-205379</v>
      </c>
      <c r="N76" s="11">
        <f t="shared" si="8"/>
        <v>3481</v>
      </c>
      <c r="O76" s="11">
        <f t="shared" si="8"/>
        <v>-59</v>
      </c>
      <c r="P76" s="11">
        <f t="shared" si="7"/>
        <v>0</v>
      </c>
    </row>
    <row r="77" spans="1:16" x14ac:dyDescent="0.25">
      <c r="A77" s="11">
        <f t="shared" si="6"/>
        <v>22</v>
      </c>
      <c r="B77">
        <v>-17.93597426267263</v>
      </c>
      <c r="E77" s="11">
        <f>A77-'Mastercurve bestimmen'!$B$2</f>
        <v>-58</v>
      </c>
      <c r="F77" s="11">
        <f t="shared" si="4"/>
        <v>-17.93597426267263</v>
      </c>
      <c r="G77" s="11"/>
      <c r="H77" s="11">
        <f t="shared" si="8"/>
        <v>128063081718016</v>
      </c>
      <c r="I77" s="11">
        <f t="shared" si="8"/>
        <v>-2207984167552</v>
      </c>
      <c r="J77" s="11">
        <f t="shared" si="8"/>
        <v>38068692544</v>
      </c>
      <c r="K77" s="11">
        <f t="shared" si="8"/>
        <v>-656356768</v>
      </c>
      <c r="L77" s="11">
        <f t="shared" si="8"/>
        <v>11316496</v>
      </c>
      <c r="M77" s="11">
        <f t="shared" si="8"/>
        <v>-195112</v>
      </c>
      <c r="N77" s="11">
        <f t="shared" si="8"/>
        <v>3364</v>
      </c>
      <c r="O77" s="11">
        <f t="shared" si="8"/>
        <v>-58</v>
      </c>
      <c r="P77" s="11">
        <f t="shared" si="7"/>
        <v>0</v>
      </c>
    </row>
    <row r="78" spans="1:16" x14ac:dyDescent="0.25">
      <c r="A78" s="11">
        <f t="shared" si="6"/>
        <v>23</v>
      </c>
      <c r="B78">
        <v>-17.73089034712973</v>
      </c>
      <c r="E78" s="11">
        <f>A78-'Mastercurve bestimmen'!$B$2</f>
        <v>-57</v>
      </c>
      <c r="F78" s="11">
        <f t="shared" si="4"/>
        <v>-17.73089034712973</v>
      </c>
      <c r="G78" s="11"/>
      <c r="H78" s="11">
        <f t="shared" si="8"/>
        <v>111429157112001</v>
      </c>
      <c r="I78" s="11">
        <f t="shared" si="8"/>
        <v>-1954897493193</v>
      </c>
      <c r="J78" s="11">
        <f t="shared" si="8"/>
        <v>34296447249</v>
      </c>
      <c r="K78" s="11">
        <f t="shared" si="8"/>
        <v>-601692057</v>
      </c>
      <c r="L78" s="11">
        <f t="shared" si="8"/>
        <v>10556001</v>
      </c>
      <c r="M78" s="11">
        <f t="shared" si="8"/>
        <v>-185193</v>
      </c>
      <c r="N78" s="11">
        <f t="shared" si="8"/>
        <v>3249</v>
      </c>
      <c r="O78" s="11">
        <f t="shared" si="8"/>
        <v>-57</v>
      </c>
      <c r="P78" s="11">
        <f t="shared" si="7"/>
        <v>0</v>
      </c>
    </row>
    <row r="79" spans="1:16" x14ac:dyDescent="0.25">
      <c r="A79" s="11">
        <f t="shared" si="6"/>
        <v>24</v>
      </c>
      <c r="B79">
        <v>-17.521581433764418</v>
      </c>
      <c r="E79" s="11">
        <f>A79-'Mastercurve bestimmen'!$B$2</f>
        <v>-56</v>
      </c>
      <c r="F79" s="11">
        <f t="shared" si="4"/>
        <v>-17.521581433764418</v>
      </c>
      <c r="G79" s="11"/>
      <c r="H79" s="11">
        <f t="shared" si="8"/>
        <v>96717311574016</v>
      </c>
      <c r="I79" s="11">
        <f t="shared" si="8"/>
        <v>-1727094849536</v>
      </c>
      <c r="J79" s="11">
        <f t="shared" si="8"/>
        <v>30840979456</v>
      </c>
      <c r="K79" s="11">
        <f t="shared" si="8"/>
        <v>-550731776</v>
      </c>
      <c r="L79" s="11">
        <f t="shared" si="8"/>
        <v>9834496</v>
      </c>
      <c r="M79" s="11">
        <f t="shared" si="8"/>
        <v>-175616</v>
      </c>
      <c r="N79" s="11">
        <f t="shared" si="8"/>
        <v>3136</v>
      </c>
      <c r="O79" s="11">
        <f t="shared" ref="I79:O116" si="9">IF($H$12&gt;=O$14,$E79^O$14,0)</f>
        <v>-56</v>
      </c>
      <c r="P79" s="11">
        <f t="shared" si="7"/>
        <v>0</v>
      </c>
    </row>
    <row r="80" spans="1:16" x14ac:dyDescent="0.25">
      <c r="A80" s="11">
        <f t="shared" si="6"/>
        <v>25</v>
      </c>
      <c r="B80">
        <v>-17.307980119238746</v>
      </c>
      <c r="E80" s="11">
        <f>A80-'Mastercurve bestimmen'!$B$2</f>
        <v>-55</v>
      </c>
      <c r="F80" s="11">
        <f t="shared" ref="F80:F143" si="10">B80</f>
        <v>-17.307980119238746</v>
      </c>
      <c r="G80" s="11"/>
      <c r="H80" s="11">
        <f t="shared" ref="H80:H143" si="11">IF($H$12&gt;=H$14,$E80^H$14,0)</f>
        <v>83733937890625</v>
      </c>
      <c r="I80" s="11">
        <f t="shared" si="9"/>
        <v>-1522435234375</v>
      </c>
      <c r="J80" s="11">
        <f t="shared" si="9"/>
        <v>27680640625</v>
      </c>
      <c r="K80" s="11">
        <f t="shared" si="9"/>
        <v>-503284375</v>
      </c>
      <c r="L80" s="11">
        <f t="shared" si="9"/>
        <v>9150625</v>
      </c>
      <c r="M80" s="11">
        <f t="shared" si="9"/>
        <v>-166375</v>
      </c>
      <c r="N80" s="11">
        <f t="shared" si="9"/>
        <v>3025</v>
      </c>
      <c r="O80" s="11">
        <f t="shared" si="9"/>
        <v>-55</v>
      </c>
      <c r="P80" s="11">
        <f t="shared" si="7"/>
        <v>0</v>
      </c>
    </row>
    <row r="81" spans="1:16" x14ac:dyDescent="0.25">
      <c r="A81" s="11">
        <f t="shared" ref="A81:A144" si="12">A80+1</f>
        <v>26</v>
      </c>
      <c r="B81">
        <v>-17.090042560221882</v>
      </c>
      <c r="E81" s="11">
        <f>A81-'Mastercurve bestimmen'!$B$2</f>
        <v>-54</v>
      </c>
      <c r="F81" s="11">
        <f t="shared" si="10"/>
        <v>-17.090042560221882</v>
      </c>
      <c r="G81" s="11"/>
      <c r="H81" s="11">
        <f t="shared" si="11"/>
        <v>72301961339136</v>
      </c>
      <c r="I81" s="11">
        <f t="shared" si="9"/>
        <v>-1338925209984</v>
      </c>
      <c r="J81" s="11">
        <f t="shared" si="9"/>
        <v>24794911296</v>
      </c>
      <c r="K81" s="11">
        <f t="shared" si="9"/>
        <v>-459165024</v>
      </c>
      <c r="L81" s="11">
        <f t="shared" si="9"/>
        <v>8503056</v>
      </c>
      <c r="M81" s="11">
        <f t="shared" si="9"/>
        <v>-157464</v>
      </c>
      <c r="N81" s="11">
        <f t="shared" si="9"/>
        <v>2916</v>
      </c>
      <c r="O81" s="11">
        <f t="shared" si="9"/>
        <v>-54</v>
      </c>
      <c r="P81" s="11">
        <f t="shared" ref="P81:P144" si="13">P80</f>
        <v>0</v>
      </c>
    </row>
    <row r="82" spans="1:16" x14ac:dyDescent="0.25">
      <c r="A82" s="11">
        <f t="shared" si="12"/>
        <v>27</v>
      </c>
      <c r="B82">
        <v>-16.867819153411435</v>
      </c>
      <c r="E82" s="11">
        <f>A82-'Mastercurve bestimmen'!$B$2</f>
        <v>-53</v>
      </c>
      <c r="F82" s="11">
        <f t="shared" si="10"/>
        <v>-16.867819153411435</v>
      </c>
      <c r="G82" s="11"/>
      <c r="H82" s="11">
        <f t="shared" si="11"/>
        <v>62259690411361</v>
      </c>
      <c r="I82" s="11">
        <f t="shared" si="9"/>
        <v>-1174711139837</v>
      </c>
      <c r="J82" s="11">
        <f t="shared" si="9"/>
        <v>22164361129</v>
      </c>
      <c r="K82" s="11">
        <f t="shared" si="9"/>
        <v>-418195493</v>
      </c>
      <c r="L82" s="11">
        <f t="shared" si="9"/>
        <v>7890481</v>
      </c>
      <c r="M82" s="11">
        <f t="shared" si="9"/>
        <v>-148877</v>
      </c>
      <c r="N82" s="11">
        <f t="shared" si="9"/>
        <v>2809</v>
      </c>
      <c r="O82" s="11">
        <f t="shared" si="9"/>
        <v>-53</v>
      </c>
      <c r="P82" s="11">
        <f t="shared" si="13"/>
        <v>0</v>
      </c>
    </row>
    <row r="83" spans="1:16" x14ac:dyDescent="0.25">
      <c r="A83" s="11">
        <f t="shared" si="12"/>
        <v>28</v>
      </c>
      <c r="B83">
        <v>-16.641383855512128</v>
      </c>
      <c r="E83" s="11">
        <f>A83-'Mastercurve bestimmen'!$B$2</f>
        <v>-52</v>
      </c>
      <c r="F83" s="11">
        <f t="shared" si="10"/>
        <v>-16.641383855512128</v>
      </c>
      <c r="G83" s="11"/>
      <c r="H83" s="11">
        <f t="shared" si="11"/>
        <v>53459728531456</v>
      </c>
      <c r="I83" s="11">
        <f t="shared" si="9"/>
        <v>-1028071702528</v>
      </c>
      <c r="J83" s="11">
        <f t="shared" si="9"/>
        <v>19770609664</v>
      </c>
      <c r="K83" s="11">
        <f t="shared" si="9"/>
        <v>-380204032</v>
      </c>
      <c r="L83" s="11">
        <f t="shared" si="9"/>
        <v>7311616</v>
      </c>
      <c r="M83" s="11">
        <f t="shared" si="9"/>
        <v>-140608</v>
      </c>
      <c r="N83" s="11">
        <f t="shared" si="9"/>
        <v>2704</v>
      </c>
      <c r="O83" s="11">
        <f t="shared" si="9"/>
        <v>-52</v>
      </c>
      <c r="P83" s="11">
        <f t="shared" si="13"/>
        <v>0</v>
      </c>
    </row>
    <row r="84" spans="1:16" x14ac:dyDescent="0.25">
      <c r="A84" s="11">
        <f t="shared" si="12"/>
        <v>29</v>
      </c>
      <c r="B84">
        <v>-16.410810623228684</v>
      </c>
      <c r="E84" s="11">
        <f>A84-'Mastercurve bestimmen'!$B$2</f>
        <v>-51</v>
      </c>
      <c r="F84" s="11">
        <f t="shared" si="10"/>
        <v>-16.410810623228684</v>
      </c>
      <c r="G84" s="11"/>
      <c r="H84" s="11">
        <f t="shared" si="11"/>
        <v>45767944570401</v>
      </c>
      <c r="I84" s="11">
        <f t="shared" si="9"/>
        <v>-897410677851</v>
      </c>
      <c r="J84" s="11">
        <f t="shared" si="9"/>
        <v>17596287801</v>
      </c>
      <c r="K84" s="11">
        <f t="shared" si="9"/>
        <v>-345025251</v>
      </c>
      <c r="L84" s="11">
        <f t="shared" si="9"/>
        <v>6765201</v>
      </c>
      <c r="M84" s="11">
        <f t="shared" si="9"/>
        <v>-132651</v>
      </c>
      <c r="N84" s="11">
        <f t="shared" si="9"/>
        <v>2601</v>
      </c>
      <c r="O84" s="11">
        <f t="shared" si="9"/>
        <v>-51</v>
      </c>
      <c r="P84" s="11">
        <f t="shared" si="13"/>
        <v>0</v>
      </c>
    </row>
    <row r="85" spans="1:16" x14ac:dyDescent="0.25">
      <c r="A85" s="11">
        <f t="shared" si="12"/>
        <v>30</v>
      </c>
      <c r="B85">
        <v>-16.176173413265815</v>
      </c>
      <c r="E85" s="11">
        <f>A85-'Mastercurve bestimmen'!$B$2</f>
        <v>-50</v>
      </c>
      <c r="F85" s="11">
        <f t="shared" si="10"/>
        <v>-16.176173413265815</v>
      </c>
      <c r="G85" s="11"/>
      <c r="H85" s="11">
        <f t="shared" si="11"/>
        <v>39062500000000</v>
      </c>
      <c r="I85" s="11">
        <f t="shared" si="9"/>
        <v>-781250000000</v>
      </c>
      <c r="J85" s="11">
        <f t="shared" si="9"/>
        <v>15625000000</v>
      </c>
      <c r="K85" s="11">
        <f t="shared" si="9"/>
        <v>-312500000</v>
      </c>
      <c r="L85" s="11">
        <f t="shared" si="9"/>
        <v>6250000</v>
      </c>
      <c r="M85" s="11">
        <f t="shared" si="9"/>
        <v>-125000</v>
      </c>
      <c r="N85" s="11">
        <f t="shared" si="9"/>
        <v>2500</v>
      </c>
      <c r="O85" s="11">
        <f t="shared" si="9"/>
        <v>-50</v>
      </c>
      <c r="P85" s="11">
        <f t="shared" si="13"/>
        <v>0</v>
      </c>
    </row>
    <row r="86" spans="1:16" x14ac:dyDescent="0.25">
      <c r="A86" s="11">
        <f t="shared" si="12"/>
        <v>31</v>
      </c>
      <c r="B86">
        <v>-15.937546182328253</v>
      </c>
      <c r="E86" s="11">
        <f>A86-'Mastercurve bestimmen'!$B$2</f>
        <v>-49</v>
      </c>
      <c r="F86" s="11">
        <f t="shared" si="10"/>
        <v>-15.937546182328253</v>
      </c>
      <c r="G86" s="11"/>
      <c r="H86" s="11">
        <f t="shared" si="11"/>
        <v>33232930569601</v>
      </c>
      <c r="I86" s="11">
        <f t="shared" si="9"/>
        <v>-678223072849</v>
      </c>
      <c r="J86" s="11">
        <f t="shared" si="9"/>
        <v>13841287201</v>
      </c>
      <c r="K86" s="11">
        <f t="shared" si="9"/>
        <v>-282475249</v>
      </c>
      <c r="L86" s="11">
        <f t="shared" si="9"/>
        <v>5764801</v>
      </c>
      <c r="M86" s="11">
        <f t="shared" si="9"/>
        <v>-117649</v>
      </c>
      <c r="N86" s="11">
        <f t="shared" si="9"/>
        <v>2401</v>
      </c>
      <c r="O86" s="11">
        <f t="shared" si="9"/>
        <v>-49</v>
      </c>
      <c r="P86" s="11">
        <f t="shared" si="13"/>
        <v>0</v>
      </c>
    </row>
    <row r="87" spans="1:16" x14ac:dyDescent="0.25">
      <c r="A87" s="11">
        <f t="shared" si="12"/>
        <v>32</v>
      </c>
      <c r="B87">
        <v>-15.695002887120713</v>
      </c>
      <c r="E87" s="11">
        <f>A87-'Mastercurve bestimmen'!$B$2</f>
        <v>-48</v>
      </c>
      <c r="F87" s="11">
        <f t="shared" si="10"/>
        <v>-15.695002887120713</v>
      </c>
      <c r="G87" s="11"/>
      <c r="H87" s="11">
        <f t="shared" si="11"/>
        <v>28179280429056</v>
      </c>
      <c r="I87" s="11">
        <f t="shared" si="9"/>
        <v>-587068342272</v>
      </c>
      <c r="J87" s="11">
        <f t="shared" si="9"/>
        <v>12230590464</v>
      </c>
      <c r="K87" s="11">
        <f t="shared" si="9"/>
        <v>-254803968</v>
      </c>
      <c r="L87" s="11">
        <f t="shared" si="9"/>
        <v>5308416</v>
      </c>
      <c r="M87" s="11">
        <f t="shared" si="9"/>
        <v>-110592</v>
      </c>
      <c r="N87" s="11">
        <f t="shared" si="9"/>
        <v>2304</v>
      </c>
      <c r="O87" s="11">
        <f t="shared" si="9"/>
        <v>-48</v>
      </c>
      <c r="P87" s="11">
        <f t="shared" si="13"/>
        <v>0</v>
      </c>
    </row>
    <row r="88" spans="1:16" x14ac:dyDescent="0.25">
      <c r="A88" s="11">
        <f t="shared" si="12"/>
        <v>33</v>
      </c>
      <c r="B88">
        <v>-15.448617484347915</v>
      </c>
      <c r="E88" s="11">
        <f>A88-'Mastercurve bestimmen'!$B$2</f>
        <v>-47</v>
      </c>
      <c r="F88" s="11">
        <f t="shared" si="10"/>
        <v>-15.448617484347915</v>
      </c>
      <c r="G88" s="11"/>
      <c r="H88" s="11">
        <f t="shared" si="11"/>
        <v>23811286661761</v>
      </c>
      <c r="I88" s="11">
        <f t="shared" si="9"/>
        <v>-506623120463</v>
      </c>
      <c r="J88" s="11">
        <f t="shared" si="9"/>
        <v>10779215329</v>
      </c>
      <c r="K88" s="11">
        <f t="shared" si="9"/>
        <v>-229345007</v>
      </c>
      <c r="L88" s="11">
        <f t="shared" si="9"/>
        <v>4879681</v>
      </c>
      <c r="M88" s="11">
        <f t="shared" si="9"/>
        <v>-103823</v>
      </c>
      <c r="N88" s="11">
        <f t="shared" si="9"/>
        <v>2209</v>
      </c>
      <c r="O88" s="11">
        <f t="shared" si="9"/>
        <v>-47</v>
      </c>
      <c r="P88" s="11">
        <f t="shared" si="13"/>
        <v>0</v>
      </c>
    </row>
    <row r="89" spans="1:16" x14ac:dyDescent="0.25">
      <c r="A89" s="11">
        <f t="shared" si="12"/>
        <v>34</v>
      </c>
      <c r="B89">
        <v>-15.198463930714585</v>
      </c>
      <c r="E89" s="11">
        <f>A89-'Mastercurve bestimmen'!$B$2</f>
        <v>-46</v>
      </c>
      <c r="F89" s="11">
        <f t="shared" si="10"/>
        <v>-15.198463930714585</v>
      </c>
      <c r="G89" s="11"/>
      <c r="H89" s="11">
        <f t="shared" si="11"/>
        <v>20047612231936</v>
      </c>
      <c r="I89" s="11">
        <f t="shared" si="9"/>
        <v>-435817657216</v>
      </c>
      <c r="J89" s="11">
        <f t="shared" si="9"/>
        <v>9474296896</v>
      </c>
      <c r="K89" s="11">
        <f t="shared" si="9"/>
        <v>-205962976</v>
      </c>
      <c r="L89" s="11">
        <f t="shared" si="9"/>
        <v>4477456</v>
      </c>
      <c r="M89" s="11">
        <f t="shared" si="9"/>
        <v>-97336</v>
      </c>
      <c r="N89" s="11">
        <f t="shared" si="9"/>
        <v>2116</v>
      </c>
      <c r="O89" s="11">
        <f t="shared" si="9"/>
        <v>-46</v>
      </c>
      <c r="P89" s="11">
        <f t="shared" si="13"/>
        <v>0</v>
      </c>
    </row>
    <row r="90" spans="1:16" x14ac:dyDescent="0.25">
      <c r="A90" s="11">
        <f t="shared" si="12"/>
        <v>35</v>
      </c>
      <c r="B90">
        <v>-14.944616182925444</v>
      </c>
      <c r="E90" s="11">
        <f>A90-'Mastercurve bestimmen'!$B$2</f>
        <v>-45</v>
      </c>
      <c r="F90" s="11">
        <f t="shared" si="10"/>
        <v>-14.944616182925444</v>
      </c>
      <c r="G90" s="11"/>
      <c r="H90" s="11">
        <f t="shared" si="11"/>
        <v>16815125390625</v>
      </c>
      <c r="I90" s="11">
        <f t="shared" si="9"/>
        <v>-373669453125</v>
      </c>
      <c r="J90" s="11">
        <f t="shared" si="9"/>
        <v>8303765625</v>
      </c>
      <c r="K90" s="11">
        <f t="shared" si="9"/>
        <v>-184528125</v>
      </c>
      <c r="L90" s="11">
        <f t="shared" si="9"/>
        <v>4100625</v>
      </c>
      <c r="M90" s="11">
        <f t="shared" si="9"/>
        <v>-91125</v>
      </c>
      <c r="N90" s="11">
        <f t="shared" si="9"/>
        <v>2025</v>
      </c>
      <c r="O90" s="11">
        <f t="shared" si="9"/>
        <v>-45</v>
      </c>
      <c r="P90" s="11">
        <f t="shared" si="13"/>
        <v>0</v>
      </c>
    </row>
    <row r="91" spans="1:16" x14ac:dyDescent="0.25">
      <c r="A91" s="11">
        <f t="shared" si="12"/>
        <v>36</v>
      </c>
      <c r="B91">
        <v>-14.687148197685204</v>
      </c>
      <c r="E91" s="11">
        <f>A91-'Mastercurve bestimmen'!$B$2</f>
        <v>-44</v>
      </c>
      <c r="F91" s="11">
        <f t="shared" si="10"/>
        <v>-14.687148197685204</v>
      </c>
      <c r="G91" s="11"/>
      <c r="H91" s="11">
        <f t="shared" si="11"/>
        <v>14048223625216</v>
      </c>
      <c r="I91" s="11">
        <f t="shared" si="9"/>
        <v>-319277809664</v>
      </c>
      <c r="J91" s="11">
        <f t="shared" si="9"/>
        <v>7256313856</v>
      </c>
      <c r="K91" s="11">
        <f t="shared" si="9"/>
        <v>-164916224</v>
      </c>
      <c r="L91" s="11">
        <f t="shared" si="9"/>
        <v>3748096</v>
      </c>
      <c r="M91" s="11">
        <f t="shared" si="9"/>
        <v>-85184</v>
      </c>
      <c r="N91" s="11">
        <f t="shared" si="9"/>
        <v>1936</v>
      </c>
      <c r="O91" s="11">
        <f t="shared" si="9"/>
        <v>-44</v>
      </c>
      <c r="P91" s="11">
        <f t="shared" si="13"/>
        <v>0</v>
      </c>
    </row>
    <row r="92" spans="1:16" x14ac:dyDescent="0.25">
      <c r="A92" s="11">
        <f t="shared" si="12"/>
        <v>37</v>
      </c>
      <c r="B92">
        <v>-14.426133931698597</v>
      </c>
      <c r="E92" s="11">
        <f>A92-'Mastercurve bestimmen'!$B$2</f>
        <v>-43</v>
      </c>
      <c r="F92" s="11">
        <f t="shared" si="10"/>
        <v>-14.426133931698597</v>
      </c>
      <c r="G92" s="11"/>
      <c r="H92" s="11">
        <f t="shared" si="11"/>
        <v>11688200277601</v>
      </c>
      <c r="I92" s="11">
        <f t="shared" si="9"/>
        <v>-271818611107</v>
      </c>
      <c r="J92" s="11">
        <f t="shared" si="9"/>
        <v>6321363049</v>
      </c>
      <c r="K92" s="11">
        <f t="shared" si="9"/>
        <v>-147008443</v>
      </c>
      <c r="L92" s="11">
        <f t="shared" si="9"/>
        <v>3418801</v>
      </c>
      <c r="M92" s="11">
        <f t="shared" si="9"/>
        <v>-79507</v>
      </c>
      <c r="N92" s="11">
        <f t="shared" si="9"/>
        <v>1849</v>
      </c>
      <c r="O92" s="11">
        <f t="shared" si="9"/>
        <v>-43</v>
      </c>
      <c r="P92" s="11">
        <f t="shared" si="13"/>
        <v>0</v>
      </c>
    </row>
    <row r="93" spans="1:16" x14ac:dyDescent="0.25">
      <c r="A93" s="11">
        <f t="shared" si="12"/>
        <v>38</v>
      </c>
      <c r="B93">
        <v>-14.16164734167034</v>
      </c>
      <c r="E93" s="11">
        <f>A93-'Mastercurve bestimmen'!$B$2</f>
        <v>-42</v>
      </c>
      <c r="F93" s="11">
        <f t="shared" si="10"/>
        <v>-14.16164734167034</v>
      </c>
      <c r="G93" s="11"/>
      <c r="H93" s="11">
        <f t="shared" si="11"/>
        <v>9682651996416</v>
      </c>
      <c r="I93" s="11">
        <f t="shared" si="9"/>
        <v>-230539333248</v>
      </c>
      <c r="J93" s="11">
        <f t="shared" si="9"/>
        <v>5489031744</v>
      </c>
      <c r="K93" s="11">
        <f t="shared" si="9"/>
        <v>-130691232</v>
      </c>
      <c r="L93" s="11">
        <f t="shared" si="9"/>
        <v>3111696</v>
      </c>
      <c r="M93" s="11">
        <f t="shared" si="9"/>
        <v>-74088</v>
      </c>
      <c r="N93" s="11">
        <f t="shared" si="9"/>
        <v>1764</v>
      </c>
      <c r="O93" s="11">
        <f t="shared" si="9"/>
        <v>-42</v>
      </c>
      <c r="P93" s="11">
        <f t="shared" si="13"/>
        <v>0</v>
      </c>
    </row>
    <row r="94" spans="1:16" x14ac:dyDescent="0.25">
      <c r="A94" s="11">
        <f t="shared" si="12"/>
        <v>39</v>
      </c>
      <c r="B94">
        <v>-13.893762384305155</v>
      </c>
      <c r="E94" s="11">
        <f>A94-'Mastercurve bestimmen'!$B$2</f>
        <v>-41</v>
      </c>
      <c r="F94" s="11">
        <f t="shared" si="10"/>
        <v>-13.893762384305155</v>
      </c>
      <c r="G94" s="11"/>
      <c r="H94" s="11">
        <f t="shared" si="11"/>
        <v>7984925229121</v>
      </c>
      <c r="I94" s="11">
        <f t="shared" si="9"/>
        <v>-194754273881</v>
      </c>
      <c r="J94" s="11">
        <f t="shared" si="9"/>
        <v>4750104241</v>
      </c>
      <c r="K94" s="11">
        <f t="shared" si="9"/>
        <v>-115856201</v>
      </c>
      <c r="L94" s="11">
        <f t="shared" si="9"/>
        <v>2825761</v>
      </c>
      <c r="M94" s="11">
        <f t="shared" si="9"/>
        <v>-68921</v>
      </c>
      <c r="N94" s="11">
        <f t="shared" si="9"/>
        <v>1681</v>
      </c>
      <c r="O94" s="11">
        <f t="shared" si="9"/>
        <v>-41</v>
      </c>
      <c r="P94" s="11">
        <f t="shared" si="13"/>
        <v>0</v>
      </c>
    </row>
    <row r="95" spans="1:16" x14ac:dyDescent="0.25">
      <c r="A95" s="11">
        <f t="shared" si="12"/>
        <v>40</v>
      </c>
      <c r="B95">
        <v>-13.622553016307759</v>
      </c>
      <c r="E95" s="11">
        <f>A95-'Mastercurve bestimmen'!$B$2</f>
        <v>-40</v>
      </c>
      <c r="F95" s="11">
        <f t="shared" si="10"/>
        <v>-13.622553016307759</v>
      </c>
      <c r="G95" s="11"/>
      <c r="H95" s="11">
        <f t="shared" si="11"/>
        <v>6553600000000</v>
      </c>
      <c r="I95" s="11">
        <f t="shared" si="9"/>
        <v>-163840000000</v>
      </c>
      <c r="J95" s="11">
        <f t="shared" si="9"/>
        <v>4096000000</v>
      </c>
      <c r="K95" s="11">
        <f t="shared" si="9"/>
        <v>-102400000</v>
      </c>
      <c r="L95" s="11">
        <f t="shared" si="9"/>
        <v>2560000</v>
      </c>
      <c r="M95" s="11">
        <f t="shared" si="9"/>
        <v>-64000</v>
      </c>
      <c r="N95" s="11">
        <f t="shared" si="9"/>
        <v>1600</v>
      </c>
      <c r="O95" s="11">
        <f t="shared" si="9"/>
        <v>-40</v>
      </c>
      <c r="P95" s="11">
        <f t="shared" si="13"/>
        <v>0</v>
      </c>
    </row>
    <row r="96" spans="1:16" x14ac:dyDescent="0.25">
      <c r="A96" s="11">
        <f t="shared" si="12"/>
        <v>41</v>
      </c>
      <c r="B96">
        <v>-13.34809319438288</v>
      </c>
      <c r="E96" s="11">
        <f>A96-'Mastercurve bestimmen'!$B$2</f>
        <v>-39</v>
      </c>
      <c r="F96" s="11">
        <f t="shared" si="10"/>
        <v>-13.34809319438288</v>
      </c>
      <c r="G96" s="11"/>
      <c r="H96" s="11">
        <f t="shared" si="11"/>
        <v>5352009260481</v>
      </c>
      <c r="I96" s="11">
        <f t="shared" si="9"/>
        <v>-137231006679</v>
      </c>
      <c r="J96" s="11">
        <f t="shared" si="9"/>
        <v>3518743761</v>
      </c>
      <c r="K96" s="11">
        <f t="shared" si="9"/>
        <v>-90224199</v>
      </c>
      <c r="L96" s="11">
        <f t="shared" si="9"/>
        <v>2313441</v>
      </c>
      <c r="M96" s="11">
        <f t="shared" si="9"/>
        <v>-59319</v>
      </c>
      <c r="N96" s="11">
        <f t="shared" si="9"/>
        <v>1521</v>
      </c>
      <c r="O96" s="11">
        <f t="shared" si="9"/>
        <v>-39</v>
      </c>
      <c r="P96" s="11">
        <f t="shared" si="13"/>
        <v>0</v>
      </c>
    </row>
    <row r="97" spans="1:16" x14ac:dyDescent="0.25">
      <c r="A97" s="11">
        <f t="shared" si="12"/>
        <v>42</v>
      </c>
      <c r="B97">
        <v>-13.070456875235234</v>
      </c>
      <c r="E97" s="11">
        <f>A97-'Mastercurve bestimmen'!$B$2</f>
        <v>-38</v>
      </c>
      <c r="F97" s="11">
        <f t="shared" si="10"/>
        <v>-13.070456875235234</v>
      </c>
      <c r="G97" s="11"/>
      <c r="H97" s="11">
        <f t="shared" si="11"/>
        <v>4347792138496</v>
      </c>
      <c r="I97" s="11">
        <f t="shared" si="9"/>
        <v>-114415582592</v>
      </c>
      <c r="J97" s="11">
        <f t="shared" si="9"/>
        <v>3010936384</v>
      </c>
      <c r="K97" s="11">
        <f t="shared" si="9"/>
        <v>-79235168</v>
      </c>
      <c r="L97" s="11">
        <f t="shared" si="9"/>
        <v>2085136</v>
      </c>
      <c r="M97" s="11">
        <f t="shared" si="9"/>
        <v>-54872</v>
      </c>
      <c r="N97" s="11">
        <f t="shared" si="9"/>
        <v>1444</v>
      </c>
      <c r="O97" s="11">
        <f t="shared" si="9"/>
        <v>-38</v>
      </c>
      <c r="P97" s="11">
        <f t="shared" si="13"/>
        <v>0</v>
      </c>
    </row>
    <row r="98" spans="1:16" x14ac:dyDescent="0.25">
      <c r="A98" s="11">
        <f t="shared" si="12"/>
        <v>43</v>
      </c>
      <c r="B98">
        <v>-12.789718015569541</v>
      </c>
      <c r="E98" s="11">
        <f>A98-'Mastercurve bestimmen'!$B$2</f>
        <v>-37</v>
      </c>
      <c r="F98" s="11">
        <f t="shared" si="10"/>
        <v>-12.789718015569541</v>
      </c>
      <c r="G98" s="11"/>
      <c r="H98" s="11">
        <f t="shared" si="11"/>
        <v>3512479453921</v>
      </c>
      <c r="I98" s="11">
        <f t="shared" si="9"/>
        <v>-94931877133</v>
      </c>
      <c r="J98" s="11">
        <f t="shared" si="9"/>
        <v>2565726409</v>
      </c>
      <c r="K98" s="11">
        <f t="shared" si="9"/>
        <v>-69343957</v>
      </c>
      <c r="L98" s="11">
        <f t="shared" si="9"/>
        <v>1874161</v>
      </c>
      <c r="M98" s="11">
        <f t="shared" si="9"/>
        <v>-50653</v>
      </c>
      <c r="N98" s="11">
        <f t="shared" si="9"/>
        <v>1369</v>
      </c>
      <c r="O98" s="11">
        <f t="shared" si="9"/>
        <v>-37</v>
      </c>
      <c r="P98" s="11">
        <f t="shared" si="13"/>
        <v>0</v>
      </c>
    </row>
    <row r="99" spans="1:16" x14ac:dyDescent="0.25">
      <c r="A99" s="11">
        <f t="shared" si="12"/>
        <v>44</v>
      </c>
      <c r="B99">
        <v>-12.50595057209053</v>
      </c>
      <c r="E99" s="11">
        <f>A99-'Mastercurve bestimmen'!$B$2</f>
        <v>-36</v>
      </c>
      <c r="F99" s="11">
        <f t="shared" si="10"/>
        <v>-12.50595057209053</v>
      </c>
      <c r="G99" s="11"/>
      <c r="H99" s="11">
        <f t="shared" si="11"/>
        <v>2821109907456</v>
      </c>
      <c r="I99" s="11">
        <f t="shared" si="9"/>
        <v>-78364164096</v>
      </c>
      <c r="J99" s="11">
        <f t="shared" si="9"/>
        <v>2176782336</v>
      </c>
      <c r="K99" s="11">
        <f t="shared" si="9"/>
        <v>-60466176</v>
      </c>
      <c r="L99" s="11">
        <f t="shared" si="9"/>
        <v>1679616</v>
      </c>
      <c r="M99" s="11">
        <f t="shared" si="9"/>
        <v>-46656</v>
      </c>
      <c r="N99" s="11">
        <f t="shared" si="9"/>
        <v>1296</v>
      </c>
      <c r="O99" s="11">
        <f t="shared" si="9"/>
        <v>-36</v>
      </c>
      <c r="P99" s="11">
        <f t="shared" si="13"/>
        <v>0</v>
      </c>
    </row>
    <row r="100" spans="1:16" x14ac:dyDescent="0.25">
      <c r="A100" s="11">
        <f t="shared" si="12"/>
        <v>45</v>
      </c>
      <c r="B100">
        <v>-12.219228501502913</v>
      </c>
      <c r="E100" s="11">
        <f>A100-'Mastercurve bestimmen'!$B$2</f>
        <v>-35</v>
      </c>
      <c r="F100" s="11">
        <f t="shared" si="10"/>
        <v>-12.219228501502913</v>
      </c>
      <c r="G100" s="11"/>
      <c r="H100" s="11">
        <f t="shared" si="11"/>
        <v>2251875390625</v>
      </c>
      <c r="I100" s="11">
        <f t="shared" si="9"/>
        <v>-64339296875</v>
      </c>
      <c r="J100" s="11">
        <f t="shared" si="9"/>
        <v>1838265625</v>
      </c>
      <c r="K100" s="11">
        <f t="shared" si="9"/>
        <v>-52521875</v>
      </c>
      <c r="L100" s="11">
        <f t="shared" si="9"/>
        <v>1500625</v>
      </c>
      <c r="M100" s="11">
        <f t="shared" si="9"/>
        <v>-42875</v>
      </c>
      <c r="N100" s="11">
        <f t="shared" si="9"/>
        <v>1225</v>
      </c>
      <c r="O100" s="11">
        <f t="shared" si="9"/>
        <v>-35</v>
      </c>
      <c r="P100" s="11">
        <f t="shared" si="13"/>
        <v>0</v>
      </c>
    </row>
    <row r="101" spans="1:16" x14ac:dyDescent="0.25">
      <c r="A101" s="11">
        <f t="shared" si="12"/>
        <v>46</v>
      </c>
      <c r="B101">
        <v>-11.929625760511417</v>
      </c>
      <c r="E101" s="11">
        <f>A101-'Mastercurve bestimmen'!$B$2</f>
        <v>-34</v>
      </c>
      <c r="F101" s="11">
        <f t="shared" si="10"/>
        <v>-11.929625760511417</v>
      </c>
      <c r="G101" s="11"/>
      <c r="H101" s="11">
        <f t="shared" si="11"/>
        <v>1785793904896</v>
      </c>
      <c r="I101" s="11">
        <f t="shared" si="9"/>
        <v>-52523350144</v>
      </c>
      <c r="J101" s="11">
        <f t="shared" si="9"/>
        <v>1544804416</v>
      </c>
      <c r="K101" s="11">
        <f t="shared" si="9"/>
        <v>-45435424</v>
      </c>
      <c r="L101" s="11">
        <f t="shared" si="9"/>
        <v>1336336</v>
      </c>
      <c r="M101" s="11">
        <f t="shared" si="9"/>
        <v>-39304</v>
      </c>
      <c r="N101" s="11">
        <f t="shared" si="9"/>
        <v>1156</v>
      </c>
      <c r="O101" s="11">
        <f t="shared" si="9"/>
        <v>-34</v>
      </c>
      <c r="P101" s="11">
        <f t="shared" si="13"/>
        <v>0</v>
      </c>
    </row>
    <row r="102" spans="1:16" x14ac:dyDescent="0.25">
      <c r="A102" s="11">
        <f t="shared" si="12"/>
        <v>47</v>
      </c>
      <c r="B102">
        <v>-11.637216305820759</v>
      </c>
      <c r="E102" s="11">
        <f>A102-'Mastercurve bestimmen'!$B$2</f>
        <v>-33</v>
      </c>
      <c r="F102" s="11">
        <f t="shared" si="10"/>
        <v>-11.637216305820759</v>
      </c>
      <c r="G102" s="11"/>
      <c r="H102" s="11">
        <f t="shared" si="11"/>
        <v>1406408618241</v>
      </c>
      <c r="I102" s="11">
        <f t="shared" si="9"/>
        <v>-42618442977</v>
      </c>
      <c r="J102" s="11">
        <f t="shared" si="9"/>
        <v>1291467969</v>
      </c>
      <c r="K102" s="11">
        <f t="shared" si="9"/>
        <v>-39135393</v>
      </c>
      <c r="L102" s="11">
        <f t="shared" si="9"/>
        <v>1185921</v>
      </c>
      <c r="M102" s="11">
        <f t="shared" si="9"/>
        <v>-35937</v>
      </c>
      <c r="N102" s="11">
        <f t="shared" si="9"/>
        <v>1089</v>
      </c>
      <c r="O102" s="11">
        <f t="shared" si="9"/>
        <v>-33</v>
      </c>
      <c r="P102" s="11">
        <f t="shared" si="13"/>
        <v>0</v>
      </c>
    </row>
    <row r="103" spans="1:16" x14ac:dyDescent="0.25">
      <c r="A103" s="11">
        <f t="shared" si="12"/>
        <v>48</v>
      </c>
      <c r="B103">
        <v>-11.342074094135663</v>
      </c>
      <c r="E103" s="11">
        <f>A103-'Mastercurve bestimmen'!$B$2</f>
        <v>-32</v>
      </c>
      <c r="F103" s="11">
        <f t="shared" si="10"/>
        <v>-11.342074094135663</v>
      </c>
      <c r="G103" s="11"/>
      <c r="H103" s="11">
        <f t="shared" si="11"/>
        <v>1099511627776</v>
      </c>
      <c r="I103" s="11">
        <f t="shared" si="9"/>
        <v>-34359738368</v>
      </c>
      <c r="J103" s="11">
        <f t="shared" si="9"/>
        <v>1073741824</v>
      </c>
      <c r="K103" s="11">
        <f t="shared" si="9"/>
        <v>-33554432</v>
      </c>
      <c r="L103" s="11">
        <f t="shared" si="9"/>
        <v>1048576</v>
      </c>
      <c r="M103" s="11">
        <f t="shared" si="9"/>
        <v>-32768</v>
      </c>
      <c r="N103" s="11">
        <f t="shared" si="9"/>
        <v>1024</v>
      </c>
      <c r="O103" s="11">
        <f t="shared" si="9"/>
        <v>-32</v>
      </c>
      <c r="P103" s="11">
        <f t="shared" si="13"/>
        <v>0</v>
      </c>
    </row>
    <row r="104" spans="1:16" x14ac:dyDescent="0.25">
      <c r="A104" s="11">
        <f t="shared" si="12"/>
        <v>49</v>
      </c>
      <c r="B104">
        <v>-11.044273082160849</v>
      </c>
      <c r="E104" s="11">
        <f>A104-'Mastercurve bestimmen'!$B$2</f>
        <v>-31</v>
      </c>
      <c r="F104" s="11">
        <f t="shared" si="10"/>
        <v>-11.044273082160849</v>
      </c>
      <c r="G104" s="11"/>
      <c r="H104" s="11">
        <f t="shared" si="11"/>
        <v>852891037441</v>
      </c>
      <c r="I104" s="11">
        <f t="shared" si="9"/>
        <v>-27512614111</v>
      </c>
      <c r="J104" s="11">
        <f t="shared" si="9"/>
        <v>887503681</v>
      </c>
      <c r="K104" s="11">
        <f t="shared" si="9"/>
        <v>-28629151</v>
      </c>
      <c r="L104" s="11">
        <f t="shared" si="9"/>
        <v>923521</v>
      </c>
      <c r="M104" s="11">
        <f t="shared" si="9"/>
        <v>-29791</v>
      </c>
      <c r="N104" s="11">
        <f t="shared" si="9"/>
        <v>961</v>
      </c>
      <c r="O104" s="11">
        <f t="shared" si="9"/>
        <v>-31</v>
      </c>
      <c r="P104" s="11">
        <f t="shared" si="13"/>
        <v>0</v>
      </c>
    </row>
    <row r="105" spans="1:16" x14ac:dyDescent="0.25">
      <c r="A105" s="11">
        <f t="shared" si="12"/>
        <v>50</v>
      </c>
      <c r="B105">
        <v>-10.743887226601041</v>
      </c>
      <c r="E105" s="11">
        <f>A105-'Mastercurve bestimmen'!$B$2</f>
        <v>-30</v>
      </c>
      <c r="F105" s="11">
        <f t="shared" si="10"/>
        <v>-10.743887226601041</v>
      </c>
      <c r="G105" s="11"/>
      <c r="H105" s="11">
        <f t="shared" si="11"/>
        <v>656100000000</v>
      </c>
      <c r="I105" s="11">
        <f t="shared" si="9"/>
        <v>-21870000000</v>
      </c>
      <c r="J105" s="11">
        <f t="shared" si="9"/>
        <v>729000000</v>
      </c>
      <c r="K105" s="11">
        <f t="shared" si="9"/>
        <v>-24300000</v>
      </c>
      <c r="L105" s="11">
        <f t="shared" si="9"/>
        <v>810000</v>
      </c>
      <c r="M105" s="11">
        <f t="shared" si="9"/>
        <v>-27000</v>
      </c>
      <c r="N105" s="11">
        <f t="shared" si="9"/>
        <v>900</v>
      </c>
      <c r="O105" s="11">
        <f t="shared" si="9"/>
        <v>-30</v>
      </c>
      <c r="P105" s="11">
        <f t="shared" si="13"/>
        <v>0</v>
      </c>
    </row>
    <row r="106" spans="1:16" x14ac:dyDescent="0.25">
      <c r="A106" s="11">
        <f t="shared" si="12"/>
        <v>51</v>
      </c>
      <c r="B106">
        <v>-10.440957255103614</v>
      </c>
      <c r="E106" s="11">
        <f>A106-'Mastercurve bestimmen'!$B$2</f>
        <v>-29</v>
      </c>
      <c r="F106" s="11">
        <f t="shared" si="10"/>
        <v>-10.440957255103614</v>
      </c>
      <c r="G106" s="11"/>
      <c r="H106" s="11">
        <f t="shared" si="11"/>
        <v>500246412961</v>
      </c>
      <c r="I106" s="11">
        <f t="shared" si="9"/>
        <v>-17249876309</v>
      </c>
      <c r="J106" s="11">
        <f t="shared" si="9"/>
        <v>594823321</v>
      </c>
      <c r="K106" s="11">
        <f t="shared" si="9"/>
        <v>-20511149</v>
      </c>
      <c r="L106" s="11">
        <f t="shared" si="9"/>
        <v>707281</v>
      </c>
      <c r="M106" s="11">
        <f t="shared" si="9"/>
        <v>-24389</v>
      </c>
      <c r="N106" s="11">
        <f t="shared" si="9"/>
        <v>841</v>
      </c>
      <c r="O106" s="11">
        <f t="shared" si="9"/>
        <v>-29</v>
      </c>
      <c r="P106" s="11">
        <f t="shared" si="13"/>
        <v>0</v>
      </c>
    </row>
    <row r="107" spans="1:16" x14ac:dyDescent="0.25">
      <c r="A107" s="11">
        <f t="shared" si="12"/>
        <v>52</v>
      </c>
      <c r="B107">
        <v>-10.135390979086589</v>
      </c>
      <c r="E107" s="11">
        <f>A107-'Mastercurve bestimmen'!$B$2</f>
        <v>-28</v>
      </c>
      <c r="F107" s="11">
        <f t="shared" si="10"/>
        <v>-10.135390979086589</v>
      </c>
      <c r="G107" s="11"/>
      <c r="H107" s="11">
        <f t="shared" si="11"/>
        <v>377801998336</v>
      </c>
      <c r="I107" s="11">
        <f t="shared" si="9"/>
        <v>-13492928512</v>
      </c>
      <c r="J107" s="11">
        <f t="shared" si="9"/>
        <v>481890304</v>
      </c>
      <c r="K107" s="11">
        <f t="shared" si="9"/>
        <v>-17210368</v>
      </c>
      <c r="L107" s="11">
        <f t="shared" si="9"/>
        <v>614656</v>
      </c>
      <c r="M107" s="11">
        <f t="shared" si="9"/>
        <v>-21952</v>
      </c>
      <c r="N107" s="11">
        <f t="shared" si="9"/>
        <v>784</v>
      </c>
      <c r="O107" s="11">
        <f t="shared" si="9"/>
        <v>-28</v>
      </c>
      <c r="P107" s="11">
        <f t="shared" si="13"/>
        <v>0</v>
      </c>
    </row>
    <row r="108" spans="1:16" x14ac:dyDescent="0.25">
      <c r="A108" s="11">
        <f t="shared" si="12"/>
        <v>53</v>
      </c>
      <c r="B108">
        <v>-9.8270629809106431</v>
      </c>
      <c r="E108" s="11">
        <f>A108-'Mastercurve bestimmen'!$B$2</f>
        <v>-27</v>
      </c>
      <c r="F108" s="11">
        <f t="shared" si="10"/>
        <v>-9.8270629809106431</v>
      </c>
      <c r="G108" s="11"/>
      <c r="H108" s="11">
        <f t="shared" si="11"/>
        <v>282429536481</v>
      </c>
      <c r="I108" s="11">
        <f t="shared" si="9"/>
        <v>-10460353203</v>
      </c>
      <c r="J108" s="11">
        <f t="shared" si="9"/>
        <v>387420489</v>
      </c>
      <c r="K108" s="11">
        <f t="shared" si="9"/>
        <v>-14348907</v>
      </c>
      <c r="L108" s="11">
        <f t="shared" si="9"/>
        <v>531441</v>
      </c>
      <c r="M108" s="11">
        <f t="shared" si="9"/>
        <v>-19683</v>
      </c>
      <c r="N108" s="11">
        <f t="shared" si="9"/>
        <v>729</v>
      </c>
      <c r="O108" s="11">
        <f t="shared" si="9"/>
        <v>-27</v>
      </c>
      <c r="P108" s="11">
        <f t="shared" si="13"/>
        <v>0</v>
      </c>
    </row>
    <row r="109" spans="1:16" x14ac:dyDescent="0.25">
      <c r="A109" s="11">
        <f t="shared" si="12"/>
        <v>54</v>
      </c>
      <c r="B109">
        <v>-9.5158478429364504</v>
      </c>
      <c r="E109" s="11">
        <f>A109-'Mastercurve bestimmen'!$B$2</f>
        <v>-26</v>
      </c>
      <c r="F109" s="11">
        <f t="shared" si="10"/>
        <v>-9.5158478429364504</v>
      </c>
      <c r="G109" s="11"/>
      <c r="H109" s="11">
        <f t="shared" si="11"/>
        <v>208827064576</v>
      </c>
      <c r="I109" s="11">
        <f t="shared" si="9"/>
        <v>-8031810176</v>
      </c>
      <c r="J109" s="11">
        <f t="shared" si="9"/>
        <v>308915776</v>
      </c>
      <c r="K109" s="11">
        <f t="shared" si="9"/>
        <v>-11881376</v>
      </c>
      <c r="L109" s="11">
        <f t="shared" si="9"/>
        <v>456976</v>
      </c>
      <c r="M109" s="11">
        <f t="shared" si="9"/>
        <v>-17576</v>
      </c>
      <c r="N109" s="11">
        <f t="shared" si="9"/>
        <v>676</v>
      </c>
      <c r="O109" s="11">
        <f t="shared" si="9"/>
        <v>-26</v>
      </c>
      <c r="P109" s="11">
        <f t="shared" si="13"/>
        <v>0</v>
      </c>
    </row>
    <row r="110" spans="1:16" x14ac:dyDescent="0.25">
      <c r="A110" s="11">
        <f t="shared" si="12"/>
        <v>55</v>
      </c>
      <c r="B110">
        <v>-9.2016201475246877</v>
      </c>
      <c r="E110" s="11">
        <f>A110-'Mastercurve bestimmen'!$B$2</f>
        <v>-25</v>
      </c>
      <c r="F110" s="11">
        <f t="shared" si="10"/>
        <v>-9.2016201475246877</v>
      </c>
      <c r="G110" s="11"/>
      <c r="H110" s="11">
        <f t="shared" si="11"/>
        <v>152587890625</v>
      </c>
      <c r="I110" s="11">
        <f t="shared" si="9"/>
        <v>-6103515625</v>
      </c>
      <c r="J110" s="11">
        <f t="shared" si="9"/>
        <v>244140625</v>
      </c>
      <c r="K110" s="11">
        <f t="shared" si="9"/>
        <v>-9765625</v>
      </c>
      <c r="L110" s="11">
        <f t="shared" si="9"/>
        <v>390625</v>
      </c>
      <c r="M110" s="11">
        <f t="shared" si="9"/>
        <v>-15625</v>
      </c>
      <c r="N110" s="11">
        <f t="shared" si="9"/>
        <v>625</v>
      </c>
      <c r="O110" s="11">
        <f t="shared" si="9"/>
        <v>-25</v>
      </c>
      <c r="P110" s="11">
        <f t="shared" si="13"/>
        <v>0</v>
      </c>
    </row>
    <row r="111" spans="1:16" x14ac:dyDescent="0.25">
      <c r="A111" s="11">
        <f t="shared" si="12"/>
        <v>56</v>
      </c>
      <c r="B111">
        <v>-8.8842544770360359</v>
      </c>
      <c r="E111" s="11">
        <f>A111-'Mastercurve bestimmen'!$B$2</f>
        <v>-24</v>
      </c>
      <c r="F111" s="11">
        <f t="shared" si="10"/>
        <v>-8.8842544770360359</v>
      </c>
      <c r="G111" s="11"/>
      <c r="H111" s="11">
        <f t="shared" si="11"/>
        <v>110075314176</v>
      </c>
      <c r="I111" s="11">
        <f t="shared" si="9"/>
        <v>-4586471424</v>
      </c>
      <c r="J111" s="11">
        <f t="shared" si="9"/>
        <v>191102976</v>
      </c>
      <c r="K111" s="11">
        <f t="shared" si="9"/>
        <v>-7962624</v>
      </c>
      <c r="L111" s="11">
        <f t="shared" si="9"/>
        <v>331776</v>
      </c>
      <c r="M111" s="11">
        <f t="shared" si="9"/>
        <v>-13824</v>
      </c>
      <c r="N111" s="11">
        <f t="shared" si="9"/>
        <v>576</v>
      </c>
      <c r="O111" s="11">
        <f t="shared" si="9"/>
        <v>-24</v>
      </c>
      <c r="P111" s="11">
        <f t="shared" si="13"/>
        <v>0</v>
      </c>
    </row>
    <row r="112" spans="1:16" x14ac:dyDescent="0.25">
      <c r="A112" s="11">
        <f t="shared" si="12"/>
        <v>57</v>
      </c>
      <c r="B112">
        <v>-8.5636254138311649</v>
      </c>
      <c r="E112" s="11">
        <f>A112-'Mastercurve bestimmen'!$B$2</f>
        <v>-23</v>
      </c>
      <c r="F112" s="11">
        <f t="shared" si="10"/>
        <v>-8.5636254138311649</v>
      </c>
      <c r="G112" s="11"/>
      <c r="H112" s="11">
        <f t="shared" si="11"/>
        <v>78310985281</v>
      </c>
      <c r="I112" s="11">
        <f t="shared" si="9"/>
        <v>-3404825447</v>
      </c>
      <c r="J112" s="11">
        <f t="shared" si="9"/>
        <v>148035889</v>
      </c>
      <c r="K112" s="11">
        <f t="shared" si="9"/>
        <v>-6436343</v>
      </c>
      <c r="L112" s="11">
        <f t="shared" si="9"/>
        <v>279841</v>
      </c>
      <c r="M112" s="11">
        <f t="shared" si="9"/>
        <v>-12167</v>
      </c>
      <c r="N112" s="11">
        <f t="shared" si="9"/>
        <v>529</v>
      </c>
      <c r="O112" s="11">
        <f t="shared" si="9"/>
        <v>-23</v>
      </c>
      <c r="P112" s="11">
        <f t="shared" si="13"/>
        <v>0</v>
      </c>
    </row>
    <row r="113" spans="1:16" x14ac:dyDescent="0.25">
      <c r="A113" s="11">
        <f t="shared" si="12"/>
        <v>58</v>
      </c>
      <c r="B113">
        <v>-8.2396075402707591</v>
      </c>
      <c r="E113" s="11">
        <f>A113-'Mastercurve bestimmen'!$B$2</f>
        <v>-22</v>
      </c>
      <c r="F113" s="11">
        <f t="shared" si="10"/>
        <v>-8.2396075402707591</v>
      </c>
      <c r="G113" s="11"/>
      <c r="H113" s="11">
        <f t="shared" si="11"/>
        <v>54875873536</v>
      </c>
      <c r="I113" s="11">
        <f t="shared" si="9"/>
        <v>-2494357888</v>
      </c>
      <c r="J113" s="11">
        <f t="shared" si="9"/>
        <v>113379904</v>
      </c>
      <c r="K113" s="11">
        <f t="shared" si="9"/>
        <v>-5153632</v>
      </c>
      <c r="L113" s="11">
        <f t="shared" si="9"/>
        <v>234256</v>
      </c>
      <c r="M113" s="11">
        <f t="shared" si="9"/>
        <v>-10648</v>
      </c>
      <c r="N113" s="11">
        <f t="shared" si="9"/>
        <v>484</v>
      </c>
      <c r="O113" s="11">
        <f t="shared" si="9"/>
        <v>-22</v>
      </c>
      <c r="P113" s="11">
        <f t="shared" si="13"/>
        <v>0</v>
      </c>
    </row>
    <row r="114" spans="1:16" x14ac:dyDescent="0.25">
      <c r="A114" s="11">
        <f t="shared" si="12"/>
        <v>59</v>
      </c>
      <c r="B114">
        <v>-7.9120754387154886</v>
      </c>
      <c r="E114" s="11">
        <f>A114-'Mastercurve bestimmen'!$B$2</f>
        <v>-21</v>
      </c>
      <c r="F114" s="11">
        <f t="shared" si="10"/>
        <v>-7.9120754387154886</v>
      </c>
      <c r="G114" s="11"/>
      <c r="H114" s="11">
        <f t="shared" si="11"/>
        <v>37822859361</v>
      </c>
      <c r="I114" s="11">
        <f t="shared" si="9"/>
        <v>-1801088541</v>
      </c>
      <c r="J114" s="11">
        <f t="shared" si="9"/>
        <v>85766121</v>
      </c>
      <c r="K114" s="11">
        <f t="shared" si="9"/>
        <v>-4084101</v>
      </c>
      <c r="L114" s="11">
        <f t="shared" si="9"/>
        <v>194481</v>
      </c>
      <c r="M114" s="11">
        <f t="shared" si="9"/>
        <v>-9261</v>
      </c>
      <c r="N114" s="11">
        <f t="shared" si="9"/>
        <v>441</v>
      </c>
      <c r="O114" s="11">
        <f t="shared" si="9"/>
        <v>-21</v>
      </c>
      <c r="P114" s="11">
        <f t="shared" si="13"/>
        <v>0</v>
      </c>
    </row>
    <row r="115" spans="1:16" x14ac:dyDescent="0.25">
      <c r="A115" s="11">
        <f t="shared" si="12"/>
        <v>60</v>
      </c>
      <c r="B115">
        <v>-7.5809036915260339</v>
      </c>
      <c r="E115" s="11">
        <f>A115-'Mastercurve bestimmen'!$B$2</f>
        <v>-20</v>
      </c>
      <c r="F115" s="11">
        <f t="shared" si="10"/>
        <v>-7.5809036915260339</v>
      </c>
      <c r="G115" s="11"/>
      <c r="H115" s="11">
        <f t="shared" si="11"/>
        <v>25600000000</v>
      </c>
      <c r="I115" s="11">
        <f t="shared" si="9"/>
        <v>-1280000000</v>
      </c>
      <c r="J115" s="11">
        <f t="shared" si="9"/>
        <v>64000000</v>
      </c>
      <c r="K115" s="11">
        <f t="shared" si="9"/>
        <v>-3200000</v>
      </c>
      <c r="L115" s="11">
        <f t="shared" si="9"/>
        <v>160000</v>
      </c>
      <c r="M115" s="11">
        <f t="shared" si="9"/>
        <v>-8000</v>
      </c>
      <c r="N115" s="11">
        <f t="shared" si="9"/>
        <v>400</v>
      </c>
      <c r="O115" s="11">
        <f t="shared" si="9"/>
        <v>-20</v>
      </c>
      <c r="P115" s="11">
        <f t="shared" si="13"/>
        <v>0</v>
      </c>
    </row>
    <row r="116" spans="1:16" x14ac:dyDescent="0.25">
      <c r="A116" s="11">
        <f t="shared" si="12"/>
        <v>61</v>
      </c>
      <c r="B116">
        <v>-7.2459668810630689</v>
      </c>
      <c r="E116" s="11">
        <f>A116-'Mastercurve bestimmen'!$B$2</f>
        <v>-19</v>
      </c>
      <c r="F116" s="11">
        <f t="shared" si="10"/>
        <v>-7.2459668810630689</v>
      </c>
      <c r="G116" s="11"/>
      <c r="H116" s="11">
        <f t="shared" si="11"/>
        <v>16983563041</v>
      </c>
      <c r="I116" s="11">
        <f t="shared" si="9"/>
        <v>-893871739</v>
      </c>
      <c r="J116" s="11">
        <f t="shared" si="9"/>
        <v>47045881</v>
      </c>
      <c r="K116" s="11">
        <f t="shared" ref="I116:O152" si="14">IF($H$12&gt;=K$14,$E116^K$14,0)</f>
        <v>-2476099</v>
      </c>
      <c r="L116" s="11">
        <f t="shared" si="14"/>
        <v>130321</v>
      </c>
      <c r="M116" s="11">
        <f t="shared" si="14"/>
        <v>-6859</v>
      </c>
      <c r="N116" s="11">
        <f t="shared" si="14"/>
        <v>361</v>
      </c>
      <c r="O116" s="11">
        <f t="shared" si="14"/>
        <v>-19</v>
      </c>
      <c r="P116" s="11">
        <f t="shared" si="13"/>
        <v>0</v>
      </c>
    </row>
    <row r="117" spans="1:16" x14ac:dyDescent="0.25">
      <c r="A117" s="11">
        <f t="shared" si="12"/>
        <v>62</v>
      </c>
      <c r="B117">
        <v>-6.9071395896872723</v>
      </c>
      <c r="E117" s="11">
        <f>A117-'Mastercurve bestimmen'!$B$2</f>
        <v>-18</v>
      </c>
      <c r="F117" s="11">
        <f t="shared" si="10"/>
        <v>-6.9071395896872723</v>
      </c>
      <c r="G117" s="11"/>
      <c r="H117" s="11">
        <f t="shared" si="11"/>
        <v>11019960576</v>
      </c>
      <c r="I117" s="11">
        <f t="shared" si="14"/>
        <v>-612220032</v>
      </c>
      <c r="J117" s="11">
        <f t="shared" si="14"/>
        <v>34012224</v>
      </c>
      <c r="K117" s="11">
        <f t="shared" si="14"/>
        <v>-1889568</v>
      </c>
      <c r="L117" s="11">
        <f t="shared" si="14"/>
        <v>104976</v>
      </c>
      <c r="M117" s="11">
        <f t="shared" si="14"/>
        <v>-5832</v>
      </c>
      <c r="N117" s="11">
        <f t="shared" si="14"/>
        <v>324</v>
      </c>
      <c r="O117" s="11">
        <f t="shared" si="14"/>
        <v>-18</v>
      </c>
      <c r="P117" s="11">
        <f t="shared" si="13"/>
        <v>0</v>
      </c>
    </row>
    <row r="118" spans="1:16" x14ac:dyDescent="0.25">
      <c r="A118" s="11">
        <f t="shared" si="12"/>
        <v>63</v>
      </c>
      <c r="B118">
        <v>-6.5642963997593196</v>
      </c>
      <c r="E118" s="11">
        <f>A118-'Mastercurve bestimmen'!$B$2</f>
        <v>-17</v>
      </c>
      <c r="F118" s="11">
        <f t="shared" si="10"/>
        <v>-6.5642963997593196</v>
      </c>
      <c r="G118" s="11"/>
      <c r="H118" s="11">
        <f t="shared" si="11"/>
        <v>6975757441</v>
      </c>
      <c r="I118" s="11">
        <f t="shared" si="14"/>
        <v>-410338673</v>
      </c>
      <c r="J118" s="11">
        <f t="shared" si="14"/>
        <v>24137569</v>
      </c>
      <c r="K118" s="11">
        <f t="shared" si="14"/>
        <v>-1419857</v>
      </c>
      <c r="L118" s="11">
        <f t="shared" si="14"/>
        <v>83521</v>
      </c>
      <c r="M118" s="11">
        <f t="shared" si="14"/>
        <v>-4913</v>
      </c>
      <c r="N118" s="11">
        <f t="shared" si="14"/>
        <v>289</v>
      </c>
      <c r="O118" s="11">
        <f t="shared" si="14"/>
        <v>-17</v>
      </c>
      <c r="P118" s="11">
        <f t="shared" si="13"/>
        <v>0</v>
      </c>
    </row>
    <row r="119" spans="1:16" x14ac:dyDescent="0.25">
      <c r="A119" s="11">
        <f t="shared" si="12"/>
        <v>64</v>
      </c>
      <c r="B119">
        <v>-6.2173118936398888</v>
      </c>
      <c r="E119" s="11">
        <f>A119-'Mastercurve bestimmen'!$B$2</f>
        <v>-16</v>
      </c>
      <c r="F119" s="11">
        <f t="shared" si="10"/>
        <v>-6.2173118936398888</v>
      </c>
      <c r="G119" s="11"/>
      <c r="H119" s="11">
        <f t="shared" si="11"/>
        <v>4294967296</v>
      </c>
      <c r="I119" s="11">
        <f t="shared" si="14"/>
        <v>-268435456</v>
      </c>
      <c r="J119" s="11">
        <f t="shared" si="14"/>
        <v>16777216</v>
      </c>
      <c r="K119" s="11">
        <f t="shared" si="14"/>
        <v>-1048576</v>
      </c>
      <c r="L119" s="11">
        <f t="shared" si="14"/>
        <v>65536</v>
      </c>
      <c r="M119" s="11">
        <f t="shared" si="14"/>
        <v>-4096</v>
      </c>
      <c r="N119" s="11">
        <f t="shared" si="14"/>
        <v>256</v>
      </c>
      <c r="O119" s="11">
        <f t="shared" si="14"/>
        <v>-16</v>
      </c>
      <c r="P119" s="11">
        <f t="shared" si="13"/>
        <v>0</v>
      </c>
    </row>
    <row r="120" spans="1:16" x14ac:dyDescent="0.25">
      <c r="A120" s="11">
        <f t="shared" si="12"/>
        <v>65</v>
      </c>
      <c r="B120">
        <v>-5.8660606536896553</v>
      </c>
      <c r="E120" s="11">
        <f>A120-'Mastercurve bestimmen'!$B$2</f>
        <v>-15</v>
      </c>
      <c r="F120" s="11">
        <f t="shared" si="10"/>
        <v>-5.8660606536896553</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-5.5104172622692955</v>
      </c>
      <c r="E121" s="11">
        <f>A121-'Mastercurve bestimmen'!$B$2</f>
        <v>-14</v>
      </c>
      <c r="F121" s="11">
        <f t="shared" si="10"/>
        <v>-5.5104172622692955</v>
      </c>
      <c r="G121" s="11"/>
      <c r="H121" s="11">
        <f t="shared" si="11"/>
        <v>1475789056</v>
      </c>
      <c r="I121" s="11">
        <f t="shared" si="14"/>
        <v>-105413504</v>
      </c>
      <c r="J121" s="11">
        <f t="shared" si="14"/>
        <v>7529536</v>
      </c>
      <c r="K121" s="11">
        <f t="shared" si="14"/>
        <v>-537824</v>
      </c>
      <c r="L121" s="11">
        <f t="shared" si="14"/>
        <v>38416</v>
      </c>
      <c r="M121" s="11">
        <f t="shared" si="14"/>
        <v>-2744</v>
      </c>
      <c r="N121" s="11">
        <f t="shared" si="14"/>
        <v>196</v>
      </c>
      <c r="O121" s="11">
        <f t="shared" si="14"/>
        <v>-14</v>
      </c>
      <c r="P121" s="11">
        <f t="shared" si="13"/>
        <v>0</v>
      </c>
    </row>
    <row r="122" spans="1:16" x14ac:dyDescent="0.25">
      <c r="A122" s="11">
        <f t="shared" si="12"/>
        <v>67</v>
      </c>
      <c r="B122">
        <v>-5.1502563017394873</v>
      </c>
      <c r="E122" s="11">
        <f>A122-'Mastercurve bestimmen'!$B$2</f>
        <v>-13</v>
      </c>
      <c r="F122" s="11">
        <f t="shared" si="10"/>
        <v>-5.1502563017394873</v>
      </c>
      <c r="G122" s="11"/>
      <c r="H122" s="11">
        <f t="shared" si="11"/>
        <v>815730721</v>
      </c>
      <c r="I122" s="11">
        <f t="shared" si="14"/>
        <v>-62748517</v>
      </c>
      <c r="J122" s="11">
        <f t="shared" si="14"/>
        <v>4826809</v>
      </c>
      <c r="K122" s="11">
        <f t="shared" si="14"/>
        <v>-371293</v>
      </c>
      <c r="L122" s="11">
        <f t="shared" si="14"/>
        <v>28561</v>
      </c>
      <c r="M122" s="11">
        <f t="shared" si="14"/>
        <v>-2197</v>
      </c>
      <c r="N122" s="11">
        <f t="shared" si="14"/>
        <v>169</v>
      </c>
      <c r="O122" s="11">
        <f t="shared" si="14"/>
        <v>-13</v>
      </c>
      <c r="P122" s="11">
        <f t="shared" si="13"/>
        <v>0</v>
      </c>
    </row>
    <row r="123" spans="1:16" x14ac:dyDescent="0.25">
      <c r="A123" s="11">
        <f t="shared" si="12"/>
        <v>68</v>
      </c>
      <c r="B123">
        <v>-4.7854523544609071</v>
      </c>
      <c r="E123" s="11">
        <f>A123-'Mastercurve bestimmen'!$B$2</f>
        <v>-12</v>
      </c>
      <c r="F123" s="11">
        <f t="shared" si="10"/>
        <v>-4.7854523544609071</v>
      </c>
      <c r="G123" s="11"/>
      <c r="H123" s="11">
        <f t="shared" si="11"/>
        <v>429981696</v>
      </c>
      <c r="I123" s="11">
        <f t="shared" si="14"/>
        <v>-35831808</v>
      </c>
      <c r="J123" s="11">
        <f t="shared" si="14"/>
        <v>2985984</v>
      </c>
      <c r="K123" s="11">
        <f t="shared" si="14"/>
        <v>-248832</v>
      </c>
      <c r="L123" s="11">
        <f t="shared" si="14"/>
        <v>20736</v>
      </c>
      <c r="M123" s="11">
        <f t="shared" si="14"/>
        <v>-1728</v>
      </c>
      <c r="N123" s="11">
        <f t="shared" si="14"/>
        <v>144</v>
      </c>
      <c r="O123" s="11">
        <f t="shared" si="14"/>
        <v>-12</v>
      </c>
      <c r="P123" s="11">
        <f t="shared" si="13"/>
        <v>0</v>
      </c>
    </row>
    <row r="124" spans="1:16" x14ac:dyDescent="0.25">
      <c r="A124" s="11">
        <f t="shared" si="12"/>
        <v>69</v>
      </c>
      <c r="B124">
        <v>-4.4158800027942311</v>
      </c>
      <c r="E124" s="11">
        <f>A124-'Mastercurve bestimmen'!$B$2</f>
        <v>-11</v>
      </c>
      <c r="F124" s="11">
        <f t="shared" si="10"/>
        <v>-4.4158800027942311</v>
      </c>
      <c r="G124" s="11"/>
      <c r="H124" s="11">
        <f t="shared" si="11"/>
        <v>214358881</v>
      </c>
      <c r="I124" s="11">
        <f t="shared" si="14"/>
        <v>-19487171</v>
      </c>
      <c r="J124" s="11">
        <f t="shared" si="14"/>
        <v>1771561</v>
      </c>
      <c r="K124" s="11">
        <f t="shared" si="14"/>
        <v>-161051</v>
      </c>
      <c r="L124" s="11">
        <f t="shared" si="14"/>
        <v>14641</v>
      </c>
      <c r="M124" s="11">
        <f t="shared" si="14"/>
        <v>-1331</v>
      </c>
      <c r="N124" s="11">
        <f t="shared" si="14"/>
        <v>121</v>
      </c>
      <c r="O124" s="11">
        <f t="shared" si="14"/>
        <v>-11</v>
      </c>
      <c r="P124" s="11">
        <f t="shared" si="13"/>
        <v>0</v>
      </c>
    </row>
    <row r="125" spans="1:16" x14ac:dyDescent="0.25">
      <c r="A125" s="11">
        <f t="shared" si="12"/>
        <v>70</v>
      </c>
      <c r="B125">
        <v>-4.0414138291001356</v>
      </c>
      <c r="E125" s="11">
        <f>A125-'Mastercurve bestimmen'!$B$2</f>
        <v>-10</v>
      </c>
      <c r="F125" s="11">
        <f t="shared" si="10"/>
        <v>-4.0414138291001356</v>
      </c>
      <c r="G125" s="11"/>
      <c r="H125" s="11">
        <f t="shared" si="11"/>
        <v>100000000</v>
      </c>
      <c r="I125" s="11">
        <f t="shared" si="14"/>
        <v>-10000000</v>
      </c>
      <c r="J125" s="11">
        <f t="shared" si="14"/>
        <v>1000000</v>
      </c>
      <c r="K125" s="11">
        <f t="shared" si="14"/>
        <v>-100000</v>
      </c>
      <c r="L125" s="11">
        <f t="shared" si="14"/>
        <v>10000</v>
      </c>
      <c r="M125" s="11">
        <f t="shared" si="14"/>
        <v>-1000</v>
      </c>
      <c r="N125" s="11">
        <f t="shared" si="14"/>
        <v>100</v>
      </c>
      <c r="O125" s="11">
        <f t="shared" si="14"/>
        <v>-10</v>
      </c>
      <c r="P125" s="11">
        <f t="shared" si="13"/>
        <v>0</v>
      </c>
    </row>
    <row r="126" spans="1:16" x14ac:dyDescent="0.25">
      <c r="A126" s="11">
        <f t="shared" si="12"/>
        <v>71</v>
      </c>
      <c r="B126">
        <v>-3.6619284157392982</v>
      </c>
      <c r="E126" s="11">
        <f>A126-'Mastercurve bestimmen'!$B$2</f>
        <v>-9</v>
      </c>
      <c r="F126" s="11">
        <f t="shared" si="10"/>
        <v>-3.6619284157392982</v>
      </c>
      <c r="G126" s="11"/>
      <c r="H126" s="11">
        <f t="shared" si="11"/>
        <v>43046721</v>
      </c>
      <c r="I126" s="11">
        <f t="shared" si="14"/>
        <v>-4782969</v>
      </c>
      <c r="J126" s="11">
        <f t="shared" si="14"/>
        <v>531441</v>
      </c>
      <c r="K126" s="11">
        <f t="shared" si="14"/>
        <v>-59049</v>
      </c>
      <c r="L126" s="11">
        <f t="shared" si="14"/>
        <v>6561</v>
      </c>
      <c r="M126" s="11">
        <f t="shared" si="14"/>
        <v>-729</v>
      </c>
      <c r="N126" s="11">
        <f t="shared" si="14"/>
        <v>81</v>
      </c>
      <c r="O126" s="11">
        <f t="shared" si="14"/>
        <v>-9</v>
      </c>
      <c r="P126" s="11">
        <f t="shared" si="13"/>
        <v>0</v>
      </c>
    </row>
    <row r="127" spans="1:16" x14ac:dyDescent="0.25">
      <c r="A127" s="11">
        <f t="shared" si="12"/>
        <v>72</v>
      </c>
      <c r="B127">
        <v>-3.2772983450723947</v>
      </c>
      <c r="E127" s="11">
        <f>A127-'Mastercurve bestimmen'!$B$2</f>
        <v>-8</v>
      </c>
      <c r="F127" s="11">
        <f t="shared" si="10"/>
        <v>-3.2772983450723947</v>
      </c>
      <c r="G127" s="11"/>
      <c r="H127" s="11">
        <f t="shared" si="11"/>
        <v>16777216</v>
      </c>
      <c r="I127" s="11">
        <f t="shared" si="14"/>
        <v>-2097152</v>
      </c>
      <c r="J127" s="11">
        <f t="shared" si="14"/>
        <v>262144</v>
      </c>
      <c r="K127" s="11">
        <f t="shared" si="14"/>
        <v>-32768</v>
      </c>
      <c r="L127" s="11">
        <f t="shared" si="14"/>
        <v>4096</v>
      </c>
      <c r="M127" s="11">
        <f t="shared" si="14"/>
        <v>-512</v>
      </c>
      <c r="N127" s="11">
        <f t="shared" si="14"/>
        <v>64</v>
      </c>
      <c r="O127" s="11">
        <f t="shared" si="14"/>
        <v>-8</v>
      </c>
      <c r="P127" s="11">
        <f t="shared" si="13"/>
        <v>0</v>
      </c>
    </row>
    <row r="128" spans="1:16" x14ac:dyDescent="0.25">
      <c r="A128" s="11">
        <f t="shared" si="12"/>
        <v>73</v>
      </c>
      <c r="B128">
        <v>-2.8873981994601023</v>
      </c>
      <c r="E128" s="11">
        <f>A128-'Mastercurve bestimmen'!$B$2</f>
        <v>-7</v>
      </c>
      <c r="F128" s="11">
        <f t="shared" si="10"/>
        <v>-2.8873981994601023</v>
      </c>
      <c r="G128" s="11"/>
      <c r="H128" s="11">
        <f t="shared" si="11"/>
        <v>5764801</v>
      </c>
      <c r="I128" s="11">
        <f t="shared" si="14"/>
        <v>-823543</v>
      </c>
      <c r="J128" s="11">
        <f t="shared" si="14"/>
        <v>117649</v>
      </c>
      <c r="K128" s="11">
        <f t="shared" si="14"/>
        <v>-16807</v>
      </c>
      <c r="L128" s="11">
        <f t="shared" si="14"/>
        <v>2401</v>
      </c>
      <c r="M128" s="11">
        <f t="shared" si="14"/>
        <v>-343</v>
      </c>
      <c r="N128" s="11">
        <f t="shared" si="14"/>
        <v>49</v>
      </c>
      <c r="O128" s="11">
        <f t="shared" si="14"/>
        <v>-7</v>
      </c>
      <c r="P128" s="11">
        <f t="shared" si="13"/>
        <v>0</v>
      </c>
    </row>
    <row r="129" spans="1:16" x14ac:dyDescent="0.25">
      <c r="A129" s="11">
        <f t="shared" si="12"/>
        <v>74</v>
      </c>
      <c r="B129">
        <v>-2.4921025612630974</v>
      </c>
      <c r="E129" s="11">
        <f>A129-'Mastercurve bestimmen'!$B$2</f>
        <v>-6</v>
      </c>
      <c r="F129" s="11">
        <f t="shared" si="10"/>
        <v>-2.4921025612630974</v>
      </c>
      <c r="G129" s="11"/>
      <c r="H129" s="11">
        <f t="shared" si="11"/>
        <v>1679616</v>
      </c>
      <c r="I129" s="11">
        <f t="shared" si="14"/>
        <v>-279936</v>
      </c>
      <c r="J129" s="11">
        <f t="shared" si="14"/>
        <v>46656</v>
      </c>
      <c r="K129" s="11">
        <f t="shared" si="14"/>
        <v>-7776</v>
      </c>
      <c r="L129" s="11">
        <f t="shared" si="14"/>
        <v>1296</v>
      </c>
      <c r="M129" s="11">
        <f t="shared" si="14"/>
        <v>-216</v>
      </c>
      <c r="N129" s="11">
        <f t="shared" si="14"/>
        <v>36</v>
      </c>
      <c r="O129" s="11">
        <f t="shared" si="14"/>
        <v>-6</v>
      </c>
      <c r="P129" s="11">
        <f t="shared" si="13"/>
        <v>0</v>
      </c>
    </row>
    <row r="130" spans="1:16" x14ac:dyDescent="0.25">
      <c r="A130" s="11">
        <f t="shared" si="12"/>
        <v>75</v>
      </c>
      <c r="B130">
        <v>-2.0912860128420574</v>
      </c>
      <c r="E130" s="11">
        <f>A130-'Mastercurve bestimmen'!$B$2</f>
        <v>-5</v>
      </c>
      <c r="F130" s="11">
        <f t="shared" si="10"/>
        <v>-2.0912860128420574</v>
      </c>
      <c r="G130" s="11"/>
      <c r="H130" s="11">
        <f t="shared" si="11"/>
        <v>390625</v>
      </c>
      <c r="I130" s="11">
        <f t="shared" si="14"/>
        <v>-78125</v>
      </c>
      <c r="J130" s="11">
        <f t="shared" si="14"/>
        <v>15625</v>
      </c>
      <c r="K130" s="11">
        <f t="shared" si="14"/>
        <v>-3125</v>
      </c>
      <c r="L130" s="11">
        <f t="shared" si="14"/>
        <v>625</v>
      </c>
      <c r="M130" s="11">
        <f t="shared" si="14"/>
        <v>-125</v>
      </c>
      <c r="N130" s="11">
        <f t="shared" si="14"/>
        <v>25</v>
      </c>
      <c r="O130" s="11">
        <f t="shared" si="14"/>
        <v>-5</v>
      </c>
      <c r="P130" s="11">
        <f t="shared" si="13"/>
        <v>0</v>
      </c>
    </row>
    <row r="131" spans="1:16" x14ac:dyDescent="0.25">
      <c r="A131" s="11">
        <f t="shared" si="12"/>
        <v>76</v>
      </c>
      <c r="B131">
        <v>-1.6848231365576574</v>
      </c>
      <c r="E131" s="11">
        <f>A131-'Mastercurve bestimmen'!$B$2</f>
        <v>-4</v>
      </c>
      <c r="F131" s="11">
        <f t="shared" si="10"/>
        <v>-1.6848231365576574</v>
      </c>
      <c r="G131" s="11"/>
      <c r="H131" s="11">
        <f t="shared" si="11"/>
        <v>65536</v>
      </c>
      <c r="I131" s="11">
        <f t="shared" si="14"/>
        <v>-16384</v>
      </c>
      <c r="J131" s="11">
        <f t="shared" si="14"/>
        <v>4096</v>
      </c>
      <c r="K131" s="11">
        <f t="shared" si="14"/>
        <v>-1024</v>
      </c>
      <c r="L131" s="11">
        <f t="shared" si="14"/>
        <v>256</v>
      </c>
      <c r="M131" s="11">
        <f t="shared" si="14"/>
        <v>-64</v>
      </c>
      <c r="N131" s="11">
        <f t="shared" si="14"/>
        <v>16</v>
      </c>
      <c r="O131" s="11">
        <f t="shared" si="14"/>
        <v>-4</v>
      </c>
      <c r="P131" s="11">
        <f t="shared" si="13"/>
        <v>0</v>
      </c>
    </row>
    <row r="132" spans="1:16" x14ac:dyDescent="0.25">
      <c r="A132" s="11">
        <f t="shared" si="12"/>
        <v>77</v>
      </c>
      <c r="B132">
        <v>-1.2725885147705751</v>
      </c>
      <c r="E132" s="11">
        <f>A132-'Mastercurve bestimmen'!$B$2</f>
        <v>-3</v>
      </c>
      <c r="F132" s="11">
        <f t="shared" si="10"/>
        <v>-1.2725885147705751</v>
      </c>
      <c r="G132" s="11"/>
      <c r="H132" s="11">
        <f t="shared" si="11"/>
        <v>6561</v>
      </c>
      <c r="I132" s="11">
        <f t="shared" si="14"/>
        <v>-2187</v>
      </c>
      <c r="J132" s="11">
        <f t="shared" si="14"/>
        <v>729</v>
      </c>
      <c r="K132" s="11">
        <f t="shared" si="14"/>
        <v>-243</v>
      </c>
      <c r="L132" s="11">
        <f t="shared" si="14"/>
        <v>81</v>
      </c>
      <c r="M132" s="11">
        <f t="shared" si="14"/>
        <v>-27</v>
      </c>
      <c r="N132" s="11">
        <f t="shared" si="14"/>
        <v>9</v>
      </c>
      <c r="O132" s="11">
        <f t="shared" si="14"/>
        <v>-3</v>
      </c>
      <c r="P132" s="11">
        <f t="shared" si="13"/>
        <v>0</v>
      </c>
    </row>
    <row r="133" spans="1:16" x14ac:dyDescent="0.25">
      <c r="A133" s="11">
        <f t="shared" si="12"/>
        <v>78</v>
      </c>
      <c r="B133">
        <v>-0.85445672984148702</v>
      </c>
      <c r="E133" s="11">
        <f>A133-'Mastercurve bestimmen'!$B$2</f>
        <v>-2</v>
      </c>
      <c r="F133" s="11">
        <f t="shared" si="10"/>
        <v>-0.85445672984148702</v>
      </c>
      <c r="G133" s="11"/>
      <c r="H133" s="11">
        <f t="shared" si="11"/>
        <v>256</v>
      </c>
      <c r="I133" s="11">
        <f t="shared" si="14"/>
        <v>-128</v>
      </c>
      <c r="J133" s="11">
        <f t="shared" si="14"/>
        <v>64</v>
      </c>
      <c r="K133" s="11">
        <f t="shared" si="14"/>
        <v>-32</v>
      </c>
      <c r="L133" s="11">
        <f t="shared" si="14"/>
        <v>16</v>
      </c>
      <c r="M133" s="11">
        <f t="shared" si="14"/>
        <v>-8</v>
      </c>
      <c r="N133" s="11">
        <f t="shared" si="14"/>
        <v>4</v>
      </c>
      <c r="O133" s="11">
        <f t="shared" si="14"/>
        <v>-2</v>
      </c>
      <c r="P133" s="11">
        <f t="shared" si="13"/>
        <v>0</v>
      </c>
    </row>
    <row r="134" spans="1:16" x14ac:dyDescent="0.25">
      <c r="A134" s="11">
        <f t="shared" si="12"/>
        <v>79</v>
      </c>
      <c r="B134">
        <v>-0.43030236413106987</v>
      </c>
      <c r="E134" s="11">
        <f>A134-'Mastercurve bestimmen'!$B$2</f>
        <v>-1</v>
      </c>
      <c r="F134" s="11">
        <f t="shared" si="10"/>
        <v>-0.43030236413106987</v>
      </c>
      <c r="G134" s="11"/>
      <c r="H134" s="11">
        <f t="shared" si="11"/>
        <v>1</v>
      </c>
      <c r="I134" s="11">
        <f t="shared" si="14"/>
        <v>-1</v>
      </c>
      <c r="J134" s="11">
        <f t="shared" si="14"/>
        <v>1</v>
      </c>
      <c r="K134" s="11">
        <f t="shared" si="14"/>
        <v>-1</v>
      </c>
      <c r="L134" s="11">
        <f t="shared" si="14"/>
        <v>1</v>
      </c>
      <c r="M134" s="11">
        <f t="shared" si="14"/>
        <v>-1</v>
      </c>
      <c r="N134" s="11">
        <f t="shared" si="14"/>
        <v>1</v>
      </c>
      <c r="O134" s="11">
        <f t="shared" si="14"/>
        <v>-1</v>
      </c>
      <c r="P134" s="11">
        <f t="shared" si="13"/>
        <v>0</v>
      </c>
    </row>
    <row r="135" spans="1:16" x14ac:dyDescent="0.25">
      <c r="A135" s="11">
        <f t="shared" si="12"/>
        <v>80</v>
      </c>
      <c r="B135">
        <v>-1.1102230246251565E-16</v>
      </c>
      <c r="E135" s="11">
        <f>A135-'Mastercurve bestimmen'!$B$2</f>
        <v>0</v>
      </c>
      <c r="F135" s="11">
        <f t="shared" si="10"/>
        <v>-1.1102230246251565E-16</v>
      </c>
      <c r="G135" s="11"/>
      <c r="H135" s="11">
        <f t="shared" si="11"/>
        <v>0</v>
      </c>
      <c r="I135" s="11">
        <f t="shared" si="14"/>
        <v>0</v>
      </c>
      <c r="J135" s="11">
        <f t="shared" si="14"/>
        <v>0</v>
      </c>
      <c r="K135" s="11">
        <f t="shared" si="14"/>
        <v>0</v>
      </c>
      <c r="L135" s="11">
        <f t="shared" si="14"/>
        <v>0</v>
      </c>
      <c r="M135" s="11">
        <f t="shared" si="14"/>
        <v>0</v>
      </c>
      <c r="N135" s="11">
        <f t="shared" si="14"/>
        <v>0</v>
      </c>
      <c r="O135" s="11">
        <f t="shared" si="14"/>
        <v>0</v>
      </c>
      <c r="P135" s="11">
        <f t="shared" si="13"/>
        <v>0</v>
      </c>
    </row>
    <row r="136" spans="1:16" x14ac:dyDescent="0.25">
      <c r="A136" s="11">
        <f t="shared" si="12"/>
        <v>81</v>
      </c>
      <c r="B136">
        <v>0.43648254531268127</v>
      </c>
      <c r="E136" s="11">
        <f>A136-'Mastercurve bestimmen'!$B$2</f>
        <v>1</v>
      </c>
      <c r="F136" s="11">
        <f t="shared" si="10"/>
        <v>0.43648254531268127</v>
      </c>
      <c r="G136" s="11"/>
      <c r="H136" s="11">
        <f t="shared" si="11"/>
        <v>1</v>
      </c>
      <c r="I136" s="11">
        <f t="shared" si="14"/>
        <v>1</v>
      </c>
      <c r="J136" s="11">
        <f t="shared" si="14"/>
        <v>1</v>
      </c>
      <c r="K136" s="11">
        <f t="shared" si="14"/>
        <v>1</v>
      </c>
      <c r="L136" s="11">
        <f t="shared" si="14"/>
        <v>1</v>
      </c>
      <c r="M136" s="11">
        <f t="shared" si="14"/>
        <v>1</v>
      </c>
      <c r="N136" s="11">
        <f t="shared" si="14"/>
        <v>1</v>
      </c>
      <c r="O136" s="11">
        <f t="shared" si="14"/>
        <v>1</v>
      </c>
      <c r="P136" s="11">
        <f t="shared" si="13"/>
        <v>0</v>
      </c>
    </row>
    <row r="137" spans="1:16" x14ac:dyDescent="0.25">
      <c r="A137" s="11">
        <f t="shared" si="12"/>
        <v>82</v>
      </c>
      <c r="B137">
        <v>0.87880451505447366</v>
      </c>
      <c r="E137" s="11">
        <f>A137-'Mastercurve bestimmen'!$B$2</f>
        <v>2</v>
      </c>
      <c r="F137" s="11">
        <f t="shared" si="10"/>
        <v>0.87880451505447366</v>
      </c>
      <c r="G137" s="11"/>
      <c r="H137" s="11">
        <f t="shared" si="11"/>
        <v>256</v>
      </c>
      <c r="I137" s="11">
        <f t="shared" si="14"/>
        <v>128</v>
      </c>
      <c r="J137" s="11">
        <f t="shared" si="14"/>
        <v>64</v>
      </c>
      <c r="K137" s="11">
        <f t="shared" si="14"/>
        <v>32</v>
      </c>
      <c r="L137" s="11">
        <f t="shared" si="14"/>
        <v>16</v>
      </c>
      <c r="M137" s="11">
        <f t="shared" si="14"/>
        <v>8</v>
      </c>
      <c r="N137" s="11">
        <f t="shared" si="14"/>
        <v>4</v>
      </c>
      <c r="O137" s="11">
        <f t="shared" si="14"/>
        <v>2</v>
      </c>
      <c r="P137" s="11">
        <f t="shared" si="13"/>
        <v>0</v>
      </c>
    </row>
    <row r="138" spans="1:16" x14ac:dyDescent="0.25">
      <c r="A138" s="11">
        <f t="shared" si="12"/>
        <v>83</v>
      </c>
      <c r="B138">
        <v>1.3265319175945136</v>
      </c>
      <c r="E138" s="11">
        <f>A138-'Mastercurve bestimmen'!$B$2</f>
        <v>3</v>
      </c>
      <c r="F138" s="11">
        <f t="shared" si="10"/>
        <v>1.3265319175945136</v>
      </c>
      <c r="G138" s="11"/>
      <c r="H138" s="11">
        <f t="shared" si="11"/>
        <v>6561</v>
      </c>
      <c r="I138" s="11">
        <f t="shared" si="14"/>
        <v>2187</v>
      </c>
      <c r="J138" s="11">
        <f t="shared" si="14"/>
        <v>729</v>
      </c>
      <c r="K138" s="11">
        <f t="shared" si="14"/>
        <v>243</v>
      </c>
      <c r="L138" s="11">
        <f t="shared" si="14"/>
        <v>81</v>
      </c>
      <c r="M138" s="11">
        <f t="shared" si="14"/>
        <v>27</v>
      </c>
      <c r="N138" s="11">
        <f t="shared" si="14"/>
        <v>9</v>
      </c>
      <c r="O138" s="11">
        <f t="shared" si="14"/>
        <v>3</v>
      </c>
      <c r="P138" s="11">
        <f t="shared" si="13"/>
        <v>0</v>
      </c>
    </row>
    <row r="139" spans="1:16" x14ac:dyDescent="0.25">
      <c r="A139" s="11">
        <f t="shared" si="12"/>
        <v>84</v>
      </c>
      <c r="B139">
        <v>1.7792307613019362</v>
      </c>
      <c r="E139" s="11">
        <f>A139-'Mastercurve bestimmen'!$B$2</f>
        <v>4</v>
      </c>
      <c r="F139" s="11">
        <f t="shared" si="10"/>
        <v>1.7792307613019362</v>
      </c>
      <c r="G139" s="11"/>
      <c r="H139" s="11">
        <f t="shared" si="11"/>
        <v>65536</v>
      </c>
      <c r="I139" s="11">
        <f t="shared" si="14"/>
        <v>16384</v>
      </c>
      <c r="J139" s="11">
        <f t="shared" si="14"/>
        <v>4096</v>
      </c>
      <c r="K139" s="11">
        <f t="shared" si="14"/>
        <v>1024</v>
      </c>
      <c r="L139" s="11">
        <f t="shared" si="14"/>
        <v>256</v>
      </c>
      <c r="M139" s="11">
        <f t="shared" si="14"/>
        <v>64</v>
      </c>
      <c r="N139" s="11">
        <f t="shared" si="14"/>
        <v>16</v>
      </c>
      <c r="O139" s="11">
        <f t="shared" si="14"/>
        <v>4</v>
      </c>
      <c r="P139" s="11">
        <f t="shared" si="13"/>
        <v>0</v>
      </c>
    </row>
    <row r="140" spans="1:16" x14ac:dyDescent="0.25">
      <c r="A140" s="11">
        <f t="shared" si="12"/>
        <v>85</v>
      </c>
      <c r="B140">
        <v>2.2364670545458774</v>
      </c>
      <c r="E140" s="11">
        <f>A140-'Mastercurve bestimmen'!$B$2</f>
        <v>5</v>
      </c>
      <c r="F140" s="11">
        <f t="shared" si="10"/>
        <v>2.2364670545458774</v>
      </c>
      <c r="G140" s="11"/>
      <c r="H140" s="11">
        <f t="shared" si="11"/>
        <v>390625</v>
      </c>
      <c r="I140" s="11">
        <f t="shared" si="14"/>
        <v>78125</v>
      </c>
      <c r="J140" s="11">
        <f t="shared" si="14"/>
        <v>15625</v>
      </c>
      <c r="K140" s="11">
        <f t="shared" si="14"/>
        <v>3125</v>
      </c>
      <c r="L140" s="11">
        <f t="shared" si="14"/>
        <v>625</v>
      </c>
      <c r="M140" s="11">
        <f t="shared" si="14"/>
        <v>125</v>
      </c>
      <c r="N140" s="11">
        <f t="shared" si="14"/>
        <v>25</v>
      </c>
      <c r="O140" s="11">
        <f t="shared" si="14"/>
        <v>5</v>
      </c>
      <c r="P140" s="11">
        <f t="shared" si="13"/>
        <v>0</v>
      </c>
    </row>
    <row r="141" spans="1:16" x14ac:dyDescent="0.25">
      <c r="A141" s="11">
        <f t="shared" si="12"/>
        <v>86</v>
      </c>
      <c r="B141">
        <v>2.6978068056954738</v>
      </c>
      <c r="E141" s="11">
        <f>A141-'Mastercurve bestimmen'!$B$2</f>
        <v>6</v>
      </c>
      <c r="F141" s="11">
        <f t="shared" si="10"/>
        <v>2.6978068056954738</v>
      </c>
      <c r="G141" s="11"/>
      <c r="H141" s="11">
        <f t="shared" si="11"/>
        <v>1679616</v>
      </c>
      <c r="I141" s="11">
        <f t="shared" si="14"/>
        <v>279936</v>
      </c>
      <c r="J141" s="11">
        <f t="shared" si="14"/>
        <v>46656</v>
      </c>
      <c r="K141" s="11">
        <f t="shared" si="14"/>
        <v>7776</v>
      </c>
      <c r="L141" s="11">
        <f t="shared" si="14"/>
        <v>1296</v>
      </c>
      <c r="M141" s="11">
        <f t="shared" si="14"/>
        <v>216</v>
      </c>
      <c r="N141" s="11">
        <f t="shared" si="14"/>
        <v>36</v>
      </c>
      <c r="O141" s="11">
        <f t="shared" si="14"/>
        <v>6</v>
      </c>
      <c r="P141" s="11">
        <f t="shared" si="13"/>
        <v>0</v>
      </c>
    </row>
    <row r="142" spans="1:16" x14ac:dyDescent="0.25">
      <c r="A142" s="11">
        <f t="shared" si="12"/>
        <v>87</v>
      </c>
      <c r="B142">
        <v>3.1628160231198597</v>
      </c>
      <c r="E142" s="11">
        <f>A142-'Mastercurve bestimmen'!$B$2</f>
        <v>7</v>
      </c>
      <c r="F142" s="11">
        <f t="shared" si="10"/>
        <v>3.1628160231198597</v>
      </c>
      <c r="G142" s="11"/>
      <c r="H142" s="11">
        <f t="shared" si="11"/>
        <v>5764801</v>
      </c>
      <c r="I142" s="11">
        <f t="shared" si="14"/>
        <v>823543</v>
      </c>
      <c r="J142" s="11">
        <f t="shared" si="14"/>
        <v>117649</v>
      </c>
      <c r="K142" s="11">
        <f t="shared" si="14"/>
        <v>16807</v>
      </c>
      <c r="L142" s="11">
        <f t="shared" si="14"/>
        <v>2401</v>
      </c>
      <c r="M142" s="11">
        <f t="shared" si="14"/>
        <v>343</v>
      </c>
      <c r="N142" s="11">
        <f t="shared" si="14"/>
        <v>49</v>
      </c>
      <c r="O142" s="11">
        <f t="shared" si="14"/>
        <v>7</v>
      </c>
      <c r="P142" s="11">
        <f t="shared" si="13"/>
        <v>0</v>
      </c>
    </row>
    <row r="143" spans="1:16" x14ac:dyDescent="0.25">
      <c r="A143" s="11">
        <f t="shared" si="12"/>
        <v>88</v>
      </c>
      <c r="B143">
        <v>3.6310607151881711</v>
      </c>
      <c r="E143" s="11">
        <f>A143-'Mastercurve bestimmen'!$B$2</f>
        <v>8</v>
      </c>
      <c r="F143" s="11">
        <f t="shared" si="10"/>
        <v>3.6310607151881711</v>
      </c>
      <c r="G143" s="11"/>
      <c r="H143" s="11">
        <f t="shared" si="11"/>
        <v>16777216</v>
      </c>
      <c r="I143" s="11">
        <f t="shared" si="14"/>
        <v>2097152</v>
      </c>
      <c r="J143" s="11">
        <f t="shared" si="14"/>
        <v>262144</v>
      </c>
      <c r="K143" s="11">
        <f t="shared" si="14"/>
        <v>32768</v>
      </c>
      <c r="L143" s="11">
        <f t="shared" si="14"/>
        <v>4096</v>
      </c>
      <c r="M143" s="11">
        <f t="shared" si="14"/>
        <v>512</v>
      </c>
      <c r="N143" s="11">
        <f t="shared" si="14"/>
        <v>64</v>
      </c>
      <c r="O143" s="11">
        <f t="shared" si="14"/>
        <v>8</v>
      </c>
      <c r="P143" s="11">
        <f t="shared" si="13"/>
        <v>0</v>
      </c>
    </row>
    <row r="144" spans="1:16" x14ac:dyDescent="0.25">
      <c r="A144" s="11">
        <f t="shared" si="12"/>
        <v>89</v>
      </c>
      <c r="B144">
        <v>4.1021068902695443</v>
      </c>
      <c r="E144" s="11">
        <f>A144-'Mastercurve bestimmen'!$B$2</f>
        <v>9</v>
      </c>
      <c r="F144" s="11">
        <f t="shared" ref="F144:F207" si="15">B144</f>
        <v>4.1021068902695443</v>
      </c>
      <c r="G144" s="11"/>
      <c r="H144" s="11">
        <f t="shared" ref="H144:H207" si="16">IF($H$12&gt;=H$14,$E144^H$14,0)</f>
        <v>43046721</v>
      </c>
      <c r="I144" s="11">
        <f t="shared" si="14"/>
        <v>4782969</v>
      </c>
      <c r="J144" s="11">
        <f t="shared" si="14"/>
        <v>531441</v>
      </c>
      <c r="K144" s="11">
        <f t="shared" si="14"/>
        <v>59049</v>
      </c>
      <c r="L144" s="11">
        <f t="shared" si="14"/>
        <v>6561</v>
      </c>
      <c r="M144" s="11">
        <f t="shared" si="14"/>
        <v>729</v>
      </c>
      <c r="N144" s="11">
        <f t="shared" si="14"/>
        <v>81</v>
      </c>
      <c r="O144" s="11">
        <f t="shared" si="14"/>
        <v>9</v>
      </c>
      <c r="P144" s="11">
        <f t="shared" si="13"/>
        <v>0</v>
      </c>
    </row>
    <row r="145" spans="1:16" x14ac:dyDescent="0.25">
      <c r="A145" s="11">
        <f t="shared" ref="A145:A208" si="17">A144+1</f>
        <v>90</v>
      </c>
      <c r="B145">
        <v>4.5755205567331139</v>
      </c>
      <c r="E145" s="11">
        <f>A145-'Mastercurve bestimmen'!$B$2</f>
        <v>10</v>
      </c>
      <c r="F145" s="11">
        <f t="shared" si="15"/>
        <v>4.5755205567331139</v>
      </c>
      <c r="G145" s="11"/>
      <c r="H145" s="11">
        <f t="shared" si="16"/>
        <v>100000000</v>
      </c>
      <c r="I145" s="11">
        <f t="shared" si="14"/>
        <v>10000000</v>
      </c>
      <c r="J145" s="11">
        <f t="shared" si="14"/>
        <v>1000000</v>
      </c>
      <c r="K145" s="11">
        <f t="shared" si="14"/>
        <v>100000</v>
      </c>
      <c r="L145" s="11">
        <f t="shared" si="14"/>
        <v>10000</v>
      </c>
      <c r="M145" s="11">
        <f t="shared" si="14"/>
        <v>1000</v>
      </c>
      <c r="N145" s="11">
        <f t="shared" si="14"/>
        <v>100</v>
      </c>
      <c r="O145" s="11">
        <f t="shared" si="14"/>
        <v>10</v>
      </c>
      <c r="P145" s="11">
        <f t="shared" ref="P145:P208" si="18">P144</f>
        <v>0</v>
      </c>
    </row>
    <row r="146" spans="1:16" x14ac:dyDescent="0.25">
      <c r="A146" s="11">
        <f t="shared" si="17"/>
        <v>91</v>
      </c>
      <c r="B146">
        <v>5.0508677229480181</v>
      </c>
      <c r="E146" s="11">
        <f>A146-'Mastercurve bestimmen'!$B$2</f>
        <v>11</v>
      </c>
      <c r="F146" s="11">
        <f t="shared" si="15"/>
        <v>5.0508677229480181</v>
      </c>
      <c r="G146" s="11"/>
      <c r="H146" s="11">
        <f t="shared" si="16"/>
        <v>214358881</v>
      </c>
      <c r="I146" s="11">
        <f t="shared" si="14"/>
        <v>19487171</v>
      </c>
      <c r="J146" s="11">
        <f t="shared" si="14"/>
        <v>1771561</v>
      </c>
      <c r="K146" s="11">
        <f t="shared" si="14"/>
        <v>161051</v>
      </c>
      <c r="L146" s="11">
        <f t="shared" si="14"/>
        <v>14641</v>
      </c>
      <c r="M146" s="11">
        <f t="shared" si="14"/>
        <v>1331</v>
      </c>
      <c r="N146" s="11">
        <f t="shared" si="14"/>
        <v>121</v>
      </c>
      <c r="O146" s="11">
        <f t="shared" si="14"/>
        <v>11</v>
      </c>
      <c r="P146" s="11">
        <f t="shared" si="18"/>
        <v>0</v>
      </c>
    </row>
    <row r="147" spans="1:16" x14ac:dyDescent="0.25">
      <c r="A147" s="11">
        <f t="shared" si="17"/>
        <v>92</v>
      </c>
      <c r="B147">
        <v>5.5277143972833889</v>
      </c>
      <c r="E147" s="11">
        <f>A147-'Mastercurve bestimmen'!$B$2</f>
        <v>12</v>
      </c>
      <c r="F147" s="11">
        <f t="shared" si="15"/>
        <v>5.5277143972833889</v>
      </c>
      <c r="G147" s="11"/>
      <c r="H147" s="11">
        <f t="shared" si="16"/>
        <v>429981696</v>
      </c>
      <c r="I147" s="11">
        <f t="shared" si="14"/>
        <v>35831808</v>
      </c>
      <c r="J147" s="11">
        <f t="shared" si="14"/>
        <v>2985984</v>
      </c>
      <c r="K147" s="11">
        <f t="shared" si="14"/>
        <v>248832</v>
      </c>
      <c r="L147" s="11">
        <f t="shared" si="14"/>
        <v>20736</v>
      </c>
      <c r="M147" s="11">
        <f t="shared" si="14"/>
        <v>1728</v>
      </c>
      <c r="N147" s="11">
        <f t="shared" si="14"/>
        <v>144</v>
      </c>
      <c r="O147" s="11">
        <f t="shared" si="14"/>
        <v>12</v>
      </c>
      <c r="P147" s="11">
        <f t="shared" si="18"/>
        <v>0</v>
      </c>
    </row>
    <row r="148" spans="1:16" x14ac:dyDescent="0.25">
      <c r="A148" s="11">
        <f t="shared" si="17"/>
        <v>93</v>
      </c>
      <c r="B148">
        <v>6.0056265881083641</v>
      </c>
      <c r="E148" s="11">
        <f>A148-'Mastercurve bestimmen'!$B$2</f>
        <v>13</v>
      </c>
      <c r="F148" s="11">
        <f t="shared" si="15"/>
        <v>6.0056265881083641</v>
      </c>
      <c r="G148" s="11"/>
      <c r="H148" s="11">
        <f t="shared" si="16"/>
        <v>815730721</v>
      </c>
      <c r="I148" s="11">
        <f t="shared" si="14"/>
        <v>62748517</v>
      </c>
      <c r="J148" s="11">
        <f t="shared" si="14"/>
        <v>4826809</v>
      </c>
      <c r="K148" s="11">
        <f t="shared" si="14"/>
        <v>371293</v>
      </c>
      <c r="L148" s="11">
        <f t="shared" si="14"/>
        <v>28561</v>
      </c>
      <c r="M148" s="11">
        <f t="shared" si="14"/>
        <v>2197</v>
      </c>
      <c r="N148" s="11">
        <f t="shared" si="14"/>
        <v>169</v>
      </c>
      <c r="O148" s="11">
        <f t="shared" si="14"/>
        <v>13</v>
      </c>
      <c r="P148" s="11">
        <f t="shared" si="18"/>
        <v>0</v>
      </c>
    </row>
    <row r="149" spans="1:16" x14ac:dyDescent="0.25">
      <c r="A149" s="11">
        <f t="shared" si="17"/>
        <v>94</v>
      </c>
      <c r="B149">
        <v>6.484170303792081</v>
      </c>
      <c r="E149" s="11">
        <f>A149-'Mastercurve bestimmen'!$B$2</f>
        <v>14</v>
      </c>
      <c r="F149" s="11">
        <f t="shared" si="15"/>
        <v>6.484170303792081</v>
      </c>
      <c r="G149" s="11"/>
      <c r="H149" s="11">
        <f t="shared" si="16"/>
        <v>1475789056</v>
      </c>
      <c r="I149" s="11">
        <f t="shared" si="14"/>
        <v>105413504</v>
      </c>
      <c r="J149" s="11">
        <f t="shared" si="14"/>
        <v>7529536</v>
      </c>
      <c r="K149" s="11">
        <f t="shared" si="14"/>
        <v>537824</v>
      </c>
      <c r="L149" s="11">
        <f t="shared" si="14"/>
        <v>38416</v>
      </c>
      <c r="M149" s="11">
        <f t="shared" si="14"/>
        <v>2744</v>
      </c>
      <c r="N149" s="11">
        <f t="shared" si="14"/>
        <v>196</v>
      </c>
      <c r="O149" s="11">
        <f t="shared" si="14"/>
        <v>14</v>
      </c>
      <c r="P149" s="11">
        <f t="shared" si="18"/>
        <v>0</v>
      </c>
    </row>
    <row r="150" spans="1:16" x14ac:dyDescent="0.25">
      <c r="A150" s="11">
        <f t="shared" si="17"/>
        <v>95</v>
      </c>
      <c r="B150">
        <v>6.9629115527036722</v>
      </c>
      <c r="E150" s="11">
        <f>A150-'Mastercurve bestimmen'!$B$2</f>
        <v>15</v>
      </c>
      <c r="F150" s="11">
        <f t="shared" si="15"/>
        <v>6.9629115527036722</v>
      </c>
      <c r="G150" s="11"/>
      <c r="H150" s="11">
        <f t="shared" si="16"/>
        <v>2562890625</v>
      </c>
      <c r="I150" s="11">
        <f t="shared" si="14"/>
        <v>170859375</v>
      </c>
      <c r="J150" s="11">
        <f t="shared" si="14"/>
        <v>11390625</v>
      </c>
      <c r="K150" s="11">
        <f t="shared" si="14"/>
        <v>759375</v>
      </c>
      <c r="L150" s="11">
        <f t="shared" si="14"/>
        <v>50625</v>
      </c>
      <c r="M150" s="11">
        <f t="shared" si="14"/>
        <v>3375</v>
      </c>
      <c r="N150" s="11">
        <f t="shared" si="14"/>
        <v>225</v>
      </c>
      <c r="O150" s="11">
        <f t="shared" si="14"/>
        <v>15</v>
      </c>
      <c r="P150" s="11">
        <f t="shared" si="18"/>
        <v>0</v>
      </c>
    </row>
    <row r="151" spans="1:16" x14ac:dyDescent="0.25">
      <c r="A151" s="11">
        <f t="shared" si="17"/>
        <v>96</v>
      </c>
      <c r="B151">
        <v>7.441416343212274</v>
      </c>
      <c r="E151" s="11">
        <f>A151-'Mastercurve bestimmen'!$B$2</f>
        <v>16</v>
      </c>
      <c r="F151" s="11">
        <f t="shared" si="15"/>
        <v>7.441416343212274</v>
      </c>
      <c r="G151" s="11"/>
      <c r="H151" s="11">
        <f t="shared" si="16"/>
        <v>4294967296</v>
      </c>
      <c r="I151" s="11">
        <f t="shared" si="14"/>
        <v>268435456</v>
      </c>
      <c r="J151" s="11">
        <f t="shared" si="14"/>
        <v>16777216</v>
      </c>
      <c r="K151" s="11">
        <f t="shared" si="14"/>
        <v>1048576</v>
      </c>
      <c r="L151" s="11">
        <f t="shared" si="14"/>
        <v>65536</v>
      </c>
      <c r="M151" s="11">
        <f t="shared" si="14"/>
        <v>4096</v>
      </c>
      <c r="N151" s="11">
        <f t="shared" si="14"/>
        <v>256</v>
      </c>
      <c r="O151" s="11">
        <f t="shared" si="14"/>
        <v>16</v>
      </c>
      <c r="P151" s="11">
        <f t="shared" si="18"/>
        <v>0</v>
      </c>
    </row>
    <row r="152" spans="1:16" x14ac:dyDescent="0.25">
      <c r="A152" s="11">
        <f t="shared" si="17"/>
        <v>97</v>
      </c>
      <c r="B152">
        <v>7.9192506836870233</v>
      </c>
      <c r="E152" s="11">
        <f>A152-'Mastercurve bestimmen'!$B$2</f>
        <v>17</v>
      </c>
      <c r="F152" s="11">
        <f t="shared" si="15"/>
        <v>7.9192506836870233</v>
      </c>
      <c r="G152" s="11"/>
      <c r="H152" s="11">
        <f t="shared" si="16"/>
        <v>6975757441</v>
      </c>
      <c r="I152" s="11">
        <f t="shared" si="14"/>
        <v>410338673</v>
      </c>
      <c r="J152" s="11">
        <f t="shared" si="14"/>
        <v>24137569</v>
      </c>
      <c r="K152" s="11">
        <f t="shared" si="14"/>
        <v>1419857</v>
      </c>
      <c r="L152" s="11">
        <f t="shared" si="14"/>
        <v>83521</v>
      </c>
      <c r="M152" s="11">
        <f t="shared" si="14"/>
        <v>4913</v>
      </c>
      <c r="N152" s="11">
        <f t="shared" ref="I152:O189" si="19">IF($H$12&gt;=N$14,$E152^N$14,0)</f>
        <v>289</v>
      </c>
      <c r="O152" s="11">
        <f t="shared" si="19"/>
        <v>17</v>
      </c>
      <c r="P152" s="11">
        <f t="shared" si="18"/>
        <v>0</v>
      </c>
    </row>
    <row r="153" spans="1:16" x14ac:dyDescent="0.25">
      <c r="A153" s="11">
        <f t="shared" si="17"/>
        <v>98</v>
      </c>
      <c r="B153">
        <v>8.3959805824970566</v>
      </c>
      <c r="E153" s="11">
        <f>A153-'Mastercurve bestimmen'!$B$2</f>
        <v>18</v>
      </c>
      <c r="F153" s="11">
        <f t="shared" si="15"/>
        <v>8.3959805824970566</v>
      </c>
      <c r="G153" s="11"/>
      <c r="H153" s="11">
        <f t="shared" si="16"/>
        <v>11019960576</v>
      </c>
      <c r="I153" s="11">
        <f t="shared" si="19"/>
        <v>612220032</v>
      </c>
      <c r="J153" s="11">
        <f t="shared" si="19"/>
        <v>34012224</v>
      </c>
      <c r="K153" s="11">
        <f t="shared" si="19"/>
        <v>1889568</v>
      </c>
      <c r="L153" s="11">
        <f t="shared" si="19"/>
        <v>104976</v>
      </c>
      <c r="M153" s="11">
        <f t="shared" si="19"/>
        <v>5832</v>
      </c>
      <c r="N153" s="11">
        <f t="shared" si="19"/>
        <v>324</v>
      </c>
      <c r="O153" s="11">
        <f t="shared" si="19"/>
        <v>18</v>
      </c>
      <c r="P153" s="11">
        <f t="shared" si="18"/>
        <v>0</v>
      </c>
    </row>
    <row r="154" spans="1:16" x14ac:dyDescent="0.25">
      <c r="A154" s="11">
        <f t="shared" si="17"/>
        <v>99</v>
      </c>
      <c r="B154">
        <v>8.8711720480115055</v>
      </c>
      <c r="E154" s="11">
        <f>A154-'Mastercurve bestimmen'!$B$2</f>
        <v>19</v>
      </c>
      <c r="F154" s="11">
        <f t="shared" si="15"/>
        <v>8.8711720480115055</v>
      </c>
      <c r="G154" s="11"/>
      <c r="H154" s="11">
        <f t="shared" si="16"/>
        <v>16983563041</v>
      </c>
      <c r="I154" s="11">
        <f t="shared" si="19"/>
        <v>893871739</v>
      </c>
      <c r="J154" s="11">
        <f t="shared" si="19"/>
        <v>47045881</v>
      </c>
      <c r="K154" s="11">
        <f t="shared" si="19"/>
        <v>2476099</v>
      </c>
      <c r="L154" s="11">
        <f t="shared" si="19"/>
        <v>130321</v>
      </c>
      <c r="M154" s="11">
        <f t="shared" si="19"/>
        <v>6859</v>
      </c>
      <c r="N154" s="11">
        <f t="shared" si="19"/>
        <v>361</v>
      </c>
      <c r="O154" s="11">
        <f t="shared" si="19"/>
        <v>19</v>
      </c>
      <c r="P154" s="11">
        <f t="shared" si="18"/>
        <v>0</v>
      </c>
    </row>
    <row r="155" spans="1:16" x14ac:dyDescent="0.25">
      <c r="A155" s="11">
        <f t="shared" si="17"/>
        <v>100</v>
      </c>
      <c r="B155">
        <v>9.3443910885995116</v>
      </c>
      <c r="E155" s="11">
        <f>A155-'Mastercurve bestimmen'!$B$2</f>
        <v>20</v>
      </c>
      <c r="F155" s="11">
        <f t="shared" si="15"/>
        <v>9.3443910885995116</v>
      </c>
      <c r="G155" s="11"/>
      <c r="H155" s="11">
        <f t="shared" si="16"/>
        <v>25600000000</v>
      </c>
      <c r="I155" s="11">
        <f t="shared" si="19"/>
        <v>1280000000</v>
      </c>
      <c r="J155" s="11">
        <f t="shared" si="19"/>
        <v>64000000</v>
      </c>
      <c r="K155" s="11">
        <f t="shared" si="19"/>
        <v>3200000</v>
      </c>
      <c r="L155" s="11">
        <f t="shared" si="19"/>
        <v>160000</v>
      </c>
      <c r="M155" s="11">
        <f t="shared" si="19"/>
        <v>8000</v>
      </c>
      <c r="N155" s="11">
        <f t="shared" si="19"/>
        <v>400</v>
      </c>
      <c r="O155" s="11">
        <f t="shared" si="19"/>
        <v>20</v>
      </c>
      <c r="P155" s="11">
        <f t="shared" si="18"/>
        <v>0</v>
      </c>
    </row>
    <row r="156" spans="1:16" x14ac:dyDescent="0.25">
      <c r="A156" s="11">
        <f t="shared" si="17"/>
        <v>101</v>
      </c>
      <c r="B156">
        <v>9.8152037126302076</v>
      </c>
      <c r="E156" s="11">
        <f>A156-'Mastercurve bestimmen'!$B$2</f>
        <v>21</v>
      </c>
      <c r="F156" s="11">
        <f t="shared" si="15"/>
        <v>9.8152037126302076</v>
      </c>
      <c r="G156" s="11"/>
      <c r="H156" s="11">
        <f t="shared" si="16"/>
        <v>37822859361</v>
      </c>
      <c r="I156" s="11">
        <f t="shared" si="19"/>
        <v>1801088541</v>
      </c>
      <c r="J156" s="11">
        <f t="shared" si="19"/>
        <v>85766121</v>
      </c>
      <c r="K156" s="11">
        <f t="shared" si="19"/>
        <v>4084101</v>
      </c>
      <c r="L156" s="11">
        <f t="shared" si="19"/>
        <v>194481</v>
      </c>
      <c r="M156" s="11">
        <f t="shared" si="19"/>
        <v>9261</v>
      </c>
      <c r="N156" s="11">
        <f t="shared" si="19"/>
        <v>441</v>
      </c>
      <c r="O156" s="11">
        <f t="shared" si="19"/>
        <v>21</v>
      </c>
      <c r="P156" s="11">
        <f t="shared" si="18"/>
        <v>0</v>
      </c>
    </row>
    <row r="157" spans="1:16" x14ac:dyDescent="0.25">
      <c r="A157" s="11">
        <f t="shared" si="17"/>
        <v>102</v>
      </c>
      <c r="B157">
        <v>10.283175928472726</v>
      </c>
      <c r="E157" s="11">
        <f>A157-'Mastercurve bestimmen'!$B$2</f>
        <v>22</v>
      </c>
      <c r="F157" s="11">
        <f t="shared" si="15"/>
        <v>10.283175928472726</v>
      </c>
      <c r="G157" s="11"/>
      <c r="H157" s="11">
        <f t="shared" si="16"/>
        <v>54875873536</v>
      </c>
      <c r="I157" s="11">
        <f t="shared" si="19"/>
        <v>2494357888</v>
      </c>
      <c r="J157" s="11">
        <f t="shared" si="19"/>
        <v>113379904</v>
      </c>
      <c r="K157" s="11">
        <f t="shared" si="19"/>
        <v>5153632</v>
      </c>
      <c r="L157" s="11">
        <f t="shared" si="19"/>
        <v>234256</v>
      </c>
      <c r="M157" s="11">
        <f t="shared" si="19"/>
        <v>10648</v>
      </c>
      <c r="N157" s="11">
        <f t="shared" si="19"/>
        <v>484</v>
      </c>
      <c r="O157" s="11">
        <f t="shared" si="19"/>
        <v>22</v>
      </c>
      <c r="P157" s="11">
        <f t="shared" si="18"/>
        <v>0</v>
      </c>
    </row>
    <row r="158" spans="1:16" x14ac:dyDescent="0.25">
      <c r="A158" s="11">
        <f t="shared" si="17"/>
        <v>103</v>
      </c>
      <c r="B158">
        <v>10.747873744496207</v>
      </c>
      <c r="E158" s="11">
        <f>A158-'Mastercurve bestimmen'!$B$2</f>
        <v>23</v>
      </c>
      <c r="F158" s="11">
        <f t="shared" si="15"/>
        <v>10.747873744496207</v>
      </c>
      <c r="G158" s="11"/>
      <c r="H158" s="11">
        <f t="shared" si="16"/>
        <v>78310985281</v>
      </c>
      <c r="I158" s="11">
        <f t="shared" si="19"/>
        <v>3404825447</v>
      </c>
      <c r="J158" s="11">
        <f t="shared" si="19"/>
        <v>148035889</v>
      </c>
      <c r="K158" s="11">
        <f t="shared" si="19"/>
        <v>6436343</v>
      </c>
      <c r="L158" s="11">
        <f t="shared" si="19"/>
        <v>279841</v>
      </c>
      <c r="M158" s="11">
        <f t="shared" si="19"/>
        <v>12167</v>
      </c>
      <c r="N158" s="11">
        <f t="shared" si="19"/>
        <v>529</v>
      </c>
      <c r="O158" s="11">
        <f t="shared" si="19"/>
        <v>23</v>
      </c>
      <c r="P158" s="11">
        <f t="shared" si="18"/>
        <v>0</v>
      </c>
    </row>
    <row r="159" spans="1:16" x14ac:dyDescent="0.25">
      <c r="A159" s="11">
        <f t="shared" si="17"/>
        <v>104</v>
      </c>
      <c r="B159">
        <v>11.208863169069787</v>
      </c>
      <c r="E159" s="11">
        <f>A159-'Mastercurve bestimmen'!$B$2</f>
        <v>24</v>
      </c>
      <c r="F159" s="11">
        <f t="shared" si="15"/>
        <v>11.208863169069787</v>
      </c>
      <c r="G159" s="11"/>
      <c r="H159" s="11">
        <f t="shared" si="16"/>
        <v>110075314176</v>
      </c>
      <c r="I159" s="11">
        <f t="shared" si="19"/>
        <v>4586471424</v>
      </c>
      <c r="J159" s="11">
        <f t="shared" si="19"/>
        <v>191102976</v>
      </c>
      <c r="K159" s="11">
        <f t="shared" si="19"/>
        <v>7962624</v>
      </c>
      <c r="L159" s="11">
        <f t="shared" si="19"/>
        <v>331776</v>
      </c>
      <c r="M159" s="11">
        <f t="shared" si="19"/>
        <v>13824</v>
      </c>
      <c r="N159" s="11">
        <f t="shared" si="19"/>
        <v>576</v>
      </c>
      <c r="O159" s="11">
        <f t="shared" si="19"/>
        <v>24</v>
      </c>
      <c r="P159" s="11">
        <f t="shared" si="18"/>
        <v>0</v>
      </c>
    </row>
    <row r="160" spans="1:16" x14ac:dyDescent="0.25">
      <c r="A160" s="11">
        <f t="shared" si="17"/>
        <v>105</v>
      </c>
      <c r="B160">
        <v>11.665710210562597</v>
      </c>
      <c r="E160" s="11">
        <f>A160-'Mastercurve bestimmen'!$B$2</f>
        <v>25</v>
      </c>
      <c r="F160" s="11">
        <f t="shared" si="15"/>
        <v>11.665710210562597</v>
      </c>
      <c r="G160" s="11"/>
      <c r="H160" s="11">
        <f t="shared" si="16"/>
        <v>152587890625</v>
      </c>
      <c r="I160" s="11">
        <f t="shared" si="19"/>
        <v>6103515625</v>
      </c>
      <c r="J160" s="11">
        <f t="shared" si="19"/>
        <v>244140625</v>
      </c>
      <c r="K160" s="11">
        <f t="shared" si="19"/>
        <v>9765625</v>
      </c>
      <c r="L160" s="11">
        <f t="shared" si="19"/>
        <v>390625</v>
      </c>
      <c r="M160" s="11">
        <f t="shared" si="19"/>
        <v>15625</v>
      </c>
      <c r="N160" s="11">
        <f t="shared" si="19"/>
        <v>625</v>
      </c>
      <c r="O160" s="11">
        <f t="shared" si="19"/>
        <v>25</v>
      </c>
      <c r="P160" s="11">
        <f t="shared" si="18"/>
        <v>0</v>
      </c>
    </row>
    <row r="161" spans="1:16" x14ac:dyDescent="0.25">
      <c r="A161" s="11">
        <f t="shared" si="17"/>
        <v>106</v>
      </c>
      <c r="B161">
        <v>12.117980877343776</v>
      </c>
      <c r="E161" s="11">
        <f>A161-'Mastercurve bestimmen'!$B$2</f>
        <v>26</v>
      </c>
      <c r="F161" s="11">
        <f t="shared" si="15"/>
        <v>12.117980877343776</v>
      </c>
      <c r="G161" s="11"/>
      <c r="H161" s="11">
        <f t="shared" si="16"/>
        <v>208827064576</v>
      </c>
      <c r="I161" s="11">
        <f t="shared" si="19"/>
        <v>8031810176</v>
      </c>
      <c r="J161" s="11">
        <f t="shared" si="19"/>
        <v>308915776</v>
      </c>
      <c r="K161" s="11">
        <f t="shared" si="19"/>
        <v>11881376</v>
      </c>
      <c r="L161" s="11">
        <f t="shared" si="19"/>
        <v>456976</v>
      </c>
      <c r="M161" s="11">
        <f t="shared" si="19"/>
        <v>17576</v>
      </c>
      <c r="N161" s="11">
        <f t="shared" si="19"/>
        <v>676</v>
      </c>
      <c r="O161" s="11">
        <f t="shared" si="19"/>
        <v>26</v>
      </c>
      <c r="P161" s="11">
        <f t="shared" si="18"/>
        <v>0</v>
      </c>
    </row>
    <row r="162" spans="1:16" x14ac:dyDescent="0.25">
      <c r="A162" s="11">
        <f t="shared" si="17"/>
        <v>107</v>
      </c>
      <c r="B162">
        <v>12.565241177782458</v>
      </c>
      <c r="E162" s="11">
        <f>A162-'Mastercurve bestimmen'!$B$2</f>
        <v>27</v>
      </c>
      <c r="F162" s="11">
        <f t="shared" si="15"/>
        <v>12.565241177782458</v>
      </c>
      <c r="G162" s="11"/>
      <c r="H162" s="11">
        <f t="shared" si="16"/>
        <v>282429536481</v>
      </c>
      <c r="I162" s="11">
        <f t="shared" si="19"/>
        <v>10460353203</v>
      </c>
      <c r="J162" s="11">
        <f t="shared" si="19"/>
        <v>387420489</v>
      </c>
      <c r="K162" s="11">
        <f t="shared" si="19"/>
        <v>14348907</v>
      </c>
      <c r="L162" s="11">
        <f t="shared" si="19"/>
        <v>531441</v>
      </c>
      <c r="M162" s="11">
        <f t="shared" si="19"/>
        <v>19683</v>
      </c>
      <c r="N162" s="11">
        <f t="shared" si="19"/>
        <v>729</v>
      </c>
      <c r="O162" s="11">
        <f t="shared" si="19"/>
        <v>27</v>
      </c>
      <c r="P162" s="11">
        <f t="shared" si="18"/>
        <v>0</v>
      </c>
    </row>
    <row r="163" spans="1:16" x14ac:dyDescent="0.25">
      <c r="A163" s="11">
        <f t="shared" si="17"/>
        <v>108</v>
      </c>
      <c r="B163">
        <v>13.007057120247783</v>
      </c>
      <c r="E163" s="11">
        <f>A163-'Mastercurve bestimmen'!$B$2</f>
        <v>28</v>
      </c>
      <c r="F163" s="11">
        <f t="shared" si="15"/>
        <v>13.007057120247783</v>
      </c>
      <c r="G163" s="11"/>
      <c r="H163" s="11">
        <f t="shared" si="16"/>
        <v>377801998336</v>
      </c>
      <c r="I163" s="11">
        <f t="shared" si="19"/>
        <v>13492928512</v>
      </c>
      <c r="J163" s="11">
        <f t="shared" si="19"/>
        <v>481890304</v>
      </c>
      <c r="K163" s="11">
        <f t="shared" si="19"/>
        <v>17210368</v>
      </c>
      <c r="L163" s="11">
        <f t="shared" si="19"/>
        <v>614656</v>
      </c>
      <c r="M163" s="11">
        <f t="shared" si="19"/>
        <v>21952</v>
      </c>
      <c r="N163" s="11">
        <f t="shared" si="19"/>
        <v>784</v>
      </c>
      <c r="O163" s="11">
        <f t="shared" si="19"/>
        <v>28</v>
      </c>
      <c r="P163" s="11">
        <f t="shared" si="18"/>
        <v>0</v>
      </c>
    </row>
    <row r="164" spans="1:16" x14ac:dyDescent="0.25">
      <c r="A164" s="11">
        <f t="shared" si="17"/>
        <v>109</v>
      </c>
      <c r="B164">
        <v>13.442994713108881</v>
      </c>
      <c r="E164" s="11">
        <f>A164-'Mastercurve bestimmen'!$B$2</f>
        <v>29</v>
      </c>
      <c r="F164" s="11">
        <f t="shared" si="15"/>
        <v>13.442994713108881</v>
      </c>
      <c r="G164" s="11"/>
      <c r="H164" s="11">
        <f t="shared" si="16"/>
        <v>500246412961</v>
      </c>
      <c r="I164" s="11">
        <f t="shared" si="19"/>
        <v>17249876309</v>
      </c>
      <c r="J164" s="11">
        <f t="shared" si="19"/>
        <v>594823321</v>
      </c>
      <c r="K164" s="11">
        <f t="shared" si="19"/>
        <v>20511149</v>
      </c>
      <c r="L164" s="11">
        <f t="shared" si="19"/>
        <v>707281</v>
      </c>
      <c r="M164" s="11">
        <f t="shared" si="19"/>
        <v>24389</v>
      </c>
      <c r="N164" s="11">
        <f t="shared" si="19"/>
        <v>841</v>
      </c>
      <c r="O164" s="11">
        <f t="shared" si="19"/>
        <v>29</v>
      </c>
      <c r="P164" s="11">
        <f t="shared" si="18"/>
        <v>0</v>
      </c>
    </row>
    <row r="165" spans="1:16" x14ac:dyDescent="0.25">
      <c r="A165" s="11">
        <f t="shared" si="17"/>
        <v>110</v>
      </c>
      <c r="B165">
        <v>13.87261996473489</v>
      </c>
      <c r="E165" s="11">
        <f>A165-'Mastercurve bestimmen'!$B$2</f>
        <v>30</v>
      </c>
      <c r="F165" s="11">
        <f t="shared" si="15"/>
        <v>13.87261996473489</v>
      </c>
      <c r="G165" s="11"/>
      <c r="H165" s="11">
        <f t="shared" si="16"/>
        <v>656100000000</v>
      </c>
      <c r="I165" s="11">
        <f t="shared" si="19"/>
        <v>21870000000</v>
      </c>
      <c r="J165" s="11">
        <f t="shared" si="19"/>
        <v>729000000</v>
      </c>
      <c r="K165" s="11">
        <f t="shared" si="19"/>
        <v>24300000</v>
      </c>
      <c r="L165" s="11">
        <f t="shared" si="19"/>
        <v>810000</v>
      </c>
      <c r="M165" s="11">
        <f t="shared" si="19"/>
        <v>27000</v>
      </c>
      <c r="N165" s="11">
        <f t="shared" si="19"/>
        <v>900</v>
      </c>
      <c r="O165" s="11">
        <f t="shared" si="19"/>
        <v>30</v>
      </c>
      <c r="P165" s="11">
        <f t="shared" si="18"/>
        <v>0</v>
      </c>
    </row>
    <row r="166" spans="1:16" x14ac:dyDescent="0.25">
      <c r="A166" s="11">
        <f t="shared" si="17"/>
        <v>111</v>
      </c>
      <c r="B166">
        <v>14.295498883494943</v>
      </c>
      <c r="E166" s="11">
        <f>A166-'Mastercurve bestimmen'!$B$2</f>
        <v>31</v>
      </c>
      <c r="F166" s="11">
        <f t="shared" si="15"/>
        <v>14.295498883494943</v>
      </c>
      <c r="G166" s="11"/>
      <c r="H166" s="11">
        <f t="shared" si="16"/>
        <v>852891037441</v>
      </c>
      <c r="I166" s="11">
        <f t="shared" si="19"/>
        <v>27512614111</v>
      </c>
      <c r="J166" s="11">
        <f t="shared" si="19"/>
        <v>887503681</v>
      </c>
      <c r="K166" s="11">
        <f t="shared" si="19"/>
        <v>28629151</v>
      </c>
      <c r="L166" s="11">
        <f t="shared" si="19"/>
        <v>923521</v>
      </c>
      <c r="M166" s="11">
        <f t="shared" si="19"/>
        <v>29791</v>
      </c>
      <c r="N166" s="11">
        <f t="shared" si="19"/>
        <v>961</v>
      </c>
      <c r="O166" s="11">
        <f t="shared" si="19"/>
        <v>31</v>
      </c>
      <c r="P166" s="11">
        <f t="shared" si="18"/>
        <v>0</v>
      </c>
    </row>
    <row r="167" spans="1:16" x14ac:dyDescent="0.25">
      <c r="A167" s="11">
        <f t="shared" si="17"/>
        <v>112</v>
      </c>
      <c r="B167">
        <v>14.711197477758184</v>
      </c>
      <c r="E167" s="11">
        <f>A167-'Mastercurve bestimmen'!$B$2</f>
        <v>32</v>
      </c>
      <c r="F167" s="11">
        <f t="shared" si="15"/>
        <v>14.711197477758184</v>
      </c>
      <c r="G167" s="11"/>
      <c r="H167" s="11">
        <f t="shared" si="16"/>
        <v>1099511627776</v>
      </c>
      <c r="I167" s="11">
        <f t="shared" si="19"/>
        <v>34359738368</v>
      </c>
      <c r="J167" s="11">
        <f t="shared" si="19"/>
        <v>1073741824</v>
      </c>
      <c r="K167" s="11">
        <f t="shared" si="19"/>
        <v>33554432</v>
      </c>
      <c r="L167" s="11">
        <f t="shared" si="19"/>
        <v>1048576</v>
      </c>
      <c r="M167" s="11">
        <f t="shared" si="19"/>
        <v>32768</v>
      </c>
      <c r="N167" s="11">
        <f t="shared" si="19"/>
        <v>1024</v>
      </c>
      <c r="O167" s="11">
        <f t="shared" si="19"/>
        <v>32</v>
      </c>
      <c r="P167" s="11">
        <f t="shared" si="18"/>
        <v>0</v>
      </c>
    </row>
    <row r="168" spans="1:16" x14ac:dyDescent="0.25">
      <c r="A168" s="11">
        <f t="shared" si="17"/>
        <v>113</v>
      </c>
      <c r="B168">
        <v>15.119281755893741</v>
      </c>
      <c r="E168" s="11">
        <f>A168-'Mastercurve bestimmen'!$B$2</f>
        <v>33</v>
      </c>
      <c r="F168" s="11">
        <f t="shared" si="15"/>
        <v>15.119281755893741</v>
      </c>
      <c r="G168" s="11"/>
      <c r="H168" s="11">
        <f t="shared" si="16"/>
        <v>1406408618241</v>
      </c>
      <c r="I168" s="11">
        <f t="shared" si="19"/>
        <v>42618442977</v>
      </c>
      <c r="J168" s="11">
        <f t="shared" si="19"/>
        <v>1291467969</v>
      </c>
      <c r="K168" s="11">
        <f t="shared" si="19"/>
        <v>39135393</v>
      </c>
      <c r="L168" s="11">
        <f t="shared" si="19"/>
        <v>1185921</v>
      </c>
      <c r="M168" s="11">
        <f t="shared" si="19"/>
        <v>35937</v>
      </c>
      <c r="N168" s="11">
        <f t="shared" si="19"/>
        <v>1089</v>
      </c>
      <c r="O168" s="11">
        <f t="shared" si="19"/>
        <v>33</v>
      </c>
      <c r="P168" s="11">
        <f t="shared" si="18"/>
        <v>0</v>
      </c>
    </row>
    <row r="169" spans="1:16" x14ac:dyDescent="0.25">
      <c r="A169" s="11">
        <f t="shared" si="17"/>
        <v>114</v>
      </c>
      <c r="B169">
        <v>15.519317726270749</v>
      </c>
      <c r="E169" s="11">
        <f>A169-'Mastercurve bestimmen'!$B$2</f>
        <v>34</v>
      </c>
      <c r="F169" s="11">
        <f t="shared" si="15"/>
        <v>15.519317726270749</v>
      </c>
      <c r="G169" s="11"/>
      <c r="H169" s="11">
        <f t="shared" si="16"/>
        <v>1785793904896</v>
      </c>
      <c r="I169" s="11">
        <f t="shared" si="19"/>
        <v>52523350144</v>
      </c>
      <c r="J169" s="11">
        <f t="shared" si="19"/>
        <v>1544804416</v>
      </c>
      <c r="K169" s="11">
        <f t="shared" si="19"/>
        <v>45435424</v>
      </c>
      <c r="L169" s="11">
        <f t="shared" si="19"/>
        <v>1336336</v>
      </c>
      <c r="M169" s="11">
        <f t="shared" si="19"/>
        <v>39304</v>
      </c>
      <c r="N169" s="11">
        <f t="shared" si="19"/>
        <v>1156</v>
      </c>
      <c r="O169" s="11">
        <f t="shared" si="19"/>
        <v>34</v>
      </c>
      <c r="P169" s="11">
        <f t="shared" si="18"/>
        <v>0</v>
      </c>
    </row>
    <row r="170" spans="1:16" x14ac:dyDescent="0.25">
      <c r="A170" s="11">
        <f t="shared" si="17"/>
        <v>115</v>
      </c>
      <c r="B170">
        <v>15.910871397258351</v>
      </c>
      <c r="E170" s="11">
        <f>A170-'Mastercurve bestimmen'!$B$2</f>
        <v>35</v>
      </c>
      <c r="F170" s="11">
        <f t="shared" si="15"/>
        <v>15.910871397258351</v>
      </c>
      <c r="G170" s="11"/>
      <c r="H170" s="11">
        <f t="shared" si="16"/>
        <v>2251875390625</v>
      </c>
      <c r="I170" s="11">
        <f t="shared" si="19"/>
        <v>64339296875</v>
      </c>
      <c r="J170" s="11">
        <f t="shared" si="19"/>
        <v>1838265625</v>
      </c>
      <c r="K170" s="11">
        <f t="shared" si="19"/>
        <v>52521875</v>
      </c>
      <c r="L170" s="11">
        <f t="shared" si="19"/>
        <v>1500625</v>
      </c>
      <c r="M170" s="11">
        <f t="shared" si="19"/>
        <v>42875</v>
      </c>
      <c r="N170" s="11">
        <f t="shared" si="19"/>
        <v>1225</v>
      </c>
      <c r="O170" s="11">
        <f t="shared" si="19"/>
        <v>35</v>
      </c>
      <c r="P170" s="11">
        <f t="shared" si="18"/>
        <v>0</v>
      </c>
    </row>
    <row r="171" spans="1:16" x14ac:dyDescent="0.25">
      <c r="A171" s="11">
        <f t="shared" si="17"/>
        <v>116</v>
      </c>
      <c r="B171">
        <v>16.293508777225675</v>
      </c>
      <c r="E171" s="11">
        <f>A171-'Mastercurve bestimmen'!$B$2</f>
        <v>36</v>
      </c>
      <c r="F171" s="11">
        <f t="shared" si="15"/>
        <v>16.293508777225675</v>
      </c>
      <c r="G171" s="11"/>
      <c r="H171" s="11">
        <f t="shared" si="16"/>
        <v>2821109907456</v>
      </c>
      <c r="I171" s="11">
        <f t="shared" si="19"/>
        <v>78364164096</v>
      </c>
      <c r="J171" s="11">
        <f t="shared" si="19"/>
        <v>2176782336</v>
      </c>
      <c r="K171" s="11">
        <f t="shared" si="19"/>
        <v>60466176</v>
      </c>
      <c r="L171" s="11">
        <f t="shared" si="19"/>
        <v>1679616</v>
      </c>
      <c r="M171" s="11">
        <f t="shared" si="19"/>
        <v>46656</v>
      </c>
      <c r="N171" s="11">
        <f t="shared" si="19"/>
        <v>1296</v>
      </c>
      <c r="O171" s="11">
        <f t="shared" si="19"/>
        <v>36</v>
      </c>
      <c r="P171" s="11">
        <f t="shared" si="18"/>
        <v>0</v>
      </c>
    </row>
    <row r="172" spans="1:16" x14ac:dyDescent="0.25">
      <c r="A172" s="11">
        <f t="shared" si="17"/>
        <v>117</v>
      </c>
      <c r="B172">
        <v>16.666795874541862</v>
      </c>
      <c r="E172" s="11">
        <f>A172-'Mastercurve bestimmen'!$B$2</f>
        <v>37</v>
      </c>
      <c r="F172" s="11">
        <f t="shared" si="15"/>
        <v>16.666795874541862</v>
      </c>
      <c r="G172" s="11"/>
      <c r="H172" s="11">
        <f t="shared" si="16"/>
        <v>3512479453921</v>
      </c>
      <c r="I172" s="11">
        <f t="shared" si="19"/>
        <v>94931877133</v>
      </c>
      <c r="J172" s="11">
        <f t="shared" si="19"/>
        <v>2565726409</v>
      </c>
      <c r="K172" s="11">
        <f t="shared" si="19"/>
        <v>69343957</v>
      </c>
      <c r="L172" s="11">
        <f t="shared" si="19"/>
        <v>1874161</v>
      </c>
      <c r="M172" s="11">
        <f t="shared" si="19"/>
        <v>50653</v>
      </c>
      <c r="N172" s="11">
        <f t="shared" si="19"/>
        <v>1369</v>
      </c>
      <c r="O172" s="11">
        <f t="shared" si="19"/>
        <v>37</v>
      </c>
      <c r="P172" s="11">
        <f t="shared" si="18"/>
        <v>0</v>
      </c>
    </row>
    <row r="173" spans="1:16" x14ac:dyDescent="0.25">
      <c r="A173" s="11">
        <f t="shared" si="17"/>
        <v>118</v>
      </c>
      <c r="B173">
        <v>17.030298697576043</v>
      </c>
      <c r="E173" s="11">
        <f>A173-'Mastercurve bestimmen'!$B$2</f>
        <v>38</v>
      </c>
      <c r="F173" s="11">
        <f t="shared" si="15"/>
        <v>17.030298697576043</v>
      </c>
      <c r="G173" s="11"/>
      <c r="H173" s="11">
        <f t="shared" si="16"/>
        <v>4347792138496</v>
      </c>
      <c r="I173" s="11">
        <f t="shared" si="19"/>
        <v>114415582592</v>
      </c>
      <c r="J173" s="11">
        <f t="shared" si="19"/>
        <v>3010936384</v>
      </c>
      <c r="K173" s="11">
        <f t="shared" si="19"/>
        <v>79235168</v>
      </c>
      <c r="L173" s="11">
        <f t="shared" si="19"/>
        <v>2085136</v>
      </c>
      <c r="M173" s="11">
        <f t="shared" si="19"/>
        <v>54872</v>
      </c>
      <c r="N173" s="11">
        <f t="shared" si="19"/>
        <v>1444</v>
      </c>
      <c r="O173" s="11">
        <f t="shared" si="19"/>
        <v>38</v>
      </c>
      <c r="P173" s="11">
        <f t="shared" si="18"/>
        <v>0</v>
      </c>
    </row>
    <row r="174" spans="1:16" x14ac:dyDescent="0.25">
      <c r="A174" s="11">
        <f t="shared" si="17"/>
        <v>119</v>
      </c>
      <c r="B174">
        <v>17.38358325469736</v>
      </c>
      <c r="E174" s="11">
        <f>A174-'Mastercurve bestimmen'!$B$2</f>
        <v>39</v>
      </c>
      <c r="F174" s="11">
        <f t="shared" si="15"/>
        <v>17.38358325469736</v>
      </c>
      <c r="G174" s="11"/>
      <c r="H174" s="11">
        <f t="shared" si="16"/>
        <v>5352009260481</v>
      </c>
      <c r="I174" s="11">
        <f t="shared" si="19"/>
        <v>137231006679</v>
      </c>
      <c r="J174" s="11">
        <f t="shared" si="19"/>
        <v>3518743761</v>
      </c>
      <c r="K174" s="11">
        <f t="shared" si="19"/>
        <v>90224199</v>
      </c>
      <c r="L174" s="11">
        <f t="shared" si="19"/>
        <v>2313441</v>
      </c>
      <c r="M174" s="11">
        <f t="shared" si="19"/>
        <v>59319</v>
      </c>
      <c r="N174" s="11">
        <f t="shared" si="19"/>
        <v>1521</v>
      </c>
      <c r="O174" s="11">
        <f t="shared" si="19"/>
        <v>39</v>
      </c>
      <c r="P174" s="11">
        <f t="shared" si="18"/>
        <v>0</v>
      </c>
    </row>
    <row r="175" spans="1:16" x14ac:dyDescent="0.25">
      <c r="A175" s="11">
        <f t="shared" si="17"/>
        <v>120</v>
      </c>
      <c r="B175">
        <v>17.72621555427494</v>
      </c>
      <c r="E175" s="11">
        <f>A175-'Mastercurve bestimmen'!$B$2</f>
        <v>40</v>
      </c>
      <c r="F175" s="11">
        <f t="shared" si="15"/>
        <v>17.72621555427494</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18.057761604677928</v>
      </c>
      <c r="E176" s="11">
        <f>A176-'Mastercurve bestimmen'!$B$2</f>
        <v>41</v>
      </c>
      <c r="F176" s="11">
        <f t="shared" si="15"/>
        <v>18.057761604677928</v>
      </c>
      <c r="G176" s="11"/>
      <c r="H176" s="11">
        <f t="shared" si="16"/>
        <v>7984925229121</v>
      </c>
      <c r="I176" s="11">
        <f t="shared" si="19"/>
        <v>194754273881</v>
      </c>
      <c r="J176" s="11">
        <f t="shared" si="19"/>
        <v>4750104241</v>
      </c>
      <c r="K176" s="11">
        <f t="shared" si="19"/>
        <v>115856201</v>
      </c>
      <c r="L176" s="11">
        <f t="shared" si="19"/>
        <v>2825761</v>
      </c>
      <c r="M176" s="11">
        <f t="shared" si="19"/>
        <v>68921</v>
      </c>
      <c r="N176" s="11">
        <f t="shared" si="19"/>
        <v>1681</v>
      </c>
      <c r="O176" s="11">
        <f t="shared" si="19"/>
        <v>41</v>
      </c>
      <c r="P176" s="11">
        <f t="shared" si="18"/>
        <v>0</v>
      </c>
    </row>
    <row r="177" spans="1:16" x14ac:dyDescent="0.25">
      <c r="A177" s="11">
        <f t="shared" si="17"/>
        <v>122</v>
      </c>
      <c r="B177">
        <v>18.377787414275456</v>
      </c>
      <c r="E177" s="11">
        <f>A177-'Mastercurve bestimmen'!$B$2</f>
        <v>42</v>
      </c>
      <c r="F177" s="11">
        <f t="shared" si="15"/>
        <v>18.377787414275456</v>
      </c>
      <c r="G177" s="11"/>
      <c r="H177" s="11">
        <f t="shared" si="16"/>
        <v>9682651996416</v>
      </c>
      <c r="I177" s="11">
        <f t="shared" si="19"/>
        <v>230539333248</v>
      </c>
      <c r="J177" s="11">
        <f t="shared" si="19"/>
        <v>5489031744</v>
      </c>
      <c r="K177" s="11">
        <f t="shared" si="19"/>
        <v>130691232</v>
      </c>
      <c r="L177" s="11">
        <f t="shared" si="19"/>
        <v>3111696</v>
      </c>
      <c r="M177" s="11">
        <f t="shared" si="19"/>
        <v>74088</v>
      </c>
      <c r="N177" s="11">
        <f t="shared" si="19"/>
        <v>1764</v>
      </c>
      <c r="O177" s="11">
        <f t="shared" si="19"/>
        <v>42</v>
      </c>
      <c r="P177" s="11">
        <f t="shared" si="18"/>
        <v>0</v>
      </c>
    </row>
    <row r="178" spans="1:16" x14ac:dyDescent="0.25">
      <c r="A178" s="11">
        <f t="shared" si="17"/>
        <v>123</v>
      </c>
      <c r="B178">
        <v>18.685858991436657</v>
      </c>
      <c r="E178" s="11">
        <f>A178-'Mastercurve bestimmen'!$B$2</f>
        <v>43</v>
      </c>
      <c r="F178" s="11">
        <f t="shared" si="15"/>
        <v>18.685858991436657</v>
      </c>
      <c r="G178" s="11"/>
      <c r="H178" s="11">
        <f t="shared" si="16"/>
        <v>11688200277601</v>
      </c>
      <c r="I178" s="11">
        <f t="shared" si="19"/>
        <v>271818611107</v>
      </c>
      <c r="J178" s="11">
        <f t="shared" si="19"/>
        <v>6321363049</v>
      </c>
      <c r="K178" s="11">
        <f t="shared" si="19"/>
        <v>147008443</v>
      </c>
      <c r="L178" s="11">
        <f t="shared" si="19"/>
        <v>3418801</v>
      </c>
      <c r="M178" s="11">
        <f t="shared" si="19"/>
        <v>79507</v>
      </c>
      <c r="N178" s="11">
        <f t="shared" si="19"/>
        <v>1849</v>
      </c>
      <c r="O178" s="11">
        <f t="shared" si="19"/>
        <v>43</v>
      </c>
      <c r="P178" s="11">
        <f t="shared" si="18"/>
        <v>0</v>
      </c>
    </row>
    <row r="179" spans="1:16" x14ac:dyDescent="0.25">
      <c r="A179" s="11">
        <f t="shared" si="17"/>
        <v>124</v>
      </c>
      <c r="B179">
        <v>18.98154234453067</v>
      </c>
      <c r="E179" s="11">
        <f>A179-'Mastercurve bestimmen'!$B$2</f>
        <v>44</v>
      </c>
      <c r="F179" s="11">
        <f t="shared" si="15"/>
        <v>18.98154234453067</v>
      </c>
      <c r="G179" s="11"/>
      <c r="H179" s="11">
        <f t="shared" si="16"/>
        <v>14048223625216</v>
      </c>
      <c r="I179" s="11">
        <f t="shared" si="19"/>
        <v>319277809664</v>
      </c>
      <c r="J179" s="11">
        <f t="shared" si="19"/>
        <v>7256313856</v>
      </c>
      <c r="K179" s="11">
        <f t="shared" si="19"/>
        <v>164916224</v>
      </c>
      <c r="L179" s="11">
        <f t="shared" si="19"/>
        <v>3748096</v>
      </c>
      <c r="M179" s="11">
        <f t="shared" si="19"/>
        <v>85184</v>
      </c>
      <c r="N179" s="11">
        <f t="shared" si="19"/>
        <v>1936</v>
      </c>
      <c r="O179" s="11">
        <f t="shared" si="19"/>
        <v>44</v>
      </c>
      <c r="P179" s="11">
        <f t="shared" si="18"/>
        <v>0</v>
      </c>
    </row>
    <row r="180" spans="1:16" x14ac:dyDescent="0.25">
      <c r="A180" s="11">
        <f t="shared" si="17"/>
        <v>125</v>
      </c>
      <c r="B180">
        <v>19.264403481926628</v>
      </c>
      <c r="E180" s="11">
        <f>A180-'Mastercurve bestimmen'!$B$2</f>
        <v>45</v>
      </c>
      <c r="F180" s="11">
        <f t="shared" si="15"/>
        <v>19.264403481926628</v>
      </c>
      <c r="G180" s="11"/>
      <c r="H180" s="11">
        <f t="shared" si="16"/>
        <v>16815125390625</v>
      </c>
      <c r="I180" s="11">
        <f t="shared" si="19"/>
        <v>373669453125</v>
      </c>
      <c r="J180" s="11">
        <f t="shared" si="19"/>
        <v>8303765625</v>
      </c>
      <c r="K180" s="11">
        <f t="shared" si="19"/>
        <v>184528125</v>
      </c>
      <c r="L180" s="11">
        <f t="shared" si="19"/>
        <v>4100625</v>
      </c>
      <c r="M180" s="11">
        <f t="shared" si="19"/>
        <v>91125</v>
      </c>
      <c r="N180" s="11">
        <f t="shared" si="19"/>
        <v>2025</v>
      </c>
      <c r="O180" s="11">
        <f t="shared" si="19"/>
        <v>45</v>
      </c>
      <c r="P180" s="11">
        <f t="shared" si="18"/>
        <v>0</v>
      </c>
    </row>
    <row r="181" spans="1:16" x14ac:dyDescent="0.25">
      <c r="A181" s="11">
        <f t="shared" si="17"/>
        <v>126</v>
      </c>
      <c r="B181">
        <v>19.53414386872895</v>
      </c>
      <c r="E181" s="11">
        <f>A181-'Mastercurve bestimmen'!$B$2</f>
        <v>46</v>
      </c>
      <c r="F181" s="11">
        <f t="shared" si="15"/>
        <v>19.53414386872895</v>
      </c>
      <c r="G181" s="11"/>
      <c r="H181" s="11">
        <f t="shared" si="16"/>
        <v>20047612231936</v>
      </c>
      <c r="I181" s="11">
        <f t="shared" si="19"/>
        <v>435817657216</v>
      </c>
      <c r="J181" s="11">
        <f t="shared" si="19"/>
        <v>9474296896</v>
      </c>
      <c r="K181" s="11">
        <f t="shared" si="19"/>
        <v>205962976</v>
      </c>
      <c r="L181" s="11">
        <f t="shared" si="19"/>
        <v>4477456</v>
      </c>
      <c r="M181" s="11">
        <f t="shared" si="19"/>
        <v>97336</v>
      </c>
      <c r="N181" s="11">
        <f t="shared" si="19"/>
        <v>2116</v>
      </c>
      <c r="O181" s="11">
        <f t="shared" si="19"/>
        <v>46</v>
      </c>
      <c r="P181" s="11">
        <f t="shared" si="18"/>
        <v>0</v>
      </c>
    </row>
    <row r="182" spans="1:16" x14ac:dyDescent="0.25">
      <c r="A182" s="11">
        <f t="shared" si="17"/>
        <v>127</v>
      </c>
      <c r="B182">
        <v>19.791006796983179</v>
      </c>
      <c r="E182" s="11">
        <f>A182-'Mastercurve bestimmen'!$B$2</f>
        <v>47</v>
      </c>
      <c r="F182" s="11">
        <f t="shared" si="15"/>
        <v>19.791006796983179</v>
      </c>
      <c r="G182" s="11"/>
      <c r="H182" s="11">
        <f t="shared" si="16"/>
        <v>23811286661761</v>
      </c>
      <c r="I182" s="11">
        <f t="shared" si="19"/>
        <v>506623120463</v>
      </c>
      <c r="J182" s="11">
        <f t="shared" si="19"/>
        <v>10779215329</v>
      </c>
      <c r="K182" s="11">
        <f t="shared" si="19"/>
        <v>229345007</v>
      </c>
      <c r="L182" s="11">
        <f t="shared" si="19"/>
        <v>4879681</v>
      </c>
      <c r="M182" s="11">
        <f t="shared" si="19"/>
        <v>103823</v>
      </c>
      <c r="N182" s="11">
        <f t="shared" si="19"/>
        <v>2209</v>
      </c>
      <c r="O182" s="11">
        <f t="shared" si="19"/>
        <v>47</v>
      </c>
      <c r="P182" s="11">
        <f t="shared" si="18"/>
        <v>0</v>
      </c>
    </row>
    <row r="183" spans="1:16" x14ac:dyDescent="0.25">
      <c r="A183" s="11">
        <f t="shared" si="17"/>
        <v>128</v>
      </c>
      <c r="B183">
        <v>20.035371015470147</v>
      </c>
      <c r="E183" s="11">
        <f>A183-'Mastercurve bestimmen'!$B$2</f>
        <v>48</v>
      </c>
      <c r="F183" s="11">
        <f t="shared" si="15"/>
        <v>20.035371015470147</v>
      </c>
      <c r="G183" s="11"/>
      <c r="H183" s="11">
        <f t="shared" si="16"/>
        <v>28179280429056</v>
      </c>
      <c r="I183" s="11">
        <f t="shared" si="19"/>
        <v>587068342272</v>
      </c>
      <c r="J183" s="11">
        <f t="shared" si="19"/>
        <v>12230590464</v>
      </c>
      <c r="K183" s="11">
        <f t="shared" si="19"/>
        <v>254803968</v>
      </c>
      <c r="L183" s="11">
        <f t="shared" si="19"/>
        <v>5308416</v>
      </c>
      <c r="M183" s="11">
        <f t="shared" si="19"/>
        <v>110592</v>
      </c>
      <c r="N183" s="11">
        <f t="shared" si="19"/>
        <v>2304</v>
      </c>
      <c r="O183" s="11">
        <f t="shared" si="19"/>
        <v>48</v>
      </c>
      <c r="P183" s="11">
        <f t="shared" si="18"/>
        <v>0</v>
      </c>
    </row>
    <row r="184" spans="1:16" x14ac:dyDescent="0.25">
      <c r="A184" s="11">
        <f t="shared" si="17"/>
        <v>129</v>
      </c>
      <c r="B184">
        <v>20.267615272970676</v>
      </c>
      <c r="E184" s="11">
        <f>A184-'Mastercurve bestimmen'!$B$2</f>
        <v>49</v>
      </c>
      <c r="F184" s="11">
        <f t="shared" si="15"/>
        <v>20.267615272970676</v>
      </c>
      <c r="G184" s="11"/>
      <c r="H184" s="11">
        <f t="shared" si="16"/>
        <v>33232930569601</v>
      </c>
      <c r="I184" s="11">
        <f t="shared" si="19"/>
        <v>678223072849</v>
      </c>
      <c r="J184" s="11">
        <f t="shared" si="19"/>
        <v>13841287201</v>
      </c>
      <c r="K184" s="11">
        <f t="shared" si="19"/>
        <v>282475249</v>
      </c>
      <c r="L184" s="11">
        <f t="shared" si="19"/>
        <v>5764801</v>
      </c>
      <c r="M184" s="11">
        <f t="shared" si="19"/>
        <v>117649</v>
      </c>
      <c r="N184" s="11">
        <f t="shared" si="19"/>
        <v>2401</v>
      </c>
      <c r="O184" s="11">
        <f t="shared" si="19"/>
        <v>49</v>
      </c>
      <c r="P184" s="11">
        <f t="shared" si="18"/>
        <v>0</v>
      </c>
    </row>
    <row r="185" spans="1:16" x14ac:dyDescent="0.25">
      <c r="A185" s="11">
        <f t="shared" si="17"/>
        <v>130</v>
      </c>
      <c r="B185">
        <v>20.488118318265588</v>
      </c>
      <c r="E185" s="11">
        <f>A185-'Mastercurve bestimmen'!$B$2</f>
        <v>50</v>
      </c>
      <c r="F185" s="11">
        <f t="shared" si="15"/>
        <v>20.488118318265588</v>
      </c>
      <c r="G185" s="11"/>
      <c r="H185" s="11">
        <f t="shared" si="16"/>
        <v>39062500000000</v>
      </c>
      <c r="I185" s="11">
        <f t="shared" si="19"/>
        <v>781250000000</v>
      </c>
      <c r="J185" s="11">
        <f t="shared" si="19"/>
        <v>15625000000</v>
      </c>
      <c r="K185" s="11">
        <f t="shared" si="19"/>
        <v>312500000</v>
      </c>
      <c r="L185" s="11">
        <f t="shared" si="19"/>
        <v>6250000</v>
      </c>
      <c r="M185" s="11">
        <f t="shared" si="19"/>
        <v>125000</v>
      </c>
      <c r="N185" s="11">
        <f t="shared" si="19"/>
        <v>2500</v>
      </c>
      <c r="O185" s="11">
        <f t="shared" si="19"/>
        <v>50</v>
      </c>
      <c r="P185" s="11">
        <f t="shared" si="18"/>
        <v>0</v>
      </c>
    </row>
    <row r="186" spans="1:16" x14ac:dyDescent="0.25">
      <c r="A186" s="11">
        <f t="shared" si="17"/>
        <v>131</v>
      </c>
      <c r="B186">
        <v>20.697258900135715</v>
      </c>
      <c r="E186" s="11">
        <f>A186-'Mastercurve bestimmen'!$B$2</f>
        <v>51</v>
      </c>
      <c r="F186" s="11">
        <f t="shared" si="15"/>
        <v>20.697258900135715</v>
      </c>
      <c r="G186" s="11"/>
      <c r="H186" s="11">
        <f t="shared" si="16"/>
        <v>45767944570401</v>
      </c>
      <c r="I186" s="11">
        <f t="shared" si="19"/>
        <v>897410677851</v>
      </c>
      <c r="J186" s="11">
        <f t="shared" si="19"/>
        <v>17596287801</v>
      </c>
      <c r="K186" s="11">
        <f t="shared" si="19"/>
        <v>345025251</v>
      </c>
      <c r="L186" s="11">
        <f t="shared" si="19"/>
        <v>6765201</v>
      </c>
      <c r="M186" s="11">
        <f t="shared" si="19"/>
        <v>132651</v>
      </c>
      <c r="N186" s="11">
        <f t="shared" si="19"/>
        <v>2601</v>
      </c>
      <c r="O186" s="11">
        <f t="shared" si="19"/>
        <v>51</v>
      </c>
      <c r="P186" s="11">
        <f t="shared" si="18"/>
        <v>0</v>
      </c>
    </row>
    <row r="187" spans="1:16" x14ac:dyDescent="0.25">
      <c r="A187" s="11">
        <f t="shared" si="17"/>
        <v>132</v>
      </c>
      <c r="B187">
        <v>20.895415767361882</v>
      </c>
      <c r="E187" s="11">
        <f>A187-'Mastercurve bestimmen'!$B$2</f>
        <v>52</v>
      </c>
      <c r="F187" s="11">
        <f t="shared" si="15"/>
        <v>20.895415767361882</v>
      </c>
      <c r="G187" s="11"/>
      <c r="H187" s="11">
        <f t="shared" si="16"/>
        <v>53459728531456</v>
      </c>
      <c r="I187" s="11">
        <f t="shared" si="19"/>
        <v>1028071702528</v>
      </c>
      <c r="J187" s="11">
        <f t="shared" si="19"/>
        <v>19770609664</v>
      </c>
      <c r="K187" s="11">
        <f t="shared" si="19"/>
        <v>380204032</v>
      </c>
      <c r="L187" s="11">
        <f t="shared" si="19"/>
        <v>7311616</v>
      </c>
      <c r="M187" s="11">
        <f t="shared" si="19"/>
        <v>140608</v>
      </c>
      <c r="N187" s="11">
        <f t="shared" si="19"/>
        <v>2704</v>
      </c>
      <c r="O187" s="11">
        <f t="shared" si="19"/>
        <v>52</v>
      </c>
      <c r="P187" s="11">
        <f t="shared" si="18"/>
        <v>0</v>
      </c>
    </row>
    <row r="188" spans="1:16" x14ac:dyDescent="0.25">
      <c r="A188" s="11">
        <f t="shared" si="17"/>
        <v>133</v>
      </c>
      <c r="B188">
        <v>21.082967668724912</v>
      </c>
      <c r="E188" s="11">
        <f>A188-'Mastercurve bestimmen'!$B$2</f>
        <v>53</v>
      </c>
      <c r="F188" s="11">
        <f t="shared" si="15"/>
        <v>21.082967668724912</v>
      </c>
      <c r="G188" s="11"/>
      <c r="H188" s="11">
        <f t="shared" si="16"/>
        <v>62259690411361</v>
      </c>
      <c r="I188" s="11">
        <f t="shared" si="19"/>
        <v>1174711139837</v>
      </c>
      <c r="J188" s="11">
        <f t="shared" si="19"/>
        <v>22164361129</v>
      </c>
      <c r="K188" s="11">
        <f t="shared" si="19"/>
        <v>418195493</v>
      </c>
      <c r="L188" s="11">
        <f t="shared" si="19"/>
        <v>7890481</v>
      </c>
      <c r="M188" s="11">
        <f t="shared" si="19"/>
        <v>148877</v>
      </c>
      <c r="N188" s="11">
        <f t="shared" si="19"/>
        <v>2809</v>
      </c>
      <c r="O188" s="11">
        <f t="shared" si="19"/>
        <v>53</v>
      </c>
      <c r="P188" s="11">
        <f t="shared" si="18"/>
        <v>0</v>
      </c>
    </row>
    <row r="189" spans="1:16" x14ac:dyDescent="0.25">
      <c r="A189" s="11">
        <f t="shared" si="17"/>
        <v>134</v>
      </c>
      <c r="B189">
        <v>21.260293353005636</v>
      </c>
      <c r="E189" s="11">
        <f>A189-'Mastercurve bestimmen'!$B$2</f>
        <v>54</v>
      </c>
      <c r="F189" s="11">
        <f t="shared" si="15"/>
        <v>21.260293353005636</v>
      </c>
      <c r="G189" s="11"/>
      <c r="H189" s="11">
        <f t="shared" si="16"/>
        <v>72301961339136</v>
      </c>
      <c r="I189" s="11">
        <f t="shared" si="19"/>
        <v>1338925209984</v>
      </c>
      <c r="J189" s="11">
        <f t="shared" ref="I189:O215" si="20">IF($H$12&gt;=J$14,$E189^J$14,0)</f>
        <v>24794911296</v>
      </c>
      <c r="K189" s="11">
        <f t="shared" si="20"/>
        <v>459165024</v>
      </c>
      <c r="L189" s="11">
        <f t="shared" si="20"/>
        <v>8503056</v>
      </c>
      <c r="M189" s="11">
        <f t="shared" si="20"/>
        <v>157464</v>
      </c>
      <c r="N189" s="11">
        <f t="shared" si="20"/>
        <v>2916</v>
      </c>
      <c r="O189" s="11">
        <f t="shared" si="20"/>
        <v>54</v>
      </c>
      <c r="P189" s="11">
        <f t="shared" si="18"/>
        <v>0</v>
      </c>
    </row>
    <row r="190" spans="1:16" x14ac:dyDescent="0.25">
      <c r="A190" s="11">
        <f t="shared" si="17"/>
        <v>135</v>
      </c>
      <c r="B190">
        <v>21.427771568984877</v>
      </c>
      <c r="E190" s="11">
        <f>A190-'Mastercurve bestimmen'!$B$2</f>
        <v>55</v>
      </c>
      <c r="F190" s="11">
        <f t="shared" si="15"/>
        <v>21.427771568984877</v>
      </c>
      <c r="G190" s="11"/>
      <c r="H190" s="11">
        <f t="shared" si="16"/>
        <v>83733937890625</v>
      </c>
      <c r="I190" s="11">
        <f t="shared" si="20"/>
        <v>1522435234375</v>
      </c>
      <c r="J190" s="11">
        <f t="shared" si="20"/>
        <v>27680640625</v>
      </c>
      <c r="K190" s="11">
        <f t="shared" si="20"/>
        <v>503284375</v>
      </c>
      <c r="L190" s="11">
        <f t="shared" si="20"/>
        <v>9150625</v>
      </c>
      <c r="M190" s="11">
        <f t="shared" si="20"/>
        <v>166375</v>
      </c>
      <c r="N190" s="11">
        <f t="shared" si="20"/>
        <v>3025</v>
      </c>
      <c r="O190" s="11">
        <f t="shared" si="20"/>
        <v>55</v>
      </c>
      <c r="P190" s="11">
        <f t="shared" si="18"/>
        <v>0</v>
      </c>
    </row>
    <row r="191" spans="1:16" x14ac:dyDescent="0.25">
      <c r="A191" s="11">
        <f t="shared" si="17"/>
        <v>136</v>
      </c>
      <c r="B191">
        <v>21.585781065443463</v>
      </c>
      <c r="E191" s="11">
        <f>A191-'Mastercurve bestimmen'!$B$2</f>
        <v>56</v>
      </c>
      <c r="F191" s="11">
        <f t="shared" si="15"/>
        <v>21.585781065443463</v>
      </c>
      <c r="G191" s="11"/>
      <c r="H191" s="11">
        <f t="shared" si="16"/>
        <v>96717311574016</v>
      </c>
      <c r="I191" s="11">
        <f t="shared" si="20"/>
        <v>1727094849536</v>
      </c>
      <c r="J191" s="11">
        <f t="shared" si="20"/>
        <v>30840979456</v>
      </c>
      <c r="K191" s="11">
        <f t="shared" si="20"/>
        <v>550731776</v>
      </c>
      <c r="L191" s="11">
        <f t="shared" si="20"/>
        <v>9834496</v>
      </c>
      <c r="M191" s="11">
        <f t="shared" si="20"/>
        <v>175616</v>
      </c>
      <c r="N191" s="11">
        <f t="shared" si="20"/>
        <v>3136</v>
      </c>
      <c r="O191" s="11">
        <f t="shared" si="20"/>
        <v>56</v>
      </c>
      <c r="P191" s="11">
        <f t="shared" si="18"/>
        <v>0</v>
      </c>
    </row>
    <row r="192" spans="1:16" x14ac:dyDescent="0.25">
      <c r="A192" s="11">
        <f t="shared" si="17"/>
        <v>137</v>
      </c>
      <c r="B192">
        <v>21.734700591162223</v>
      </c>
      <c r="E192" s="11">
        <f>A192-'Mastercurve bestimmen'!$B$2</f>
        <v>57</v>
      </c>
      <c r="F192" s="11">
        <f t="shared" si="15"/>
        <v>21.734700591162223</v>
      </c>
      <c r="G192" s="11"/>
      <c r="H192" s="11">
        <f t="shared" si="16"/>
        <v>111429157112001</v>
      </c>
      <c r="I192" s="11">
        <f t="shared" si="20"/>
        <v>1954897493193</v>
      </c>
      <c r="J192" s="11">
        <f t="shared" si="20"/>
        <v>34296447249</v>
      </c>
      <c r="K192" s="11">
        <f t="shared" si="20"/>
        <v>601692057</v>
      </c>
      <c r="L192" s="11">
        <f t="shared" si="20"/>
        <v>10556001</v>
      </c>
      <c r="M192" s="11">
        <f t="shared" si="20"/>
        <v>185193</v>
      </c>
      <c r="N192" s="11">
        <f t="shared" si="20"/>
        <v>3249</v>
      </c>
      <c r="O192" s="11">
        <f t="shared" si="20"/>
        <v>57</v>
      </c>
      <c r="P192" s="11">
        <f t="shared" si="18"/>
        <v>0</v>
      </c>
    </row>
    <row r="193" spans="1:16" x14ac:dyDescent="0.25">
      <c r="A193" s="11">
        <f t="shared" si="17"/>
        <v>138</v>
      </c>
      <c r="B193">
        <v>21.874908894921976</v>
      </c>
      <c r="E193" s="11">
        <f>A193-'Mastercurve bestimmen'!$B$2</f>
        <v>58</v>
      </c>
      <c r="F193" s="11">
        <f t="shared" si="15"/>
        <v>21.874908894921976</v>
      </c>
      <c r="G193" s="11"/>
      <c r="H193" s="11">
        <f t="shared" si="16"/>
        <v>128063081718016</v>
      </c>
      <c r="I193" s="11">
        <f t="shared" si="20"/>
        <v>2207984167552</v>
      </c>
      <c r="J193" s="11">
        <f t="shared" si="20"/>
        <v>38068692544</v>
      </c>
      <c r="K193" s="11">
        <f t="shared" si="20"/>
        <v>656356768</v>
      </c>
      <c r="L193" s="11">
        <f t="shared" si="20"/>
        <v>11316496</v>
      </c>
      <c r="M193" s="11">
        <f t="shared" si="20"/>
        <v>195112</v>
      </c>
      <c r="N193" s="11">
        <f t="shared" si="20"/>
        <v>3364</v>
      </c>
      <c r="O193" s="11">
        <f t="shared" si="20"/>
        <v>58</v>
      </c>
      <c r="P193" s="11">
        <f t="shared" si="18"/>
        <v>0</v>
      </c>
    </row>
    <row r="194" spans="1:16" x14ac:dyDescent="0.25">
      <c r="A194" s="11">
        <f t="shared" si="17"/>
        <v>139</v>
      </c>
      <c r="B194">
        <v>22.00678472550355</v>
      </c>
      <c r="E194" s="11">
        <f>A194-'Mastercurve bestimmen'!$B$2</f>
        <v>59</v>
      </c>
      <c r="F194" s="11">
        <f t="shared" si="15"/>
        <v>22.00678472550355</v>
      </c>
      <c r="G194" s="11"/>
      <c r="H194" s="11">
        <f t="shared" si="16"/>
        <v>146830437604321</v>
      </c>
      <c r="I194" s="11">
        <f t="shared" si="20"/>
        <v>2488651484819</v>
      </c>
      <c r="J194" s="11">
        <f t="shared" si="20"/>
        <v>42180533641</v>
      </c>
      <c r="K194" s="11">
        <f t="shared" si="20"/>
        <v>714924299</v>
      </c>
      <c r="L194" s="11">
        <f t="shared" si="20"/>
        <v>12117361</v>
      </c>
      <c r="M194" s="11">
        <f t="shared" si="20"/>
        <v>205379</v>
      </c>
      <c r="N194" s="11">
        <f t="shared" si="20"/>
        <v>3481</v>
      </c>
      <c r="O194" s="11">
        <f t="shared" si="20"/>
        <v>59</v>
      </c>
      <c r="P194" s="11">
        <f t="shared" si="18"/>
        <v>0</v>
      </c>
    </row>
    <row r="195" spans="1:16" x14ac:dyDescent="0.25">
      <c r="A195" s="11">
        <f t="shared" si="17"/>
        <v>140</v>
      </c>
      <c r="B195">
        <v>22.130706831687782</v>
      </c>
      <c r="E195" s="11">
        <f>A195-'Mastercurve bestimmen'!$B$2</f>
        <v>60</v>
      </c>
      <c r="F195" s="11">
        <f t="shared" si="15"/>
        <v>22.130706831687782</v>
      </c>
      <c r="G195" s="11"/>
      <c r="H195" s="11">
        <f t="shared" si="16"/>
        <v>167961600000000</v>
      </c>
      <c r="I195" s="11">
        <f t="shared" si="20"/>
        <v>2799360000000</v>
      </c>
      <c r="J195" s="11">
        <f t="shared" si="20"/>
        <v>46656000000</v>
      </c>
      <c r="K195" s="11">
        <f t="shared" si="20"/>
        <v>777600000</v>
      </c>
      <c r="L195" s="11">
        <f t="shared" si="20"/>
        <v>12960000</v>
      </c>
      <c r="M195" s="11">
        <f t="shared" si="20"/>
        <v>216000</v>
      </c>
      <c r="N195" s="11">
        <f t="shared" si="20"/>
        <v>3600</v>
      </c>
      <c r="O195" s="11">
        <f t="shared" si="20"/>
        <v>60</v>
      </c>
      <c r="P195" s="11">
        <f t="shared" si="18"/>
        <v>0</v>
      </c>
    </row>
    <row r="196" spans="1:16" x14ac:dyDescent="0.25">
      <c r="A196" s="11">
        <f t="shared" si="17"/>
        <v>141</v>
      </c>
      <c r="B196">
        <v>22.247053962255485</v>
      </c>
      <c r="E196" s="11">
        <f>A196-'Mastercurve bestimmen'!$B$2</f>
        <v>61</v>
      </c>
      <c r="F196" s="11">
        <f t="shared" si="15"/>
        <v>22.247053962255485</v>
      </c>
      <c r="G196" s="11"/>
      <c r="H196" s="11">
        <f t="shared" si="16"/>
        <v>191707312997281</v>
      </c>
      <c r="I196" s="11">
        <f t="shared" si="20"/>
        <v>3142742836021</v>
      </c>
      <c r="J196" s="11">
        <f t="shared" si="20"/>
        <v>51520374361</v>
      </c>
      <c r="K196" s="11">
        <f t="shared" si="20"/>
        <v>844596301</v>
      </c>
      <c r="L196" s="11">
        <f t="shared" si="20"/>
        <v>13845841</v>
      </c>
      <c r="M196" s="11">
        <f t="shared" si="20"/>
        <v>226981</v>
      </c>
      <c r="N196" s="11">
        <f t="shared" si="20"/>
        <v>3721</v>
      </c>
      <c r="O196" s="11">
        <f t="shared" si="20"/>
        <v>61</v>
      </c>
      <c r="P196" s="11">
        <f t="shared" si="18"/>
        <v>0</v>
      </c>
    </row>
    <row r="197" spans="1:16" x14ac:dyDescent="0.25">
      <c r="A197" s="11">
        <f t="shared" si="17"/>
        <v>142</v>
      </c>
      <c r="B197">
        <v>22.356204865987486</v>
      </c>
      <c r="E197" s="11">
        <f>A197-'Mastercurve bestimmen'!$B$2</f>
        <v>62</v>
      </c>
      <c r="F197" s="11">
        <f t="shared" si="15"/>
        <v>22.356204865987486</v>
      </c>
      <c r="G197" s="11"/>
      <c r="H197" s="11">
        <f t="shared" si="16"/>
        <v>218340105584896</v>
      </c>
      <c r="I197" s="11">
        <f t="shared" si="20"/>
        <v>3521614606208</v>
      </c>
      <c r="J197" s="11">
        <f t="shared" si="20"/>
        <v>56800235584</v>
      </c>
      <c r="K197" s="11">
        <f t="shared" si="20"/>
        <v>916132832</v>
      </c>
      <c r="L197" s="11">
        <f t="shared" si="20"/>
        <v>14776336</v>
      </c>
      <c r="M197" s="11">
        <f t="shared" si="20"/>
        <v>238328</v>
      </c>
      <c r="N197" s="11">
        <f t="shared" si="20"/>
        <v>3844</v>
      </c>
      <c r="O197" s="11">
        <f t="shared" si="20"/>
        <v>62</v>
      </c>
      <c r="P197" s="11">
        <f t="shared" si="18"/>
        <v>0</v>
      </c>
    </row>
    <row r="198" spans="1:16" x14ac:dyDescent="0.25">
      <c r="A198" s="11">
        <f t="shared" si="17"/>
        <v>143</v>
      </c>
      <c r="B198">
        <v>22.458538291664617</v>
      </c>
      <c r="E198" s="11">
        <f>A198-'Mastercurve bestimmen'!$B$2</f>
        <v>63</v>
      </c>
      <c r="F198" s="11">
        <f t="shared" si="15"/>
        <v>22.458538291664617</v>
      </c>
      <c r="G198" s="11"/>
      <c r="H198" s="11">
        <f t="shared" si="16"/>
        <v>248155780267521</v>
      </c>
      <c r="I198" s="11">
        <f t="shared" si="20"/>
        <v>3938980639167</v>
      </c>
      <c r="J198" s="11">
        <f t="shared" si="20"/>
        <v>62523502209</v>
      </c>
      <c r="K198" s="11">
        <f t="shared" si="20"/>
        <v>992436543</v>
      </c>
      <c r="L198" s="11">
        <f t="shared" si="20"/>
        <v>15752961</v>
      </c>
      <c r="M198" s="11">
        <f t="shared" si="20"/>
        <v>250047</v>
      </c>
      <c r="N198" s="11">
        <f t="shared" si="20"/>
        <v>3969</v>
      </c>
      <c r="O198" s="11">
        <f t="shared" si="20"/>
        <v>63</v>
      </c>
      <c r="P198" s="11">
        <f t="shared" si="18"/>
        <v>0</v>
      </c>
    </row>
    <row r="199" spans="1:16" x14ac:dyDescent="0.25">
      <c r="A199" s="11">
        <f t="shared" si="17"/>
        <v>144</v>
      </c>
      <c r="B199">
        <v>22.554432988067706</v>
      </c>
      <c r="E199" s="11">
        <f>A199-'Mastercurve bestimmen'!$B$2</f>
        <v>64</v>
      </c>
      <c r="F199" s="11">
        <f t="shared" si="15"/>
        <v>22.554432988067706</v>
      </c>
      <c r="G199" s="11"/>
      <c r="H199" s="11">
        <f t="shared" si="16"/>
        <v>281474976710656</v>
      </c>
      <c r="I199" s="11">
        <f t="shared" si="20"/>
        <v>4398046511104</v>
      </c>
      <c r="J199" s="11">
        <f t="shared" si="20"/>
        <v>68719476736</v>
      </c>
      <c r="K199" s="11">
        <f t="shared" si="20"/>
        <v>1073741824</v>
      </c>
      <c r="L199" s="11">
        <f t="shared" si="20"/>
        <v>16777216</v>
      </c>
      <c r="M199" s="11">
        <f t="shared" si="20"/>
        <v>262144</v>
      </c>
      <c r="N199" s="11">
        <f t="shared" si="20"/>
        <v>4096</v>
      </c>
      <c r="O199" s="11">
        <f t="shared" si="20"/>
        <v>64</v>
      </c>
      <c r="P199" s="11">
        <f t="shared" si="18"/>
        <v>0</v>
      </c>
    </row>
    <row r="200" spans="1:16" x14ac:dyDescent="0.25">
      <c r="A200" s="11">
        <f t="shared" si="17"/>
        <v>145</v>
      </c>
      <c r="B200">
        <v>22.644267703977572</v>
      </c>
      <c r="E200" s="11">
        <f>A200-'Mastercurve bestimmen'!$B$2</f>
        <v>65</v>
      </c>
      <c r="F200" s="11">
        <f t="shared" si="15"/>
        <v>22.644267703977572</v>
      </c>
      <c r="G200" s="11"/>
      <c r="H200" s="11">
        <f t="shared" si="16"/>
        <v>318644812890625</v>
      </c>
      <c r="I200" s="11">
        <f t="shared" si="20"/>
        <v>4902227890625</v>
      </c>
      <c r="J200" s="11">
        <f t="shared" si="20"/>
        <v>75418890625</v>
      </c>
      <c r="K200" s="11">
        <f t="shared" si="20"/>
        <v>1160290625</v>
      </c>
      <c r="L200" s="11">
        <f t="shared" si="20"/>
        <v>17850625</v>
      </c>
      <c r="M200" s="11">
        <f t="shared" si="20"/>
        <v>274625</v>
      </c>
      <c r="N200" s="11">
        <f t="shared" si="20"/>
        <v>4225</v>
      </c>
      <c r="O200" s="11">
        <f t="shared" si="20"/>
        <v>65</v>
      </c>
      <c r="P200" s="11">
        <f t="shared" si="18"/>
        <v>0</v>
      </c>
    </row>
    <row r="201" spans="1:16" x14ac:dyDescent="0.25">
      <c r="A201" s="11">
        <f t="shared" si="17"/>
        <v>146</v>
      </c>
      <c r="B201">
        <v>22.728421188175044</v>
      </c>
      <c r="E201" s="11">
        <f>A201-'Mastercurve bestimmen'!$B$2</f>
        <v>66</v>
      </c>
      <c r="F201" s="11">
        <f t="shared" si="15"/>
        <v>22.728421188175044</v>
      </c>
      <c r="G201" s="11"/>
      <c r="H201" s="11">
        <f t="shared" si="16"/>
        <v>360040606269696</v>
      </c>
      <c r="I201" s="11">
        <f t="shared" si="20"/>
        <v>5455160701056</v>
      </c>
      <c r="J201" s="11">
        <f t="shared" si="20"/>
        <v>82653950016</v>
      </c>
      <c r="K201" s="11">
        <f t="shared" si="20"/>
        <v>1252332576</v>
      </c>
      <c r="L201" s="11">
        <f t="shared" si="20"/>
        <v>18974736</v>
      </c>
      <c r="M201" s="11">
        <f t="shared" si="20"/>
        <v>287496</v>
      </c>
      <c r="N201" s="11">
        <f t="shared" si="20"/>
        <v>4356</v>
      </c>
      <c r="O201" s="11">
        <f t="shared" si="20"/>
        <v>66</v>
      </c>
      <c r="P201" s="11">
        <f t="shared" si="18"/>
        <v>0</v>
      </c>
    </row>
    <row r="202" spans="1:16" x14ac:dyDescent="0.25">
      <c r="A202" s="11">
        <f t="shared" si="17"/>
        <v>147</v>
      </c>
      <c r="B202">
        <v>22.807272189440951</v>
      </c>
      <c r="E202" s="11">
        <f>A202-'Mastercurve bestimmen'!$B$2</f>
        <v>67</v>
      </c>
      <c r="F202" s="11">
        <f t="shared" si="15"/>
        <v>22.807272189440951</v>
      </c>
      <c r="G202" s="11"/>
      <c r="H202" s="11">
        <f t="shared" si="16"/>
        <v>406067677556641</v>
      </c>
      <c r="I202" s="11">
        <f t="shared" si="20"/>
        <v>6060711605323</v>
      </c>
      <c r="J202" s="11">
        <f t="shared" si="20"/>
        <v>90458382169</v>
      </c>
      <c r="K202" s="11">
        <f t="shared" si="20"/>
        <v>1350125107</v>
      </c>
      <c r="L202" s="11">
        <f t="shared" si="20"/>
        <v>20151121</v>
      </c>
      <c r="M202" s="11">
        <f t="shared" si="20"/>
        <v>300763</v>
      </c>
      <c r="N202" s="11">
        <f t="shared" si="20"/>
        <v>4489</v>
      </c>
      <c r="O202" s="11">
        <f t="shared" si="20"/>
        <v>67</v>
      </c>
      <c r="P202" s="11">
        <f t="shared" si="18"/>
        <v>0</v>
      </c>
    </row>
    <row r="203" spans="1:16" x14ac:dyDescent="0.25">
      <c r="A203" s="11">
        <f t="shared" si="17"/>
        <v>148</v>
      </c>
      <c r="B203">
        <v>22.881199456556118</v>
      </c>
      <c r="E203" s="11">
        <f>A203-'Mastercurve bestimmen'!$B$2</f>
        <v>68</v>
      </c>
      <c r="F203" s="11">
        <f t="shared" si="15"/>
        <v>22.881199456556118</v>
      </c>
      <c r="G203" s="11"/>
      <c r="H203" s="11">
        <f t="shared" si="16"/>
        <v>457163239653376</v>
      </c>
      <c r="I203" s="11">
        <f t="shared" si="20"/>
        <v>6722988818432</v>
      </c>
      <c r="J203" s="11">
        <f t="shared" si="20"/>
        <v>98867482624</v>
      </c>
      <c r="K203" s="11">
        <f t="shared" si="20"/>
        <v>1453933568</v>
      </c>
      <c r="L203" s="11">
        <f t="shared" si="20"/>
        <v>21381376</v>
      </c>
      <c r="M203" s="11">
        <f t="shared" si="20"/>
        <v>314432</v>
      </c>
      <c r="N203" s="11">
        <f t="shared" si="20"/>
        <v>4624</v>
      </c>
      <c r="O203" s="11">
        <f t="shared" si="20"/>
        <v>68</v>
      </c>
      <c r="P203" s="11">
        <f t="shared" si="18"/>
        <v>0</v>
      </c>
    </row>
    <row r="204" spans="1:16" x14ac:dyDescent="0.25">
      <c r="A204" s="11">
        <f t="shared" si="17"/>
        <v>149</v>
      </c>
      <c r="B204">
        <v>22.950581738301366</v>
      </c>
      <c r="E204" s="11">
        <f>A204-'Mastercurve bestimmen'!$B$2</f>
        <v>69</v>
      </c>
      <c r="F204" s="11">
        <f t="shared" si="15"/>
        <v>22.950581738301366</v>
      </c>
      <c r="G204" s="11"/>
      <c r="H204" s="11">
        <f t="shared" si="16"/>
        <v>513798374428641</v>
      </c>
      <c r="I204" s="11">
        <f t="shared" si="20"/>
        <v>7446353252589</v>
      </c>
      <c r="J204" s="11">
        <f t="shared" si="20"/>
        <v>107918163081</v>
      </c>
      <c r="K204" s="11">
        <f t="shared" si="20"/>
        <v>1564031349</v>
      </c>
      <c r="L204" s="11">
        <f t="shared" si="20"/>
        <v>22667121</v>
      </c>
      <c r="M204" s="11">
        <f t="shared" si="20"/>
        <v>328509</v>
      </c>
      <c r="N204" s="11">
        <f t="shared" si="20"/>
        <v>4761</v>
      </c>
      <c r="O204" s="11">
        <f t="shared" si="20"/>
        <v>69</v>
      </c>
      <c r="P204" s="11">
        <f t="shared" si="18"/>
        <v>0</v>
      </c>
    </row>
    <row r="205" spans="1:16" x14ac:dyDescent="0.25">
      <c r="A205" s="11">
        <f t="shared" si="17"/>
        <v>150</v>
      </c>
      <c r="B205">
        <v>23.015797783457529</v>
      </c>
      <c r="E205" s="11">
        <f>A205-'Mastercurve bestimmen'!$B$2</f>
        <v>70</v>
      </c>
      <c r="F205" s="11">
        <f t="shared" si="15"/>
        <v>23.015797783457529</v>
      </c>
      <c r="G205" s="11"/>
      <c r="H205" s="11">
        <f t="shared" si="16"/>
        <v>576480100000000</v>
      </c>
      <c r="I205" s="11">
        <f t="shared" si="20"/>
        <v>8235430000000</v>
      </c>
      <c r="J205" s="11">
        <f t="shared" si="20"/>
        <v>117649000000</v>
      </c>
      <c r="K205" s="11">
        <f t="shared" si="20"/>
        <v>1680700000</v>
      </c>
      <c r="L205" s="11">
        <f t="shared" si="20"/>
        <v>24010000</v>
      </c>
      <c r="M205" s="11">
        <f t="shared" si="20"/>
        <v>343000</v>
      </c>
      <c r="N205" s="11">
        <f t="shared" si="20"/>
        <v>4900</v>
      </c>
      <c r="O205" s="11">
        <f t="shared" si="20"/>
        <v>70</v>
      </c>
      <c r="P205" s="11">
        <f t="shared" si="18"/>
        <v>0</v>
      </c>
    </row>
    <row r="206" spans="1:16" x14ac:dyDescent="0.25">
      <c r="A206" s="11">
        <f t="shared" si="17"/>
        <v>151</v>
      </c>
      <c r="B206">
        <v>23.077226340805428</v>
      </c>
      <c r="E206" s="11">
        <f>A206-'Mastercurve bestimmen'!$B$2</f>
        <v>71</v>
      </c>
      <c r="F206" s="11">
        <f t="shared" si="15"/>
        <v>23.077226340805428</v>
      </c>
      <c r="G206" s="11"/>
      <c r="H206" s="11">
        <f t="shared" si="16"/>
        <v>645753531245761</v>
      </c>
      <c r="I206" s="11">
        <f t="shared" si="20"/>
        <v>9095120158391</v>
      </c>
      <c r="J206" s="11">
        <f t="shared" si="20"/>
        <v>128100283921</v>
      </c>
      <c r="K206" s="11">
        <f t="shared" si="20"/>
        <v>1804229351</v>
      </c>
      <c r="L206" s="11">
        <f t="shared" si="20"/>
        <v>25411681</v>
      </c>
      <c r="M206" s="11">
        <f t="shared" si="20"/>
        <v>357911</v>
      </c>
      <c r="N206" s="11">
        <f t="shared" si="20"/>
        <v>5041</v>
      </c>
      <c r="O206" s="11">
        <f t="shared" si="20"/>
        <v>71</v>
      </c>
      <c r="P206" s="11">
        <f t="shared" si="18"/>
        <v>0</v>
      </c>
    </row>
    <row r="207" spans="1:16" x14ac:dyDescent="0.25">
      <c r="A207" s="11">
        <f t="shared" si="17"/>
        <v>152</v>
      </c>
      <c r="B207">
        <v>23.135246159125892</v>
      </c>
      <c r="E207" s="11">
        <f>A207-'Mastercurve bestimmen'!$B$2</f>
        <v>72</v>
      </c>
      <c r="F207" s="11">
        <f t="shared" si="15"/>
        <v>23.135246159125892</v>
      </c>
      <c r="G207" s="11"/>
      <c r="H207" s="11">
        <f t="shared" si="16"/>
        <v>722204136308736</v>
      </c>
      <c r="I207" s="11">
        <f t="shared" si="20"/>
        <v>10030613004288</v>
      </c>
      <c r="J207" s="11">
        <f t="shared" si="20"/>
        <v>139314069504</v>
      </c>
      <c r="K207" s="11">
        <f t="shared" si="20"/>
        <v>1934917632</v>
      </c>
      <c r="L207" s="11">
        <f t="shared" si="20"/>
        <v>26873856</v>
      </c>
      <c r="M207" s="11">
        <f t="shared" si="20"/>
        <v>373248</v>
      </c>
      <c r="N207" s="11">
        <f t="shared" si="20"/>
        <v>5184</v>
      </c>
      <c r="O207" s="11">
        <f t="shared" si="20"/>
        <v>72</v>
      </c>
      <c r="P207" s="11">
        <f t="shared" si="18"/>
        <v>0</v>
      </c>
    </row>
    <row r="208" spans="1:16" x14ac:dyDescent="0.25">
      <c r="A208" s="11">
        <f t="shared" si="17"/>
        <v>153</v>
      </c>
      <c r="B208">
        <v>23.190235987199745</v>
      </c>
      <c r="E208" s="11">
        <f>A208-'Mastercurve bestimmen'!$B$2</f>
        <v>73</v>
      </c>
      <c r="F208" s="11">
        <f t="shared" ref="F208:F215" si="21">B208</f>
        <v>23.190235987199745</v>
      </c>
      <c r="G208" s="11"/>
      <c r="H208" s="11">
        <f t="shared" ref="H208:H215" si="22">IF($H$12&gt;=H$14,$E208^H$14,0)</f>
        <v>806460091894081</v>
      </c>
      <c r="I208" s="11">
        <f t="shared" si="20"/>
        <v>11047398519097</v>
      </c>
      <c r="J208" s="11">
        <f t="shared" si="20"/>
        <v>151334226289</v>
      </c>
      <c r="K208" s="11">
        <f t="shared" si="20"/>
        <v>2073071593</v>
      </c>
      <c r="L208" s="11">
        <f t="shared" si="20"/>
        <v>28398241</v>
      </c>
      <c r="M208" s="11">
        <f t="shared" si="20"/>
        <v>389017</v>
      </c>
      <c r="N208" s="11">
        <f t="shared" si="20"/>
        <v>5329</v>
      </c>
      <c r="O208" s="11">
        <f t="shared" si="20"/>
        <v>73</v>
      </c>
      <c r="P208" s="11">
        <f t="shared" si="18"/>
        <v>0</v>
      </c>
    </row>
    <row r="209" spans="1:16" x14ac:dyDescent="0.25">
      <c r="A209" s="11">
        <f t="shared" ref="A209:A215" si="23">A208+1</f>
        <v>154</v>
      </c>
      <c r="B209">
        <v>23.242574573807815</v>
      </c>
      <c r="E209" s="11">
        <f>A209-'Mastercurve bestimmen'!$B$2</f>
        <v>74</v>
      </c>
      <c r="F209" s="11">
        <f t="shared" si="21"/>
        <v>23.242574573807815</v>
      </c>
      <c r="G209" s="11"/>
      <c r="H209" s="11">
        <f t="shared" si="22"/>
        <v>899194740203776</v>
      </c>
      <c r="I209" s="11">
        <f t="shared" si="20"/>
        <v>12151280273024</v>
      </c>
      <c r="J209" s="11">
        <f t="shared" si="20"/>
        <v>164206490176</v>
      </c>
      <c r="K209" s="11">
        <f t="shared" si="20"/>
        <v>2219006624</v>
      </c>
      <c r="L209" s="11">
        <f t="shared" si="20"/>
        <v>29986576</v>
      </c>
      <c r="M209" s="11">
        <f t="shared" si="20"/>
        <v>405224</v>
      </c>
      <c r="N209" s="11">
        <f t="shared" si="20"/>
        <v>5476</v>
      </c>
      <c r="O209" s="11">
        <f t="shared" si="20"/>
        <v>74</v>
      </c>
      <c r="P209" s="11">
        <f t="shared" ref="P209:P215" si="24">P208</f>
        <v>0</v>
      </c>
    </row>
    <row r="210" spans="1:16" x14ac:dyDescent="0.25">
      <c r="A210" s="11">
        <f t="shared" si="23"/>
        <v>155</v>
      </c>
      <c r="B210">
        <v>23.292640667730929</v>
      </c>
      <c r="E210" s="11">
        <f>A210-'Mastercurve bestimmen'!$B$2</f>
        <v>75</v>
      </c>
      <c r="F210" s="11">
        <f t="shared" si="21"/>
        <v>23.292640667730929</v>
      </c>
      <c r="G210" s="11"/>
      <c r="H210" s="11">
        <f t="shared" si="22"/>
        <v>1001129150390625</v>
      </c>
      <c r="I210" s="11">
        <f t="shared" si="20"/>
        <v>13348388671875</v>
      </c>
      <c r="J210" s="11">
        <f t="shared" si="20"/>
        <v>177978515625</v>
      </c>
      <c r="K210" s="11">
        <f t="shared" si="20"/>
        <v>2373046875</v>
      </c>
      <c r="L210" s="11">
        <f t="shared" si="20"/>
        <v>31640625</v>
      </c>
      <c r="M210" s="11">
        <f t="shared" si="20"/>
        <v>421875</v>
      </c>
      <c r="N210" s="11">
        <f t="shared" si="20"/>
        <v>5625</v>
      </c>
      <c r="O210" s="11">
        <f t="shared" si="20"/>
        <v>75</v>
      </c>
      <c r="P210" s="11">
        <f t="shared" si="24"/>
        <v>0</v>
      </c>
    </row>
    <row r="211" spans="1:16" x14ac:dyDescent="0.25">
      <c r="A211" s="11">
        <f t="shared" si="23"/>
        <v>156</v>
      </c>
      <c r="B211">
        <v>23.340813017749912</v>
      </c>
      <c r="E211" s="11">
        <f>A211-'Mastercurve bestimmen'!$B$2</f>
        <v>76</v>
      </c>
      <c r="F211" s="11">
        <f t="shared" si="21"/>
        <v>23.340813017749912</v>
      </c>
      <c r="G211" s="11"/>
      <c r="H211" s="11">
        <f t="shared" si="22"/>
        <v>1113034787454976</v>
      </c>
      <c r="I211" s="11">
        <f t="shared" si="20"/>
        <v>14645194571776</v>
      </c>
      <c r="J211" s="11">
        <f t="shared" si="20"/>
        <v>192699928576</v>
      </c>
      <c r="K211" s="11">
        <f t="shared" si="20"/>
        <v>2535525376</v>
      </c>
      <c r="L211" s="11">
        <f t="shared" si="20"/>
        <v>33362176</v>
      </c>
      <c r="M211" s="11">
        <f t="shared" si="20"/>
        <v>438976</v>
      </c>
      <c r="N211" s="11">
        <f t="shared" si="20"/>
        <v>5776</v>
      </c>
      <c r="O211" s="11">
        <f t="shared" si="20"/>
        <v>76</v>
      </c>
      <c r="P211" s="11">
        <f t="shared" si="24"/>
        <v>0</v>
      </c>
    </row>
    <row r="212" spans="1:16" x14ac:dyDescent="0.25">
      <c r="A212" s="11">
        <f t="shared" si="23"/>
        <v>157</v>
      </c>
      <c r="B212">
        <v>23.387470372645591</v>
      </c>
      <c r="E212" s="11">
        <f>A212-'Mastercurve bestimmen'!$B$2</f>
        <v>77</v>
      </c>
      <c r="F212" s="11">
        <f t="shared" si="21"/>
        <v>23.387470372645591</v>
      </c>
      <c r="G212" s="11"/>
      <c r="H212" s="11">
        <f t="shared" si="22"/>
        <v>1235736291547681</v>
      </c>
      <c r="I212" s="11">
        <f t="shared" si="20"/>
        <v>16048523266853</v>
      </c>
      <c r="J212" s="11">
        <f t="shared" si="20"/>
        <v>208422380089</v>
      </c>
      <c r="K212" s="11">
        <f t="shared" si="20"/>
        <v>2706784157</v>
      </c>
      <c r="L212" s="11">
        <f t="shared" si="20"/>
        <v>35153041</v>
      </c>
      <c r="M212" s="11">
        <f t="shared" si="20"/>
        <v>456533</v>
      </c>
      <c r="N212" s="11">
        <f t="shared" si="20"/>
        <v>5929</v>
      </c>
      <c r="O212" s="11">
        <f t="shared" si="20"/>
        <v>77</v>
      </c>
      <c r="P212" s="11">
        <f t="shared" si="24"/>
        <v>0</v>
      </c>
    </row>
    <row r="213" spans="1:16" x14ac:dyDescent="0.25">
      <c r="A213" s="11">
        <f t="shared" si="23"/>
        <v>158</v>
      </c>
      <c r="B213">
        <v>23.43299148119879</v>
      </c>
      <c r="E213" s="11">
        <f>A213-'Mastercurve bestimmen'!$B$2</f>
        <v>78</v>
      </c>
      <c r="F213" s="11">
        <f t="shared" si="21"/>
        <v>23.43299148119879</v>
      </c>
      <c r="G213" s="11"/>
      <c r="H213" s="11">
        <f t="shared" si="22"/>
        <v>1370114370683136</v>
      </c>
      <c r="I213" s="11">
        <f t="shared" si="20"/>
        <v>17565568854912</v>
      </c>
      <c r="J213" s="11">
        <f t="shared" si="20"/>
        <v>225199600704</v>
      </c>
      <c r="K213" s="11">
        <f t="shared" si="20"/>
        <v>2887174368</v>
      </c>
      <c r="L213" s="11">
        <f t="shared" si="20"/>
        <v>37015056</v>
      </c>
      <c r="M213" s="11">
        <f t="shared" si="20"/>
        <v>474552</v>
      </c>
      <c r="N213" s="11">
        <f t="shared" si="20"/>
        <v>6084</v>
      </c>
      <c r="O213" s="11">
        <f t="shared" si="20"/>
        <v>78</v>
      </c>
      <c r="P213" s="11">
        <f t="shared" si="24"/>
        <v>0</v>
      </c>
    </row>
    <row r="214" spans="1:16" x14ac:dyDescent="0.25">
      <c r="A214" s="11">
        <f t="shared" si="23"/>
        <v>159</v>
      </c>
      <c r="B214">
        <v>23.477755092190336</v>
      </c>
      <c r="E214" s="11">
        <f>A214-'Mastercurve bestimmen'!$B$2</f>
        <v>79</v>
      </c>
      <c r="F214" s="11">
        <f t="shared" si="21"/>
        <v>23.477755092190336</v>
      </c>
      <c r="G214" s="11"/>
      <c r="H214" s="11">
        <f t="shared" si="22"/>
        <v>1517108809906561</v>
      </c>
      <c r="I214" s="11">
        <f t="shared" si="20"/>
        <v>19203908986159</v>
      </c>
      <c r="J214" s="11">
        <f t="shared" si="20"/>
        <v>243087455521</v>
      </c>
      <c r="K214" s="11">
        <f t="shared" si="20"/>
        <v>3077056399</v>
      </c>
      <c r="L214" s="11">
        <f t="shared" si="20"/>
        <v>38950081</v>
      </c>
      <c r="M214" s="11">
        <f t="shared" si="20"/>
        <v>493039</v>
      </c>
      <c r="N214" s="11">
        <f t="shared" si="20"/>
        <v>6241</v>
      </c>
      <c r="O214" s="11">
        <f t="shared" si="20"/>
        <v>79</v>
      </c>
      <c r="P214" s="11">
        <f t="shared" si="24"/>
        <v>0</v>
      </c>
    </row>
    <row r="215" spans="1:16" x14ac:dyDescent="0.25">
      <c r="A215" s="11">
        <f t="shared" si="23"/>
        <v>160</v>
      </c>
      <c r="B215">
        <v>23.522139954401055</v>
      </c>
      <c r="E215" s="11">
        <f>A215-'Mastercurve bestimmen'!$B$2</f>
        <v>80</v>
      </c>
      <c r="F215" s="11">
        <f t="shared" si="21"/>
        <v>23.522139954401055</v>
      </c>
      <c r="G215" s="11"/>
      <c r="H215" s="11">
        <f t="shared" si="22"/>
        <v>1677721600000000</v>
      </c>
      <c r="I215" s="11">
        <f t="shared" si="20"/>
        <v>20971520000000</v>
      </c>
      <c r="J215" s="11">
        <f t="shared" si="20"/>
        <v>262144000000</v>
      </c>
      <c r="K215" s="11">
        <f t="shared" si="20"/>
        <v>3276800000</v>
      </c>
      <c r="L215" s="11">
        <f t="shared" si="20"/>
        <v>40960000</v>
      </c>
      <c r="M215" s="11">
        <f t="shared" si="20"/>
        <v>512000</v>
      </c>
      <c r="N215" s="11">
        <f t="shared" si="20"/>
        <v>6400</v>
      </c>
      <c r="O215" s="11">
        <f t="shared" si="20"/>
        <v>80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0.43165775503716436</v>
      </c>
      <c r="J217" s="98">
        <v>2.0762876980577548E-3</v>
      </c>
      <c r="K217" s="98">
        <v>-2.1248637466606744E-5</v>
      </c>
      <c r="L217" s="98">
        <v>-5.6537894644792848E-7</v>
      </c>
      <c r="M217" s="98">
        <v>-2.7888878550353888E-9</v>
      </c>
      <c r="N217" s="98">
        <v>3.6133023618390619E-11</v>
      </c>
      <c r="O217" s="98">
        <v>3.9036645628577627E-13</v>
      </c>
      <c r="P217" s="98">
        <v>9.3559102399155838E-16</v>
      </c>
    </row>
    <row r="218" spans="1:16" x14ac:dyDescent="0.25">
      <c r="G218" s="11"/>
      <c r="H218" s="11">
        <v>0</v>
      </c>
      <c r="I218" s="11">
        <v>9.3012014232289207E-4</v>
      </c>
      <c r="J218" s="11">
        <v>1.7324924646499835E-5</v>
      </c>
      <c r="K218" s="3">
        <v>8.8027238385494301E-7</v>
      </c>
      <c r="L218" s="3">
        <v>8.015141891422352E-9</v>
      </c>
      <c r="M218" s="3">
        <v>2.5167695620401849E-10</v>
      </c>
      <c r="N218" s="3">
        <v>1.3829913209769565E-12</v>
      </c>
      <c r="O218" s="11">
        <v>2.2239305862506899E-14</v>
      </c>
      <c r="P218" s="11">
        <v>1.3523692036878551E-16</v>
      </c>
    </row>
    <row r="219" spans="1:16" x14ac:dyDescent="0.25">
      <c r="G219" s="11"/>
      <c r="H219" s="11">
        <v>0.99997112303959179</v>
      </c>
      <c r="I219" s="11">
        <v>9.6225333338014293E-2</v>
      </c>
      <c r="J219" s="11" t="e">
        <v>#N/A</v>
      </c>
      <c r="K219" s="11" t="e">
        <v>#N/A</v>
      </c>
      <c r="L219" s="11" t="e">
        <v>#N/A</v>
      </c>
      <c r="M219" s="11" t="e">
        <v>#N/A</v>
      </c>
      <c r="N219" s="11" t="e">
        <v>#N/A</v>
      </c>
      <c r="O219" s="11" t="e">
        <v>#N/A</v>
      </c>
      <c r="P219" s="11" t="e">
        <v>#N/A</v>
      </c>
    </row>
    <row r="222" spans="1:16" x14ac:dyDescent="0.25">
      <c r="E222">
        <f>E15</f>
        <v>-120</v>
      </c>
      <c r="F222">
        <f>$H$217*0+E222*$I$217+E222^2*$J$217+E222^3*$K$217+E222^4*$L$217+E222^5*$M$217+E222^6*$N$217+E222^7*$O$217+E222^8*$P$217</f>
        <v>-24.777293461917552</v>
      </c>
      <c r="G222">
        <f>F15</f>
        <v>-24.635258353926584</v>
      </c>
    </row>
    <row r="223" spans="1:16" x14ac:dyDescent="0.25">
      <c r="E223" s="11">
        <f t="shared" ref="E223:E286" si="25">E16</f>
        <v>-119</v>
      </c>
      <c r="F223" s="11">
        <f t="shared" ref="F223:F286" si="26">$H$217*0+E223*$I$217+E223^2*$J$217+E223^3*$K$217+E223^4*$L$217+E223^5*$M$217+E223^6*$N$217+E223^7*$O$217+E223^8*$P$217</f>
        <v>-24.666831704161361</v>
      </c>
      <c r="G223" s="11">
        <f t="shared" ref="G223:G286" si="27">F16</f>
        <v>-24.575080231860515</v>
      </c>
    </row>
    <row r="224" spans="1:16" x14ac:dyDescent="0.25">
      <c r="E224" s="11">
        <f t="shared" si="25"/>
        <v>-118</v>
      </c>
      <c r="F224" s="11">
        <f t="shared" si="26"/>
        <v>-24.564220915678426</v>
      </c>
      <c r="G224" s="11">
        <f t="shared" si="27"/>
        <v>-24.514835241768203</v>
      </c>
    </row>
    <row r="225" spans="5:7" x14ac:dyDescent="0.25">
      <c r="E225" s="11">
        <f t="shared" si="25"/>
        <v>-117</v>
      </c>
      <c r="F225" s="11">
        <f t="shared" si="26"/>
        <v>-24.468726284386683</v>
      </c>
      <c r="G225" s="11">
        <f t="shared" si="27"/>
        <v>-24.454456515623409</v>
      </c>
    </row>
    <row r="226" spans="5:7" x14ac:dyDescent="0.25">
      <c r="E226" s="11">
        <f t="shared" si="25"/>
        <v>-116</v>
      </c>
      <c r="F226" s="11">
        <f t="shared" si="26"/>
        <v>-24.379639972723631</v>
      </c>
      <c r="G226" s="11">
        <f t="shared" si="27"/>
        <v>-24.393877185399891</v>
      </c>
    </row>
    <row r="227" spans="5:7" x14ac:dyDescent="0.25">
      <c r="E227" s="11">
        <f t="shared" si="25"/>
        <v>-115</v>
      </c>
      <c r="F227" s="11">
        <f t="shared" si="26"/>
        <v>-24.296281127413994</v>
      </c>
      <c r="G227" s="11">
        <f t="shared" si="27"/>
        <v>-24.333030383071407</v>
      </c>
    </row>
    <row r="228" spans="5:7" x14ac:dyDescent="0.25">
      <c r="E228" s="11">
        <f t="shared" si="25"/>
        <v>-114</v>
      </c>
      <c r="F228" s="11">
        <f t="shared" si="26"/>
        <v>-24.217995835208495</v>
      </c>
      <c r="G228" s="11">
        <f t="shared" si="27"/>
        <v>-24.271849240611715</v>
      </c>
    </row>
    <row r="229" spans="5:7" x14ac:dyDescent="0.25">
      <c r="E229" s="11">
        <f t="shared" si="25"/>
        <v>-113</v>
      </c>
      <c r="F229" s="11">
        <f t="shared" si="26"/>
        <v>-24.144157027020174</v>
      </c>
      <c r="G229" s="11">
        <f t="shared" si="27"/>
        <v>-24.210266889994568</v>
      </c>
    </row>
    <row r="230" spans="5:7" x14ac:dyDescent="0.25">
      <c r="E230" s="11">
        <f t="shared" si="25"/>
        <v>-112</v>
      </c>
      <c r="F230" s="11">
        <f t="shared" si="26"/>
        <v>-24.074164332849069</v>
      </c>
      <c r="G230" s="11">
        <f t="shared" si="27"/>
        <v>-24.148216463193734</v>
      </c>
    </row>
    <row r="231" spans="5:7" x14ac:dyDescent="0.25">
      <c r="E231" s="11">
        <f t="shared" si="25"/>
        <v>-111</v>
      </c>
      <c r="F231" s="11">
        <f t="shared" si="26"/>
        <v>-24.007443889845739</v>
      </c>
      <c r="G231" s="11">
        <f t="shared" si="27"/>
        <v>-24.085631092182965</v>
      </c>
    </row>
    <row r="232" spans="5:7" x14ac:dyDescent="0.25">
      <c r="E232" s="11">
        <f t="shared" si="25"/>
        <v>-110</v>
      </c>
      <c r="F232" s="11">
        <f t="shared" si="26"/>
        <v>-23.943448105828754</v>
      </c>
      <c r="G232" s="11">
        <f t="shared" si="27"/>
        <v>-24.022443908936019</v>
      </c>
    </row>
    <row r="233" spans="5:7" x14ac:dyDescent="0.25">
      <c r="E233" s="11">
        <f t="shared" si="25"/>
        <v>-109</v>
      </c>
      <c r="F233" s="11">
        <f t="shared" si="26"/>
        <v>-23.881655380532106</v>
      </c>
      <c r="G233" s="11">
        <f t="shared" si="27"/>
        <v>-23.958588045426662</v>
      </c>
    </row>
    <row r="234" spans="5:7" x14ac:dyDescent="0.25">
      <c r="E234" s="11">
        <f t="shared" si="25"/>
        <v>-108</v>
      </c>
      <c r="F234" s="11">
        <f t="shared" si="26"/>
        <v>-23.821569786821289</v>
      </c>
      <c r="G234" s="11">
        <f t="shared" si="27"/>
        <v>-23.893996633628642</v>
      </c>
    </row>
    <row r="235" spans="5:7" x14ac:dyDescent="0.25">
      <c r="E235" s="11">
        <f t="shared" si="25"/>
        <v>-107</v>
      </c>
      <c r="F235" s="11">
        <f t="shared" si="26"/>
        <v>-23.762720714079069</v>
      </c>
      <c r="G235" s="11">
        <f t="shared" si="27"/>
        <v>-23.828602805515725</v>
      </c>
    </row>
    <row r="236" spans="5:7" x14ac:dyDescent="0.25">
      <c r="E236" s="11">
        <f t="shared" si="25"/>
        <v>-106</v>
      </c>
      <c r="F236" s="11">
        <f t="shared" si="26"/>
        <v>-23.704662475923904</v>
      </c>
      <c r="G236" s="11">
        <f t="shared" si="27"/>
        <v>-23.762339693061666</v>
      </c>
    </row>
    <row r="237" spans="5:7" x14ac:dyDescent="0.25">
      <c r="E237" s="11">
        <f t="shared" si="25"/>
        <v>-105</v>
      </c>
      <c r="F237" s="11">
        <f t="shared" si="26"/>
        <v>-23.646973884386998</v>
      </c>
      <c r="G237" s="11">
        <f t="shared" si="27"/>
        <v>-23.695140428240222</v>
      </c>
    </row>
    <row r="238" spans="5:7" x14ac:dyDescent="0.25">
      <c r="E238" s="11">
        <f t="shared" si="25"/>
        <v>-104</v>
      </c>
      <c r="F238" s="11">
        <f t="shared" si="26"/>
        <v>-23.589257792635287</v>
      </c>
      <c r="G238" s="11">
        <f t="shared" si="27"/>
        <v>-23.626938143025153</v>
      </c>
    </row>
    <row r="239" spans="5:7" x14ac:dyDescent="0.25">
      <c r="E239" s="11">
        <f t="shared" si="25"/>
        <v>-103</v>
      </c>
      <c r="F239" s="11">
        <f t="shared" si="26"/>
        <v>-23.531140608290578</v>
      </c>
      <c r="G239" s="11">
        <f t="shared" si="27"/>
        <v>-23.557665969390222</v>
      </c>
    </row>
    <row r="240" spans="5:7" x14ac:dyDescent="0.25">
      <c r="E240" s="11">
        <f t="shared" si="25"/>
        <v>-102</v>
      </c>
      <c r="F240" s="11">
        <f t="shared" si="26"/>
        <v>-23.472271779357417</v>
      </c>
      <c r="G240" s="11">
        <f t="shared" si="27"/>
        <v>-23.487257039309178</v>
      </c>
    </row>
    <row r="241" spans="5:7" x14ac:dyDescent="0.25">
      <c r="E241" s="11">
        <f t="shared" si="25"/>
        <v>-101</v>
      </c>
      <c r="F241" s="11">
        <f t="shared" si="26"/>
        <v>-23.412323254733892</v>
      </c>
      <c r="G241" s="11">
        <f t="shared" si="27"/>
        <v>-23.415644484755784</v>
      </c>
    </row>
    <row r="242" spans="5:7" x14ac:dyDescent="0.25">
      <c r="E242" s="11">
        <f t="shared" si="25"/>
        <v>-100</v>
      </c>
      <c r="F242" s="11">
        <f t="shared" si="26"/>
        <v>-23.350988921242536</v>
      </c>
      <c r="G242" s="11">
        <f t="shared" si="27"/>
        <v>-23.3427614377038</v>
      </c>
    </row>
    <row r="243" spans="5:7" x14ac:dyDescent="0.25">
      <c r="E243" s="11">
        <f t="shared" si="25"/>
        <v>-99</v>
      </c>
      <c r="F243" s="11">
        <f t="shared" si="26"/>
        <v>-23.287984019080334</v>
      </c>
      <c r="G243" s="11">
        <f t="shared" si="27"/>
        <v>-23.268541030126986</v>
      </c>
    </row>
    <row r="244" spans="5:7" x14ac:dyDescent="0.25">
      <c r="E244" s="11">
        <f t="shared" si="25"/>
        <v>-98</v>
      </c>
      <c r="F244" s="11">
        <f t="shared" si="26"/>
        <v>-23.223044537549463</v>
      </c>
      <c r="G244" s="11">
        <f t="shared" si="27"/>
        <v>-23.192916393999091</v>
      </c>
    </row>
    <row r="245" spans="5:7" x14ac:dyDescent="0.25">
      <c r="E245" s="11">
        <f t="shared" si="25"/>
        <v>-97</v>
      </c>
      <c r="F245" s="11">
        <f t="shared" si="26"/>
        <v>-23.155926592892282</v>
      </c>
      <c r="G245" s="11">
        <f t="shared" si="27"/>
        <v>-23.115820661293881</v>
      </c>
    </row>
    <row r="246" spans="5:7" x14ac:dyDescent="0.25">
      <c r="E246" s="11">
        <f t="shared" si="25"/>
        <v>-96</v>
      </c>
      <c r="F246" s="11">
        <f t="shared" si="26"/>
        <v>-23.08640579001667</v>
      </c>
      <c r="G246" s="11">
        <f t="shared" si="27"/>
        <v>-23.037186963985118</v>
      </c>
    </row>
    <row r="247" spans="5:7" x14ac:dyDescent="0.25">
      <c r="E247" s="11">
        <f t="shared" si="25"/>
        <v>-95</v>
      </c>
      <c r="F247" s="11">
        <f t="shared" si="26"/>
        <v>-23.01427656985997</v>
      </c>
      <c r="G247" s="11">
        <f t="shared" si="27"/>
        <v>-22.956948434046552</v>
      </c>
    </row>
    <row r="248" spans="5:7" x14ac:dyDescent="0.25">
      <c r="E248" s="11">
        <f t="shared" si="25"/>
        <v>-94</v>
      </c>
      <c r="F248" s="11">
        <f t="shared" si="26"/>
        <v>-22.939351544102088</v>
      </c>
      <c r="G248" s="11">
        <f t="shared" si="27"/>
        <v>-22.875038203451943</v>
      </c>
    </row>
    <row r="249" spans="5:7" x14ac:dyDescent="0.25">
      <c r="E249" s="11">
        <f t="shared" si="25"/>
        <v>-93</v>
      </c>
      <c r="F249" s="11">
        <f t="shared" si="26"/>
        <v>-22.861460818900557</v>
      </c>
      <c r="G249" s="11">
        <f t="shared" si="27"/>
        <v>-22.79138940417505</v>
      </c>
    </row>
    <row r="250" spans="5:7" x14ac:dyDescent="0.25">
      <c r="E250" s="11">
        <f t="shared" si="25"/>
        <v>-92</v>
      </c>
      <c r="F250" s="11">
        <f t="shared" si="26"/>
        <v>-22.780451309282711</v>
      </c>
      <c r="G250" s="11">
        <f t="shared" si="27"/>
        <v>-22.705935168189637</v>
      </c>
    </row>
    <row r="251" spans="5:7" x14ac:dyDescent="0.25">
      <c r="E251" s="11">
        <f t="shared" si="25"/>
        <v>-91</v>
      </c>
      <c r="F251" s="11">
        <f t="shared" si="26"/>
        <v>-22.696186045792246</v>
      </c>
      <c r="G251" s="11">
        <f t="shared" si="27"/>
        <v>-22.618608627469456</v>
      </c>
    </row>
    <row r="252" spans="5:7" x14ac:dyDescent="0.25">
      <c r="E252" s="11">
        <f t="shared" si="25"/>
        <v>-90</v>
      </c>
      <c r="F252" s="11">
        <f t="shared" si="26"/>
        <v>-22.608543474949983</v>
      </c>
      <c r="G252" s="11">
        <f t="shared" si="27"/>
        <v>-22.529342913988263</v>
      </c>
    </row>
    <row r="253" spans="5:7" x14ac:dyDescent="0.25">
      <c r="E253" s="11">
        <f t="shared" si="25"/>
        <v>-89</v>
      </c>
      <c r="F253" s="11">
        <f t="shared" si="26"/>
        <v>-22.517416755050636</v>
      </c>
      <c r="G253" s="11">
        <f t="shared" si="27"/>
        <v>-22.438071159719822</v>
      </c>
    </row>
    <row r="254" spans="5:7" x14ac:dyDescent="0.25">
      <c r="E254" s="11">
        <f t="shared" si="25"/>
        <v>-88</v>
      </c>
      <c r="F254" s="11">
        <f t="shared" si="26"/>
        <v>-22.422713048779798</v>
      </c>
      <c r="G254" s="11">
        <f t="shared" si="27"/>
        <v>-22.34472649663789</v>
      </c>
    </row>
    <row r="255" spans="5:7" x14ac:dyDescent="0.25">
      <c r="E255" s="11">
        <f t="shared" si="25"/>
        <v>-87</v>
      </c>
      <c r="F255" s="11">
        <f t="shared" si="26"/>
        <v>-22.324352814097733</v>
      </c>
      <c r="G255" s="11">
        <f t="shared" si="27"/>
        <v>-22.249242056716227</v>
      </c>
    </row>
    <row r="256" spans="5:7" x14ac:dyDescent="0.25">
      <c r="E256" s="11">
        <f t="shared" si="25"/>
        <v>-86</v>
      </c>
      <c r="F256" s="11">
        <f t="shared" si="26"/>
        <v>-22.22226909479868</v>
      </c>
      <c r="G256" s="11">
        <f t="shared" si="27"/>
        <v>-22.151550971928589</v>
      </c>
    </row>
    <row r="257" spans="5:7" x14ac:dyDescent="0.25">
      <c r="E257" s="11">
        <f t="shared" si="25"/>
        <v>-85</v>
      </c>
      <c r="F257" s="11">
        <f t="shared" si="26"/>
        <v>-22.116406812116658</v>
      </c>
      <c r="G257" s="11">
        <f t="shared" si="27"/>
        <v>-22.051586374248732</v>
      </c>
    </row>
    <row r="258" spans="5:7" x14ac:dyDescent="0.25">
      <c r="E258" s="11">
        <f t="shared" si="25"/>
        <v>-84</v>
      </c>
      <c r="F258" s="11">
        <f t="shared" si="26"/>
        <v>-22.006722058711158</v>
      </c>
      <c r="G258" s="11">
        <f t="shared" si="27"/>
        <v>-21.949281395650416</v>
      </c>
    </row>
    <row r="259" spans="5:7" x14ac:dyDescent="0.25">
      <c r="E259" s="11">
        <f t="shared" si="25"/>
        <v>-83</v>
      </c>
      <c r="F259" s="11">
        <f t="shared" si="26"/>
        <v>-21.893181396328309</v>
      </c>
      <c r="G259" s="11">
        <f t="shared" si="27"/>
        <v>-21.844569168107405</v>
      </c>
    </row>
    <row r="260" spans="5:7" x14ac:dyDescent="0.25">
      <c r="E260" s="11">
        <f t="shared" si="25"/>
        <v>-82</v>
      </c>
      <c r="F260" s="11">
        <f t="shared" si="26"/>
        <v>-21.775761158395422</v>
      </c>
      <c r="G260" s="11">
        <f t="shared" si="27"/>
        <v>-21.737382823593446</v>
      </c>
    </row>
    <row r="261" spans="5:7" x14ac:dyDescent="0.25">
      <c r="E261" s="11">
        <f t="shared" si="25"/>
        <v>-81</v>
      </c>
      <c r="F261" s="11">
        <f t="shared" si="26"/>
        <v>-21.654446758768906</v>
      </c>
      <c r="G261" s="11">
        <f t="shared" si="27"/>
        <v>-21.627655494082312</v>
      </c>
    </row>
    <row r="262" spans="5:7" x14ac:dyDescent="0.25">
      <c r="E262" s="11">
        <f t="shared" si="25"/>
        <v>-80</v>
      </c>
      <c r="F262" s="11">
        <f t="shared" si="26"/>
        <v>-21.529232007818191</v>
      </c>
      <c r="G262" s="11">
        <f t="shared" si="27"/>
        <v>-21.51532031154775</v>
      </c>
    </row>
    <row r="263" spans="5:7" x14ac:dyDescent="0.25">
      <c r="E263" s="11">
        <f t="shared" si="25"/>
        <v>-79</v>
      </c>
      <c r="F263" s="11">
        <f t="shared" si="26"/>
        <v>-21.400118436990258</v>
      </c>
      <c r="G263" s="11">
        <f t="shared" si="27"/>
        <v>-21.386133303597717</v>
      </c>
    </row>
    <row r="264" spans="5:7" x14ac:dyDescent="0.25">
      <c r="E264" s="11">
        <f t="shared" si="25"/>
        <v>-78</v>
      </c>
      <c r="F264" s="11">
        <f t="shared" si="26"/>
        <v>-21.267114632961729</v>
      </c>
      <c r="G264" s="11">
        <f t="shared" si="27"/>
        <v>-21.254204171260067</v>
      </c>
    </row>
    <row r="265" spans="5:7" x14ac:dyDescent="0.25">
      <c r="E265" s="11">
        <f t="shared" si="25"/>
        <v>-77</v>
      </c>
      <c r="F265" s="11">
        <f t="shared" si="26"/>
        <v>-21.130235582447774</v>
      </c>
      <c r="G265" s="11">
        <f t="shared" si="27"/>
        <v>-21.119465511196868</v>
      </c>
    </row>
    <row r="266" spans="5:7" x14ac:dyDescent="0.25">
      <c r="E266" s="11">
        <f t="shared" si="25"/>
        <v>-76</v>
      </c>
      <c r="F266" s="11">
        <f t="shared" si="26"/>
        <v>-20.989502028699533</v>
      </c>
      <c r="G266" s="11">
        <f t="shared" si="27"/>
        <v>-20.981849920070161</v>
      </c>
    </row>
    <row r="267" spans="5:7" x14ac:dyDescent="0.25">
      <c r="E267" s="11">
        <f t="shared" si="25"/>
        <v>-75</v>
      </c>
      <c r="F267" s="11">
        <f t="shared" si="26"/>
        <v>-20.84493984068359</v>
      </c>
      <c r="G267" s="11">
        <f t="shared" si="27"/>
        <v>-20.841289994542006</v>
      </c>
    </row>
    <row r="268" spans="5:7" x14ac:dyDescent="0.25">
      <c r="E268" s="11">
        <f t="shared" si="25"/>
        <v>-74</v>
      </c>
      <c r="F268" s="11">
        <f t="shared" si="26"/>
        <v>-20.696579395899839</v>
      </c>
      <c r="G268" s="11">
        <f t="shared" si="27"/>
        <v>-20.697718331274459</v>
      </c>
    </row>
    <row r="269" spans="5:7" x14ac:dyDescent="0.25">
      <c r="E269" s="11">
        <f t="shared" si="25"/>
        <v>-73</v>
      </c>
      <c r="F269" s="11">
        <f t="shared" si="26"/>
        <v>-20.544454977755883</v>
      </c>
      <c r="G269" s="11">
        <f t="shared" si="27"/>
        <v>-20.551067526929572</v>
      </c>
    </row>
    <row r="270" spans="5:7" x14ac:dyDescent="0.25">
      <c r="E270" s="11">
        <f t="shared" si="25"/>
        <v>-72</v>
      </c>
      <c r="F270" s="11">
        <f t="shared" si="26"/>
        <v>-20.388604188378864</v>
      </c>
      <c r="G270" s="11">
        <f t="shared" si="27"/>
        <v>-20.401270178169401</v>
      </c>
    </row>
    <row r="271" spans="5:7" x14ac:dyDescent="0.25">
      <c r="E271" s="11">
        <f t="shared" si="25"/>
        <v>-71</v>
      </c>
      <c r="F271" s="11">
        <f t="shared" si="26"/>
        <v>-20.229067377707398</v>
      </c>
      <c r="G271" s="11">
        <f t="shared" si="27"/>
        <v>-20.248258881656</v>
      </c>
    </row>
    <row r="272" spans="5:7" x14ac:dyDescent="0.25">
      <c r="E272" s="11">
        <f t="shared" si="25"/>
        <v>-70</v>
      </c>
      <c r="F272" s="11">
        <f t="shared" si="26"/>
        <v>-20.065887089668955</v>
      </c>
      <c r="G272" s="11">
        <f t="shared" si="27"/>
        <v>-20.091966234051419</v>
      </c>
    </row>
    <row r="273" spans="5:7" x14ac:dyDescent="0.25">
      <c r="E273" s="11">
        <f t="shared" si="25"/>
        <v>-69</v>
      </c>
      <c r="F273" s="11">
        <f t="shared" si="26"/>
        <v>-19.899107526210088</v>
      </c>
      <c r="G273" s="11">
        <f t="shared" si="27"/>
        <v>-19.932324832017724</v>
      </c>
    </row>
    <row r="274" spans="5:7" x14ac:dyDescent="0.25">
      <c r="E274" s="11">
        <f t="shared" si="25"/>
        <v>-68</v>
      </c>
      <c r="F274" s="11">
        <f t="shared" si="26"/>
        <v>-19.728774029909363</v>
      </c>
      <c r="G274" s="11">
        <f t="shared" si="27"/>
        <v>-19.769267272216958</v>
      </c>
    </row>
    <row r="275" spans="5:7" x14ac:dyDescent="0.25">
      <c r="E275" s="11">
        <f t="shared" si="25"/>
        <v>-67</v>
      </c>
      <c r="F275" s="11">
        <f t="shared" si="26"/>
        <v>-19.554932585864822</v>
      </c>
      <c r="G275" s="11">
        <f t="shared" si="27"/>
        <v>-19.602726151311181</v>
      </c>
    </row>
    <row r="276" spans="5:7" x14ac:dyDescent="0.25">
      <c r="E276" s="11">
        <f t="shared" si="25"/>
        <v>-66</v>
      </c>
      <c r="F276" s="11">
        <f t="shared" si="26"/>
        <v>-19.377629343510542</v>
      </c>
      <c r="G276" s="11">
        <f t="shared" si="27"/>
        <v>-19.432634065962446</v>
      </c>
    </row>
    <row r="277" spans="5:7" x14ac:dyDescent="0.25">
      <c r="E277" s="11">
        <f t="shared" si="25"/>
        <v>-65</v>
      </c>
      <c r="F277" s="11">
        <f t="shared" si="26"/>
        <v>-19.196910158978625</v>
      </c>
      <c r="G277" s="11">
        <f t="shared" si="27"/>
        <v>-19.25892361283281</v>
      </c>
    </row>
    <row r="278" spans="5:7" x14ac:dyDescent="0.25">
      <c r="E278" s="11">
        <f t="shared" si="25"/>
        <v>-64</v>
      </c>
      <c r="F278" s="11">
        <f t="shared" si="26"/>
        <v>-19.012820158585615</v>
      </c>
      <c r="G278" s="11">
        <f t="shared" si="27"/>
        <v>-19.08152738858432</v>
      </c>
    </row>
    <row r="279" spans="5:7" x14ac:dyDescent="0.25">
      <c r="E279" s="11">
        <f t="shared" si="25"/>
        <v>-63</v>
      </c>
      <c r="F279" s="11">
        <f t="shared" si="26"/>
        <v>-18.825403323984503</v>
      </c>
      <c r="G279" s="11">
        <f t="shared" si="27"/>
        <v>-18.90037798987904</v>
      </c>
    </row>
    <row r="280" spans="5:7" x14ac:dyDescent="0.25">
      <c r="E280" s="11">
        <f t="shared" si="25"/>
        <v>-62</v>
      </c>
      <c r="F280" s="11">
        <f t="shared" si="26"/>
        <v>-18.634702099485576</v>
      </c>
      <c r="G280" s="11">
        <f t="shared" si="27"/>
        <v>-18.715408013379019</v>
      </c>
    </row>
    <row r="281" spans="5:7" x14ac:dyDescent="0.25">
      <c r="E281" s="11">
        <f t="shared" si="25"/>
        <v>-61</v>
      </c>
      <c r="F281" s="11">
        <f t="shared" si="26"/>
        <v>-18.440757022011965</v>
      </c>
      <c r="G281" s="11">
        <f t="shared" si="27"/>
        <v>-18.526550055746313</v>
      </c>
    </row>
    <row r="282" spans="5:7" x14ac:dyDescent="0.25">
      <c r="E282" s="11">
        <f t="shared" si="25"/>
        <v>-60</v>
      </c>
      <c r="F282" s="11">
        <f t="shared" si="26"/>
        <v>-18.243606374117778</v>
      </c>
      <c r="G282" s="11">
        <f t="shared" si="27"/>
        <v>-18.333736713642978</v>
      </c>
    </row>
    <row r="283" spans="5:7" x14ac:dyDescent="0.25">
      <c r="E283" s="11">
        <f t="shared" si="25"/>
        <v>-59</v>
      </c>
      <c r="F283" s="11">
        <f t="shared" si="26"/>
        <v>-18.043285860459054</v>
      </c>
      <c r="G283" s="11">
        <f t="shared" si="27"/>
        <v>-18.136900583731066</v>
      </c>
    </row>
    <row r="284" spans="5:7" x14ac:dyDescent="0.25">
      <c r="E284" s="11">
        <f t="shared" si="25"/>
        <v>-58</v>
      </c>
      <c r="F284" s="11">
        <f t="shared" si="26"/>
        <v>-17.839828308070082</v>
      </c>
      <c r="G284" s="11">
        <f t="shared" si="27"/>
        <v>-17.93597426267263</v>
      </c>
    </row>
    <row r="285" spans="5:7" x14ac:dyDescent="0.25">
      <c r="E285" s="11">
        <f t="shared" si="25"/>
        <v>-57</v>
      </c>
      <c r="F285" s="11">
        <f t="shared" si="26"/>
        <v>-17.6332633907599</v>
      </c>
      <c r="G285" s="11">
        <f t="shared" si="27"/>
        <v>-17.73089034712973</v>
      </c>
    </row>
    <row r="286" spans="5:7" x14ac:dyDescent="0.25">
      <c r="E286" s="11">
        <f t="shared" si="25"/>
        <v>-56</v>
      </c>
      <c r="F286" s="11">
        <f t="shared" si="26"/>
        <v>-17.423617377905966</v>
      </c>
      <c r="G286" s="11">
        <f t="shared" si="27"/>
        <v>-17.521581433764418</v>
      </c>
    </row>
    <row r="287" spans="5:7" x14ac:dyDescent="0.25">
      <c r="E287" s="11">
        <f t="shared" ref="E287:E350" si="28">E80</f>
        <v>-55</v>
      </c>
      <c r="F287" s="11">
        <f t="shared" ref="F287:F350" si="29">$H$217*0+E287*$I$217+E287^2*$J$217+E287^3*$K$217+E287^4*$L$217+E287^5*$M$217+E287^6*$N$217+E287^7*$O$217+E287^8*$P$217</f>
        <v>-17.210912907884467</v>
      </c>
      <c r="G287" s="11">
        <f t="shared" ref="G287:G350" si="30">F80</f>
        <v>-17.307980119238746</v>
      </c>
    </row>
    <row r="288" spans="5:7" x14ac:dyDescent="0.25">
      <c r="E288" s="11">
        <f t="shared" si="28"/>
        <v>-54</v>
      </c>
      <c r="F288" s="11">
        <f t="shared" si="29"/>
        <v>-16.995168786338798</v>
      </c>
      <c r="G288" s="11">
        <f t="shared" si="30"/>
        <v>-17.090042560221882</v>
      </c>
    </row>
    <row r="289" spans="5:7" x14ac:dyDescent="0.25">
      <c r="E289" s="11">
        <f t="shared" si="28"/>
        <v>-53</v>
      </c>
      <c r="F289" s="11">
        <f t="shared" si="29"/>
        <v>-16.776399809450162</v>
      </c>
      <c r="G289" s="11">
        <f t="shared" si="30"/>
        <v>-16.867819153411435</v>
      </c>
    </row>
    <row r="290" spans="5:7" x14ac:dyDescent="0.25">
      <c r="E290" s="11">
        <f t="shared" si="28"/>
        <v>-52</v>
      </c>
      <c r="F290" s="11">
        <f t="shared" si="29"/>
        <v>-16.554616612336453</v>
      </c>
      <c r="G290" s="11">
        <f t="shared" si="30"/>
        <v>-16.641383855512128</v>
      </c>
    </row>
    <row r="291" spans="5:7" x14ac:dyDescent="0.25">
      <c r="E291" s="11">
        <f t="shared" si="28"/>
        <v>-51</v>
      </c>
      <c r="F291" s="11">
        <f t="shared" si="29"/>
        <v>-16.329825542667916</v>
      </c>
      <c r="G291" s="11">
        <f t="shared" si="30"/>
        <v>-16.410810623228684</v>
      </c>
    </row>
    <row r="292" spans="5:7" x14ac:dyDescent="0.25">
      <c r="E292" s="11">
        <f t="shared" si="28"/>
        <v>-50</v>
      </c>
      <c r="F292" s="11">
        <f t="shared" si="29"/>
        <v>-16.102028559550224</v>
      </c>
      <c r="G292" s="11">
        <f t="shared" si="30"/>
        <v>-16.176173413265815</v>
      </c>
    </row>
    <row r="293" spans="5:7" x14ac:dyDescent="0.25">
      <c r="E293" s="11">
        <f t="shared" si="28"/>
        <v>-49</v>
      </c>
      <c r="F293" s="11">
        <f t="shared" si="29"/>
        <v>-15.871223157688137</v>
      </c>
      <c r="G293" s="11">
        <f t="shared" si="30"/>
        <v>-15.937546182328253</v>
      </c>
    </row>
    <row r="294" spans="5:7" x14ac:dyDescent="0.25">
      <c r="E294" s="11">
        <f t="shared" si="28"/>
        <v>-48</v>
      </c>
      <c r="F294" s="11">
        <f t="shared" si="29"/>
        <v>-15.637402316804897</v>
      </c>
      <c r="G294" s="11">
        <f t="shared" si="30"/>
        <v>-15.695002887120713</v>
      </c>
    </row>
    <row r="295" spans="5:7" x14ac:dyDescent="0.25">
      <c r="E295" s="11">
        <f t="shared" si="28"/>
        <v>-47</v>
      </c>
      <c r="F295" s="11">
        <f t="shared" si="29"/>
        <v>-15.400554476254976</v>
      </c>
      <c r="G295" s="11">
        <f t="shared" si="30"/>
        <v>-15.448617484347915</v>
      </c>
    </row>
    <row r="296" spans="5:7" x14ac:dyDescent="0.25">
      <c r="E296" s="11">
        <f t="shared" si="28"/>
        <v>-46</v>
      </c>
      <c r="F296" s="11">
        <f t="shared" si="29"/>
        <v>-15.160663534730032</v>
      </c>
      <c r="G296" s="11">
        <f t="shared" si="30"/>
        <v>-15.198463930714585</v>
      </c>
    </row>
    <row r="297" spans="5:7" x14ac:dyDescent="0.25">
      <c r="E297" s="11">
        <f t="shared" si="28"/>
        <v>-45</v>
      </c>
      <c r="F297" s="11">
        <f t="shared" si="29"/>
        <v>-14.917708874920171</v>
      </c>
      <c r="G297" s="11">
        <f t="shared" si="30"/>
        <v>-14.944616182925444</v>
      </c>
    </row>
    <row r="298" spans="5:7" x14ac:dyDescent="0.25">
      <c r="E298" s="11">
        <f t="shared" si="28"/>
        <v>-44</v>
      </c>
      <c r="F298" s="11">
        <f t="shared" si="29"/>
        <v>-14.671665412954926</v>
      </c>
      <c r="G298" s="11">
        <f t="shared" si="30"/>
        <v>-14.687148197685204</v>
      </c>
    </row>
    <row r="299" spans="5:7" x14ac:dyDescent="0.25">
      <c r="E299" s="11">
        <f t="shared" si="28"/>
        <v>-43</v>
      </c>
      <c r="F299" s="11">
        <f t="shared" si="29"/>
        <v>-14.422503672410622</v>
      </c>
      <c r="G299" s="11">
        <f t="shared" si="30"/>
        <v>-14.426133931698597</v>
      </c>
    </row>
    <row r="300" spans="5:7" x14ac:dyDescent="0.25">
      <c r="E300" s="11">
        <f t="shared" si="28"/>
        <v>-42</v>
      </c>
      <c r="F300" s="11">
        <f t="shared" si="29"/>
        <v>-14.170189882633062</v>
      </c>
      <c r="G300" s="11">
        <f t="shared" si="30"/>
        <v>-14.16164734167034</v>
      </c>
    </row>
    <row r="301" spans="5:7" x14ac:dyDescent="0.25">
      <c r="E301" s="11">
        <f t="shared" si="28"/>
        <v>-41</v>
      </c>
      <c r="F301" s="11">
        <f t="shared" si="29"/>
        <v>-13.914686101086813</v>
      </c>
      <c r="G301" s="11">
        <f t="shared" si="30"/>
        <v>-13.893762384305155</v>
      </c>
    </row>
    <row r="302" spans="5:7" x14ac:dyDescent="0.25">
      <c r="E302" s="11">
        <f t="shared" si="28"/>
        <v>-40</v>
      </c>
      <c r="F302" s="11">
        <f t="shared" si="29"/>
        <v>-13.655950359404514</v>
      </c>
      <c r="G302" s="11">
        <f t="shared" si="30"/>
        <v>-13.622553016307759</v>
      </c>
    </row>
    <row r="303" spans="5:7" x14ac:dyDescent="0.25">
      <c r="E303" s="11">
        <f t="shared" si="28"/>
        <v>-39</v>
      </c>
      <c r="F303" s="11">
        <f t="shared" si="29"/>
        <v>-13.393936832772075</v>
      </c>
      <c r="G303" s="11">
        <f t="shared" si="30"/>
        <v>-13.34809319438288</v>
      </c>
    </row>
    <row r="304" spans="5:7" x14ac:dyDescent="0.25">
      <c r="E304" s="11">
        <f t="shared" si="28"/>
        <v>-38</v>
      </c>
      <c r="F304" s="11">
        <f t="shared" si="29"/>
        <v>-13.128596032247772</v>
      </c>
      <c r="G304" s="11">
        <f t="shared" si="30"/>
        <v>-13.070456875235234</v>
      </c>
    </row>
    <row r="305" spans="5:7" x14ac:dyDescent="0.25">
      <c r="E305" s="11">
        <f t="shared" si="28"/>
        <v>-37</v>
      </c>
      <c r="F305" s="11">
        <f t="shared" si="29"/>
        <v>-12.859875019575581</v>
      </c>
      <c r="G305" s="11">
        <f t="shared" si="30"/>
        <v>-12.789718015569541</v>
      </c>
    </row>
    <row r="306" spans="5:7" x14ac:dyDescent="0.25">
      <c r="E306" s="11">
        <f t="shared" si="28"/>
        <v>-36</v>
      </c>
      <c r="F306" s="11">
        <f t="shared" si="29"/>
        <v>-12.587717644015374</v>
      </c>
      <c r="G306" s="11">
        <f t="shared" si="30"/>
        <v>-12.50595057209053</v>
      </c>
    </row>
    <row r="307" spans="5:7" x14ac:dyDescent="0.25">
      <c r="E307" s="11">
        <f t="shared" si="28"/>
        <v>-35</v>
      </c>
      <c r="F307" s="11">
        <f t="shared" si="29"/>
        <v>-12.31206480067487</v>
      </c>
      <c r="G307" s="11">
        <f t="shared" si="30"/>
        <v>-12.219228501502913</v>
      </c>
    </row>
    <row r="308" spans="5:7" x14ac:dyDescent="0.25">
      <c r="E308" s="11">
        <f t="shared" si="28"/>
        <v>-34</v>
      </c>
      <c r="F308" s="11">
        <f t="shared" si="29"/>
        <v>-12.032854709790497</v>
      </c>
      <c r="G308" s="11">
        <f t="shared" si="30"/>
        <v>-11.929625760511417</v>
      </c>
    </row>
    <row r="309" spans="5:7" x14ac:dyDescent="0.25">
      <c r="E309" s="11">
        <f t="shared" si="28"/>
        <v>-33</v>
      </c>
      <c r="F309" s="11">
        <f t="shared" si="29"/>
        <v>-11.750023216366607</v>
      </c>
      <c r="G309" s="11">
        <f t="shared" si="30"/>
        <v>-11.637216305820759</v>
      </c>
    </row>
    <row r="310" spans="5:7" x14ac:dyDescent="0.25">
      <c r="E310" s="11">
        <f t="shared" si="28"/>
        <v>-32</v>
      </c>
      <c r="F310" s="11">
        <f t="shared" si="29"/>
        <v>-11.463504109544774</v>
      </c>
      <c r="G310" s="11">
        <f t="shared" si="30"/>
        <v>-11.342074094135663</v>
      </c>
    </row>
    <row r="311" spans="5:7" x14ac:dyDescent="0.25">
      <c r="E311" s="11">
        <f t="shared" si="28"/>
        <v>-31</v>
      </c>
      <c r="F311" s="11">
        <f t="shared" si="29"/>
        <v>-11.173229461037188</v>
      </c>
      <c r="G311" s="11">
        <f t="shared" si="30"/>
        <v>-11.044273082160849</v>
      </c>
    </row>
    <row r="312" spans="5:7" x14ac:dyDescent="0.25">
      <c r="E312" s="11">
        <f t="shared" si="28"/>
        <v>-30</v>
      </c>
      <c r="F312" s="11">
        <f t="shared" si="29"/>
        <v>-10.879129981920354</v>
      </c>
      <c r="G312" s="11">
        <f t="shared" si="30"/>
        <v>-10.743887226601041</v>
      </c>
    </row>
    <row r="313" spans="5:7" x14ac:dyDescent="0.25">
      <c r="E313" s="11">
        <f t="shared" si="28"/>
        <v>-29</v>
      </c>
      <c r="F313" s="11">
        <f t="shared" si="29"/>
        <v>-10.58113539704774</v>
      </c>
      <c r="G313" s="11">
        <f t="shared" si="30"/>
        <v>-10.440957255103614</v>
      </c>
    </row>
    <row r="314" spans="5:7" x14ac:dyDescent="0.25">
      <c r="E314" s="11">
        <f t="shared" si="28"/>
        <v>-28</v>
      </c>
      <c r="F314" s="11">
        <f t="shared" si="29"/>
        <v>-10.279174836302133</v>
      </c>
      <c r="G314" s="11">
        <f t="shared" si="30"/>
        <v>-10.135390979086589</v>
      </c>
    </row>
    <row r="315" spans="5:7" x14ac:dyDescent="0.25">
      <c r="E315" s="11">
        <f t="shared" si="28"/>
        <v>-27</v>
      </c>
      <c r="F315" s="11">
        <f t="shared" si="29"/>
        <v>-9.9731772418708395</v>
      </c>
      <c r="G315" s="11">
        <f t="shared" si="30"/>
        <v>-9.8270629809106431</v>
      </c>
    </row>
    <row r="316" spans="5:7" x14ac:dyDescent="0.25">
      <c r="E316" s="11">
        <f t="shared" si="28"/>
        <v>-26</v>
      </c>
      <c r="F316" s="11">
        <f t="shared" si="29"/>
        <v>-9.6630717906891075</v>
      </c>
      <c r="G316" s="11">
        <f t="shared" si="30"/>
        <v>-9.5158478429364504</v>
      </c>
    </row>
    <row r="317" spans="5:7" x14ac:dyDescent="0.25">
      <c r="E317" s="11">
        <f t="shared" si="28"/>
        <v>-25</v>
      </c>
      <c r="F317" s="11">
        <f t="shared" si="29"/>
        <v>-9.3487883311594189</v>
      </c>
      <c r="G317" s="11">
        <f t="shared" si="30"/>
        <v>-9.2016201475246877</v>
      </c>
    </row>
    <row r="318" spans="5:7" x14ac:dyDescent="0.25">
      <c r="E318" s="11">
        <f t="shared" si="28"/>
        <v>-24</v>
      </c>
      <c r="F318" s="11">
        <f t="shared" si="29"/>
        <v>-9.0302578332165844</v>
      </c>
      <c r="G318" s="11">
        <f t="shared" si="30"/>
        <v>-8.8842544770360359</v>
      </c>
    </row>
    <row r="319" spans="5:7" x14ac:dyDescent="0.25">
      <c r="E319" s="11">
        <f t="shared" si="28"/>
        <v>-23</v>
      </c>
      <c r="F319" s="11">
        <f t="shared" si="29"/>
        <v>-8.7074128507709183</v>
      </c>
      <c r="G319" s="11">
        <f t="shared" si="30"/>
        <v>-8.5636254138311649</v>
      </c>
    </row>
    <row r="320" spans="5:7" x14ac:dyDescent="0.25">
      <c r="E320" s="11">
        <f t="shared" si="28"/>
        <v>-22</v>
      </c>
      <c r="F320" s="11">
        <f t="shared" si="29"/>
        <v>-8.3801879955238672</v>
      </c>
      <c r="G320" s="11">
        <f t="shared" si="30"/>
        <v>-8.2396075402707591</v>
      </c>
    </row>
    <row r="321" spans="5:7" x14ac:dyDescent="0.25">
      <c r="E321" s="11">
        <f t="shared" si="28"/>
        <v>-21</v>
      </c>
      <c r="F321" s="11">
        <f t="shared" si="29"/>
        <v>-8.0485204211129737</v>
      </c>
      <c r="G321" s="11">
        <f t="shared" si="30"/>
        <v>-7.9120754387154886</v>
      </c>
    </row>
    <row r="322" spans="5:7" x14ac:dyDescent="0.25">
      <c r="E322" s="11">
        <f t="shared" si="28"/>
        <v>-20</v>
      </c>
      <c r="F322" s="11">
        <f t="shared" si="29"/>
        <v>-7.7123503165051419</v>
      </c>
      <c r="G322" s="11">
        <f t="shared" si="30"/>
        <v>-7.5809036915260339</v>
      </c>
    </row>
    <row r="323" spans="5:7" x14ac:dyDescent="0.25">
      <c r="E323" s="11">
        <f t="shared" si="28"/>
        <v>-19</v>
      </c>
      <c r="F323" s="11">
        <f t="shared" si="29"/>
        <v>-7.3716214075195632</v>
      </c>
      <c r="G323" s="11">
        <f t="shared" si="30"/>
        <v>-7.2459668810630689</v>
      </c>
    </row>
    <row r="324" spans="5:7" x14ac:dyDescent="0.25">
      <c r="E324" s="11">
        <f t="shared" si="28"/>
        <v>-18</v>
      </c>
      <c r="F324" s="11">
        <f t="shared" si="29"/>
        <v>-7.026281465323903</v>
      </c>
      <c r="G324" s="11">
        <f t="shared" si="30"/>
        <v>-6.9071395896872723</v>
      </c>
    </row>
    <row r="325" spans="5:7" x14ac:dyDescent="0.25">
      <c r="E325" s="11">
        <f t="shared" si="28"/>
        <v>-17</v>
      </c>
      <c r="F325" s="11">
        <f t="shared" si="29"/>
        <v>-6.676282820709595</v>
      </c>
      <c r="G325" s="11">
        <f t="shared" si="30"/>
        <v>-6.5642963997593196</v>
      </c>
    </row>
    <row r="326" spans="5:7" x14ac:dyDescent="0.25">
      <c r="E326" s="11">
        <f t="shared" si="28"/>
        <v>-16</v>
      </c>
      <c r="F326" s="11">
        <f t="shared" si="29"/>
        <v>-6.3215828829144245</v>
      </c>
      <c r="G326" s="11">
        <f t="shared" si="30"/>
        <v>-6.2173118936398888</v>
      </c>
    </row>
    <row r="327" spans="5:7" x14ac:dyDescent="0.25">
      <c r="E327" s="11">
        <f t="shared" si="28"/>
        <v>-15</v>
      </c>
      <c r="F327" s="11">
        <f t="shared" si="29"/>
        <v>-5.9621446617228049</v>
      </c>
      <c r="G327" s="11">
        <f t="shared" si="30"/>
        <v>-5.8660606536896553</v>
      </c>
    </row>
    <row r="328" spans="5:7" x14ac:dyDescent="0.25">
      <c r="E328" s="11">
        <f t="shared" si="28"/>
        <v>-14</v>
      </c>
      <c r="F328" s="11">
        <f t="shared" si="29"/>
        <v>-5.5979372915364927</v>
      </c>
      <c r="G328" s="11">
        <f t="shared" si="30"/>
        <v>-5.5104172622692955</v>
      </c>
    </row>
    <row r="329" spans="5:7" x14ac:dyDescent="0.25">
      <c r="E329" s="11">
        <f t="shared" si="28"/>
        <v>-13</v>
      </c>
      <c r="F329" s="11">
        <f t="shared" si="29"/>
        <v>-5.2289365560706615</v>
      </c>
      <c r="G329" s="11">
        <f t="shared" si="30"/>
        <v>-5.1502563017394873</v>
      </c>
    </row>
    <row r="330" spans="5:7" x14ac:dyDescent="0.25">
      <c r="E330" s="11">
        <f t="shared" si="28"/>
        <v>-12</v>
      </c>
      <c r="F330" s="11">
        <f t="shared" si="29"/>
        <v>-4.8551254122926588</v>
      </c>
      <c r="G330" s="11">
        <f t="shared" si="30"/>
        <v>-4.7854523544609071</v>
      </c>
    </row>
    <row r="331" spans="5:7" x14ac:dyDescent="0.25">
      <c r="E331" s="11">
        <f t="shared" si="28"/>
        <v>-11</v>
      </c>
      <c r="F331" s="11">
        <f t="shared" si="29"/>
        <v>-4.4764945121829562</v>
      </c>
      <c r="G331" s="11">
        <f t="shared" si="30"/>
        <v>-4.4158800027942311</v>
      </c>
    </row>
    <row r="332" spans="5:7" x14ac:dyDescent="0.25">
      <c r="E332" s="11">
        <f t="shared" si="28"/>
        <v>-10</v>
      </c>
      <c r="F332" s="11">
        <f t="shared" si="29"/>
        <v>-4.0930427208600797</v>
      </c>
      <c r="G332" s="11">
        <f t="shared" si="30"/>
        <v>-4.0414138291001356</v>
      </c>
    </row>
    <row r="333" spans="5:7" x14ac:dyDescent="0.25">
      <c r="E333" s="11">
        <f t="shared" si="28"/>
        <v>-9</v>
      </c>
      <c r="F333" s="11">
        <f t="shared" si="29"/>
        <v>-3.7047776295736661</v>
      </c>
      <c r="G333" s="11">
        <f t="shared" si="30"/>
        <v>-3.6619284157392982</v>
      </c>
    </row>
    <row r="334" spans="5:7" x14ac:dyDescent="0.25">
      <c r="E334" s="11">
        <f t="shared" si="28"/>
        <v>-8</v>
      </c>
      <c r="F334" s="11">
        <f t="shared" si="29"/>
        <v>-3.3117160620319708</v>
      </c>
      <c r="G334" s="11">
        <f t="shared" si="30"/>
        <v>-3.2772983450723947</v>
      </c>
    </row>
    <row r="335" spans="5:7" x14ac:dyDescent="0.25">
      <c r="E335" s="11">
        <f t="shared" si="28"/>
        <v>-7</v>
      </c>
      <c r="F335" s="11">
        <f t="shared" si="29"/>
        <v>-2.9138845724924867</v>
      </c>
      <c r="G335" s="11">
        <f t="shared" si="30"/>
        <v>-2.8873981994601023</v>
      </c>
    </row>
    <row r="336" spans="5:7" x14ac:dyDescent="0.25">
      <c r="E336" s="11">
        <f t="shared" si="28"/>
        <v>-6</v>
      </c>
      <c r="F336" s="11">
        <f t="shared" si="29"/>
        <v>-2.5113199340065964</v>
      </c>
      <c r="G336" s="11">
        <f t="shared" si="30"/>
        <v>-2.4921025612630974</v>
      </c>
    </row>
    <row r="337" spans="5:7" x14ac:dyDescent="0.25">
      <c r="E337" s="11">
        <f t="shared" si="28"/>
        <v>-5</v>
      </c>
      <c r="F337" s="11">
        <f t="shared" si="29"/>
        <v>-2.1040696151714551</v>
      </c>
      <c r="G337" s="11">
        <f t="shared" si="30"/>
        <v>-2.0912860128420574</v>
      </c>
    </row>
    <row r="338" spans="5:7" x14ac:dyDescent="0.25">
      <c r="E338" s="11">
        <f t="shared" si="28"/>
        <v>-4</v>
      </c>
      <c r="F338" s="11">
        <f t="shared" si="29"/>
        <v>-1.692192243704582</v>
      </c>
      <c r="G338" s="11">
        <f t="shared" si="30"/>
        <v>-1.6848231365576574</v>
      </c>
    </row>
    <row r="339" spans="5:7" x14ac:dyDescent="0.25">
      <c r="E339" s="11">
        <f t="shared" si="28"/>
        <v>-3</v>
      </c>
      <c r="F339" s="11">
        <f t="shared" si="29"/>
        <v>-1.2757580551189072</v>
      </c>
      <c r="G339" s="11">
        <f t="shared" si="30"/>
        <v>-1.2725885147705751</v>
      </c>
    </row>
    <row r="340" spans="5:7" x14ac:dyDescent="0.25">
      <c r="E340" s="11">
        <f t="shared" si="28"/>
        <v>-2</v>
      </c>
      <c r="F340" s="11">
        <f t="shared" si="29"/>
        <v>-0.85484932473831043</v>
      </c>
      <c r="G340" s="11">
        <f t="shared" si="30"/>
        <v>-0.85445672984148702</v>
      </c>
    </row>
    <row r="341" spans="5:7" x14ac:dyDescent="0.25">
      <c r="E341" s="11">
        <f t="shared" si="28"/>
        <v>-1</v>
      </c>
      <c r="F341" s="11">
        <f t="shared" si="29"/>
        <v>-0.42956078125595498</v>
      </c>
      <c r="G341" s="11">
        <f t="shared" si="30"/>
        <v>-0.43030236413106987</v>
      </c>
    </row>
    <row r="342" spans="5:7" x14ac:dyDescent="0.25">
      <c r="E342" s="11">
        <f t="shared" si="28"/>
        <v>0</v>
      </c>
      <c r="F342" s="11">
        <f t="shared" si="29"/>
        <v>0</v>
      </c>
      <c r="G342" s="11">
        <f t="shared" si="30"/>
        <v>-1.1102230246251565E-16</v>
      </c>
    </row>
    <row r="343" spans="5:7" x14ac:dyDescent="0.25">
      <c r="E343" s="11">
        <f t="shared" si="28"/>
        <v>1</v>
      </c>
      <c r="F343" s="11">
        <f t="shared" si="29"/>
        <v>0.43371222596644554</v>
      </c>
      <c r="G343" s="11">
        <f t="shared" si="30"/>
        <v>0.43648254531268127</v>
      </c>
    </row>
    <row r="344" spans="5:7" x14ac:dyDescent="0.25">
      <c r="E344" s="11">
        <f t="shared" si="28"/>
        <v>2</v>
      </c>
      <c r="F344" s="11">
        <f t="shared" si="29"/>
        <v>0.87144153882199227</v>
      </c>
      <c r="G344" s="11">
        <f t="shared" si="30"/>
        <v>0.87880451505447366</v>
      </c>
    </row>
    <row r="345" spans="5:7" x14ac:dyDescent="0.25">
      <c r="E345" s="11">
        <f t="shared" si="28"/>
        <v>3</v>
      </c>
      <c r="F345" s="11">
        <f t="shared" si="29"/>
        <v>1.3130396949888479</v>
      </c>
      <c r="G345" s="11">
        <f t="shared" si="30"/>
        <v>1.3265319175945136</v>
      </c>
    </row>
    <row r="346" spans="5:7" x14ac:dyDescent="0.25">
      <c r="E346" s="11">
        <f t="shared" si="28"/>
        <v>4</v>
      </c>
      <c r="F346" s="11">
        <f t="shared" si="29"/>
        <v>1.7583442721462081</v>
      </c>
      <c r="G346" s="11">
        <f t="shared" si="30"/>
        <v>1.7792307613019362</v>
      </c>
    </row>
    <row r="347" spans="5:7" x14ac:dyDescent="0.25">
      <c r="E347" s="11">
        <f t="shared" si="28"/>
        <v>5</v>
      </c>
      <c r="F347" s="11">
        <f t="shared" si="29"/>
        <v>2.2071784062792021</v>
      </c>
      <c r="G347" s="11">
        <f t="shared" si="30"/>
        <v>2.2364670545458774</v>
      </c>
    </row>
    <row r="348" spans="5:7" x14ac:dyDescent="0.25">
      <c r="E348" s="11">
        <f t="shared" si="28"/>
        <v>6</v>
      </c>
      <c r="F348" s="11">
        <f t="shared" si="29"/>
        <v>2.6593505608251289</v>
      </c>
      <c r="G348" s="11">
        <f t="shared" si="30"/>
        <v>2.6978068056954738</v>
      </c>
    </row>
    <row r="349" spans="5:7" x14ac:dyDescent="0.25">
      <c r="E349" s="11">
        <f t="shared" si="28"/>
        <v>7</v>
      </c>
      <c r="F349" s="11">
        <f t="shared" si="29"/>
        <v>3.1146543300164877</v>
      </c>
      <c r="G349" s="11">
        <f t="shared" si="30"/>
        <v>3.1628160231198597</v>
      </c>
    </row>
    <row r="350" spans="5:7" x14ac:dyDescent="0.25">
      <c r="E350" s="11">
        <f t="shared" si="28"/>
        <v>8</v>
      </c>
      <c r="F350" s="11">
        <f t="shared" si="29"/>
        <v>3.5728682785579751</v>
      </c>
      <c r="G350" s="11">
        <f t="shared" si="30"/>
        <v>3.6310607151881711</v>
      </c>
    </row>
    <row r="351" spans="5:7" x14ac:dyDescent="0.25">
      <c r="E351" s="11">
        <f t="shared" ref="E351:E414" si="31">E144</f>
        <v>9</v>
      </c>
      <c r="F351" s="11">
        <f t="shared" ref="F351:F414" si="32">$H$217*0+E351*$I$217+E351^2*$J$217+E351^3*$K$217+E351^4*$L$217+E351^5*$M$217+E351^6*$N$217+E351^7*$O$217+E351^8*$P$217</f>
        <v>4.0337558198123933</v>
      </c>
      <c r="G351" s="11">
        <f t="shared" ref="G351:G414" si="33">F144</f>
        <v>4.1021068902695443</v>
      </c>
    </row>
    <row r="352" spans="5:7" x14ac:dyDescent="0.25">
      <c r="E352" s="11">
        <f t="shared" si="31"/>
        <v>10</v>
      </c>
      <c r="F352" s="11">
        <f t="shared" si="32"/>
        <v>4.4970651347081141</v>
      </c>
      <c r="G352" s="11">
        <f t="shared" si="33"/>
        <v>4.5755205567331139</v>
      </c>
    </row>
    <row r="353" spans="5:7" x14ac:dyDescent="0.25">
      <c r="E353" s="11">
        <f t="shared" si="31"/>
        <v>11</v>
      </c>
      <c r="F353" s="11">
        <f t="shared" si="32"/>
        <v>4.9625291336184425</v>
      </c>
      <c r="G353" s="11">
        <f t="shared" si="33"/>
        <v>5.0508677229480181</v>
      </c>
    </row>
    <row r="354" spans="5:7" x14ac:dyDescent="0.25">
      <c r="E354" s="11">
        <f t="shared" si="31"/>
        <v>12</v>
      </c>
      <c r="F354" s="11">
        <f t="shared" si="32"/>
        <v>5.4298654635010264</v>
      </c>
      <c r="G354" s="11">
        <f t="shared" si="33"/>
        <v>5.5277143972833889</v>
      </c>
    </row>
    <row r="355" spans="5:7" x14ac:dyDescent="0.25">
      <c r="E355" s="11">
        <f t="shared" si="31"/>
        <v>13</v>
      </c>
      <c r="F355" s="11">
        <f t="shared" si="32"/>
        <v>5.8987765626230599</v>
      </c>
      <c r="G355" s="11">
        <f t="shared" si="33"/>
        <v>6.0056265881083641</v>
      </c>
    </row>
    <row r="356" spans="5:7" x14ac:dyDescent="0.25">
      <c r="E356" s="11">
        <f t="shared" si="31"/>
        <v>14</v>
      </c>
      <c r="F356" s="11">
        <f t="shared" si="32"/>
        <v>6.3689497652358806</v>
      </c>
      <c r="G356" s="11">
        <f t="shared" si="33"/>
        <v>6.484170303792081</v>
      </c>
    </row>
    <row r="357" spans="5:7" x14ac:dyDescent="0.25">
      <c r="E357" s="11">
        <f t="shared" si="31"/>
        <v>15</v>
      </c>
      <c r="F357" s="11">
        <f t="shared" si="32"/>
        <v>6.8400574586001781</v>
      </c>
      <c r="G357" s="11">
        <f t="shared" si="33"/>
        <v>6.9629115527036722</v>
      </c>
    </row>
    <row r="358" spans="5:7" x14ac:dyDescent="0.25">
      <c r="E358" s="11">
        <f t="shared" si="31"/>
        <v>16</v>
      </c>
      <c r="F358" s="11">
        <f t="shared" si="32"/>
        <v>7.31175729480083</v>
      </c>
      <c r="G358" s="11">
        <f t="shared" si="33"/>
        <v>7.441416343212274</v>
      </c>
    </row>
    <row r="359" spans="5:7" x14ac:dyDescent="0.25">
      <c r="E359" s="11">
        <f t="shared" si="31"/>
        <v>17</v>
      </c>
      <c r="F359" s="11">
        <f t="shared" si="32"/>
        <v>7.7836924598280532</v>
      </c>
      <c r="G359" s="11">
        <f t="shared" si="33"/>
        <v>7.9192506836870233</v>
      </c>
    </row>
    <row r="360" spans="5:7" x14ac:dyDescent="0.25">
      <c r="E360" s="11">
        <f t="shared" si="31"/>
        <v>18</v>
      </c>
      <c r="F360" s="11">
        <f t="shared" si="32"/>
        <v>8.2554920024393006</v>
      </c>
      <c r="G360" s="11">
        <f t="shared" si="33"/>
        <v>8.3959805824970566</v>
      </c>
    </row>
    <row r="361" spans="5:7" x14ac:dyDescent="0.25">
      <c r="E361" s="11">
        <f t="shared" si="31"/>
        <v>19</v>
      </c>
      <c r="F361" s="11">
        <f t="shared" si="32"/>
        <v>8.7267712253540974</v>
      </c>
      <c r="G361" s="11">
        <f t="shared" si="33"/>
        <v>8.8711720480115055</v>
      </c>
    </row>
    <row r="362" spans="5:7" x14ac:dyDescent="0.25">
      <c r="E362" s="11">
        <f t="shared" si="31"/>
        <v>20</v>
      </c>
      <c r="F362" s="11">
        <f t="shared" si="32"/>
        <v>9.1971321413715899</v>
      </c>
      <c r="G362" s="11">
        <f t="shared" si="33"/>
        <v>9.3443910885995116</v>
      </c>
    </row>
    <row r="363" spans="5:7" x14ac:dyDescent="0.25">
      <c r="E363" s="11">
        <f t="shared" si="31"/>
        <v>21</v>
      </c>
      <c r="F363" s="11">
        <f t="shared" si="32"/>
        <v>9.6661639970385771</v>
      </c>
      <c r="G363" s="11">
        <f t="shared" si="33"/>
        <v>9.8152037126302076</v>
      </c>
    </row>
    <row r="364" spans="5:7" x14ac:dyDescent="0.25">
      <c r="E364" s="11">
        <f t="shared" si="31"/>
        <v>22</v>
      </c>
      <c r="F364" s="11">
        <f t="shared" si="32"/>
        <v>10.133443866533158</v>
      </c>
      <c r="G364" s="11">
        <f t="shared" si="33"/>
        <v>10.283175928472726</v>
      </c>
    </row>
    <row r="365" spans="5:7" x14ac:dyDescent="0.25">
      <c r="E365" s="11">
        <f t="shared" si="31"/>
        <v>23</v>
      </c>
      <c r="F365" s="11">
        <f t="shared" si="32"/>
        <v>10.598537318467184</v>
      </c>
      <c r="G365" s="11">
        <f t="shared" si="33"/>
        <v>10.747873744496207</v>
      </c>
    </row>
    <row r="366" spans="5:7" x14ac:dyDescent="0.25">
      <c r="E366" s="11">
        <f t="shared" si="31"/>
        <v>24</v>
      </c>
      <c r="F366" s="11">
        <f t="shared" si="32"/>
        <v>11.060999158348221</v>
      </c>
      <c r="G366" s="11">
        <f t="shared" si="33"/>
        <v>11.208863169069787</v>
      </c>
    </row>
    <row r="367" spans="5:7" x14ac:dyDescent="0.25">
      <c r="E367" s="11">
        <f t="shared" si="31"/>
        <v>25</v>
      </c>
      <c r="F367" s="11">
        <f t="shared" si="32"/>
        <v>11.520374249479513</v>
      </c>
      <c r="G367" s="11">
        <f t="shared" si="33"/>
        <v>11.665710210562597</v>
      </c>
    </row>
    <row r="368" spans="5:7" x14ac:dyDescent="0.25">
      <c r="E368" s="11">
        <f t="shared" si="31"/>
        <v>26</v>
      </c>
      <c r="F368" s="11">
        <f t="shared" si="32"/>
        <v>11.976198415114188</v>
      </c>
      <c r="G368" s="11">
        <f t="shared" si="33"/>
        <v>12.117980877343776</v>
      </c>
    </row>
    <row r="369" spans="5:7" x14ac:dyDescent="0.25">
      <c r="E369" s="11">
        <f t="shared" si="31"/>
        <v>27</v>
      </c>
      <c r="F369" s="11">
        <f t="shared" si="32"/>
        <v>12.427999424717633</v>
      </c>
      <c r="G369" s="11">
        <f t="shared" si="33"/>
        <v>12.565241177782458</v>
      </c>
    </row>
    <row r="370" spans="5:7" x14ac:dyDescent="0.25">
      <c r="E370" s="11">
        <f t="shared" si="31"/>
        <v>28</v>
      </c>
      <c r="F370" s="11">
        <f t="shared" si="32"/>
        <v>12.875298067229686</v>
      </c>
      <c r="G370" s="11">
        <f t="shared" si="33"/>
        <v>13.007057120247783</v>
      </c>
    </row>
    <row r="371" spans="5:7" x14ac:dyDescent="0.25">
      <c r="E371" s="11">
        <f t="shared" si="31"/>
        <v>29</v>
      </c>
      <c r="F371" s="11">
        <f t="shared" si="32"/>
        <v>13.317609314256034</v>
      </c>
      <c r="G371" s="11">
        <f t="shared" si="33"/>
        <v>13.442994713108881</v>
      </c>
    </row>
    <row r="372" spans="5:7" x14ac:dyDescent="0.25">
      <c r="E372" s="11">
        <f t="shared" si="31"/>
        <v>30</v>
      </c>
      <c r="F372" s="11">
        <f t="shared" si="32"/>
        <v>13.754443576155964</v>
      </c>
      <c r="G372" s="11">
        <f t="shared" si="33"/>
        <v>13.87261996473489</v>
      </c>
    </row>
    <row r="373" spans="5:7" x14ac:dyDescent="0.25">
      <c r="E373" s="11">
        <f t="shared" si="31"/>
        <v>31</v>
      </c>
      <c r="F373" s="11">
        <f t="shared" si="32"/>
        <v>14.185308054031228</v>
      </c>
      <c r="G373" s="11">
        <f t="shared" si="33"/>
        <v>14.295498883494943</v>
      </c>
    </row>
    <row r="374" spans="5:7" x14ac:dyDescent="0.25">
      <c r="E374" s="11">
        <f t="shared" si="31"/>
        <v>32</v>
      </c>
      <c r="F374" s="11">
        <f t="shared" si="32"/>
        <v>14.609708190658628</v>
      </c>
      <c r="G374" s="11">
        <f t="shared" si="33"/>
        <v>14.711197477758184</v>
      </c>
    </row>
    <row r="375" spans="5:7" x14ac:dyDescent="0.25">
      <c r="E375" s="11">
        <f t="shared" si="31"/>
        <v>33</v>
      </c>
      <c r="F375" s="11">
        <f t="shared" si="32"/>
        <v>15.027149223446575</v>
      </c>
      <c r="G375" s="11">
        <f t="shared" si="33"/>
        <v>15.119281755893741</v>
      </c>
    </row>
    <row r="376" spans="5:7" x14ac:dyDescent="0.25">
      <c r="E376" s="11">
        <f t="shared" si="31"/>
        <v>34</v>
      </c>
      <c r="F376" s="11">
        <f t="shared" si="32"/>
        <v>15.43713784253363</v>
      </c>
      <c r="G376" s="11">
        <f t="shared" si="33"/>
        <v>15.519317726270749</v>
      </c>
    </row>
    <row r="377" spans="5:7" x14ac:dyDescent="0.25">
      <c r="E377" s="11">
        <f t="shared" si="31"/>
        <v>35</v>
      </c>
      <c r="F377" s="11">
        <f t="shared" si="32"/>
        <v>15.839183957184757</v>
      </c>
      <c r="G377" s="11">
        <f t="shared" si="33"/>
        <v>15.910871397258351</v>
      </c>
    </row>
    <row r="378" spans="5:7" x14ac:dyDescent="0.25">
      <c r="E378" s="11">
        <f t="shared" si="31"/>
        <v>36</v>
      </c>
      <c r="F378" s="11">
        <f t="shared" si="32"/>
        <v>16.232802573678697</v>
      </c>
      <c r="G378" s="11">
        <f t="shared" si="33"/>
        <v>16.293508777225675</v>
      </c>
    </row>
    <row r="379" spans="5:7" x14ac:dyDescent="0.25">
      <c r="E379" s="11">
        <f t="shared" si="31"/>
        <v>37</v>
      </c>
      <c r="F379" s="11">
        <f t="shared" si="32"/>
        <v>16.617515787917661</v>
      </c>
      <c r="G379" s="11">
        <f t="shared" si="33"/>
        <v>16.666795874541862</v>
      </c>
    </row>
    <row r="380" spans="5:7" x14ac:dyDescent="0.25">
      <c r="E380" s="11">
        <f t="shared" si="31"/>
        <v>38</v>
      </c>
      <c r="F380" s="11">
        <f t="shared" si="32"/>
        <v>16.992854896028277</v>
      </c>
      <c r="G380" s="11">
        <f t="shared" si="33"/>
        <v>17.030298697576043</v>
      </c>
    </row>
    <row r="381" spans="5:7" x14ac:dyDescent="0.25">
      <c r="E381" s="11">
        <f t="shared" si="31"/>
        <v>39</v>
      </c>
      <c r="F381" s="11">
        <f t="shared" si="32"/>
        <v>17.358362626260284</v>
      </c>
      <c r="G381" s="11">
        <f t="shared" si="33"/>
        <v>17.38358325469736</v>
      </c>
    </row>
    <row r="382" spans="5:7" x14ac:dyDescent="0.25">
      <c r="E382" s="11">
        <f t="shared" si="31"/>
        <v>40</v>
      </c>
      <c r="F382" s="11">
        <f t="shared" si="32"/>
        <v>17.713595495527453</v>
      </c>
      <c r="G382" s="11">
        <f t="shared" si="33"/>
        <v>17.72621555427494</v>
      </c>
    </row>
    <row r="383" spans="5:7" x14ac:dyDescent="0.25">
      <c r="E383" s="11">
        <f t="shared" si="31"/>
        <v>41</v>
      </c>
      <c r="F383" s="11">
        <f t="shared" si="32"/>
        <v>18.058126293972659</v>
      </c>
      <c r="G383" s="11">
        <f t="shared" si="33"/>
        <v>18.057761604677928</v>
      </c>
    </row>
    <row r="384" spans="5:7" x14ac:dyDescent="0.25">
      <c r="E384" s="11">
        <f t="shared" si="31"/>
        <v>42</v>
      </c>
      <c r="F384" s="11">
        <f t="shared" si="32"/>
        <v>18.39154670097701</v>
      </c>
      <c r="G384" s="11">
        <f t="shared" si="33"/>
        <v>18.377787414275456</v>
      </c>
    </row>
    <row r="385" spans="5:7" x14ac:dyDescent="0.25">
      <c r="E385" s="11">
        <f t="shared" si="31"/>
        <v>43</v>
      </c>
      <c r="F385" s="11">
        <f t="shared" si="32"/>
        <v>18.713470036070504</v>
      </c>
      <c r="G385" s="11">
        <f t="shared" si="33"/>
        <v>18.685858991436657</v>
      </c>
    </row>
    <row r="386" spans="5:7" x14ac:dyDescent="0.25">
      <c r="E386" s="11">
        <f t="shared" si="31"/>
        <v>44</v>
      </c>
      <c r="F386" s="11">
        <f t="shared" si="32"/>
        <v>19.023534148239332</v>
      </c>
      <c r="G386" s="11">
        <f t="shared" si="33"/>
        <v>18.98154234453067</v>
      </c>
    </row>
    <row r="387" spans="5:7" x14ac:dyDescent="0.25">
      <c r="E387" s="11">
        <f t="shared" si="31"/>
        <v>45</v>
      </c>
      <c r="F387" s="11">
        <f t="shared" si="32"/>
        <v>19.321404447162937</v>
      </c>
      <c r="G387" s="11">
        <f t="shared" si="33"/>
        <v>19.264403481926628</v>
      </c>
    </row>
    <row r="388" spans="5:7" x14ac:dyDescent="0.25">
      <c r="E388" s="11">
        <f t="shared" si="31"/>
        <v>46</v>
      </c>
      <c r="F388" s="11">
        <f t="shared" si="32"/>
        <v>19.606777079951492</v>
      </c>
      <c r="G388" s="11">
        <f t="shared" si="33"/>
        <v>19.53414386872895</v>
      </c>
    </row>
    <row r="389" spans="5:7" x14ac:dyDescent="0.25">
      <c r="E389" s="11">
        <f t="shared" si="31"/>
        <v>47</v>
      </c>
      <c r="F389" s="11">
        <f t="shared" si="32"/>
        <v>19.879382256992006</v>
      </c>
      <c r="G389" s="11">
        <f t="shared" si="33"/>
        <v>19.791006796983179</v>
      </c>
    </row>
    <row r="390" spans="5:7" x14ac:dyDescent="0.25">
      <c r="E390" s="11">
        <f t="shared" si="31"/>
        <v>48</v>
      </c>
      <c r="F390" s="11">
        <f t="shared" si="32"/>
        <v>20.138987730549459</v>
      </c>
      <c r="G390" s="11">
        <f t="shared" si="33"/>
        <v>20.035371015470147</v>
      </c>
    </row>
    <row r="391" spans="5:7" x14ac:dyDescent="0.25">
      <c r="E391" s="11">
        <f t="shared" si="31"/>
        <v>49</v>
      </c>
      <c r="F391" s="11">
        <f t="shared" si="32"/>
        <v>20.385402429806575</v>
      </c>
      <c r="G391" s="11">
        <f t="shared" si="33"/>
        <v>20.267615272970676</v>
      </c>
    </row>
    <row r="392" spans="5:7" x14ac:dyDescent="0.25">
      <c r="E392" s="11">
        <f t="shared" si="31"/>
        <v>50</v>
      </c>
      <c r="F392" s="11">
        <f t="shared" si="32"/>
        <v>20.61848025606394</v>
      </c>
      <c r="G392" s="11">
        <f t="shared" si="33"/>
        <v>20.488118318265588</v>
      </c>
    </row>
    <row r="393" spans="5:7" x14ac:dyDescent="0.25">
      <c r="E393" s="11">
        <f t="shared" si="31"/>
        <v>51</v>
      </c>
      <c r="F393" s="11">
        <f t="shared" si="32"/>
        <v>20.838124041859697</v>
      </c>
      <c r="G393" s="11">
        <f t="shared" si="33"/>
        <v>20.697258900135715</v>
      </c>
    </row>
    <row r="394" spans="5:7" x14ac:dyDescent="0.25">
      <c r="E394" s="11">
        <f t="shared" si="31"/>
        <v>52</v>
      </c>
      <c r="F394" s="11">
        <f t="shared" si="32"/>
        <v>21.044289677805864</v>
      </c>
      <c r="G394" s="11">
        <f t="shared" si="33"/>
        <v>20.895415767361882</v>
      </c>
    </row>
    <row r="395" spans="5:7" x14ac:dyDescent="0.25">
      <c r="E395" s="11">
        <f t="shared" si="31"/>
        <v>53</v>
      </c>
      <c r="F395" s="11">
        <f t="shared" si="32"/>
        <v>21.236990410975949</v>
      </c>
      <c r="G395" s="11">
        <f t="shared" si="33"/>
        <v>21.082967668724912</v>
      </c>
    </row>
    <row r="396" spans="5:7" x14ac:dyDescent="0.25">
      <c r="E396" s="11">
        <f t="shared" si="31"/>
        <v>54</v>
      </c>
      <c r="F396" s="11">
        <f t="shared" si="32"/>
        <v>21.416301318716442</v>
      </c>
      <c r="G396" s="11">
        <f t="shared" si="33"/>
        <v>21.260293353005636</v>
      </c>
    </row>
    <row r="397" spans="5:7" x14ac:dyDescent="0.25">
      <c r="E397" s="11">
        <f t="shared" si="31"/>
        <v>55</v>
      </c>
      <c r="F397" s="11">
        <f t="shared" si="32"/>
        <v>21.582363961792215</v>
      </c>
      <c r="G397" s="11">
        <f t="shared" si="33"/>
        <v>21.427771568984877</v>
      </c>
    </row>
    <row r="398" spans="5:7" x14ac:dyDescent="0.25">
      <c r="E398" s="11">
        <f t="shared" si="31"/>
        <v>56</v>
      </c>
      <c r="F398" s="11">
        <f t="shared" si="32"/>
        <v>21.735391220813849</v>
      </c>
      <c r="G398" s="11">
        <f t="shared" si="33"/>
        <v>21.585781065443463</v>
      </c>
    </row>
    <row r="399" spans="5:7" x14ac:dyDescent="0.25">
      <c r="E399" s="11">
        <f t="shared" si="31"/>
        <v>57</v>
      </c>
      <c r="F399" s="11">
        <f t="shared" si="32"/>
        <v>21.875672319932505</v>
      </c>
      <c r="G399" s="11">
        <f t="shared" si="33"/>
        <v>21.734700591162223</v>
      </c>
    </row>
    <row r="400" spans="5:7" x14ac:dyDescent="0.25">
      <c r="E400" s="11">
        <f t="shared" si="31"/>
        <v>58</v>
      </c>
      <c r="F400" s="11">
        <f t="shared" si="32"/>
        <v>22.003578041825619</v>
      </c>
      <c r="G400" s="11">
        <f t="shared" si="33"/>
        <v>21.874908894921976</v>
      </c>
    </row>
    <row r="401" spans="5:7" x14ac:dyDescent="0.25">
      <c r="E401" s="11">
        <f t="shared" si="31"/>
        <v>59</v>
      </c>
      <c r="F401" s="11">
        <f t="shared" si="32"/>
        <v>22.119566138034568</v>
      </c>
      <c r="G401" s="11">
        <f t="shared" si="33"/>
        <v>22.00678472550355</v>
      </c>
    </row>
    <row r="402" spans="5:7" x14ac:dyDescent="0.25">
      <c r="E402" s="11">
        <f t="shared" si="31"/>
        <v>60</v>
      </c>
      <c r="F402" s="11">
        <f t="shared" si="32"/>
        <v>22.224186938753096</v>
      </c>
      <c r="G402" s="11">
        <f t="shared" si="33"/>
        <v>22.130706831687782</v>
      </c>
    </row>
    <row r="403" spans="5:7" x14ac:dyDescent="0.25">
      <c r="E403" s="11">
        <f t="shared" si="31"/>
        <v>61</v>
      </c>
      <c r="F403" s="11">
        <f t="shared" si="32"/>
        <v>22.318089166202974</v>
      </c>
      <c r="G403" s="11">
        <f t="shared" si="33"/>
        <v>22.247053962255485</v>
      </c>
    </row>
    <row r="404" spans="5:7" x14ac:dyDescent="0.25">
      <c r="E404" s="11">
        <f t="shared" si="31"/>
        <v>62</v>
      </c>
      <c r="F404" s="11">
        <f t="shared" si="32"/>
        <v>22.40202595577124</v>
      </c>
      <c r="G404" s="11">
        <f t="shared" si="33"/>
        <v>22.356204865987486</v>
      </c>
    </row>
    <row r="405" spans="5:7" x14ac:dyDescent="0.25">
      <c r="E405" s="11">
        <f t="shared" si="31"/>
        <v>63</v>
      </c>
      <c r="F405" s="11">
        <f t="shared" si="32"/>
        <v>22.476861089120774</v>
      </c>
      <c r="G405" s="11">
        <f t="shared" si="33"/>
        <v>22.458538291664617</v>
      </c>
    </row>
    <row r="406" spans="5:7" x14ac:dyDescent="0.25">
      <c r="E406" s="11">
        <f t="shared" si="31"/>
        <v>64</v>
      </c>
      <c r="F406" s="11">
        <f t="shared" si="32"/>
        <v>22.543575443524194</v>
      </c>
      <c r="G406" s="11">
        <f t="shared" si="33"/>
        <v>22.554432988067706</v>
      </c>
    </row>
    <row r="407" spans="5:7" x14ac:dyDescent="0.25">
      <c r="E407" s="11">
        <f t="shared" si="31"/>
        <v>65</v>
      </c>
      <c r="F407" s="11">
        <f t="shared" si="32"/>
        <v>22.6032736617083</v>
      </c>
      <c r="G407" s="11">
        <f t="shared" si="33"/>
        <v>22.644267703977572</v>
      </c>
    </row>
    <row r="408" spans="5:7" x14ac:dyDescent="0.25">
      <c r="E408" s="11">
        <f t="shared" si="31"/>
        <v>66</v>
      </c>
      <c r="F408" s="11">
        <f t="shared" si="32"/>
        <v>22.657191046534166</v>
      </c>
      <c r="G408" s="11">
        <f t="shared" si="33"/>
        <v>22.728421188175044</v>
      </c>
    </row>
    <row r="409" spans="5:7" x14ac:dyDescent="0.25">
      <c r="E409" s="11">
        <f t="shared" si="31"/>
        <v>67</v>
      </c>
      <c r="F409" s="11">
        <f t="shared" si="32"/>
        <v>22.706700684875837</v>
      </c>
      <c r="G409" s="11">
        <f t="shared" si="33"/>
        <v>22.807272189440951</v>
      </c>
    </row>
    <row r="410" spans="5:7" x14ac:dyDescent="0.25">
      <c r="E410" s="11">
        <f t="shared" si="31"/>
        <v>68</v>
      </c>
      <c r="F410" s="11">
        <f t="shared" si="32"/>
        <v>22.753320805098266</v>
      </c>
      <c r="G410" s="11">
        <f t="shared" si="33"/>
        <v>22.881199456556118</v>
      </c>
    </row>
    <row r="411" spans="5:7" x14ac:dyDescent="0.25">
      <c r="E411" s="11">
        <f t="shared" si="31"/>
        <v>69</v>
      </c>
      <c r="F411" s="11">
        <f t="shared" si="32"/>
        <v>22.798722372572584</v>
      </c>
      <c r="G411" s="11">
        <f t="shared" si="33"/>
        <v>22.950581738301366</v>
      </c>
    </row>
    <row r="412" spans="5:7" x14ac:dyDescent="0.25">
      <c r="E412" s="11">
        <f t="shared" si="31"/>
        <v>70</v>
      </c>
      <c r="F412" s="11">
        <f t="shared" si="32"/>
        <v>22.844736927705018</v>
      </c>
      <c r="G412" s="11">
        <f t="shared" si="33"/>
        <v>23.015797783457529</v>
      </c>
    </row>
    <row r="413" spans="5:7" x14ac:dyDescent="0.25">
      <c r="E413" s="11">
        <f t="shared" si="31"/>
        <v>71</v>
      </c>
      <c r="F413" s="11">
        <f t="shared" si="32"/>
        <v>22.893364670992842</v>
      </c>
      <c r="G413" s="11">
        <f t="shared" si="33"/>
        <v>23.077226340805428</v>
      </c>
    </row>
    <row r="414" spans="5:7" x14ac:dyDescent="0.25">
      <c r="E414" s="11">
        <f t="shared" si="31"/>
        <v>72</v>
      </c>
      <c r="F414" s="11">
        <f t="shared" si="32"/>
        <v>22.946782799659331</v>
      </c>
      <c r="G414" s="11">
        <f t="shared" si="33"/>
        <v>23.135246159125892</v>
      </c>
    </row>
    <row r="415" spans="5:7" x14ac:dyDescent="0.25">
      <c r="E415" s="11">
        <f t="shared" ref="E415:E422" si="34">E208</f>
        <v>73</v>
      </c>
      <c r="F415" s="11">
        <f t="shared" ref="F415:F422" si="35">$H$217*0+E415*$I$217+E415^2*$J$217+E415^3*$K$217+E415^4*$L$217+E415^5*$M$217+E415^6*$N$217+E415^7*$O$217+E415^8*$P$217</f>
        <v>23.007354100456325</v>
      </c>
      <c r="G415" s="11">
        <f t="shared" ref="G415:G422" si="36">F208</f>
        <v>23.190235987199745</v>
      </c>
    </row>
    <row r="416" spans="5:7" x14ac:dyDescent="0.25">
      <c r="E416" s="11">
        <f t="shared" si="34"/>
        <v>74</v>
      </c>
      <c r="F416" s="11">
        <f t="shared" si="35"/>
        <v>23.077635803261906</v>
      </c>
      <c r="G416" s="11">
        <f t="shared" si="36"/>
        <v>23.242574573807815</v>
      </c>
    </row>
    <row r="417" spans="5:7" x14ac:dyDescent="0.25">
      <c r="E417" s="11">
        <f t="shared" si="34"/>
        <v>75</v>
      </c>
      <c r="F417" s="11">
        <f t="shared" si="35"/>
        <v>23.160388700137347</v>
      </c>
      <c r="G417" s="11">
        <f t="shared" si="36"/>
        <v>23.292640667730929</v>
      </c>
    </row>
    <row r="418" spans="5:7" x14ac:dyDescent="0.25">
      <c r="E418" s="11">
        <f t="shared" si="34"/>
        <v>76</v>
      </c>
      <c r="F418" s="11">
        <f t="shared" si="35"/>
        <v>23.258586534546019</v>
      </c>
      <c r="G418" s="11">
        <f t="shared" si="36"/>
        <v>23.340813017749912</v>
      </c>
    </row>
    <row r="419" spans="5:7" x14ac:dyDescent="0.25">
      <c r="E419" s="11">
        <f t="shared" si="34"/>
        <v>77</v>
      </c>
      <c r="F419" s="11">
        <f t="shared" si="35"/>
        <v>23.37542566547425</v>
      </c>
      <c r="G419" s="11">
        <f t="shared" si="36"/>
        <v>23.387470372645591</v>
      </c>
    </row>
    <row r="420" spans="5:7" x14ac:dyDescent="0.25">
      <c r="E420" s="11">
        <f t="shared" si="34"/>
        <v>78</v>
      </c>
      <c r="F420" s="11">
        <f t="shared" si="35"/>
        <v>23.514335011231843</v>
      </c>
      <c r="G420" s="11">
        <f t="shared" si="36"/>
        <v>23.43299148119879</v>
      </c>
    </row>
    <row r="421" spans="5:7" x14ac:dyDescent="0.25">
      <c r="E421" s="11">
        <f t="shared" si="34"/>
        <v>79</v>
      </c>
      <c r="F421" s="11">
        <f t="shared" si="35"/>
        <v>23.678986277747946</v>
      </c>
      <c r="G421" s="11">
        <f t="shared" si="36"/>
        <v>23.477755092190336</v>
      </c>
    </row>
    <row r="422" spans="5:7" x14ac:dyDescent="0.25">
      <c r="E422" s="11">
        <f t="shared" si="34"/>
        <v>80</v>
      </c>
      <c r="F422" s="11">
        <f t="shared" si="35"/>
        <v>23.873304476215448</v>
      </c>
      <c r="G422" s="11">
        <f t="shared" si="36"/>
        <v>23.522139954401055</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3.8009999999999997E-5</v>
      </c>
      <c r="C3" s="2">
        <v>1.4990000000000001E-4</v>
      </c>
      <c r="D3" s="2">
        <v>-4.6210000000000001E-4</v>
      </c>
      <c r="E3" s="2">
        <v>0</v>
      </c>
      <c r="F3" s="2">
        <v>0</v>
      </c>
      <c r="G3" s="2">
        <v>0</v>
      </c>
      <c r="H3" s="2">
        <v>7.0572289999999994E-5</v>
      </c>
      <c r="I3" s="2">
        <v>1.5235524000000001E-5</v>
      </c>
      <c r="J3" s="2">
        <v>-1.9562213E-4</v>
      </c>
      <c r="K3" s="3"/>
      <c r="L3" s="3">
        <f>-B3/D3</f>
        <v>8.2254923176801553E-2</v>
      </c>
      <c r="M3" s="3"/>
      <c r="N3" s="2">
        <f>IF('Modell einstellen'!$B$1="Voll",H3/0.35,H3/0.35*2)</f>
        <v>2.0163511428571428E-4</v>
      </c>
      <c r="O3" s="2">
        <f>IF('Modell einstellen'!$B$1="Voll",J3/0.35,J3/0.35*2)</f>
        <v>-5.5892037142857146E-4</v>
      </c>
      <c r="P3" s="3">
        <f>-N3/O3</f>
        <v>0.36075821278502584</v>
      </c>
      <c r="Q3" s="3"/>
      <c r="R3" s="3"/>
      <c r="S3" s="3"/>
      <c r="T3" s="3"/>
      <c r="U3" s="3"/>
      <c r="V3" s="3"/>
      <c r="W3" s="3"/>
    </row>
    <row r="4" spans="1:23" x14ac:dyDescent="0.25">
      <c r="A4" s="2">
        <v>1E-14</v>
      </c>
      <c r="B4" s="2">
        <v>3.8000000000000002E-5</v>
      </c>
      <c r="C4" s="2">
        <v>1.4990000000000001E-4</v>
      </c>
      <c r="D4" s="2">
        <v>-4.6210000000000001E-4</v>
      </c>
      <c r="E4" s="2">
        <v>0</v>
      </c>
      <c r="F4" s="2">
        <v>0</v>
      </c>
      <c r="G4" s="2">
        <v>0</v>
      </c>
      <c r="H4" s="2">
        <v>7.0573720999999996E-5</v>
      </c>
      <c r="I4" s="2">
        <v>1.5236729E-5</v>
      </c>
      <c r="J4" s="2">
        <v>-1.9561843000000001E-4</v>
      </c>
      <c r="K4" s="3"/>
      <c r="L4" s="3">
        <f t="shared" ref="L4:L33" si="0">-B4/D4</f>
        <v>8.2233282839212288E-2</v>
      </c>
      <c r="M4" s="3"/>
      <c r="N4" s="2">
        <f>IF('Modell einstellen'!$B$1="Voll",H4/0.35,H4/0.35*2)</f>
        <v>2.0163920285714285E-4</v>
      </c>
      <c r="O4" s="2">
        <f>IF('Modell einstellen'!$B$1="Voll",J4/0.35,J4/0.35*2)</f>
        <v>-5.5890980000000007E-4</v>
      </c>
      <c r="P4" s="3">
        <f t="shared" ref="P4:P33" si="1">-N4/O4</f>
        <v>0.36077235156217125</v>
      </c>
      <c r="Q4" s="3"/>
      <c r="R4" s="3"/>
      <c r="S4" s="3"/>
      <c r="T4" s="3"/>
      <c r="U4" s="3"/>
      <c r="V4" s="3"/>
      <c r="W4" s="3"/>
    </row>
    <row r="5" spans="1:23" x14ac:dyDescent="0.25">
      <c r="A5" s="2">
        <v>1E-13</v>
      </c>
      <c r="B5" s="2">
        <v>3.8000000000000002E-5</v>
      </c>
      <c r="C5" s="2">
        <v>1.4990000000000001E-4</v>
      </c>
      <c r="D5" s="2">
        <v>-4.6210000000000001E-4</v>
      </c>
      <c r="E5" s="2">
        <v>0</v>
      </c>
      <c r="F5" s="2">
        <v>0</v>
      </c>
      <c r="G5" s="2">
        <v>0</v>
      </c>
      <c r="H5" s="2">
        <v>7.0574096999999998E-5</v>
      </c>
      <c r="I5" s="2">
        <v>1.5236904000000001E-5</v>
      </c>
      <c r="J5" s="2">
        <v>-1.9561943999999999E-4</v>
      </c>
      <c r="K5" s="3"/>
      <c r="L5" s="3">
        <f t="shared" si="0"/>
        <v>8.2233282839212288E-2</v>
      </c>
      <c r="M5" s="3"/>
      <c r="N5" s="2">
        <f>IF('Modell einstellen'!$B$1="Voll",H5/0.35,H5/0.35*2)</f>
        <v>2.0164027714285714E-4</v>
      </c>
      <c r="O5" s="2">
        <f>IF('Modell einstellen'!$B$1="Voll",J5/0.35,J5/0.35*2)</f>
        <v>-5.5891268571428576E-4</v>
      </c>
      <c r="P5" s="3">
        <f t="shared" si="1"/>
        <v>0.3607724109628368</v>
      </c>
      <c r="Q5" s="3"/>
      <c r="R5" s="3"/>
      <c r="S5" s="3"/>
      <c r="T5" s="3"/>
      <c r="U5" s="3"/>
      <c r="V5" s="3"/>
      <c r="W5" s="3"/>
    </row>
    <row r="6" spans="1:23" x14ac:dyDescent="0.25">
      <c r="A6" s="2">
        <v>9.9999999999999998E-13</v>
      </c>
      <c r="B6" s="2">
        <v>3.8000000000000002E-5</v>
      </c>
      <c r="C6" s="2">
        <v>1.4990000000000001E-4</v>
      </c>
      <c r="D6" s="2">
        <v>-4.6210000000000001E-4</v>
      </c>
      <c r="E6" s="2">
        <v>0</v>
      </c>
      <c r="F6" s="2">
        <v>0</v>
      </c>
      <c r="G6" s="2">
        <v>0</v>
      </c>
      <c r="H6" s="2">
        <v>7.0574212999999995E-5</v>
      </c>
      <c r="I6" s="2">
        <v>1.5236953E-5</v>
      </c>
      <c r="J6" s="2">
        <v>-1.9561974000000001E-4</v>
      </c>
      <c r="K6" s="3"/>
      <c r="L6" s="3">
        <f t="shared" si="0"/>
        <v>8.2233282839212288E-2</v>
      </c>
      <c r="M6" s="3"/>
      <c r="N6" s="2">
        <f>IF('Modell einstellen'!$B$1="Voll",H6/0.35,H6/0.35*2)</f>
        <v>2.0164060857142858E-4</v>
      </c>
      <c r="O6" s="2">
        <f>IF('Modell einstellen'!$B$1="Voll",J6/0.35,J6/0.35*2)</f>
        <v>-5.5891354285714288E-4</v>
      </c>
      <c r="P6" s="3">
        <f t="shared" si="1"/>
        <v>0.36077245067394526</v>
      </c>
      <c r="Q6" s="3"/>
      <c r="R6" s="3"/>
      <c r="S6" s="3"/>
      <c r="T6" s="3"/>
      <c r="U6" s="3"/>
      <c r="V6" s="3"/>
      <c r="W6" s="3"/>
    </row>
    <row r="7" spans="1:23" x14ac:dyDescent="0.25">
      <c r="A7" s="2">
        <v>9.9999999999999994E-12</v>
      </c>
      <c r="B7" s="2">
        <v>3.8000000000000002E-5</v>
      </c>
      <c r="C7" s="2">
        <v>1.4990000000000001E-4</v>
      </c>
      <c r="D7" s="2">
        <v>-4.6210000000000001E-4</v>
      </c>
      <c r="E7" s="2">
        <v>0</v>
      </c>
      <c r="F7" s="2">
        <v>0</v>
      </c>
      <c r="G7" s="2">
        <v>0</v>
      </c>
      <c r="H7" s="2">
        <v>7.0574252000000002E-5</v>
      </c>
      <c r="I7" s="2">
        <v>1.5236967E-5</v>
      </c>
      <c r="J7" s="2">
        <v>-1.9561983E-4</v>
      </c>
      <c r="K7" s="3"/>
      <c r="L7" s="3">
        <f t="shared" si="0"/>
        <v>8.2233282839212288E-2</v>
      </c>
      <c r="M7" s="3"/>
      <c r="N7" s="2">
        <f>IF('Modell einstellen'!$B$1="Voll",H7/0.35,H7/0.35*2)</f>
        <v>2.0164072000000002E-4</v>
      </c>
      <c r="O7" s="2">
        <f>IF('Modell einstellen'!$B$1="Voll",J7/0.35,J7/0.35*2)</f>
        <v>-5.5891380000000002E-4</v>
      </c>
      <c r="P7" s="3">
        <f t="shared" si="1"/>
        <v>0.36077248405747009</v>
      </c>
      <c r="Q7" s="3"/>
      <c r="R7" s="3"/>
      <c r="S7" s="3"/>
      <c r="T7" s="3"/>
      <c r="U7" s="3"/>
      <c r="V7" s="3"/>
      <c r="W7" s="3"/>
    </row>
    <row r="8" spans="1:23" x14ac:dyDescent="0.25">
      <c r="A8" s="2">
        <v>1E-10</v>
      </c>
      <c r="B8" s="2">
        <v>3.8000000000000002E-5</v>
      </c>
      <c r="C8" s="2">
        <v>1.4990000000000001E-4</v>
      </c>
      <c r="D8" s="2">
        <v>-4.6210000000000001E-4</v>
      </c>
      <c r="E8" s="2">
        <v>0</v>
      </c>
      <c r="F8" s="2">
        <v>0</v>
      </c>
      <c r="G8" s="2">
        <v>0</v>
      </c>
      <c r="H8" s="2">
        <v>7.0574265000000004E-5</v>
      </c>
      <c r="I8" s="2">
        <v>1.5236972E-5</v>
      </c>
      <c r="J8" s="2">
        <v>-1.9561985999999999E-4</v>
      </c>
      <c r="K8" s="3"/>
      <c r="L8" s="3">
        <f t="shared" si="0"/>
        <v>8.2233282839212288E-2</v>
      </c>
      <c r="M8" s="3"/>
      <c r="N8" s="2">
        <f>IF('Modell einstellen'!$B$1="Voll",H8/0.35,H8/0.35*2)</f>
        <v>2.0164075714285717E-4</v>
      </c>
      <c r="O8" s="2">
        <f>IF('Modell einstellen'!$B$1="Voll",J8/0.35,J8/0.35*2)</f>
        <v>-5.5891388571428573E-4</v>
      </c>
      <c r="P8" s="3">
        <f t="shared" si="1"/>
        <v>0.36077249518530485</v>
      </c>
      <c r="Q8" s="3"/>
      <c r="R8" s="3"/>
      <c r="S8" s="3"/>
      <c r="T8" s="3"/>
      <c r="U8" s="3"/>
      <c r="V8" s="3"/>
      <c r="W8" s="3"/>
    </row>
    <row r="9" spans="1:23" x14ac:dyDescent="0.25">
      <c r="A9" s="2">
        <v>1.0000000000000001E-9</v>
      </c>
      <c r="B9" s="2">
        <v>3.8000000000000002E-5</v>
      </c>
      <c r="C9" s="2">
        <v>1.4990000000000001E-4</v>
      </c>
      <c r="D9" s="2">
        <v>-4.6210000000000001E-4</v>
      </c>
      <c r="E9" s="2">
        <v>0</v>
      </c>
      <c r="F9" s="2">
        <v>0</v>
      </c>
      <c r="G9" s="2">
        <v>0</v>
      </c>
      <c r="H9" s="2">
        <v>7.0574269000000001E-5</v>
      </c>
      <c r="I9" s="2">
        <v>1.5236972999999999E-5</v>
      </c>
      <c r="J9" s="2">
        <v>-1.9561987000000001E-4</v>
      </c>
      <c r="K9" s="3"/>
      <c r="L9" s="3">
        <f t="shared" si="0"/>
        <v>8.2233282839212288E-2</v>
      </c>
      <c r="M9" s="3"/>
      <c r="N9" s="2">
        <f>IF('Modell einstellen'!$B$1="Voll",H9/0.35,H9/0.35*2)</f>
        <v>2.0164076857142859E-4</v>
      </c>
      <c r="O9" s="2">
        <f>IF('Modell einstellen'!$B$1="Voll",J9/0.35,J9/0.35*2)</f>
        <v>-5.5891391428571438E-4</v>
      </c>
      <c r="P9" s="3">
        <f t="shared" si="1"/>
        <v>0.36077249719059723</v>
      </c>
      <c r="Q9" s="3"/>
      <c r="R9" s="3"/>
      <c r="S9" s="3"/>
      <c r="T9" s="3"/>
      <c r="U9" s="3"/>
      <c r="V9" s="3"/>
      <c r="W9" s="3"/>
    </row>
    <row r="10" spans="1:23" x14ac:dyDescent="0.25">
      <c r="A10" s="2">
        <v>1E-8</v>
      </c>
      <c r="B10" s="2">
        <v>3.8000000000000002E-5</v>
      </c>
      <c r="C10" s="2">
        <v>1.4990000000000001E-4</v>
      </c>
      <c r="D10" s="2">
        <v>-4.6210000000000001E-4</v>
      </c>
      <c r="E10" s="2">
        <v>0</v>
      </c>
      <c r="F10" s="2">
        <v>0</v>
      </c>
      <c r="G10" s="2">
        <v>0</v>
      </c>
      <c r="H10" s="2">
        <v>7.0574270999999993E-5</v>
      </c>
      <c r="I10" s="2">
        <v>1.5236974000000001E-5</v>
      </c>
      <c r="J10" s="2">
        <v>-1.9561987000000001E-4</v>
      </c>
      <c r="K10" s="3"/>
      <c r="L10" s="3">
        <f t="shared" si="0"/>
        <v>8.2233282839212288E-2</v>
      </c>
      <c r="M10" s="3"/>
      <c r="N10" s="2">
        <f>IF('Modell einstellen'!$B$1="Voll",H10/0.35,H10/0.35*2)</f>
        <v>2.0164077428571427E-4</v>
      </c>
      <c r="O10" s="2">
        <f>IF('Modell einstellen'!$B$1="Voll",J10/0.35,J10/0.35*2)</f>
        <v>-5.5891391428571438E-4</v>
      </c>
      <c r="P10" s="3">
        <f t="shared" si="1"/>
        <v>0.36077250741450745</v>
      </c>
      <c r="Q10" s="3"/>
      <c r="R10" s="3"/>
      <c r="S10" s="3"/>
      <c r="T10" s="3"/>
      <c r="U10" s="3"/>
      <c r="V10" s="3"/>
      <c r="W10" s="3"/>
    </row>
    <row r="11" spans="1:23" x14ac:dyDescent="0.25">
      <c r="A11" s="2">
        <v>9.9999999999999995E-8</v>
      </c>
      <c r="B11" s="2">
        <v>3.8000000000000002E-5</v>
      </c>
      <c r="C11" s="2">
        <v>1.4990000000000001E-4</v>
      </c>
      <c r="D11" s="2">
        <v>-4.6210000000000001E-4</v>
      </c>
      <c r="E11" s="2">
        <v>0</v>
      </c>
      <c r="F11" s="2">
        <v>0</v>
      </c>
      <c r="G11" s="2">
        <v>0</v>
      </c>
      <c r="H11" s="2">
        <v>7.0574270999999993E-5</v>
      </c>
      <c r="I11" s="2">
        <v>1.5236974000000001E-5</v>
      </c>
      <c r="J11" s="2">
        <v>-1.9561987000000001E-4</v>
      </c>
      <c r="K11" s="3"/>
      <c r="L11" s="3">
        <f t="shared" si="0"/>
        <v>8.2233282839212288E-2</v>
      </c>
      <c r="M11" s="3"/>
      <c r="N11" s="2">
        <f>IF('Modell einstellen'!$B$1="Voll",H11/0.35,H11/0.35*2)</f>
        <v>2.0164077428571427E-4</v>
      </c>
      <c r="O11" s="2">
        <f>IF('Modell einstellen'!$B$1="Voll",J11/0.35,J11/0.35*2)</f>
        <v>-5.5891391428571438E-4</v>
      </c>
      <c r="P11" s="3">
        <f t="shared" si="1"/>
        <v>0.36077250741450745</v>
      </c>
      <c r="Q11" s="3"/>
      <c r="R11" s="3"/>
      <c r="S11" s="3"/>
      <c r="T11" s="3"/>
      <c r="U11" s="3"/>
      <c r="V11" s="3"/>
      <c r="W11" s="3"/>
    </row>
    <row r="12" spans="1:23" x14ac:dyDescent="0.25">
      <c r="A12" s="2">
        <v>9.9999999999999995E-7</v>
      </c>
      <c r="B12" s="2">
        <v>3.8000000000000002E-5</v>
      </c>
      <c r="C12" s="2">
        <v>1.4990000000000001E-4</v>
      </c>
      <c r="D12" s="2">
        <v>-4.6210000000000001E-4</v>
      </c>
      <c r="E12" s="2">
        <v>0</v>
      </c>
      <c r="F12" s="2">
        <v>0</v>
      </c>
      <c r="G12" s="2">
        <v>0</v>
      </c>
      <c r="H12" s="2">
        <v>7.0574270999999993E-5</v>
      </c>
      <c r="I12" s="2">
        <v>1.5236974000000001E-5</v>
      </c>
      <c r="J12" s="2">
        <v>-1.9561987000000001E-4</v>
      </c>
      <c r="K12" s="3"/>
      <c r="L12" s="3">
        <f t="shared" si="0"/>
        <v>8.2233282839212288E-2</v>
      </c>
      <c r="M12" s="3"/>
      <c r="N12" s="2">
        <f>IF('Modell einstellen'!$B$1="Voll",H12/0.35,H12/0.35*2)</f>
        <v>2.0164077428571427E-4</v>
      </c>
      <c r="O12" s="2">
        <f>IF('Modell einstellen'!$B$1="Voll",J12/0.35,J12/0.35*2)</f>
        <v>-5.5891391428571438E-4</v>
      </c>
      <c r="P12" s="3">
        <f t="shared" si="1"/>
        <v>0.36077250741450745</v>
      </c>
      <c r="Q12" s="3"/>
      <c r="R12" s="3"/>
      <c r="S12" s="3"/>
      <c r="T12" s="3"/>
      <c r="U12" s="3"/>
      <c r="V12" s="3"/>
      <c r="W12" s="3"/>
    </row>
    <row r="13" spans="1:23" x14ac:dyDescent="0.25">
      <c r="A13" s="2">
        <v>1.0000000000000001E-5</v>
      </c>
      <c r="B13" s="2">
        <v>3.8000000000000002E-5</v>
      </c>
      <c r="C13" s="2">
        <v>1.4990000000000001E-4</v>
      </c>
      <c r="D13" s="2">
        <v>-4.6210000000000001E-4</v>
      </c>
      <c r="E13" s="2">
        <v>0</v>
      </c>
      <c r="F13" s="2">
        <v>0</v>
      </c>
      <c r="G13" s="2">
        <v>0</v>
      </c>
      <c r="H13" s="2">
        <v>7.0574272000000003E-5</v>
      </c>
      <c r="I13" s="2">
        <v>1.5236974000000001E-5</v>
      </c>
      <c r="J13" s="2">
        <v>-1.9561987000000001E-4</v>
      </c>
      <c r="K13" s="3"/>
      <c r="L13" s="3">
        <f t="shared" si="0"/>
        <v>8.2233282839212288E-2</v>
      </c>
      <c r="M13" s="3"/>
      <c r="N13" s="2">
        <f>IF('Modell einstellen'!$B$1="Voll",H13/0.35,H13/0.35*2)</f>
        <v>2.0164077714285717E-4</v>
      </c>
      <c r="O13" s="2">
        <f>IF('Modell einstellen'!$B$1="Voll",J13/0.35,J13/0.35*2)</f>
        <v>-5.5891391428571438E-4</v>
      </c>
      <c r="P13" s="3">
        <f t="shared" si="1"/>
        <v>0.3607725125264627</v>
      </c>
      <c r="Q13" s="3"/>
      <c r="R13" s="3"/>
      <c r="S13" s="3"/>
      <c r="T13" s="3"/>
      <c r="U13" s="3"/>
      <c r="V13" s="3"/>
      <c r="W13" s="3"/>
    </row>
    <row r="14" spans="1:23" x14ac:dyDescent="0.25">
      <c r="A14" s="2">
        <v>1E-4</v>
      </c>
      <c r="B14" s="2">
        <v>3.8000000000000002E-5</v>
      </c>
      <c r="C14" s="2">
        <v>1.4990000000000001E-4</v>
      </c>
      <c r="D14" s="2">
        <v>-4.6210000000000001E-4</v>
      </c>
      <c r="E14" s="2">
        <v>0</v>
      </c>
      <c r="F14" s="2">
        <v>0</v>
      </c>
      <c r="G14" s="2">
        <v>0</v>
      </c>
      <c r="H14" s="2">
        <v>7.0574272999999999E-5</v>
      </c>
      <c r="I14" s="2">
        <v>1.5236974000000001E-5</v>
      </c>
      <c r="J14" s="2">
        <v>-1.9561987999999999E-4</v>
      </c>
      <c r="K14" s="3"/>
      <c r="L14" s="3">
        <f t="shared" si="0"/>
        <v>8.2233282839212288E-2</v>
      </c>
      <c r="M14" s="3"/>
      <c r="N14" s="2">
        <f>IF('Modell einstellen'!$B$1="Voll",H14/0.35,H14/0.35*2)</f>
        <v>2.0164078E-4</v>
      </c>
      <c r="O14" s="2">
        <f>IF('Modell einstellen'!$B$1="Voll",J14/0.35,J14/0.35*2)</f>
        <v>-5.5891394285714291E-4</v>
      </c>
      <c r="P14" s="3">
        <f t="shared" si="1"/>
        <v>0.36077249919588944</v>
      </c>
      <c r="Q14" s="3"/>
      <c r="R14" s="3"/>
      <c r="S14" s="3"/>
      <c r="T14" s="3"/>
      <c r="U14" s="3"/>
      <c r="V14" s="3"/>
      <c r="W14" s="3"/>
    </row>
    <row r="15" spans="1:23" x14ac:dyDescent="0.25">
      <c r="A15" s="2">
        <v>1E-3</v>
      </c>
      <c r="B15" s="2">
        <v>3.8000000000000002E-5</v>
      </c>
      <c r="C15" s="2">
        <v>1.4990000000000001E-4</v>
      </c>
      <c r="D15" s="2">
        <v>-4.6210000000000001E-4</v>
      </c>
      <c r="E15" s="2">
        <v>0</v>
      </c>
      <c r="F15" s="2">
        <v>0</v>
      </c>
      <c r="G15" s="2">
        <v>0</v>
      </c>
      <c r="H15" s="2">
        <v>7.0574283999999996E-5</v>
      </c>
      <c r="I15" s="2">
        <v>1.5236975999999999E-5</v>
      </c>
      <c r="J15" s="2">
        <v>-1.9561989000000001E-4</v>
      </c>
      <c r="K15" s="3"/>
      <c r="L15" s="3">
        <f t="shared" si="0"/>
        <v>8.2233282839212288E-2</v>
      </c>
      <c r="M15" s="3"/>
      <c r="N15" s="2">
        <f>IF('Modell einstellen'!$B$1="Voll",H15/0.35,H15/0.35*2)</f>
        <v>2.0164081142857142E-4</v>
      </c>
      <c r="O15" s="2">
        <f>IF('Modell einstellen'!$B$1="Voll",J15/0.35,J15/0.35*2)</f>
        <v>-5.5891397142857145E-4</v>
      </c>
      <c r="P15" s="3">
        <f t="shared" si="1"/>
        <v>0.36077253698486383</v>
      </c>
      <c r="Q15" s="3"/>
      <c r="R15" s="3"/>
      <c r="S15" s="3"/>
      <c r="T15" s="3"/>
      <c r="U15" s="3"/>
      <c r="V15" s="3"/>
      <c r="W15" s="3"/>
    </row>
    <row r="16" spans="1:23" x14ac:dyDescent="0.25">
      <c r="A16" s="2">
        <v>0.01</v>
      </c>
      <c r="B16" s="2">
        <v>3.8000000000000002E-5</v>
      </c>
      <c r="C16" s="2">
        <v>1.4990000000000001E-4</v>
      </c>
      <c r="D16" s="2">
        <v>-4.6210000000000001E-4</v>
      </c>
      <c r="E16" s="2">
        <v>0</v>
      </c>
      <c r="F16" s="2">
        <v>0</v>
      </c>
      <c r="G16" s="2">
        <v>0</v>
      </c>
      <c r="H16" s="2">
        <v>7.0574398999999997E-5</v>
      </c>
      <c r="I16" s="2">
        <v>1.5236988E-5</v>
      </c>
      <c r="J16" s="2">
        <v>-1.9562006999999999E-4</v>
      </c>
      <c r="K16" s="3"/>
      <c r="L16" s="3">
        <f t="shared" si="0"/>
        <v>8.2233282839212288E-2</v>
      </c>
      <c r="M16" s="3"/>
      <c r="N16" s="2">
        <f>IF('Modell einstellen'!$B$1="Voll",H16/0.35,H16/0.35*2)</f>
        <v>2.0164114E-4</v>
      </c>
      <c r="O16" s="2">
        <f>IF('Modell einstellen'!$B$1="Voll",J16/0.35,J16/0.35*2)</f>
        <v>-5.5891448571428572E-4</v>
      </c>
      <c r="P16" s="3">
        <f t="shared" si="1"/>
        <v>0.36077279289389885</v>
      </c>
      <c r="Q16" s="3"/>
      <c r="R16" s="3"/>
      <c r="S16" s="3"/>
      <c r="T16" s="3"/>
      <c r="U16" s="3"/>
      <c r="V16" s="3"/>
      <c r="W16" s="3"/>
    </row>
    <row r="17" spans="1:23" x14ac:dyDescent="0.25">
      <c r="A17" s="2">
        <v>0.1</v>
      </c>
      <c r="B17" s="2">
        <v>3.8000000000000002E-5</v>
      </c>
      <c r="C17" s="2">
        <v>1.4990000000000001E-4</v>
      </c>
      <c r="D17" s="2">
        <v>-4.6210000000000001E-4</v>
      </c>
      <c r="E17" s="2">
        <v>0</v>
      </c>
      <c r="F17" s="2">
        <v>0</v>
      </c>
      <c r="G17" s="2">
        <v>0</v>
      </c>
      <c r="H17" s="2">
        <v>7.0575541999999997E-5</v>
      </c>
      <c r="I17" s="2">
        <v>1.5237115E-5</v>
      </c>
      <c r="J17" s="2">
        <v>-1.9562188E-4</v>
      </c>
      <c r="K17" s="3"/>
      <c r="L17" s="3">
        <f t="shared" si="0"/>
        <v>8.2233282839212288E-2</v>
      </c>
      <c r="M17" s="3"/>
      <c r="N17" s="2">
        <f>IF('Modell einstellen'!$B$1="Voll",H17/0.35,H17/0.35*2)</f>
        <v>2.0164440571428572E-4</v>
      </c>
      <c r="O17" s="2">
        <f>IF('Modell einstellen'!$B$1="Voll",J17/0.35,J17/0.35*2)</f>
        <v>-5.5891965714285712E-4</v>
      </c>
      <c r="P17" s="3">
        <f t="shared" si="1"/>
        <v>0.36077529773254408</v>
      </c>
      <c r="Q17" s="3"/>
      <c r="R17" s="3"/>
      <c r="S17" s="3"/>
      <c r="T17" s="3"/>
      <c r="U17" s="3"/>
      <c r="V17" s="3"/>
      <c r="W17" s="3"/>
    </row>
    <row r="18" spans="1:23" x14ac:dyDescent="0.25">
      <c r="A18" s="2">
        <v>1</v>
      </c>
      <c r="B18" s="2">
        <v>3.799E-5</v>
      </c>
      <c r="C18" s="2">
        <v>1.4990000000000001E-4</v>
      </c>
      <c r="D18" s="2">
        <v>-4.6220000000000001E-4</v>
      </c>
      <c r="E18" s="2">
        <v>0</v>
      </c>
      <c r="F18" s="2">
        <v>0</v>
      </c>
      <c r="G18" s="2">
        <v>0</v>
      </c>
      <c r="H18" s="2">
        <v>7.0586947999999998E-5</v>
      </c>
      <c r="I18" s="2">
        <v>1.523838E-5</v>
      </c>
      <c r="J18" s="2">
        <v>-1.9563986000000001E-4</v>
      </c>
      <c r="K18" s="3"/>
      <c r="L18" s="3">
        <f t="shared" si="0"/>
        <v>8.2193855473820854E-2</v>
      </c>
      <c r="M18" s="3"/>
      <c r="N18" s="2">
        <f>IF('Modell einstellen'!$B$1="Voll",H18/0.35,H18/0.35*2)</f>
        <v>2.0167699428571428E-4</v>
      </c>
      <c r="O18" s="2">
        <f>IF('Modell einstellen'!$B$1="Voll",J18/0.35,J18/0.35*2)</f>
        <v>-5.5897102857142866E-4</v>
      </c>
      <c r="P18" s="3">
        <f t="shared" si="1"/>
        <v>0.36080044220027546</v>
      </c>
      <c r="Q18" s="3"/>
      <c r="R18" s="3"/>
      <c r="S18" s="3"/>
      <c r="T18" s="3"/>
      <c r="U18" s="3"/>
      <c r="V18" s="3"/>
      <c r="W18" s="3"/>
    </row>
    <row r="19" spans="1:23" x14ac:dyDescent="0.25">
      <c r="A19" s="2">
        <v>10</v>
      </c>
      <c r="B19" s="2">
        <v>3.786E-5</v>
      </c>
      <c r="C19" s="2">
        <v>1.4999999999999999E-4</v>
      </c>
      <c r="D19" s="2">
        <v>-4.6220000000000001E-4</v>
      </c>
      <c r="E19" s="2">
        <v>0</v>
      </c>
      <c r="F19" s="2">
        <v>0</v>
      </c>
      <c r="G19" s="2">
        <v>0</v>
      </c>
      <c r="H19" s="2">
        <v>7.0698582999999994E-5</v>
      </c>
      <c r="I19" s="2">
        <v>1.5250763E-5</v>
      </c>
      <c r="J19" s="2">
        <v>-1.9581582000000001E-4</v>
      </c>
      <c r="K19" s="3"/>
      <c r="L19" s="3">
        <f t="shared" si="0"/>
        <v>8.1912591951536134E-2</v>
      </c>
      <c r="M19" s="3"/>
      <c r="N19" s="2">
        <f>IF('Modell einstellen'!$B$1="Voll",H19/0.35,H19/0.35*2)</f>
        <v>2.0199595142857143E-4</v>
      </c>
      <c r="O19" s="2">
        <f>IF('Modell einstellen'!$B$1="Voll",J19/0.35,J19/0.35*2)</f>
        <v>-5.5947377142857152E-4</v>
      </c>
      <c r="P19" s="3">
        <f t="shared" si="1"/>
        <v>0.36104632914746104</v>
      </c>
      <c r="Q19" s="3"/>
      <c r="R19" s="3"/>
      <c r="S19" s="3"/>
      <c r="T19" s="3"/>
      <c r="U19" s="3"/>
      <c r="V19" s="3"/>
      <c r="W19" s="3"/>
    </row>
    <row r="20" spans="1:23" x14ac:dyDescent="0.25">
      <c r="A20" s="2">
        <v>100</v>
      </c>
      <c r="B20" s="2">
        <v>3.6820000000000003E-5</v>
      </c>
      <c r="C20" s="2">
        <v>1.5090000000000001E-4</v>
      </c>
      <c r="D20" s="2">
        <v>-4.6289999999999998E-4</v>
      </c>
      <c r="E20" s="2">
        <v>0</v>
      </c>
      <c r="F20" s="2">
        <v>0</v>
      </c>
      <c r="G20" s="2">
        <v>0</v>
      </c>
      <c r="H20" s="2">
        <v>7.1605658000000003E-5</v>
      </c>
      <c r="I20" s="2">
        <v>1.5351167999999999E-5</v>
      </c>
      <c r="J20" s="2">
        <v>-1.9724388999999999E-4</v>
      </c>
      <c r="K20" s="3"/>
      <c r="L20" s="3">
        <f t="shared" si="0"/>
        <v>7.9542017714409177E-2</v>
      </c>
      <c r="M20" s="3"/>
      <c r="N20" s="2">
        <f>IF('Modell einstellen'!$B$1="Voll",H20/0.35,H20/0.35*2)</f>
        <v>2.0458759428571431E-4</v>
      </c>
      <c r="O20" s="2">
        <f>IF('Modell einstellen'!$B$1="Voll",J20/0.35,J20/0.35*2)</f>
        <v>-5.6355397142857143E-4</v>
      </c>
      <c r="P20" s="3">
        <f t="shared" si="1"/>
        <v>0.36303105764137994</v>
      </c>
      <c r="Q20" s="3"/>
      <c r="R20" s="3"/>
      <c r="S20" s="3"/>
      <c r="T20" s="3"/>
      <c r="U20" s="3"/>
      <c r="V20" s="3"/>
      <c r="W20" s="3"/>
    </row>
    <row r="21" spans="1:23" x14ac:dyDescent="0.25">
      <c r="A21" s="2">
        <v>1000</v>
      </c>
      <c r="B21" s="2">
        <v>3.4539999999999998E-5</v>
      </c>
      <c r="C21" s="2">
        <v>1.5359999999999999E-4</v>
      </c>
      <c r="D21" s="2">
        <v>-4.6529999999999998E-4</v>
      </c>
      <c r="E21" s="2">
        <v>0</v>
      </c>
      <c r="F21" s="2">
        <v>0</v>
      </c>
      <c r="G21" s="2">
        <v>0</v>
      </c>
      <c r="H21" s="2">
        <v>7.4043992000000003E-5</v>
      </c>
      <c r="I21" s="2">
        <v>1.5652086E-5</v>
      </c>
      <c r="J21" s="2">
        <v>-2.011618E-4</v>
      </c>
      <c r="K21" s="3"/>
      <c r="L21" s="3">
        <f t="shared" si="0"/>
        <v>7.4231678486997632E-2</v>
      </c>
      <c r="M21" s="3"/>
      <c r="N21" s="2">
        <f>IF('Modell einstellen'!$B$1="Voll",H21/0.35,H21/0.35*2)</f>
        <v>2.1155426285714287E-4</v>
      </c>
      <c r="O21" s="2">
        <f>IF('Modell einstellen'!$B$1="Voll",J21/0.35,J21/0.35*2)</f>
        <v>-5.7474800000000003E-4</v>
      </c>
      <c r="P21" s="3">
        <f t="shared" si="1"/>
        <v>0.36808177298075478</v>
      </c>
      <c r="Q21" s="3"/>
      <c r="R21" s="3"/>
      <c r="S21" s="3"/>
      <c r="T21" s="3"/>
      <c r="U21" s="3"/>
      <c r="V21" s="3"/>
      <c r="W21" s="3"/>
    </row>
    <row r="22" spans="1:23" x14ac:dyDescent="0.25">
      <c r="A22" s="2">
        <v>10000</v>
      </c>
      <c r="B22" s="2">
        <v>3.222E-5</v>
      </c>
      <c r="C22" s="2">
        <v>1.5689999999999999E-4</v>
      </c>
      <c r="D22" s="2">
        <v>-4.682E-4</v>
      </c>
      <c r="E22" s="2">
        <v>0</v>
      </c>
      <c r="F22" s="2">
        <v>0</v>
      </c>
      <c r="G22" s="2">
        <v>0</v>
      </c>
      <c r="H22" s="2">
        <v>7.6758646000000007E-5</v>
      </c>
      <c r="I22" s="2">
        <v>1.6019991000000001E-5</v>
      </c>
      <c r="J22" s="2">
        <v>-2.0558295E-4</v>
      </c>
      <c r="K22" s="3"/>
      <c r="L22" s="3">
        <f t="shared" si="0"/>
        <v>6.8816744980777445E-2</v>
      </c>
      <c r="M22" s="3"/>
      <c r="N22" s="2">
        <f>IF('Modell einstellen'!$B$1="Voll",H22/0.35,H22/0.35*2)</f>
        <v>2.1931041714285719E-4</v>
      </c>
      <c r="O22" s="2">
        <f>IF('Modell einstellen'!$B$1="Voll",J22/0.35,J22/0.35*2)</f>
        <v>-5.8737985714285719E-4</v>
      </c>
      <c r="P22" s="3">
        <f t="shared" si="1"/>
        <v>0.37337068078846036</v>
      </c>
      <c r="Q22" s="3"/>
      <c r="R22" s="3"/>
      <c r="S22" s="3"/>
      <c r="T22" s="3"/>
      <c r="U22" s="3"/>
      <c r="V22" s="3"/>
      <c r="W22" s="3"/>
    </row>
    <row r="23" spans="1:23" x14ac:dyDescent="0.25">
      <c r="A23" s="2">
        <v>100000</v>
      </c>
      <c r="B23" s="2">
        <v>3.3930000000000002E-5</v>
      </c>
      <c r="C23" s="2">
        <v>1.652E-4</v>
      </c>
      <c r="D23" s="2">
        <v>-4.7919999999999999E-4</v>
      </c>
      <c r="E23" s="2">
        <v>0</v>
      </c>
      <c r="F23" s="2">
        <v>0</v>
      </c>
      <c r="G23" s="2">
        <v>0</v>
      </c>
      <c r="H23" s="2">
        <v>8.0551175999999996E-5</v>
      </c>
      <c r="I23" s="2">
        <v>1.6932984000000002E-5</v>
      </c>
      <c r="J23" s="2">
        <v>-2.1281621E-4</v>
      </c>
      <c r="K23" s="3"/>
      <c r="L23" s="3">
        <f t="shared" si="0"/>
        <v>7.0805509181969956E-2</v>
      </c>
      <c r="M23" s="3"/>
      <c r="N23" s="2">
        <f>IF('Modell einstellen'!$B$1="Voll",H23/0.35,H23/0.35*2)</f>
        <v>2.3014621714285714E-4</v>
      </c>
      <c r="O23" s="2">
        <f>IF('Modell einstellen'!$B$1="Voll",J23/0.35,J23/0.35*2)</f>
        <v>-6.0804631428571431E-4</v>
      </c>
      <c r="P23" s="3">
        <f t="shared" si="1"/>
        <v>0.3785011301535724</v>
      </c>
      <c r="Q23" s="3"/>
      <c r="R23" s="3"/>
      <c r="S23" s="3"/>
      <c r="T23" s="3"/>
      <c r="U23" s="3"/>
      <c r="V23" s="3"/>
      <c r="W23" s="3"/>
    </row>
    <row r="24" spans="1:23" x14ac:dyDescent="0.25">
      <c r="A24" s="2">
        <v>1000000</v>
      </c>
      <c r="B24" s="2">
        <v>5.1549999999999999E-5</v>
      </c>
      <c r="C24" s="2">
        <v>1.886E-4</v>
      </c>
      <c r="D24" s="2">
        <v>-5.1730000000000005E-4</v>
      </c>
      <c r="E24" s="2">
        <v>0</v>
      </c>
      <c r="F24" s="2">
        <v>0</v>
      </c>
      <c r="G24" s="2">
        <v>0</v>
      </c>
      <c r="H24" s="2">
        <v>8.6782694999999998E-5</v>
      </c>
      <c r="I24" s="2">
        <v>1.9571083E-5</v>
      </c>
      <c r="J24" s="2">
        <v>-2.2780095000000001E-4</v>
      </c>
      <c r="K24" s="3"/>
      <c r="L24" s="3">
        <f t="shared" si="0"/>
        <v>9.9652039435530623E-2</v>
      </c>
      <c r="M24" s="3"/>
      <c r="N24" s="2">
        <f>IF('Modell einstellen'!$B$1="Voll",H24/0.35,H24/0.35*2)</f>
        <v>2.4795055714285717E-4</v>
      </c>
      <c r="O24" s="2">
        <f>IF('Modell einstellen'!$B$1="Voll",J24/0.35,J24/0.35*2)</f>
        <v>-6.5085985714285718E-4</v>
      </c>
      <c r="P24" s="3">
        <f t="shared" si="1"/>
        <v>0.3809584420082533</v>
      </c>
      <c r="Q24" s="3"/>
      <c r="R24" s="3"/>
      <c r="S24" s="3"/>
      <c r="T24" s="3"/>
      <c r="U24" s="3"/>
      <c r="V24" s="3"/>
      <c r="W24" s="3"/>
    </row>
    <row r="25" spans="1:23" x14ac:dyDescent="0.25">
      <c r="A25" s="2">
        <v>10000000</v>
      </c>
      <c r="B25" s="2">
        <v>8.6429999999999997E-5</v>
      </c>
      <c r="C25" s="2">
        <v>2.2599999999999999E-4</v>
      </c>
      <c r="D25" s="2">
        <v>-5.8290000000000002E-4</v>
      </c>
      <c r="E25" s="2">
        <v>0</v>
      </c>
      <c r="F25" s="2">
        <v>0</v>
      </c>
      <c r="G25" s="2">
        <v>0</v>
      </c>
      <c r="H25" s="2">
        <v>9.5096234999999995E-5</v>
      </c>
      <c r="I25" s="2">
        <v>2.3913036000000001E-5</v>
      </c>
      <c r="J25" s="2">
        <v>-2.5016577000000001E-4</v>
      </c>
      <c r="K25" s="3"/>
      <c r="L25" s="3">
        <f t="shared" si="0"/>
        <v>0.14827586206896551</v>
      </c>
      <c r="M25" s="3"/>
      <c r="N25" s="2">
        <f>IF('Modell einstellen'!$B$1="Voll",H25/0.35,H25/0.35*2)</f>
        <v>2.7170352857142858E-4</v>
      </c>
      <c r="O25" s="2">
        <f>IF('Modell einstellen'!$B$1="Voll",J25/0.35,J25/0.35*2)</f>
        <v>-7.1475934285714299E-4</v>
      </c>
      <c r="P25" s="3">
        <f t="shared" si="1"/>
        <v>0.38013288148894225</v>
      </c>
      <c r="Q25" s="3"/>
      <c r="R25" s="3"/>
      <c r="S25" s="3"/>
      <c r="T25" s="3"/>
      <c r="U25" s="3"/>
      <c r="V25" s="3"/>
      <c r="W25" s="3"/>
    </row>
    <row r="26" spans="1:23" x14ac:dyDescent="0.25">
      <c r="A26" s="2">
        <v>100000000</v>
      </c>
      <c r="B26" s="2">
        <v>1.2239999999999999E-4</v>
      </c>
      <c r="C26" s="2">
        <v>2.6810000000000001E-4</v>
      </c>
      <c r="D26" s="2">
        <v>-6.5490000000000004E-4</v>
      </c>
      <c r="E26" s="2">
        <v>0</v>
      </c>
      <c r="F26" s="2">
        <v>0</v>
      </c>
      <c r="G26" s="2">
        <v>0</v>
      </c>
      <c r="H26" s="2">
        <v>1.0505922E-4</v>
      </c>
      <c r="I26" s="2">
        <v>2.8941176000000001E-5</v>
      </c>
      <c r="J26" s="2">
        <v>-2.7677771000000001E-4</v>
      </c>
      <c r="K26" s="3"/>
      <c r="L26" s="3">
        <f t="shared" si="0"/>
        <v>0.18689876316994958</v>
      </c>
      <c r="M26" s="3"/>
      <c r="N26" s="2">
        <f>IF('Modell einstellen'!$B$1="Voll",H26/0.35,H26/0.35*2)</f>
        <v>3.0016919999999999E-4</v>
      </c>
      <c r="O26" s="2">
        <f>IF('Modell einstellen'!$B$1="Voll",J26/0.35,J26/0.35*2)</f>
        <v>-7.9079345714285724E-4</v>
      </c>
      <c r="P26" s="3">
        <f t="shared" si="1"/>
        <v>0.37957977179592961</v>
      </c>
      <c r="Q26" s="3"/>
      <c r="R26" s="3"/>
      <c r="S26" s="3"/>
      <c r="T26" s="3"/>
      <c r="U26" s="3"/>
      <c r="V26" s="3"/>
      <c r="W26" s="3"/>
    </row>
    <row r="27" spans="1:23" x14ac:dyDescent="0.25">
      <c r="A27" s="2">
        <v>1000000000</v>
      </c>
      <c r="B27" s="2">
        <v>1.5320000000000001E-4</v>
      </c>
      <c r="C27" s="2">
        <v>3.0880000000000002E-4</v>
      </c>
      <c r="D27" s="2">
        <v>-7.224E-4</v>
      </c>
      <c r="E27" s="2">
        <v>0</v>
      </c>
      <c r="F27" s="2">
        <v>0</v>
      </c>
      <c r="G27" s="2">
        <v>0</v>
      </c>
      <c r="H27" s="2">
        <v>1.1559988E-4</v>
      </c>
      <c r="I27" s="2">
        <v>3.3982442000000003E-5</v>
      </c>
      <c r="J27" s="2">
        <v>-3.0446972999999998E-4</v>
      </c>
      <c r="K27" s="3"/>
      <c r="L27" s="3">
        <f t="shared" si="0"/>
        <v>0.21207087486157256</v>
      </c>
      <c r="M27" s="3"/>
      <c r="N27" s="2">
        <f>IF('Modell einstellen'!$B$1="Voll",H27/0.35,H27/0.35*2)</f>
        <v>3.3028537142857143E-4</v>
      </c>
      <c r="O27" s="2">
        <f>IF('Modell einstellen'!$B$1="Voll",J27/0.35,J27/0.35*2)</f>
        <v>-8.6991351428571432E-4</v>
      </c>
      <c r="P27" s="3">
        <f t="shared" si="1"/>
        <v>0.37967610113491412</v>
      </c>
      <c r="Q27" s="3"/>
      <c r="R27" s="3"/>
      <c r="S27" s="3"/>
      <c r="T27" s="3"/>
      <c r="U27" s="3"/>
      <c r="V27" s="3"/>
      <c r="W27" s="3"/>
    </row>
    <row r="28" spans="1:23" x14ac:dyDescent="0.25">
      <c r="A28" s="2">
        <v>10000000000</v>
      </c>
      <c r="B28" s="2">
        <v>1.771E-4</v>
      </c>
      <c r="C28" s="2">
        <v>3.4620000000000001E-4</v>
      </c>
      <c r="D28" s="2">
        <v>-7.8149999999999997E-4</v>
      </c>
      <c r="E28" s="2">
        <v>0</v>
      </c>
      <c r="F28" s="2">
        <v>0</v>
      </c>
      <c r="G28" s="2">
        <v>0</v>
      </c>
      <c r="H28" s="2">
        <v>1.2604727000000001E-4</v>
      </c>
      <c r="I28" s="2">
        <v>3.8786586000000001E-5</v>
      </c>
      <c r="J28" s="2">
        <v>-3.3164030000000001E-4</v>
      </c>
      <c r="K28" s="3"/>
      <c r="L28" s="3">
        <f t="shared" si="0"/>
        <v>0.22661548304542548</v>
      </c>
      <c r="M28" s="3"/>
      <c r="N28" s="2">
        <f>IF('Modell einstellen'!$B$1="Voll",H28/0.35,H28/0.35*2)</f>
        <v>3.6013505714285721E-4</v>
      </c>
      <c r="O28" s="2">
        <f>IF('Modell einstellen'!$B$1="Voll",J28/0.35,J28/0.35*2)</f>
        <v>-9.4754371428571436E-4</v>
      </c>
      <c r="P28" s="3">
        <f t="shared" si="1"/>
        <v>0.38007223488822078</v>
      </c>
      <c r="Q28" s="3"/>
      <c r="R28" s="3"/>
      <c r="S28" s="3"/>
      <c r="T28" s="3"/>
      <c r="U28" s="3"/>
      <c r="V28" s="3"/>
      <c r="W28" s="3"/>
    </row>
    <row r="29" spans="1:23" x14ac:dyDescent="0.25">
      <c r="A29" s="2">
        <v>100000000000</v>
      </c>
      <c r="B29" s="2">
        <v>1.9340000000000001E-4</v>
      </c>
      <c r="C29" s="2">
        <v>3.834E-4</v>
      </c>
      <c r="D29" s="2">
        <v>-8.3469999999999996E-4</v>
      </c>
      <c r="E29" s="2">
        <v>0</v>
      </c>
      <c r="F29" s="2">
        <v>0</v>
      </c>
      <c r="G29" s="2">
        <v>0</v>
      </c>
      <c r="H29" s="2">
        <v>1.3764195E-4</v>
      </c>
      <c r="I29" s="2">
        <v>4.3714880000000003E-5</v>
      </c>
      <c r="J29" s="2">
        <v>-3.6085418000000001E-4</v>
      </c>
      <c r="K29" s="3"/>
      <c r="L29" s="3">
        <f t="shared" si="0"/>
        <v>0.23170001198035226</v>
      </c>
      <c r="M29" s="3"/>
      <c r="N29" s="2">
        <f>IF('Modell einstellen'!$B$1="Voll",H29/0.35,H29/0.35*2)</f>
        <v>3.9326271428571431E-4</v>
      </c>
      <c r="O29" s="2">
        <f>IF('Modell einstellen'!$B$1="Voll",J29/0.35,J29/0.35*2)</f>
        <v>-1.0310119428571429E-3</v>
      </c>
      <c r="P29" s="3">
        <f t="shared" si="1"/>
        <v>0.38143371375107804</v>
      </c>
      <c r="Q29" s="3"/>
      <c r="R29" s="3"/>
      <c r="S29" s="3"/>
      <c r="T29" s="3"/>
      <c r="U29" s="3"/>
      <c r="V29" s="3"/>
      <c r="W29" s="3"/>
    </row>
    <row r="30" spans="1:23" x14ac:dyDescent="0.25">
      <c r="A30" s="2">
        <v>1000000000000</v>
      </c>
      <c r="B30" s="2">
        <v>2.018E-4</v>
      </c>
      <c r="C30" s="2">
        <v>4.2240000000000002E-4</v>
      </c>
      <c r="D30" s="2">
        <v>-8.8340000000000001E-4</v>
      </c>
      <c r="E30" s="2">
        <v>0</v>
      </c>
      <c r="F30" s="2">
        <v>0</v>
      </c>
      <c r="G30" s="2">
        <v>0</v>
      </c>
      <c r="H30" s="2">
        <v>1.5079275E-4</v>
      </c>
      <c r="I30" s="2">
        <v>4.9058842E-5</v>
      </c>
      <c r="J30" s="2">
        <v>-3.9345111000000001E-4</v>
      </c>
      <c r="K30" s="3"/>
      <c r="L30" s="3">
        <f t="shared" si="0"/>
        <v>0.22843558976681005</v>
      </c>
      <c r="M30" s="3"/>
      <c r="N30" s="2">
        <f>IF('Modell einstellen'!$B$1="Voll",H30/0.35,H30/0.35*2)</f>
        <v>4.308364285714286E-4</v>
      </c>
      <c r="O30" s="2">
        <f>IF('Modell einstellen'!$B$1="Voll",J30/0.35,J30/0.35*2)</f>
        <v>-1.1241460285714286E-3</v>
      </c>
      <c r="P30" s="3">
        <f t="shared" si="1"/>
        <v>0.3832566389252276</v>
      </c>
      <c r="Q30" s="3"/>
      <c r="R30" s="3"/>
      <c r="S30" s="3"/>
      <c r="T30" s="3"/>
      <c r="U30" s="3"/>
      <c r="V30" s="3"/>
      <c r="W30" s="3"/>
    </row>
    <row r="31" spans="1:23" x14ac:dyDescent="0.25">
      <c r="A31" s="2">
        <v>10000000000000</v>
      </c>
      <c r="B31" s="2">
        <v>1.9689999999999999E-4</v>
      </c>
      <c r="C31" s="2">
        <v>4.7429999999999998E-4</v>
      </c>
      <c r="D31" s="2">
        <v>-9.3380000000000004E-4</v>
      </c>
      <c r="E31" s="2">
        <v>0</v>
      </c>
      <c r="F31" s="2">
        <v>0</v>
      </c>
      <c r="G31" s="2">
        <v>0</v>
      </c>
      <c r="H31" s="2">
        <v>1.7001620000000001E-4</v>
      </c>
      <c r="I31" s="2">
        <v>5.6363604000000001E-5</v>
      </c>
      <c r="J31" s="2">
        <v>-4.3969864000000002E-4</v>
      </c>
      <c r="K31" s="3"/>
      <c r="L31" s="3">
        <f t="shared" si="0"/>
        <v>0.21085885628614262</v>
      </c>
      <c r="M31" s="3"/>
      <c r="N31" s="2">
        <f>IF('Modell einstellen'!$B$1="Voll",H31/0.35,H31/0.35*2)</f>
        <v>4.8576057142857146E-4</v>
      </c>
      <c r="O31" s="2">
        <f>IF('Modell einstellen'!$B$1="Voll",J31/0.35,J31/0.35*2)</f>
        <v>-1.2562818285714286E-3</v>
      </c>
      <c r="P31" s="3">
        <f t="shared" si="1"/>
        <v>0.38666528511436832</v>
      </c>
      <c r="Q31" s="3"/>
      <c r="R31" s="3"/>
      <c r="S31" s="3"/>
      <c r="T31" s="3"/>
      <c r="U31" s="3"/>
      <c r="V31" s="3"/>
      <c r="W31" s="3"/>
    </row>
    <row r="32" spans="1:23" x14ac:dyDescent="0.25">
      <c r="A32" s="2">
        <v>100000000000000</v>
      </c>
      <c r="B32" s="2">
        <v>1.6589999999999999E-4</v>
      </c>
      <c r="C32" s="2">
        <v>5.5060000000000005E-4</v>
      </c>
      <c r="D32" s="2">
        <v>-9.8489999999999992E-4</v>
      </c>
      <c r="E32" s="2">
        <v>0</v>
      </c>
      <c r="F32" s="2">
        <v>0</v>
      </c>
      <c r="G32" s="2">
        <v>0</v>
      </c>
      <c r="H32" s="2">
        <v>2.0030227E-4</v>
      </c>
      <c r="I32" s="2">
        <v>6.7535314999999998E-5</v>
      </c>
      <c r="J32" s="2">
        <v>-5.1150855999999997E-4</v>
      </c>
      <c r="K32" s="3"/>
      <c r="L32" s="3">
        <f t="shared" si="0"/>
        <v>0.16844349680170576</v>
      </c>
      <c r="M32" s="3"/>
      <c r="N32" s="2">
        <f>IF('Modell einstellen'!$B$1="Voll",H32/0.35,H32/0.35*2)</f>
        <v>5.7229220000000003E-4</v>
      </c>
      <c r="O32" s="2">
        <f>IF('Modell einstellen'!$B$1="Voll",J32/0.35,J32/0.35*2)</f>
        <v>-1.4614530285714286E-3</v>
      </c>
      <c r="P32" s="3">
        <f t="shared" si="1"/>
        <v>0.39159123749561497</v>
      </c>
      <c r="Q32" s="3"/>
      <c r="R32" s="3"/>
      <c r="S32" s="3"/>
      <c r="T32" s="3"/>
      <c r="U32" s="3"/>
      <c r="V32" s="3"/>
      <c r="W32" s="3"/>
    </row>
    <row r="33" spans="1:23" x14ac:dyDescent="0.25">
      <c r="A33" s="2">
        <v>1000000000000000</v>
      </c>
      <c r="B33" s="2">
        <v>7.6569999999999994E-5</v>
      </c>
      <c r="C33" s="2">
        <v>6.7009999999999997E-4</v>
      </c>
      <c r="D33" s="2">
        <v>-1.023E-3</v>
      </c>
      <c r="E33" s="2">
        <v>0</v>
      </c>
      <c r="F33" s="2">
        <v>0</v>
      </c>
      <c r="G33" s="2">
        <v>0</v>
      </c>
      <c r="H33" s="2">
        <v>2.5166108999999999E-4</v>
      </c>
      <c r="I33" s="2">
        <v>8.5884998000000003E-5</v>
      </c>
      <c r="J33" s="2">
        <v>-6.3097520000000005E-4</v>
      </c>
      <c r="K33" s="3"/>
      <c r="L33" s="3">
        <f t="shared" si="0"/>
        <v>7.4848484848484845E-2</v>
      </c>
      <c r="M33" s="3"/>
      <c r="N33" s="2">
        <f>IF('Modell einstellen'!$B$1="Voll",H33/0.35,H33/0.35*2)</f>
        <v>7.1903168571428578E-4</v>
      </c>
      <c r="O33" s="2">
        <f>IF('Modell einstellen'!$B$1="Voll",J33/0.35,J33/0.35*2)</f>
        <v>-1.802786285714286E-3</v>
      </c>
      <c r="P33" s="3">
        <f t="shared" si="1"/>
        <v>0.39884466140666064</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4.0639999999999997E-5</v>
      </c>
      <c r="C3" s="3">
        <v>1.518E-4</v>
      </c>
      <c r="D3" s="3">
        <v>-4.661E-4</v>
      </c>
      <c r="E3" s="3">
        <v>0</v>
      </c>
      <c r="F3" s="3">
        <v>0</v>
      </c>
      <c r="G3" s="3">
        <v>0</v>
      </c>
      <c r="H3" s="3">
        <v>7.0840387000000005E-5</v>
      </c>
      <c r="I3" s="3">
        <v>1.5443532E-5</v>
      </c>
      <c r="J3" s="3">
        <v>-1.9659138E-4</v>
      </c>
      <c r="L3" s="3">
        <f>-B3/D3</f>
        <v>8.7191589787599222E-2</v>
      </c>
      <c r="M3" s="3"/>
      <c r="N3" s="2">
        <f>IF('Modell einstellen'!$B$1="Voll",H3/0.35,H3/0.35*2)</f>
        <v>2.0240110571428574E-4</v>
      </c>
      <c r="O3" s="2">
        <f>IF('Modell einstellen'!$B$1="Voll",J3/0.35,J3/0.35*2)</f>
        <v>-5.6168965714285715E-4</v>
      </c>
      <c r="P3" s="3">
        <f>-N3/O3</f>
        <v>0.36034330192910802</v>
      </c>
    </row>
    <row r="4" spans="1:16" x14ac:dyDescent="0.25">
      <c r="A4" s="3">
        <v>1E-14</v>
      </c>
      <c r="B4" s="3">
        <v>4.0639999999999997E-5</v>
      </c>
      <c r="C4" s="3">
        <v>1.518E-4</v>
      </c>
      <c r="D4" s="3">
        <v>-4.661E-4</v>
      </c>
      <c r="E4" s="3">
        <v>0</v>
      </c>
      <c r="F4" s="3">
        <v>0</v>
      </c>
      <c r="G4" s="3">
        <v>0</v>
      </c>
      <c r="H4" s="3">
        <v>7.0841911E-5</v>
      </c>
      <c r="I4" s="3">
        <v>1.5444687999999999E-5</v>
      </c>
      <c r="J4" s="3">
        <v>-1.9658762000000001E-4</v>
      </c>
      <c r="L4" s="3">
        <f t="shared" ref="L4:L33" si="0">-B4/D4</f>
        <v>8.7191589787599222E-2</v>
      </c>
      <c r="M4" s="3"/>
      <c r="N4" s="2">
        <f>IF('Modell einstellen'!$B$1="Voll",H4/0.35,H4/0.35*2)</f>
        <v>2.0240546000000002E-4</v>
      </c>
      <c r="O4" s="2">
        <f>IF('Modell einstellen'!$B$1="Voll",J4/0.35,J4/0.35*2)</f>
        <v>-5.6167891428571433E-4</v>
      </c>
      <c r="P4" s="3">
        <f t="shared" ref="P4:P33" si="1">-N4/O4</f>
        <v>0.36035794624300349</v>
      </c>
    </row>
    <row r="5" spans="1:16" x14ac:dyDescent="0.25">
      <c r="A5" s="3">
        <v>1E-13</v>
      </c>
      <c r="B5" s="3">
        <v>4.0639999999999997E-5</v>
      </c>
      <c r="C5" s="3">
        <v>1.518E-4</v>
      </c>
      <c r="D5" s="3">
        <v>-4.661E-4</v>
      </c>
      <c r="E5" s="3">
        <v>0</v>
      </c>
      <c r="F5" s="3">
        <v>0</v>
      </c>
      <c r="G5" s="3">
        <v>0</v>
      </c>
      <c r="H5" s="3">
        <v>7.0842286000000006E-5</v>
      </c>
      <c r="I5" s="3">
        <v>1.5444859999999999E-5</v>
      </c>
      <c r="J5" s="3">
        <v>-1.9658862E-4</v>
      </c>
      <c r="L5" s="3">
        <f t="shared" si="0"/>
        <v>8.7191589787599222E-2</v>
      </c>
      <c r="M5" s="3"/>
      <c r="N5" s="2">
        <f>IF('Modell einstellen'!$B$1="Voll",H5/0.35,H5/0.35*2)</f>
        <v>2.0240653142857145E-4</v>
      </c>
      <c r="O5" s="2">
        <f>IF('Modell einstellen'!$B$1="Voll",J5/0.35,J5/0.35*2)</f>
        <v>-5.6168177142857149E-4</v>
      </c>
      <c r="P5" s="3">
        <f t="shared" si="1"/>
        <v>0.36035802072368178</v>
      </c>
    </row>
    <row r="6" spans="1:16" x14ac:dyDescent="0.25">
      <c r="A6" s="3">
        <v>9.9999999999999998E-13</v>
      </c>
      <c r="B6" s="3">
        <v>4.0639999999999997E-5</v>
      </c>
      <c r="C6" s="3">
        <v>1.518E-4</v>
      </c>
      <c r="D6" s="3">
        <v>-4.661E-4</v>
      </c>
      <c r="E6" s="3">
        <v>0</v>
      </c>
      <c r="F6" s="3">
        <v>0</v>
      </c>
      <c r="G6" s="3">
        <v>0</v>
      </c>
      <c r="H6" s="3">
        <v>7.0842402999999999E-5</v>
      </c>
      <c r="I6" s="3">
        <v>1.5444908E-5</v>
      </c>
      <c r="J6" s="3">
        <v>-1.9658891E-4</v>
      </c>
      <c r="L6" s="3">
        <f t="shared" si="0"/>
        <v>8.7191589787599222E-2</v>
      </c>
      <c r="M6" s="3"/>
      <c r="N6" s="2">
        <f>IF('Modell einstellen'!$B$1="Voll",H6/0.35,H6/0.35*2)</f>
        <v>2.0240686571428571E-4</v>
      </c>
      <c r="O6" s="2">
        <f>IF('Modell einstellen'!$B$1="Voll",J6/0.35,J6/0.35*2)</f>
        <v>-5.6168260000000008E-4</v>
      </c>
      <c r="P6" s="3">
        <f t="shared" si="1"/>
        <v>0.36035808428868132</v>
      </c>
    </row>
    <row r="7" spans="1:16" x14ac:dyDescent="0.25">
      <c r="A7" s="3">
        <v>9.9999999999999994E-12</v>
      </c>
      <c r="B7" s="3">
        <v>4.0639999999999997E-5</v>
      </c>
      <c r="C7" s="3">
        <v>1.518E-4</v>
      </c>
      <c r="D7" s="3">
        <v>-4.661E-4</v>
      </c>
      <c r="E7" s="3">
        <v>0</v>
      </c>
      <c r="F7" s="3">
        <v>0</v>
      </c>
      <c r="G7" s="3">
        <v>0</v>
      </c>
      <c r="H7" s="3">
        <v>7.0842440999999997E-5</v>
      </c>
      <c r="I7" s="3">
        <v>1.5444921999999999E-5</v>
      </c>
      <c r="J7" s="3">
        <v>-1.96589E-4</v>
      </c>
      <c r="L7" s="3">
        <f t="shared" si="0"/>
        <v>8.7191589787599222E-2</v>
      </c>
      <c r="M7" s="3"/>
      <c r="N7" s="2">
        <f>IF('Modell einstellen'!$B$1="Voll",H7/0.35,H7/0.35*2)</f>
        <v>2.0240697428571428E-4</v>
      </c>
      <c r="O7" s="2">
        <f>IF('Modell einstellen'!$B$1="Voll",J7/0.35,J7/0.35*2)</f>
        <v>-5.6168285714285721E-4</v>
      </c>
      <c r="P7" s="3">
        <f t="shared" si="1"/>
        <v>0.36035811261057327</v>
      </c>
    </row>
    <row r="8" spans="1:16" x14ac:dyDescent="0.25">
      <c r="A8" s="3">
        <v>1E-10</v>
      </c>
      <c r="B8" s="3">
        <v>4.0639999999999997E-5</v>
      </c>
      <c r="C8" s="3">
        <v>1.518E-4</v>
      </c>
      <c r="D8" s="3">
        <v>-4.661E-4</v>
      </c>
      <c r="E8" s="3">
        <v>0</v>
      </c>
      <c r="F8" s="3">
        <v>0</v>
      </c>
      <c r="G8" s="3">
        <v>0</v>
      </c>
      <c r="H8" s="3">
        <v>7.0842453999999999E-5</v>
      </c>
      <c r="I8" s="3">
        <v>1.5444926E-5</v>
      </c>
      <c r="J8" s="3">
        <v>-1.9658903000000001E-4</v>
      </c>
      <c r="L8" s="3">
        <f t="shared" si="0"/>
        <v>8.7191589787599222E-2</v>
      </c>
      <c r="M8" s="3"/>
      <c r="N8" s="2">
        <f>IF('Modell einstellen'!$B$1="Voll",H8/0.35,H8/0.35*2)</f>
        <v>2.0240701142857143E-4</v>
      </c>
      <c r="O8" s="2">
        <f>IF('Modell einstellen'!$B$1="Voll",J8/0.35,J8/0.35*2)</f>
        <v>-5.6168294285714293E-4</v>
      </c>
      <c r="P8" s="3">
        <f t="shared" si="1"/>
        <v>0.36035812374678278</v>
      </c>
    </row>
    <row r="9" spans="1:16" x14ac:dyDescent="0.25">
      <c r="A9" s="3">
        <v>1.0000000000000001E-9</v>
      </c>
      <c r="B9" s="3">
        <v>4.0639999999999997E-5</v>
      </c>
      <c r="C9" s="3">
        <v>1.518E-4</v>
      </c>
      <c r="D9" s="3">
        <v>-4.661E-4</v>
      </c>
      <c r="E9" s="3">
        <v>0</v>
      </c>
      <c r="F9" s="3">
        <v>0</v>
      </c>
      <c r="G9" s="3">
        <v>0</v>
      </c>
      <c r="H9" s="3">
        <v>7.0842457999999997E-5</v>
      </c>
      <c r="I9" s="3">
        <v>1.5444927999999998E-5</v>
      </c>
      <c r="J9" s="3">
        <v>-1.9658904E-4</v>
      </c>
      <c r="L9" s="3">
        <f t="shared" si="0"/>
        <v>8.7191589787599222E-2</v>
      </c>
      <c r="M9" s="3"/>
      <c r="N9" s="2">
        <f>IF('Modell einstellen'!$B$1="Voll",H9/0.35,H9/0.35*2)</f>
        <v>2.0240702285714287E-4</v>
      </c>
      <c r="O9" s="2">
        <f>IF('Modell einstellen'!$B$1="Voll",J9/0.35,J9/0.35*2)</f>
        <v>-5.6168297142857146E-4</v>
      </c>
      <c r="P9" s="3">
        <f t="shared" si="1"/>
        <v>0.36035812576326737</v>
      </c>
    </row>
    <row r="10" spans="1:16" x14ac:dyDescent="0.25">
      <c r="A10" s="3">
        <v>1E-8</v>
      </c>
      <c r="B10" s="3">
        <v>4.0639999999999997E-5</v>
      </c>
      <c r="C10" s="3">
        <v>1.518E-4</v>
      </c>
      <c r="D10" s="3">
        <v>-4.661E-4</v>
      </c>
      <c r="E10" s="3">
        <v>0</v>
      </c>
      <c r="F10" s="3">
        <v>0</v>
      </c>
      <c r="G10" s="3">
        <v>0</v>
      </c>
      <c r="H10" s="3">
        <v>7.0842460000000002E-5</v>
      </c>
      <c r="I10" s="3">
        <v>1.5444927999999998E-5</v>
      </c>
      <c r="J10" s="3">
        <v>-1.9658904E-4</v>
      </c>
      <c r="L10" s="3">
        <f t="shared" si="0"/>
        <v>8.7191589787599222E-2</v>
      </c>
      <c r="M10" s="3"/>
      <c r="N10" s="2">
        <f>IF('Modell einstellen'!$B$1="Voll",H10/0.35,H10/0.35*2)</f>
        <v>2.0240702857142858E-4</v>
      </c>
      <c r="O10" s="2">
        <f>IF('Modell einstellen'!$B$1="Voll",J10/0.35,J10/0.35*2)</f>
        <v>-5.6168297142857146E-4</v>
      </c>
      <c r="P10" s="3">
        <f t="shared" si="1"/>
        <v>0.36035813593677452</v>
      </c>
    </row>
    <row r="11" spans="1:16" x14ac:dyDescent="0.25">
      <c r="A11" s="3">
        <v>9.9999999999999995E-8</v>
      </c>
      <c r="B11" s="3">
        <v>4.0639999999999997E-5</v>
      </c>
      <c r="C11" s="3">
        <v>1.518E-4</v>
      </c>
      <c r="D11" s="3">
        <v>-4.661E-4</v>
      </c>
      <c r="E11" s="3">
        <v>0</v>
      </c>
      <c r="F11" s="3">
        <v>0</v>
      </c>
      <c r="G11" s="3">
        <v>0</v>
      </c>
      <c r="H11" s="3">
        <v>7.0842460000000002E-5</v>
      </c>
      <c r="I11" s="3">
        <v>1.5444927999999998E-5</v>
      </c>
      <c r="J11" s="3">
        <v>-1.9658904999999999E-4</v>
      </c>
      <c r="L11" s="3">
        <f t="shared" si="0"/>
        <v>8.7191589787599222E-2</v>
      </c>
      <c r="M11" s="3"/>
      <c r="N11" s="2">
        <f>IF('Modell einstellen'!$B$1="Voll",H11/0.35,H11/0.35*2)</f>
        <v>2.0240702857142858E-4</v>
      </c>
      <c r="O11" s="2">
        <f>IF('Modell einstellen'!$B$1="Voll",J11/0.35,J11/0.35*2)</f>
        <v>-5.61683E-4</v>
      </c>
      <c r="P11" s="3">
        <f t="shared" si="1"/>
        <v>0.36035811760624514</v>
      </c>
    </row>
    <row r="12" spans="1:16" x14ac:dyDescent="0.25">
      <c r="A12" s="3">
        <v>9.9999999999999995E-7</v>
      </c>
      <c r="B12" s="3">
        <v>4.0639999999999997E-5</v>
      </c>
      <c r="C12" s="3">
        <v>1.518E-4</v>
      </c>
      <c r="D12" s="3">
        <v>-4.661E-4</v>
      </c>
      <c r="E12" s="3">
        <v>0</v>
      </c>
      <c r="F12" s="3">
        <v>0</v>
      </c>
      <c r="G12" s="3">
        <v>0</v>
      </c>
      <c r="H12" s="3">
        <v>7.0842460999999998E-5</v>
      </c>
      <c r="I12" s="3">
        <v>1.5444927999999998E-5</v>
      </c>
      <c r="J12" s="3">
        <v>-1.9658904999999999E-4</v>
      </c>
      <c r="L12" s="3">
        <f t="shared" si="0"/>
        <v>8.7191589787599222E-2</v>
      </c>
      <c r="M12" s="3"/>
      <c r="N12" s="2">
        <f>IF('Modell einstellen'!$B$1="Voll",H12/0.35,H12/0.35*2)</f>
        <v>2.0240703142857143E-4</v>
      </c>
      <c r="O12" s="2">
        <f>IF('Modell einstellen'!$B$1="Voll",J12/0.35,J12/0.35*2)</f>
        <v>-5.61683E-4</v>
      </c>
      <c r="P12" s="3">
        <f t="shared" si="1"/>
        <v>0.36035812269299844</v>
      </c>
    </row>
    <row r="13" spans="1:16" x14ac:dyDescent="0.25">
      <c r="A13" s="3">
        <v>1.0000000000000001E-5</v>
      </c>
      <c r="B13" s="3">
        <v>4.0639999999999997E-5</v>
      </c>
      <c r="C13" s="3">
        <v>1.518E-4</v>
      </c>
      <c r="D13" s="3">
        <v>-4.661E-4</v>
      </c>
      <c r="E13" s="3">
        <v>0</v>
      </c>
      <c r="F13" s="3">
        <v>0</v>
      </c>
      <c r="G13" s="3">
        <v>0</v>
      </c>
      <c r="H13" s="3">
        <v>7.0842464999999996E-5</v>
      </c>
      <c r="I13" s="3">
        <v>1.5444929000000001E-5</v>
      </c>
      <c r="J13" s="3">
        <v>-1.9658904999999999E-4</v>
      </c>
      <c r="L13" s="3">
        <f t="shared" si="0"/>
        <v>8.7191589787599222E-2</v>
      </c>
      <c r="M13" s="3"/>
      <c r="N13" s="2">
        <f>IF('Modell einstellen'!$B$1="Voll",H13/0.35,H13/0.35*2)</f>
        <v>2.0240704285714284E-4</v>
      </c>
      <c r="O13" s="2">
        <f>IF('Modell einstellen'!$B$1="Voll",J13/0.35,J13/0.35*2)</f>
        <v>-5.61683E-4</v>
      </c>
      <c r="P13" s="3">
        <f t="shared" si="1"/>
        <v>0.36035814304001162</v>
      </c>
    </row>
    <row r="14" spans="1:16" x14ac:dyDescent="0.25">
      <c r="A14" s="3">
        <v>1E-4</v>
      </c>
      <c r="B14" s="3">
        <v>4.0639999999999997E-5</v>
      </c>
      <c r="C14" s="3">
        <v>1.518E-4</v>
      </c>
      <c r="D14" s="3">
        <v>-4.661E-4</v>
      </c>
      <c r="E14" s="3">
        <v>0</v>
      </c>
      <c r="F14" s="3">
        <v>0</v>
      </c>
      <c r="G14" s="3">
        <v>0</v>
      </c>
      <c r="H14" s="3">
        <v>7.0842507000000004E-5</v>
      </c>
      <c r="I14" s="3">
        <v>1.5444934000000001E-5</v>
      </c>
      <c r="J14" s="3">
        <v>-1.9658912000000001E-4</v>
      </c>
      <c r="L14" s="3">
        <f t="shared" si="0"/>
        <v>8.7191589787599222E-2</v>
      </c>
      <c r="M14" s="3"/>
      <c r="N14" s="2">
        <f>IF('Modell einstellen'!$B$1="Voll",H14/0.35,H14/0.35*2)</f>
        <v>2.0240716285714288E-4</v>
      </c>
      <c r="O14" s="2">
        <f>IF('Modell einstellen'!$B$1="Voll",J14/0.35,J14/0.35*2)</f>
        <v>-5.6168320000000006E-4</v>
      </c>
      <c r="P14" s="3">
        <f t="shared" si="1"/>
        <v>0.36035822836991183</v>
      </c>
    </row>
    <row r="15" spans="1:16" x14ac:dyDescent="0.25">
      <c r="A15" s="3">
        <v>1E-3</v>
      </c>
      <c r="B15" s="3">
        <v>4.0639999999999997E-5</v>
      </c>
      <c r="C15" s="3">
        <v>1.518E-4</v>
      </c>
      <c r="D15" s="3">
        <v>-4.661E-4</v>
      </c>
      <c r="E15" s="3">
        <v>0</v>
      </c>
      <c r="F15" s="3">
        <v>0</v>
      </c>
      <c r="G15" s="3">
        <v>0</v>
      </c>
      <c r="H15" s="3">
        <v>7.0842922999999995E-5</v>
      </c>
      <c r="I15" s="3">
        <v>1.5444981E-5</v>
      </c>
      <c r="J15" s="3">
        <v>-1.9658978E-4</v>
      </c>
      <c r="L15" s="3">
        <f t="shared" si="0"/>
        <v>8.7191589787599222E-2</v>
      </c>
      <c r="M15" s="3"/>
      <c r="N15" s="2">
        <f>IF('Modell einstellen'!$B$1="Voll",H15/0.35,H15/0.35*2)</f>
        <v>2.0240835142857141E-4</v>
      </c>
      <c r="O15" s="2">
        <f>IF('Modell einstellen'!$B$1="Voll",J15/0.35,J15/0.35*2)</f>
        <v>-5.6168508571428574E-4</v>
      </c>
      <c r="P15" s="3">
        <f t="shared" si="1"/>
        <v>0.36035913464067154</v>
      </c>
    </row>
    <row r="16" spans="1:16" x14ac:dyDescent="0.25">
      <c r="A16" s="3">
        <v>0.01</v>
      </c>
      <c r="B16" s="3">
        <v>4.0639999999999997E-5</v>
      </c>
      <c r="C16" s="3">
        <v>1.518E-4</v>
      </c>
      <c r="D16" s="3">
        <v>-4.661E-4</v>
      </c>
      <c r="E16" s="3">
        <v>0</v>
      </c>
      <c r="F16" s="3">
        <v>0</v>
      </c>
      <c r="G16" s="3">
        <v>0</v>
      </c>
      <c r="H16" s="3">
        <v>7.0847080999999996E-5</v>
      </c>
      <c r="I16" s="3">
        <v>1.5445455999999999E-5</v>
      </c>
      <c r="J16" s="3">
        <v>-1.9659637000000001E-4</v>
      </c>
      <c r="L16" s="3">
        <f t="shared" si="0"/>
        <v>8.7191589787599222E-2</v>
      </c>
      <c r="M16" s="3"/>
      <c r="N16" s="2">
        <f>IF('Modell einstellen'!$B$1="Voll",H16/0.35,H16/0.35*2)</f>
        <v>2.0242023142857143E-4</v>
      </c>
      <c r="O16" s="2">
        <f>IF('Modell einstellen'!$B$1="Voll",J16/0.35,J16/0.35*2)</f>
        <v>-5.617039142857144E-4</v>
      </c>
      <c r="P16" s="3">
        <f t="shared" si="1"/>
        <v>0.36036820517082785</v>
      </c>
    </row>
    <row r="17" spans="1:16" x14ac:dyDescent="0.25">
      <c r="A17" s="3">
        <v>0.1</v>
      </c>
      <c r="B17" s="3">
        <v>4.0590000000000003E-5</v>
      </c>
      <c r="C17" s="3">
        <v>1.518E-4</v>
      </c>
      <c r="D17" s="3">
        <v>-4.661E-4</v>
      </c>
      <c r="E17" s="3">
        <v>0</v>
      </c>
      <c r="F17" s="3">
        <v>0</v>
      </c>
      <c r="G17" s="3">
        <v>0</v>
      </c>
      <c r="H17" s="3">
        <v>7.0888340999999996E-5</v>
      </c>
      <c r="I17" s="3">
        <v>1.5450167E-5</v>
      </c>
      <c r="J17" s="3">
        <v>-1.9666181000000001E-4</v>
      </c>
      <c r="L17" s="3">
        <f t="shared" si="0"/>
        <v>8.708431667024244E-2</v>
      </c>
      <c r="M17" s="3"/>
      <c r="N17" s="2">
        <f>IF('Modell einstellen'!$B$1="Voll",H17/0.35,H17/0.35*2)</f>
        <v>2.0253811714285715E-4</v>
      </c>
      <c r="O17" s="2">
        <f>IF('Modell einstellen'!$B$1="Voll",J17/0.35,J17/0.35*2)</f>
        <v>-5.6189088571428577E-4</v>
      </c>
      <c r="P17" s="3">
        <f t="shared" si="1"/>
        <v>0.36045809300748322</v>
      </c>
    </row>
    <row r="18" spans="1:16" x14ac:dyDescent="0.25">
      <c r="A18" s="3">
        <v>1</v>
      </c>
      <c r="B18" s="3">
        <v>4.0160000000000002E-5</v>
      </c>
      <c r="C18" s="3">
        <v>1.5220000000000001E-4</v>
      </c>
      <c r="D18" s="3">
        <v>-4.6640000000000001E-4</v>
      </c>
      <c r="E18" s="3">
        <v>0</v>
      </c>
      <c r="F18" s="3">
        <v>0</v>
      </c>
      <c r="G18" s="3">
        <v>0</v>
      </c>
      <c r="H18" s="3">
        <v>7.1270091999999999E-5</v>
      </c>
      <c r="I18" s="3">
        <v>1.5493726000000002E-5</v>
      </c>
      <c r="J18" s="3">
        <v>-1.9726695999999999E-4</v>
      </c>
      <c r="L18" s="3">
        <f t="shared" si="0"/>
        <v>8.6106346483704979E-2</v>
      </c>
      <c r="M18" s="3"/>
      <c r="N18" s="2">
        <f>IF('Modell einstellen'!$B$1="Voll",H18/0.35,H18/0.35*2)</f>
        <v>2.0362883428571429E-4</v>
      </c>
      <c r="O18" s="2">
        <f>IF('Modell einstellen'!$B$1="Voll",J18/0.35,J18/0.35*2)</f>
        <v>-5.6361988571428567E-4</v>
      </c>
      <c r="P18" s="3">
        <f t="shared" si="1"/>
        <v>0.36128752630445571</v>
      </c>
    </row>
    <row r="19" spans="1:16" x14ac:dyDescent="0.25">
      <c r="A19" s="3">
        <v>10</v>
      </c>
      <c r="B19" s="3">
        <v>3.8269999999999998E-5</v>
      </c>
      <c r="C19" s="3">
        <v>1.5449999999999999E-4</v>
      </c>
      <c r="D19" s="3">
        <v>-4.685E-4</v>
      </c>
      <c r="E19" s="3">
        <v>0</v>
      </c>
      <c r="F19" s="3">
        <v>0</v>
      </c>
      <c r="G19" s="3">
        <v>0</v>
      </c>
      <c r="H19" s="3">
        <v>7.3294918999999994E-5</v>
      </c>
      <c r="I19" s="3">
        <v>1.5746303E-5</v>
      </c>
      <c r="J19" s="3">
        <v>-2.0053561000000001E-4</v>
      </c>
      <c r="L19" s="3">
        <f t="shared" si="0"/>
        <v>8.1686232657417285E-2</v>
      </c>
      <c r="M19" s="3"/>
      <c r="N19" s="2">
        <f>IF('Modell einstellen'!$B$1="Voll",H19/0.35,H19/0.35*2)</f>
        <v>2.0941405428571427E-4</v>
      </c>
      <c r="O19" s="2">
        <f>IF('Modell einstellen'!$B$1="Voll",J19/0.35,J19/0.35*2)</f>
        <v>-5.7295888571428581E-4</v>
      </c>
      <c r="P19" s="3">
        <f t="shared" si="1"/>
        <v>0.36549577902897135</v>
      </c>
    </row>
    <row r="20" spans="1:16" x14ac:dyDescent="0.25">
      <c r="A20" s="3">
        <v>100</v>
      </c>
      <c r="B20" s="3">
        <v>3.5939999999999998E-5</v>
      </c>
      <c r="C20" s="3">
        <v>1.574E-4</v>
      </c>
      <c r="D20" s="3">
        <v>-4.7100000000000001E-4</v>
      </c>
      <c r="E20" s="3">
        <v>0</v>
      </c>
      <c r="F20" s="3">
        <v>0</v>
      </c>
      <c r="G20" s="3">
        <v>0</v>
      </c>
      <c r="H20" s="3">
        <v>7.5819420000000003E-5</v>
      </c>
      <c r="I20" s="3">
        <v>1.6075078000000001E-5</v>
      </c>
      <c r="J20" s="3">
        <v>-2.0462267000000001E-4</v>
      </c>
      <c r="L20" s="3">
        <f t="shared" si="0"/>
        <v>7.6305732484076433E-2</v>
      </c>
      <c r="M20" s="3"/>
      <c r="N20" s="2">
        <f>IF('Modell einstellen'!$B$1="Voll",H20/0.35,H20/0.35*2)</f>
        <v>2.1662691428571431E-4</v>
      </c>
      <c r="O20" s="2">
        <f>IF('Modell einstellen'!$B$1="Voll",J20/0.35,J20/0.35*2)</f>
        <v>-5.846362000000001E-4</v>
      </c>
      <c r="P20" s="3">
        <f t="shared" si="1"/>
        <v>0.37053284467454167</v>
      </c>
    </row>
    <row r="21" spans="1:16" x14ac:dyDescent="0.25">
      <c r="A21" s="3">
        <v>1000</v>
      </c>
      <c r="B21" s="3">
        <v>3.5809999999999998E-5</v>
      </c>
      <c r="C21" s="3">
        <v>1.6330000000000001E-4</v>
      </c>
      <c r="D21" s="3">
        <v>-4.7820000000000002E-4</v>
      </c>
      <c r="E21" s="3">
        <v>0</v>
      </c>
      <c r="F21" s="3">
        <v>0</v>
      </c>
      <c r="G21" s="3">
        <v>0</v>
      </c>
      <c r="H21" s="3">
        <v>7.9053747999999996E-5</v>
      </c>
      <c r="I21" s="3">
        <v>1.6731359000000002E-5</v>
      </c>
      <c r="J21" s="3">
        <v>-2.1046916999999999E-4</v>
      </c>
      <c r="L21" s="3">
        <f t="shared" si="0"/>
        <v>7.4884985361773307E-2</v>
      </c>
      <c r="M21" s="3"/>
      <c r="N21" s="2">
        <f>IF('Modell einstellen'!$B$1="Voll",H21/0.35,H21/0.35*2)</f>
        <v>2.2586785142857143E-4</v>
      </c>
      <c r="O21" s="2">
        <f>IF('Modell einstellen'!$B$1="Voll",J21/0.35,J21/0.35*2)</f>
        <v>-6.0134048571428575E-4</v>
      </c>
      <c r="P21" s="3">
        <f t="shared" si="1"/>
        <v>0.37560725877333956</v>
      </c>
    </row>
    <row r="22" spans="1:16" x14ac:dyDescent="0.25">
      <c r="A22" s="3">
        <v>10000</v>
      </c>
      <c r="B22" s="3">
        <v>4.8189999999999998E-5</v>
      </c>
      <c r="C22" s="3">
        <v>1.816E-4</v>
      </c>
      <c r="D22" s="3">
        <v>-5.0719999999999997E-4</v>
      </c>
      <c r="E22" s="3">
        <v>0</v>
      </c>
      <c r="F22" s="3">
        <v>0</v>
      </c>
      <c r="G22" s="3">
        <v>0</v>
      </c>
      <c r="H22" s="3">
        <v>8.4400398E-5</v>
      </c>
      <c r="I22" s="3">
        <v>1.8779892000000001E-5</v>
      </c>
      <c r="J22" s="3">
        <v>-2.2272618000000001E-4</v>
      </c>
      <c r="L22" s="3">
        <f t="shared" si="0"/>
        <v>9.5011829652996843E-2</v>
      </c>
      <c r="M22" s="3"/>
      <c r="N22" s="2">
        <f>IF('Modell einstellen'!$B$1="Voll",H22/0.35,H22/0.35*2)</f>
        <v>2.4114399428571431E-4</v>
      </c>
      <c r="O22" s="2">
        <f>IF('Modell einstellen'!$B$1="Voll",J22/0.35,J22/0.35*2)</f>
        <v>-6.3636051428571437E-4</v>
      </c>
      <c r="P22" s="3">
        <f t="shared" si="1"/>
        <v>0.378942421586901</v>
      </c>
    </row>
    <row r="23" spans="1:16" x14ac:dyDescent="0.25">
      <c r="A23" s="3">
        <v>100000</v>
      </c>
      <c r="B23" s="3">
        <v>7.9670000000000001E-5</v>
      </c>
      <c r="C23" s="3">
        <v>2.1560000000000001E-4</v>
      </c>
      <c r="D23" s="3">
        <v>-5.666E-4</v>
      </c>
      <c r="E23" s="3">
        <v>0</v>
      </c>
      <c r="F23" s="3">
        <v>0</v>
      </c>
      <c r="G23" s="3">
        <v>0</v>
      </c>
      <c r="H23" s="3">
        <v>9.2072274999999994E-5</v>
      </c>
      <c r="I23" s="3">
        <v>2.2693725000000001E-5</v>
      </c>
      <c r="J23" s="3">
        <v>-2.4303783E-4</v>
      </c>
      <c r="L23" s="3">
        <f t="shared" si="0"/>
        <v>0.14061066007765619</v>
      </c>
      <c r="M23" s="3"/>
      <c r="N23" s="2">
        <f>IF('Modell einstellen'!$B$1="Voll",H23/0.35,H23/0.35*2)</f>
        <v>2.6306364285714286E-4</v>
      </c>
      <c r="O23" s="2">
        <f>IF('Modell einstellen'!$B$1="Voll",J23/0.35,J23/0.35*2)</f>
        <v>-6.9439380000000002E-4</v>
      </c>
      <c r="P23" s="3">
        <f t="shared" si="1"/>
        <v>0.37883927370483844</v>
      </c>
    </row>
    <row r="24" spans="1:16" x14ac:dyDescent="0.25">
      <c r="A24" s="3">
        <v>1000000</v>
      </c>
      <c r="B24" s="3">
        <v>1.16E-4</v>
      </c>
      <c r="C24" s="3">
        <v>2.5599999999999999E-4</v>
      </c>
      <c r="D24" s="3">
        <v>-6.3670000000000003E-4</v>
      </c>
      <c r="E24" s="3">
        <v>0</v>
      </c>
      <c r="F24" s="3">
        <v>0</v>
      </c>
      <c r="G24" s="3">
        <v>0</v>
      </c>
      <c r="H24" s="3">
        <v>1.0125284E-4</v>
      </c>
      <c r="I24" s="3">
        <v>2.7471817999999999E-5</v>
      </c>
      <c r="J24" s="3">
        <v>-2.678499E-4</v>
      </c>
      <c r="L24" s="3">
        <f t="shared" si="0"/>
        <v>0.18218941416679754</v>
      </c>
      <c r="M24" s="3"/>
      <c r="N24" s="2">
        <f>IF('Modell einstellen'!$B$1="Voll",H24/0.35,H24/0.35*2)</f>
        <v>2.8929382857142857E-4</v>
      </c>
      <c r="O24" s="2">
        <f>IF('Modell einstellen'!$B$1="Voll",J24/0.35,J24/0.35*2)</f>
        <v>-7.6528542857142866E-4</v>
      </c>
      <c r="P24" s="3">
        <f t="shared" si="1"/>
        <v>0.37802082434975703</v>
      </c>
    </row>
    <row r="25" spans="1:16" x14ac:dyDescent="0.25">
      <c r="A25" s="3">
        <v>10000000</v>
      </c>
      <c r="B25" s="3">
        <v>1.482E-4</v>
      </c>
      <c r="C25" s="3">
        <v>2.9609999999999999E-4</v>
      </c>
      <c r="D25" s="3">
        <v>-7.0450000000000005E-4</v>
      </c>
      <c r="E25" s="3">
        <v>0</v>
      </c>
      <c r="F25" s="3">
        <v>0</v>
      </c>
      <c r="G25" s="3">
        <v>0</v>
      </c>
      <c r="H25" s="3">
        <v>1.1137828E-4</v>
      </c>
      <c r="I25" s="3">
        <v>3.2387022E-5</v>
      </c>
      <c r="J25" s="3">
        <v>-2.9454394999999997E-4</v>
      </c>
      <c r="L25" s="3">
        <f t="shared" si="0"/>
        <v>0.21036195883605391</v>
      </c>
      <c r="M25" s="3"/>
      <c r="N25" s="2">
        <f>IF('Modell einstellen'!$B$1="Voll",H25/0.35,H25/0.35*2)</f>
        <v>3.1822365714285713E-4</v>
      </c>
      <c r="O25" s="2">
        <f>IF('Modell einstellen'!$B$1="Voll",J25/0.35,J25/0.35*2)</f>
        <v>-8.4155414285714278E-4</v>
      </c>
      <c r="P25" s="3">
        <f t="shared" si="1"/>
        <v>0.37813806734105387</v>
      </c>
    </row>
    <row r="26" spans="1:16" x14ac:dyDescent="0.25">
      <c r="A26" s="3">
        <v>100000000</v>
      </c>
      <c r="B26" s="3">
        <v>1.739E-4</v>
      </c>
      <c r="C26" s="3">
        <v>3.3340000000000003E-4</v>
      </c>
      <c r="D26" s="3">
        <v>-7.649E-4</v>
      </c>
      <c r="E26" s="3">
        <v>0</v>
      </c>
      <c r="F26" s="3">
        <v>0</v>
      </c>
      <c r="G26" s="3">
        <v>0</v>
      </c>
      <c r="H26" s="3">
        <v>1.2162253000000001E-4</v>
      </c>
      <c r="I26" s="3">
        <v>3.7121218000000002E-5</v>
      </c>
      <c r="J26" s="3">
        <v>-3.2116217999999998E-4</v>
      </c>
      <c r="L26" s="3">
        <f t="shared" si="0"/>
        <v>0.22734998038959342</v>
      </c>
      <c r="M26" s="3"/>
      <c r="N26" s="2">
        <f>IF('Modell einstellen'!$B$1="Voll",H26/0.35,H26/0.35*2)</f>
        <v>3.4749294285714292E-4</v>
      </c>
      <c r="O26" s="2">
        <f>IF('Modell einstellen'!$B$1="Voll",J26/0.35,J26/0.35*2)</f>
        <v>-9.1760622857142856E-4</v>
      </c>
      <c r="P26" s="3">
        <f t="shared" si="1"/>
        <v>0.37869505680899296</v>
      </c>
    </row>
    <row r="27" spans="1:16" x14ac:dyDescent="0.25">
      <c r="A27" s="3">
        <v>1000000000</v>
      </c>
      <c r="B27" s="3">
        <v>1.9239999999999999E-4</v>
      </c>
      <c r="C27" s="3">
        <v>3.6900000000000002E-4</v>
      </c>
      <c r="D27" s="3">
        <v>-8.1820000000000005E-4</v>
      </c>
      <c r="E27" s="3">
        <v>0</v>
      </c>
      <c r="F27" s="3">
        <v>0</v>
      </c>
      <c r="G27" s="3">
        <v>0</v>
      </c>
      <c r="H27" s="3">
        <v>1.3237888999999999E-4</v>
      </c>
      <c r="I27" s="3">
        <v>4.1795149999999999E-5</v>
      </c>
      <c r="J27" s="3">
        <v>-3.4849375E-4</v>
      </c>
      <c r="L27" s="3">
        <f t="shared" si="0"/>
        <v>0.2351503299926668</v>
      </c>
      <c r="M27" s="3"/>
      <c r="N27" s="2">
        <f>IF('Modell einstellen'!$B$1="Voll",H27/0.35,H27/0.35*2)</f>
        <v>3.7822540000000002E-4</v>
      </c>
      <c r="O27" s="2">
        <f>IF('Modell einstellen'!$B$1="Voll",J27/0.35,J27/0.35*2)</f>
        <v>-9.9569642857142869E-4</v>
      </c>
      <c r="P27" s="3">
        <f t="shared" si="1"/>
        <v>0.37986015531125017</v>
      </c>
    </row>
    <row r="28" spans="1:16" x14ac:dyDescent="0.25">
      <c r="A28" s="3">
        <v>10000000000</v>
      </c>
      <c r="B28" s="3">
        <v>2.0340000000000001E-4</v>
      </c>
      <c r="C28" s="3">
        <v>4.059E-4</v>
      </c>
      <c r="D28" s="3">
        <v>-8.6700000000000004E-4</v>
      </c>
      <c r="E28" s="3">
        <v>0</v>
      </c>
      <c r="F28" s="3">
        <v>0</v>
      </c>
      <c r="G28" s="3">
        <v>0</v>
      </c>
      <c r="H28" s="3">
        <v>1.4451937999999999E-4</v>
      </c>
      <c r="I28" s="3">
        <v>4.6781912E-5</v>
      </c>
      <c r="J28" s="3">
        <v>-3.7869610999999997E-4</v>
      </c>
      <c r="L28" s="3">
        <f t="shared" si="0"/>
        <v>0.23460207612456749</v>
      </c>
      <c r="M28" s="3"/>
      <c r="N28" s="2">
        <f>IF('Modell einstellen'!$B$1="Voll",H28/0.35,H28/0.35*2)</f>
        <v>4.1291251428571425E-4</v>
      </c>
      <c r="O28" s="2">
        <f>IF('Modell einstellen'!$B$1="Voll",J28/0.35,J28/0.35*2)</f>
        <v>-1.0819888857142856E-3</v>
      </c>
      <c r="P28" s="3">
        <f t="shared" si="1"/>
        <v>0.38162361900152603</v>
      </c>
    </row>
    <row r="29" spans="1:16" x14ac:dyDescent="0.25">
      <c r="A29" s="3">
        <v>100000000000</v>
      </c>
      <c r="B29" s="3">
        <v>2.0489999999999999E-4</v>
      </c>
      <c r="C29" s="3">
        <v>4.4959999999999998E-4</v>
      </c>
      <c r="D29" s="3">
        <v>-9.1469999999999995E-4</v>
      </c>
      <c r="E29" s="3">
        <v>0</v>
      </c>
      <c r="F29" s="3">
        <v>0</v>
      </c>
      <c r="G29" s="3">
        <v>0</v>
      </c>
      <c r="H29" s="3">
        <v>1.6011431999999999E-4</v>
      </c>
      <c r="I29" s="3">
        <v>5.2865356999999999E-5</v>
      </c>
      <c r="J29" s="3">
        <v>-4.1667959000000001E-4</v>
      </c>
      <c r="L29" s="3">
        <f t="shared" si="0"/>
        <v>0.22400787143325682</v>
      </c>
      <c r="M29" s="3"/>
      <c r="N29" s="2">
        <f>IF('Modell einstellen'!$B$1="Voll",H29/0.35,H29/0.35*2)</f>
        <v>4.5746948571428569E-4</v>
      </c>
      <c r="O29" s="2">
        <f>IF('Modell einstellen'!$B$1="Voll",J29/0.35,J29/0.35*2)</f>
        <v>-1.1905131142857144E-3</v>
      </c>
      <c r="P29" s="3">
        <f t="shared" si="1"/>
        <v>0.38426244971585954</v>
      </c>
    </row>
    <row r="30" spans="1:16" x14ac:dyDescent="0.25">
      <c r="A30" s="3">
        <v>1000000000000</v>
      </c>
      <c r="B30" s="3">
        <v>1.874E-4</v>
      </c>
      <c r="C30" s="3">
        <v>5.1309999999999995E-4</v>
      </c>
      <c r="D30" s="3">
        <v>-9.655E-4</v>
      </c>
      <c r="E30" s="3">
        <v>0</v>
      </c>
      <c r="F30" s="3">
        <v>0</v>
      </c>
      <c r="G30" s="3">
        <v>0</v>
      </c>
      <c r="H30" s="3">
        <v>1.8452810999999999E-4</v>
      </c>
      <c r="I30" s="3">
        <v>6.1983619999999995E-5</v>
      </c>
      <c r="J30" s="3">
        <v>-4.7496307E-4</v>
      </c>
      <c r="L30" s="3">
        <f t="shared" si="0"/>
        <v>0.19409632314862765</v>
      </c>
      <c r="M30" s="3"/>
      <c r="N30" s="2">
        <f>IF('Modell einstellen'!$B$1="Voll",H30/0.35,H30/0.35*2)</f>
        <v>5.2722317142857137E-4</v>
      </c>
      <c r="O30" s="2">
        <f>IF('Modell einstellen'!$B$1="Voll",J30/0.35,J30/0.35*2)</f>
        <v>-1.357037342857143E-3</v>
      </c>
      <c r="P30" s="3">
        <f t="shared" si="1"/>
        <v>0.38851043724304701</v>
      </c>
    </row>
    <row r="31" spans="1:16" x14ac:dyDescent="0.25">
      <c r="A31" s="3">
        <v>10000000000000</v>
      </c>
      <c r="B31" s="3">
        <v>1.2980000000000001E-4</v>
      </c>
      <c r="C31" s="3">
        <v>6.1039999999999998E-4</v>
      </c>
      <c r="D31" s="3">
        <v>-1.0120000000000001E-3</v>
      </c>
      <c r="E31" s="3">
        <v>0</v>
      </c>
      <c r="F31" s="3">
        <v>0</v>
      </c>
      <c r="G31" s="3">
        <v>0</v>
      </c>
      <c r="H31" s="3">
        <v>2.2475705999999999E-4</v>
      </c>
      <c r="I31" s="3">
        <v>7.6597258999999994E-5</v>
      </c>
      <c r="J31" s="3">
        <v>-5.6949243999999998E-4</v>
      </c>
      <c r="L31" s="3">
        <f t="shared" si="0"/>
        <v>0.1282608695652174</v>
      </c>
      <c r="M31" s="3"/>
      <c r="N31" s="2">
        <f>IF('Modell einstellen'!$B$1="Voll",H31/0.35,H31/0.35*2)</f>
        <v>6.421630285714286E-4</v>
      </c>
      <c r="O31" s="2">
        <f>IF('Modell einstellen'!$B$1="Voll",J31/0.35,J31/0.35*2)</f>
        <v>-1.6271212571428572E-3</v>
      </c>
      <c r="P31" s="3">
        <f t="shared" si="1"/>
        <v>0.39466206083438088</v>
      </c>
    </row>
    <row r="32" spans="1:16" x14ac:dyDescent="0.25">
      <c r="A32" s="3">
        <v>100000000000000</v>
      </c>
      <c r="B32" s="3">
        <v>-3.1359999999999998E-5</v>
      </c>
      <c r="C32" s="3">
        <v>7.7430000000000001E-4</v>
      </c>
      <c r="D32" s="3">
        <v>-1.0250000000000001E-3</v>
      </c>
      <c r="E32" s="3">
        <v>0</v>
      </c>
      <c r="F32" s="3">
        <v>0</v>
      </c>
      <c r="G32" s="3">
        <v>0</v>
      </c>
      <c r="H32" s="3">
        <v>2.9923858999999998E-4</v>
      </c>
      <c r="I32" s="3">
        <v>1.0260775E-4</v>
      </c>
      <c r="J32" s="3">
        <v>-7.4028763000000004E-4</v>
      </c>
      <c r="L32" s="3">
        <f t="shared" si="0"/>
        <v>-3.0595121951219509E-2</v>
      </c>
      <c r="M32" s="3"/>
      <c r="N32" s="2">
        <f>IF('Modell einstellen'!$B$1="Voll",H32/0.35,H32/0.35*2)</f>
        <v>8.5496740000000002E-4</v>
      </c>
      <c r="O32" s="2">
        <f>IF('Modell einstellen'!$B$1="Voll",J32/0.35,J32/0.35*2)</f>
        <v>-2.1151075142857145E-3</v>
      </c>
      <c r="P32" s="3">
        <f t="shared" si="1"/>
        <v>0.4042193572787377</v>
      </c>
    </row>
    <row r="33" spans="1:16" x14ac:dyDescent="0.25">
      <c r="A33" s="3">
        <v>1000000000000000</v>
      </c>
      <c r="B33" s="3">
        <v>-5.0319999999999998E-4</v>
      </c>
      <c r="C33" s="3">
        <v>1.093E-3</v>
      </c>
      <c r="D33" s="3">
        <v>-8.8500000000000004E-4</v>
      </c>
      <c r="E33" s="3">
        <v>0</v>
      </c>
      <c r="F33" s="3">
        <v>0</v>
      </c>
      <c r="G33" s="3">
        <v>0</v>
      </c>
      <c r="H33" s="3">
        <v>4.6265922000000002E-4</v>
      </c>
      <c r="I33" s="3">
        <v>1.5662211999999999E-4</v>
      </c>
      <c r="J33" s="3">
        <v>-1.1024379E-3</v>
      </c>
      <c r="L33" s="3">
        <f t="shared" si="0"/>
        <v>-0.56858757062146892</v>
      </c>
      <c r="M33" s="3"/>
      <c r="N33" s="2">
        <f>IF('Modell einstellen'!$B$1="Voll",H33/0.35,H33/0.35*2)</f>
        <v>1.3218834857142859E-3</v>
      </c>
      <c r="O33" s="2">
        <f>IF('Modell einstellen'!$B$1="Voll",J33/0.35,J33/0.35*2)</f>
        <v>-3.1498225714285716E-3</v>
      </c>
      <c r="P33" s="3">
        <f t="shared" si="1"/>
        <v>0.41966918952985927</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4.2360000000000001E-5</v>
      </c>
      <c r="C3" s="3">
        <v>1.5300000000000001E-4</v>
      </c>
      <c r="D3" s="3">
        <v>-4.6860000000000001E-4</v>
      </c>
      <c r="E3" s="3">
        <v>0</v>
      </c>
      <c r="F3" s="3">
        <v>0</v>
      </c>
      <c r="G3" s="3">
        <v>0</v>
      </c>
      <c r="H3" s="3">
        <v>7.1015355999999997E-5</v>
      </c>
      <c r="I3" s="3">
        <v>1.5578399E-5</v>
      </c>
      <c r="J3" s="3">
        <v>-1.9722127000000001E-4</v>
      </c>
      <c r="K3" s="3"/>
      <c r="L3" s="3">
        <f>-B3/D3</f>
        <v>9.0396927016645326E-2</v>
      </c>
      <c r="M3" s="3"/>
      <c r="N3" s="2">
        <f>IF('Modell einstellen'!$B$1="Voll",H3/0.35,H3/0.35*2)</f>
        <v>2.0290101714285714E-4</v>
      </c>
      <c r="O3" s="2">
        <f>IF('Modell einstellen'!$B$1="Voll",J3/0.35,J3/0.35*2)</f>
        <v>-5.6348934285714288E-4</v>
      </c>
      <c r="P3" s="3">
        <f>-N3/O3</f>
        <v>0.36007959993361766</v>
      </c>
      <c r="Q3" s="3"/>
      <c r="R3" s="3"/>
      <c r="S3" s="3"/>
      <c r="T3" s="3"/>
      <c r="U3" s="3"/>
    </row>
    <row r="4" spans="1:21" x14ac:dyDescent="0.25">
      <c r="A4" s="3">
        <v>1E-14</v>
      </c>
      <c r="B4" s="3">
        <v>4.2349999999999999E-5</v>
      </c>
      <c r="C4" s="3">
        <v>1.5300000000000001E-4</v>
      </c>
      <c r="D4" s="3">
        <v>-4.6860000000000001E-4</v>
      </c>
      <c r="E4" s="3">
        <v>0</v>
      </c>
      <c r="F4" s="3">
        <v>0</v>
      </c>
      <c r="G4" s="3">
        <v>0</v>
      </c>
      <c r="H4" s="3">
        <v>7.1016938000000005E-5</v>
      </c>
      <c r="I4" s="3">
        <v>1.5579525000000001E-5</v>
      </c>
      <c r="J4" s="3">
        <v>-1.9721747000000001E-4</v>
      </c>
      <c r="K4" s="3"/>
      <c r="L4" s="3">
        <f t="shared" ref="L4:L33" si="0">-B4/D4</f>
        <v>9.0375586854460094E-2</v>
      </c>
      <c r="M4" s="3"/>
      <c r="N4" s="2">
        <f>IF('Modell einstellen'!$B$1="Voll",H4/0.35,H4/0.35*2)</f>
        <v>2.0290553714285718E-4</v>
      </c>
      <c r="O4" s="2">
        <f>IF('Modell einstellen'!$B$1="Voll",J4/0.35,J4/0.35*2)</f>
        <v>-5.6347848571428581E-4</v>
      </c>
      <c r="P4" s="3">
        <f t="shared" ref="P4:P33" si="1">-N4/O4</f>
        <v>0.36009455957426084</v>
      </c>
      <c r="Q4" s="3"/>
      <c r="R4" s="3"/>
      <c r="S4" s="3"/>
      <c r="T4" s="3"/>
      <c r="U4" s="3"/>
    </row>
    <row r="5" spans="1:21" x14ac:dyDescent="0.25">
      <c r="A5" s="3">
        <v>1E-13</v>
      </c>
      <c r="B5" s="3">
        <v>4.2360000000000001E-5</v>
      </c>
      <c r="C5" s="3">
        <v>1.5300000000000001E-4</v>
      </c>
      <c r="D5" s="3">
        <v>-4.6860000000000001E-4</v>
      </c>
      <c r="E5" s="3">
        <v>0</v>
      </c>
      <c r="F5" s="3">
        <v>0</v>
      </c>
      <c r="G5" s="3">
        <v>0</v>
      </c>
      <c r="H5" s="3">
        <v>7.1017313999999993E-5</v>
      </c>
      <c r="I5" s="3">
        <v>1.5579694E-5</v>
      </c>
      <c r="J5" s="3">
        <v>-1.9721846000000001E-4</v>
      </c>
      <c r="K5" s="3"/>
      <c r="L5" s="3">
        <f t="shared" si="0"/>
        <v>9.0396927016645326E-2</v>
      </c>
      <c r="M5" s="3"/>
      <c r="N5" s="2">
        <f>IF('Modell einstellen'!$B$1="Voll",H5/0.35,H5/0.35*2)</f>
        <v>2.0290661142857141E-4</v>
      </c>
      <c r="O5" s="2">
        <f>IF('Modell einstellen'!$B$1="Voll",J5/0.35,J5/0.35*2)</f>
        <v>-5.6348131428571432E-4</v>
      </c>
      <c r="P5" s="3">
        <f t="shared" si="1"/>
        <v>0.36009465848176681</v>
      </c>
      <c r="Q5" s="3"/>
      <c r="R5" s="3"/>
      <c r="S5" s="3"/>
      <c r="T5" s="3"/>
      <c r="U5" s="3"/>
    </row>
    <row r="6" spans="1:21" x14ac:dyDescent="0.25">
      <c r="A6" s="3">
        <v>9.9999999999999998E-13</v>
      </c>
      <c r="B6" s="3">
        <v>4.2360000000000001E-5</v>
      </c>
      <c r="C6" s="3">
        <v>1.5300000000000001E-4</v>
      </c>
      <c r="D6" s="3">
        <v>-4.6860000000000001E-4</v>
      </c>
      <c r="E6" s="3">
        <v>0</v>
      </c>
      <c r="F6" s="3">
        <v>0</v>
      </c>
      <c r="G6" s="3">
        <v>0</v>
      </c>
      <c r="H6" s="3">
        <v>7.1017430000000004E-5</v>
      </c>
      <c r="I6" s="3">
        <v>1.5579741000000001E-5</v>
      </c>
      <c r="J6" s="3">
        <v>-1.9721874999999999E-4</v>
      </c>
      <c r="K6" s="3"/>
      <c r="L6" s="3">
        <f t="shared" si="0"/>
        <v>9.0396927016645326E-2</v>
      </c>
      <c r="M6" s="3"/>
      <c r="N6" s="2">
        <f>IF('Modell einstellen'!$B$1="Voll",H6/0.35,H6/0.35*2)</f>
        <v>2.0290694285714288E-4</v>
      </c>
      <c r="O6" s="2">
        <f>IF('Modell einstellen'!$B$1="Voll",J6/0.35,J6/0.35*2)</f>
        <v>-5.6348214285714291E-4</v>
      </c>
      <c r="P6" s="3">
        <f t="shared" si="1"/>
        <v>0.36009471716051339</v>
      </c>
      <c r="Q6" s="3"/>
      <c r="R6" s="3"/>
      <c r="S6" s="3"/>
      <c r="T6" s="3"/>
      <c r="U6" s="3"/>
    </row>
    <row r="7" spans="1:21" x14ac:dyDescent="0.25">
      <c r="A7" s="3">
        <v>9.9999999999999994E-12</v>
      </c>
      <c r="B7" s="3">
        <v>4.2360000000000001E-5</v>
      </c>
      <c r="C7" s="3">
        <v>1.5300000000000001E-4</v>
      </c>
      <c r="D7" s="3">
        <v>-4.6860000000000001E-4</v>
      </c>
      <c r="E7" s="3">
        <v>0</v>
      </c>
      <c r="F7" s="3">
        <v>0</v>
      </c>
      <c r="G7" s="3">
        <v>0</v>
      </c>
      <c r="H7" s="3">
        <v>7.1017468000000001E-5</v>
      </c>
      <c r="I7" s="3">
        <v>1.5579755E-5</v>
      </c>
      <c r="J7" s="3">
        <v>-1.9721884000000001E-4</v>
      </c>
      <c r="K7" s="3"/>
      <c r="L7" s="3">
        <f t="shared" si="0"/>
        <v>9.0396927016645326E-2</v>
      </c>
      <c r="M7" s="3"/>
      <c r="N7" s="2">
        <f>IF('Modell einstellen'!$B$1="Voll",H7/0.35,H7/0.35*2)</f>
        <v>2.0290705142857144E-4</v>
      </c>
      <c r="O7" s="2">
        <f>IF('Modell einstellen'!$B$1="Voll",J7/0.35,J7/0.35*2)</f>
        <v>-5.6348240000000005E-4</v>
      </c>
      <c r="P7" s="3">
        <f t="shared" si="1"/>
        <v>0.36009474551214277</v>
      </c>
      <c r="Q7" s="3"/>
      <c r="R7" s="3"/>
      <c r="S7" s="3"/>
      <c r="T7" s="3"/>
      <c r="U7" s="3"/>
    </row>
    <row r="8" spans="1:21" x14ac:dyDescent="0.25">
      <c r="A8" s="3">
        <v>1E-10</v>
      </c>
      <c r="B8" s="3">
        <v>4.2360000000000001E-5</v>
      </c>
      <c r="C8" s="3">
        <v>1.5300000000000001E-4</v>
      </c>
      <c r="D8" s="3">
        <v>-4.6860000000000001E-4</v>
      </c>
      <c r="E8" s="3">
        <v>0</v>
      </c>
      <c r="F8" s="3">
        <v>0</v>
      </c>
      <c r="G8" s="3">
        <v>0</v>
      </c>
      <c r="H8" s="3">
        <v>7.1017481000000004E-5</v>
      </c>
      <c r="I8" s="3">
        <v>1.5579759000000001E-5</v>
      </c>
      <c r="J8" s="3">
        <v>-1.9721887E-4</v>
      </c>
      <c r="K8" s="3"/>
      <c r="L8" s="3">
        <f t="shared" si="0"/>
        <v>9.0396927016645326E-2</v>
      </c>
      <c r="M8" s="3"/>
      <c r="N8" s="2">
        <f>IF('Modell einstellen'!$B$1="Voll",H8/0.35,H8/0.35*2)</f>
        <v>2.0290708857142859E-4</v>
      </c>
      <c r="O8" s="2">
        <f>IF('Modell einstellen'!$B$1="Voll",J8/0.35,J8/0.35*2)</f>
        <v>-5.6348248571428576E-4</v>
      </c>
      <c r="P8" s="3">
        <f t="shared" si="1"/>
        <v>0.36009475665284973</v>
      </c>
      <c r="Q8" s="3"/>
      <c r="R8" s="3"/>
      <c r="S8" s="3"/>
      <c r="T8" s="3"/>
      <c r="U8" s="3"/>
    </row>
    <row r="9" spans="1:21" x14ac:dyDescent="0.25">
      <c r="A9" s="3">
        <v>1.0000000000000001E-9</v>
      </c>
      <c r="B9" s="3">
        <v>4.2360000000000001E-5</v>
      </c>
      <c r="C9" s="3">
        <v>1.5300000000000001E-4</v>
      </c>
      <c r="D9" s="3">
        <v>-4.6860000000000001E-4</v>
      </c>
      <c r="E9" s="3">
        <v>0</v>
      </c>
      <c r="F9" s="3">
        <v>0</v>
      </c>
      <c r="G9" s="3">
        <v>0</v>
      </c>
      <c r="H9" s="3">
        <v>7.1017485000000001E-5</v>
      </c>
      <c r="I9" s="3">
        <v>1.5579760999999999E-5</v>
      </c>
      <c r="J9" s="3">
        <v>-1.9721887999999999E-4</v>
      </c>
      <c r="K9" s="3"/>
      <c r="L9" s="3">
        <f t="shared" si="0"/>
        <v>9.0396927016645326E-2</v>
      </c>
      <c r="M9" s="3"/>
      <c r="N9" s="2">
        <f>IF('Modell einstellen'!$B$1="Voll",H9/0.35,H9/0.35*2)</f>
        <v>2.0290710000000001E-4</v>
      </c>
      <c r="O9" s="2">
        <f>IF('Modell einstellen'!$B$1="Voll",J9/0.35,J9/0.35*2)</f>
        <v>-5.634825142857143E-4</v>
      </c>
      <c r="P9" s="3">
        <f t="shared" si="1"/>
        <v>0.36009475867624846</v>
      </c>
      <c r="Q9" s="3"/>
      <c r="R9" s="3"/>
      <c r="S9" s="3"/>
      <c r="T9" s="3"/>
      <c r="U9" s="3"/>
    </row>
    <row r="10" spans="1:21" x14ac:dyDescent="0.25">
      <c r="A10" s="3">
        <v>1E-8</v>
      </c>
      <c r="B10" s="3">
        <v>4.2360000000000001E-5</v>
      </c>
      <c r="C10" s="3">
        <v>1.5300000000000001E-4</v>
      </c>
      <c r="D10" s="3">
        <v>-4.6860000000000001E-4</v>
      </c>
      <c r="E10" s="3">
        <v>0</v>
      </c>
      <c r="F10" s="3">
        <v>0</v>
      </c>
      <c r="G10" s="3">
        <v>0</v>
      </c>
      <c r="H10" s="3">
        <v>7.1017486999999993E-5</v>
      </c>
      <c r="I10" s="3">
        <v>1.5579760999999999E-5</v>
      </c>
      <c r="J10" s="3">
        <v>-1.9721887999999999E-4</v>
      </c>
      <c r="K10" s="3"/>
      <c r="L10" s="3">
        <f t="shared" si="0"/>
        <v>9.0396927016645326E-2</v>
      </c>
      <c r="M10" s="3"/>
      <c r="N10" s="2">
        <f>IF('Modell einstellen'!$B$1="Voll",H10/0.35,H10/0.35*2)</f>
        <v>2.0290710571428571E-4</v>
      </c>
      <c r="O10" s="2">
        <f>IF('Modell einstellen'!$B$1="Voll",J10/0.35,J10/0.35*2)</f>
        <v>-5.634825142857143E-4</v>
      </c>
      <c r="P10" s="3">
        <f t="shared" si="1"/>
        <v>0.36009476881726538</v>
      </c>
      <c r="Q10" s="3"/>
      <c r="R10" s="3"/>
      <c r="S10" s="3"/>
      <c r="T10" s="3"/>
      <c r="U10" s="3"/>
    </row>
    <row r="11" spans="1:21" x14ac:dyDescent="0.25">
      <c r="A11" s="3">
        <v>9.9999999999999995E-8</v>
      </c>
      <c r="B11" s="3">
        <v>4.2360000000000001E-5</v>
      </c>
      <c r="C11" s="3">
        <v>1.5300000000000001E-4</v>
      </c>
      <c r="D11" s="3">
        <v>-4.6860000000000001E-4</v>
      </c>
      <c r="E11" s="3">
        <v>0</v>
      </c>
      <c r="F11" s="3">
        <v>0</v>
      </c>
      <c r="G11" s="3">
        <v>0</v>
      </c>
      <c r="H11" s="3">
        <v>7.1017491000000004E-5</v>
      </c>
      <c r="I11" s="3">
        <v>1.5579761999999999E-5</v>
      </c>
      <c r="J11" s="3">
        <v>-1.9721889E-4</v>
      </c>
      <c r="K11" s="3"/>
      <c r="L11" s="3">
        <f t="shared" si="0"/>
        <v>9.0396927016645326E-2</v>
      </c>
      <c r="M11" s="3"/>
      <c r="N11" s="2">
        <f>IF('Modell einstellen'!$B$1="Voll",H11/0.35,H11/0.35*2)</f>
        <v>2.0290711714285716E-4</v>
      </c>
      <c r="O11" s="2">
        <f>IF('Modell einstellen'!$B$1="Voll",J11/0.35,J11/0.35*2)</f>
        <v>-5.6348254285714294E-4</v>
      </c>
      <c r="P11" s="3">
        <f t="shared" si="1"/>
        <v>0.36009477084066338</v>
      </c>
      <c r="Q11" s="3"/>
      <c r="R11" s="3"/>
      <c r="S11" s="3"/>
      <c r="T11" s="3"/>
      <c r="U11" s="3"/>
    </row>
    <row r="12" spans="1:21" x14ac:dyDescent="0.25">
      <c r="A12" s="3">
        <v>9.9999999999999995E-7</v>
      </c>
      <c r="B12" s="3">
        <v>4.2360000000000001E-5</v>
      </c>
      <c r="C12" s="3">
        <v>1.5300000000000001E-4</v>
      </c>
      <c r="D12" s="3">
        <v>-4.6860000000000001E-4</v>
      </c>
      <c r="E12" s="3">
        <v>0</v>
      </c>
      <c r="F12" s="3">
        <v>0</v>
      </c>
      <c r="G12" s="3">
        <v>0</v>
      </c>
      <c r="H12" s="3">
        <v>7.1017530999999994E-5</v>
      </c>
      <c r="I12" s="3">
        <v>1.5579766E-5</v>
      </c>
      <c r="J12" s="3">
        <v>-1.9721895000000001E-4</v>
      </c>
      <c r="K12" s="3"/>
      <c r="L12" s="3">
        <f t="shared" si="0"/>
        <v>9.0396927016645326E-2</v>
      </c>
      <c r="M12" s="3"/>
      <c r="N12" s="2">
        <f>IF('Modell einstellen'!$B$1="Voll",H12/0.35,H12/0.35*2)</f>
        <v>2.0290723142857143E-4</v>
      </c>
      <c r="O12" s="2">
        <f>IF('Modell einstellen'!$B$1="Voll",J12/0.35,J12/0.35*2)</f>
        <v>-5.6348271428571437E-4</v>
      </c>
      <c r="P12" s="3">
        <f t="shared" si="1"/>
        <v>0.36009486410915376</v>
      </c>
      <c r="Q12" s="3"/>
      <c r="R12" s="3"/>
      <c r="S12" s="3"/>
      <c r="T12" s="3"/>
      <c r="U12" s="3"/>
    </row>
    <row r="13" spans="1:21" x14ac:dyDescent="0.25">
      <c r="A13" s="3">
        <v>1.0000000000000001E-5</v>
      </c>
      <c r="B13" s="3">
        <v>4.2360000000000001E-5</v>
      </c>
      <c r="C13" s="3">
        <v>1.5300000000000001E-4</v>
      </c>
      <c r="D13" s="3">
        <v>-4.6860000000000001E-4</v>
      </c>
      <c r="E13" s="3">
        <v>0</v>
      </c>
      <c r="F13" s="3">
        <v>0</v>
      </c>
      <c r="G13" s="3">
        <v>0</v>
      </c>
      <c r="H13" s="3">
        <v>7.1017919999999998E-5</v>
      </c>
      <c r="I13" s="3">
        <v>1.5579811E-5</v>
      </c>
      <c r="J13" s="3">
        <v>-1.9721957E-4</v>
      </c>
      <c r="K13" s="3"/>
      <c r="L13" s="3">
        <f t="shared" si="0"/>
        <v>9.0396927016645326E-2</v>
      </c>
      <c r="M13" s="3"/>
      <c r="N13" s="2">
        <f>IF('Modell einstellen'!$B$1="Voll",H13/0.35,H13/0.35*2)</f>
        <v>2.0290834285714287E-4</v>
      </c>
      <c r="O13" s="2">
        <f>IF('Modell einstellen'!$B$1="Voll",J13/0.35,J13/0.35*2)</f>
        <v>-5.6348448571428569E-4</v>
      </c>
      <c r="P13" s="3">
        <f t="shared" si="1"/>
        <v>0.36009570449829092</v>
      </c>
      <c r="Q13" s="3"/>
      <c r="R13" s="3"/>
      <c r="S13" s="3"/>
      <c r="T13" s="3"/>
      <c r="U13" s="3"/>
    </row>
    <row r="14" spans="1:21" x14ac:dyDescent="0.25">
      <c r="A14" s="3">
        <v>1E-4</v>
      </c>
      <c r="B14" s="3">
        <v>4.2349999999999999E-5</v>
      </c>
      <c r="C14" s="3">
        <v>1.5300000000000001E-4</v>
      </c>
      <c r="D14" s="3">
        <v>-4.6860000000000001E-4</v>
      </c>
      <c r="E14" s="3">
        <v>0</v>
      </c>
      <c r="F14" s="3">
        <v>0</v>
      </c>
      <c r="G14" s="3">
        <v>0</v>
      </c>
      <c r="H14" s="3">
        <v>7.1021809999999999E-5</v>
      </c>
      <c r="I14" s="3">
        <v>1.5580261000000001E-5</v>
      </c>
      <c r="J14" s="3">
        <v>-1.9722576000000001E-4</v>
      </c>
      <c r="K14" s="3"/>
      <c r="L14" s="3">
        <f t="shared" si="0"/>
        <v>9.0375586854460094E-2</v>
      </c>
      <c r="M14" s="3"/>
      <c r="N14" s="2">
        <f>IF('Modell einstellen'!$B$1="Voll",H14/0.35,H14/0.35*2)</f>
        <v>2.0291945714285715E-4</v>
      </c>
      <c r="O14" s="2">
        <f>IF('Modell einstellen'!$B$1="Voll",J14/0.35,J14/0.35*2)</f>
        <v>-5.6350217142857144E-4</v>
      </c>
      <c r="P14" s="3">
        <f t="shared" si="1"/>
        <v>0.36010412635753059</v>
      </c>
      <c r="Q14" s="3"/>
      <c r="R14" s="3"/>
      <c r="S14" s="3"/>
      <c r="T14" s="3"/>
      <c r="U14" s="3"/>
    </row>
    <row r="15" spans="1:21" x14ac:dyDescent="0.25">
      <c r="A15" s="3">
        <v>1E-3</v>
      </c>
      <c r="B15" s="3">
        <v>4.231E-5</v>
      </c>
      <c r="C15" s="3">
        <v>1.5300000000000001E-4</v>
      </c>
      <c r="D15" s="3">
        <v>-4.6860000000000001E-4</v>
      </c>
      <c r="E15" s="3">
        <v>0</v>
      </c>
      <c r="F15" s="3">
        <v>0</v>
      </c>
      <c r="G15" s="3">
        <v>0</v>
      </c>
      <c r="H15" s="3">
        <v>7.1060424000000001E-5</v>
      </c>
      <c r="I15" s="3">
        <v>1.5584727000000001E-5</v>
      </c>
      <c r="J15" s="3">
        <v>-1.9728717000000001E-4</v>
      </c>
      <c r="K15" s="3"/>
      <c r="L15" s="3">
        <f t="shared" si="0"/>
        <v>9.0290226205719165E-2</v>
      </c>
      <c r="M15" s="3"/>
      <c r="N15" s="2">
        <f>IF('Modell einstellen'!$B$1="Voll",H15/0.35,H15/0.35*2)</f>
        <v>2.0302978285714288E-4</v>
      </c>
      <c r="O15" s="2">
        <f>IF('Modell einstellen'!$B$1="Voll",J15/0.35,J15/0.35*2)</f>
        <v>-5.6367762857142858E-4</v>
      </c>
      <c r="P15" s="3">
        <f t="shared" si="1"/>
        <v>0.36018776081587062</v>
      </c>
      <c r="Q15" s="3"/>
      <c r="R15" s="3"/>
      <c r="S15" s="3"/>
      <c r="T15" s="3"/>
      <c r="U15" s="3"/>
    </row>
    <row r="16" spans="1:21" x14ac:dyDescent="0.25">
      <c r="A16" s="3">
        <v>0.01</v>
      </c>
      <c r="B16" s="3">
        <v>4.1900000000000002E-5</v>
      </c>
      <c r="C16" s="3">
        <v>1.5339999999999999E-4</v>
      </c>
      <c r="D16" s="3">
        <v>-4.6890000000000001E-4</v>
      </c>
      <c r="E16" s="3">
        <v>0</v>
      </c>
      <c r="F16" s="3">
        <v>0</v>
      </c>
      <c r="G16" s="3">
        <v>0</v>
      </c>
      <c r="H16" s="3">
        <v>7.1419427999999999E-5</v>
      </c>
      <c r="I16" s="3">
        <v>1.5626209000000001E-5</v>
      </c>
      <c r="J16" s="3">
        <v>-1.9785787999999999E-4</v>
      </c>
      <c r="K16" s="3"/>
      <c r="L16" s="3">
        <f t="shared" si="0"/>
        <v>8.9358072083599915E-2</v>
      </c>
      <c r="M16" s="3"/>
      <c r="N16" s="2">
        <f>IF('Modell einstellen'!$B$1="Voll",H16/0.35,H16/0.35*2)</f>
        <v>2.0405550857142859E-4</v>
      </c>
      <c r="O16" s="2">
        <f>IF('Modell einstellen'!$B$1="Voll",J16/0.35,J16/0.35*2)</f>
        <v>-5.6530822857142854E-4</v>
      </c>
      <c r="P16" s="3">
        <f t="shared" si="1"/>
        <v>0.36096327323430338</v>
      </c>
      <c r="Q16" s="3"/>
      <c r="R16" s="3"/>
      <c r="S16" s="3"/>
      <c r="T16" s="3"/>
      <c r="U16" s="3"/>
    </row>
    <row r="17" spans="1:25" x14ac:dyDescent="0.25">
      <c r="A17" s="3">
        <v>0.1</v>
      </c>
      <c r="B17" s="3">
        <v>4.0059999999999999E-5</v>
      </c>
      <c r="C17" s="3">
        <v>1.5559999999999999E-4</v>
      </c>
      <c r="D17" s="3">
        <v>-4.7090000000000001E-4</v>
      </c>
      <c r="E17" s="3">
        <v>0</v>
      </c>
      <c r="F17" s="3">
        <v>0</v>
      </c>
      <c r="G17" s="3">
        <v>0</v>
      </c>
      <c r="H17" s="3">
        <v>7.3390922000000003E-5</v>
      </c>
      <c r="I17" s="3">
        <v>1.5873325000000001E-5</v>
      </c>
      <c r="J17" s="3">
        <v>-2.0104523000000001E-4</v>
      </c>
      <c r="K17" s="3"/>
      <c r="L17" s="3">
        <f t="shared" si="0"/>
        <v>8.5071140369505194E-2</v>
      </c>
      <c r="M17" s="3"/>
      <c r="N17" s="2">
        <f>IF('Modell einstellen'!$B$1="Voll",H17/0.35,H17/0.35*2)</f>
        <v>2.0968834857142859E-4</v>
      </c>
      <c r="O17" s="2">
        <f>IF('Modell einstellen'!$B$1="Voll",J17/0.35,J17/0.35*2)</f>
        <v>-5.7441494285714293E-4</v>
      </c>
      <c r="P17" s="3">
        <f t="shared" si="1"/>
        <v>0.36504682055873694</v>
      </c>
      <c r="Q17" s="3"/>
      <c r="R17" s="3"/>
      <c r="S17" s="3"/>
      <c r="T17" s="3"/>
      <c r="U17" s="3"/>
      <c r="V17" s="3"/>
      <c r="W17" s="3"/>
      <c r="X17" s="3"/>
      <c r="Y17" s="3"/>
    </row>
    <row r="18" spans="1:25" x14ac:dyDescent="0.25">
      <c r="A18" s="3">
        <v>1</v>
      </c>
      <c r="B18" s="3">
        <v>3.7450000000000002E-5</v>
      </c>
      <c r="C18" s="3">
        <v>1.583E-4</v>
      </c>
      <c r="D18" s="3">
        <v>-4.73E-4</v>
      </c>
      <c r="E18" s="3">
        <v>0</v>
      </c>
      <c r="F18" s="3">
        <v>0</v>
      </c>
      <c r="G18" s="3">
        <v>0</v>
      </c>
      <c r="H18" s="3">
        <v>7.5874908000000003E-5</v>
      </c>
      <c r="I18" s="3">
        <v>1.6173991999999999E-5</v>
      </c>
      <c r="J18" s="3">
        <v>-2.0500756000000001E-4</v>
      </c>
      <c r="K18" s="3"/>
      <c r="L18" s="3">
        <f t="shared" si="0"/>
        <v>7.9175475687103591E-2</v>
      </c>
      <c r="M18" s="3"/>
      <c r="N18" s="2">
        <f>IF('Modell einstellen'!$B$1="Voll",H18/0.35,H18/0.35*2)</f>
        <v>2.1678545142857146E-4</v>
      </c>
      <c r="O18" s="2">
        <f>IF('Modell einstellen'!$B$1="Voll",J18/0.35,J18/0.35*2)</f>
        <v>-5.8573588571428576E-4</v>
      </c>
      <c r="P18" s="3">
        <f t="shared" si="1"/>
        <v>0.37010785358354592</v>
      </c>
      <c r="Q18" s="3"/>
      <c r="R18" s="3"/>
      <c r="S18" s="3"/>
      <c r="T18" s="3"/>
      <c r="U18" s="3"/>
      <c r="V18" s="3"/>
      <c r="W18" s="3"/>
      <c r="X18" s="3"/>
      <c r="Y18" s="3"/>
    </row>
    <row r="19" spans="1:25" x14ac:dyDescent="0.25">
      <c r="A19" s="3">
        <v>10</v>
      </c>
      <c r="B19" s="3">
        <v>3.4379999999999999E-5</v>
      </c>
      <c r="C19" s="3">
        <v>1.615E-4</v>
      </c>
      <c r="D19" s="3">
        <v>-4.7540000000000001E-4</v>
      </c>
      <c r="E19" s="3">
        <v>0</v>
      </c>
      <c r="F19" s="3">
        <v>0</v>
      </c>
      <c r="G19" s="3">
        <v>0</v>
      </c>
      <c r="H19" s="3">
        <v>7.8801469999999999E-5</v>
      </c>
      <c r="I19" s="3">
        <v>1.6538379E-5</v>
      </c>
      <c r="J19" s="3">
        <v>-2.0967678E-4</v>
      </c>
      <c r="K19" s="3"/>
      <c r="L19" s="3">
        <f t="shared" si="0"/>
        <v>7.2318047959612955E-2</v>
      </c>
      <c r="M19" s="3"/>
      <c r="N19" s="2">
        <f>IF('Modell einstellen'!$B$1="Voll",H19/0.35,H19/0.35*2)</f>
        <v>2.2514705714285716E-4</v>
      </c>
      <c r="O19" s="2">
        <f>IF('Modell einstellen'!$B$1="Voll",J19/0.35,J19/0.35*2)</f>
        <v>-5.9907651428571431E-4</v>
      </c>
      <c r="P19" s="3">
        <f t="shared" si="1"/>
        <v>0.37582354135732149</v>
      </c>
      <c r="Q19" s="3"/>
      <c r="R19" s="3"/>
      <c r="S19" s="3"/>
      <c r="T19" s="3"/>
      <c r="U19" s="3"/>
      <c r="V19" s="3"/>
      <c r="W19" s="3"/>
      <c r="X19" s="3"/>
      <c r="Y19" s="3"/>
    </row>
    <row r="20" spans="1:25" x14ac:dyDescent="0.25">
      <c r="A20" s="3">
        <v>100</v>
      </c>
      <c r="B20" s="3">
        <v>3.235E-5</v>
      </c>
      <c r="C20" s="3">
        <v>1.6750000000000001E-4</v>
      </c>
      <c r="D20" s="3">
        <v>-4.8139999999999999E-4</v>
      </c>
      <c r="E20" s="3">
        <v>0</v>
      </c>
      <c r="F20" s="3">
        <v>0</v>
      </c>
      <c r="G20" s="3">
        <v>0</v>
      </c>
      <c r="H20" s="3">
        <v>8.2716410999999996E-5</v>
      </c>
      <c r="I20" s="3">
        <v>1.7208137999999999E-5</v>
      </c>
      <c r="J20" s="3">
        <v>-2.1638798E-4</v>
      </c>
      <c r="K20" s="3"/>
      <c r="L20" s="3">
        <f t="shared" si="0"/>
        <v>6.7199833818030741E-2</v>
      </c>
      <c r="M20" s="3"/>
      <c r="N20" s="2">
        <f>IF('Modell einstellen'!$B$1="Voll",H20/0.35,H20/0.35*2)</f>
        <v>2.3633260285714285E-4</v>
      </c>
      <c r="O20" s="2">
        <f>IF('Modell einstellen'!$B$1="Voll",J20/0.35,J20/0.35*2)</f>
        <v>-6.1825137142857149E-4</v>
      </c>
      <c r="P20" s="3">
        <f t="shared" si="1"/>
        <v>0.3822597308778426</v>
      </c>
      <c r="Q20" s="3"/>
      <c r="R20" s="3"/>
      <c r="S20" s="3"/>
      <c r="T20" s="3"/>
      <c r="U20" s="3"/>
      <c r="V20" s="3"/>
      <c r="W20" s="3"/>
      <c r="X20" s="3"/>
      <c r="Y20" s="3"/>
    </row>
    <row r="21" spans="1:25" x14ac:dyDescent="0.25">
      <c r="A21" s="3">
        <v>1000</v>
      </c>
      <c r="B21" s="3">
        <v>4.1669999999999999E-5</v>
      </c>
      <c r="C21" s="3">
        <v>1.8450000000000001E-4</v>
      </c>
      <c r="D21" s="3">
        <v>-5.0690000000000002E-4</v>
      </c>
      <c r="E21" s="3">
        <v>0</v>
      </c>
      <c r="F21" s="3">
        <v>0</v>
      </c>
      <c r="G21" s="3">
        <v>0</v>
      </c>
      <c r="H21" s="3">
        <v>8.8251495000000007E-5</v>
      </c>
      <c r="I21" s="3">
        <v>1.9129532000000001E-5</v>
      </c>
      <c r="J21" s="3">
        <v>-2.2853998999999999E-4</v>
      </c>
      <c r="K21" s="3"/>
      <c r="L21" s="3">
        <f t="shared" si="0"/>
        <v>8.2205563227461032E-2</v>
      </c>
      <c r="M21" s="3"/>
      <c r="N21" s="2">
        <f>IF('Modell einstellen'!$B$1="Voll",H21/0.35,H21/0.35*2)</f>
        <v>2.5214712857142861E-4</v>
      </c>
      <c r="O21" s="2">
        <f>IF('Modell einstellen'!$B$1="Voll",J21/0.35,J21/0.35*2)</f>
        <v>-6.5297140000000005E-4</v>
      </c>
      <c r="P21" s="3">
        <f t="shared" si="1"/>
        <v>0.38615340361220812</v>
      </c>
      <c r="Q21" s="3"/>
      <c r="R21" s="3"/>
      <c r="S21" s="3"/>
      <c r="T21" s="3"/>
      <c r="U21" s="3"/>
      <c r="V21" s="3"/>
      <c r="W21" s="3"/>
      <c r="X21" s="3"/>
      <c r="Y21" s="3"/>
    </row>
    <row r="22" spans="1:25" x14ac:dyDescent="0.25">
      <c r="A22" s="3">
        <v>10000</v>
      </c>
      <c r="B22" s="3">
        <v>7.0560000000000002E-5</v>
      </c>
      <c r="C22" s="3">
        <v>2.197E-4</v>
      </c>
      <c r="D22" s="3">
        <v>-5.6579999999999998E-4</v>
      </c>
      <c r="E22" s="3">
        <v>0</v>
      </c>
      <c r="F22" s="3">
        <v>0</v>
      </c>
      <c r="G22" s="3">
        <v>0</v>
      </c>
      <c r="H22" s="3">
        <v>9.6856348000000001E-5</v>
      </c>
      <c r="I22" s="3">
        <v>2.3198132000000002E-5</v>
      </c>
      <c r="J22" s="3">
        <v>-2.5051377999999998E-4</v>
      </c>
      <c r="K22" s="3"/>
      <c r="L22" s="3">
        <f t="shared" si="0"/>
        <v>0.1247083775185578</v>
      </c>
      <c r="M22" s="3"/>
      <c r="N22" s="2">
        <f>IF('Modell einstellen'!$B$1="Voll",H22/0.35,H22/0.35*2)</f>
        <v>2.7673242285714288E-4</v>
      </c>
      <c r="O22" s="2">
        <f>IF('Modell einstellen'!$B$1="Voll",J22/0.35,J22/0.35*2)</f>
        <v>-7.1575365714285713E-4</v>
      </c>
      <c r="P22" s="3">
        <f t="shared" si="1"/>
        <v>0.38663081927070042</v>
      </c>
      <c r="Q22" s="3"/>
      <c r="R22" s="3"/>
      <c r="S22" s="3"/>
      <c r="T22" s="3"/>
      <c r="U22" s="3"/>
      <c r="V22" s="3"/>
      <c r="W22" s="3"/>
      <c r="X22" s="3"/>
      <c r="Y22" s="3"/>
    </row>
    <row r="23" spans="1:25" x14ac:dyDescent="0.25">
      <c r="A23" s="3">
        <v>100000</v>
      </c>
      <c r="B23" s="3">
        <v>1.063E-4</v>
      </c>
      <c r="C23" s="3">
        <v>2.6420000000000003E-4</v>
      </c>
      <c r="D23" s="3">
        <v>-6.399E-4</v>
      </c>
      <c r="E23" s="3">
        <v>0</v>
      </c>
      <c r="F23" s="3">
        <v>0</v>
      </c>
      <c r="G23" s="3">
        <v>0</v>
      </c>
      <c r="H23" s="3">
        <v>1.0747357000000001E-4</v>
      </c>
      <c r="I23" s="3">
        <v>2.8507005E-5</v>
      </c>
      <c r="J23" s="3">
        <v>-2.7874197000000002E-4</v>
      </c>
      <c r="K23" s="3"/>
      <c r="L23" s="3">
        <f t="shared" si="0"/>
        <v>0.16611970620409439</v>
      </c>
      <c r="M23" s="3"/>
      <c r="N23" s="2">
        <f>IF('Modell einstellen'!$B$1="Voll",H23/0.35,H23/0.35*2)</f>
        <v>3.0706734285714291E-4</v>
      </c>
      <c r="O23" s="2">
        <f>IF('Modell einstellen'!$B$1="Voll",J23/0.35,J23/0.35*2)</f>
        <v>-7.9640562857142866E-4</v>
      </c>
      <c r="P23" s="3">
        <f t="shared" si="1"/>
        <v>0.38556651515378187</v>
      </c>
      <c r="Q23" s="3"/>
      <c r="R23" s="3"/>
      <c r="S23" s="3"/>
      <c r="T23" s="3"/>
      <c r="U23" s="3"/>
      <c r="V23" s="3"/>
      <c r="W23" s="3"/>
      <c r="X23" s="3"/>
      <c r="Y23" s="3"/>
    </row>
    <row r="24" spans="1:25" x14ac:dyDescent="0.25">
      <c r="A24" s="3">
        <v>1000000</v>
      </c>
      <c r="B24" s="3">
        <v>1.3889999999999999E-4</v>
      </c>
      <c r="C24" s="3">
        <v>3.0850000000000002E-4</v>
      </c>
      <c r="D24" s="3">
        <v>-7.1199999999999996E-4</v>
      </c>
      <c r="E24" s="3">
        <v>0</v>
      </c>
      <c r="F24" s="3">
        <v>0</v>
      </c>
      <c r="G24" s="3">
        <v>0</v>
      </c>
      <c r="H24" s="3">
        <v>1.1850418E-4</v>
      </c>
      <c r="I24" s="3">
        <v>3.3981201000000002E-5</v>
      </c>
      <c r="J24" s="3">
        <v>-3.0829308999999998E-4</v>
      </c>
      <c r="K24" s="3"/>
      <c r="L24" s="3">
        <f t="shared" si="0"/>
        <v>0.19508426966292133</v>
      </c>
      <c r="M24" s="3"/>
      <c r="N24" s="2">
        <f>IF('Modell einstellen'!$B$1="Voll",H24/0.35,H24/0.35*2)</f>
        <v>3.3858337142857143E-4</v>
      </c>
      <c r="O24" s="2">
        <f>IF('Modell einstellen'!$B$1="Voll",J24/0.35,J24/0.35*2)</f>
        <v>-8.8083740000000001E-4</v>
      </c>
      <c r="P24" s="3">
        <f t="shared" si="1"/>
        <v>0.38438805099394219</v>
      </c>
      <c r="Q24" s="3"/>
      <c r="R24" s="3"/>
      <c r="S24" s="3"/>
      <c r="T24" s="3"/>
      <c r="U24" s="3"/>
      <c r="V24" s="3"/>
      <c r="W24" s="3"/>
      <c r="X24" s="3"/>
      <c r="Y24" s="3"/>
    </row>
    <row r="25" spans="1:25" x14ac:dyDescent="0.25">
      <c r="A25" s="3">
        <v>10000000</v>
      </c>
      <c r="B25" s="3">
        <v>1.6440000000000001E-4</v>
      </c>
      <c r="C25" s="3">
        <v>3.503E-4</v>
      </c>
      <c r="D25" s="3">
        <v>-7.7649999999999996E-4</v>
      </c>
      <c r="E25" s="3">
        <v>0</v>
      </c>
      <c r="F25" s="3">
        <v>0</v>
      </c>
      <c r="G25" s="3">
        <v>0</v>
      </c>
      <c r="H25" s="3">
        <v>1.2995853E-4</v>
      </c>
      <c r="I25" s="3">
        <v>3.9342389000000001E-5</v>
      </c>
      <c r="J25" s="3">
        <v>-3.3834384000000001E-4</v>
      </c>
      <c r="K25" s="3"/>
      <c r="L25" s="3">
        <f t="shared" si="0"/>
        <v>0.21171925305859629</v>
      </c>
      <c r="M25" s="3"/>
      <c r="N25" s="2">
        <f>IF('Modell einstellen'!$B$1="Voll",H25/0.35,H25/0.35*2)</f>
        <v>3.7131008571428573E-4</v>
      </c>
      <c r="O25" s="2">
        <f>IF('Modell einstellen'!$B$1="Voll",J25/0.35,J25/0.35*2)</f>
        <v>-9.6669668571428577E-4</v>
      </c>
      <c r="P25" s="3">
        <f t="shared" si="1"/>
        <v>0.38410195379942486</v>
      </c>
      <c r="Q25" s="3"/>
      <c r="R25" s="3"/>
      <c r="S25" s="3"/>
      <c r="T25" s="3"/>
      <c r="U25" s="3"/>
      <c r="V25" s="3"/>
      <c r="W25" s="3"/>
      <c r="X25" s="3"/>
      <c r="Y25" s="3"/>
    </row>
    <row r="26" spans="1:25" x14ac:dyDescent="0.25">
      <c r="A26" s="3">
        <v>100000000</v>
      </c>
      <c r="B26" s="3">
        <v>1.8129999999999999E-4</v>
      </c>
      <c r="C26" s="3">
        <v>3.9159999999999998E-4</v>
      </c>
      <c r="D26" s="3">
        <v>-8.3410000000000005E-4</v>
      </c>
      <c r="E26" s="3">
        <v>0</v>
      </c>
      <c r="F26" s="3">
        <v>0</v>
      </c>
      <c r="G26" s="3">
        <v>0</v>
      </c>
      <c r="H26" s="3">
        <v>1.4269632000000001E-4</v>
      </c>
      <c r="I26" s="3">
        <v>4.4847800000000001E-5</v>
      </c>
      <c r="J26" s="3">
        <v>-3.7068078E-4</v>
      </c>
      <c r="K26" s="3"/>
      <c r="L26" s="3">
        <f t="shared" si="0"/>
        <v>0.21736002877352834</v>
      </c>
      <c r="M26" s="3"/>
      <c r="N26" s="2">
        <f>IF('Modell einstellen'!$B$1="Voll",H26/0.35,H26/0.35*2)</f>
        <v>4.077037714285715E-4</v>
      </c>
      <c r="O26" s="2">
        <f>IF('Modell einstellen'!$B$1="Voll",J26/0.35,J26/0.35*2)</f>
        <v>-1.0590879428571428E-3</v>
      </c>
      <c r="P26" s="3">
        <f t="shared" si="1"/>
        <v>0.38495742886912027</v>
      </c>
      <c r="Q26" s="3"/>
      <c r="R26" s="3"/>
      <c r="S26" s="3"/>
      <c r="T26" s="3"/>
      <c r="U26" s="3"/>
      <c r="V26" s="3"/>
      <c r="W26" s="3"/>
      <c r="X26" s="3"/>
      <c r="Y26" s="3"/>
    </row>
    <row r="27" spans="1:25" x14ac:dyDescent="0.25">
      <c r="A27" s="3">
        <v>1000000000</v>
      </c>
      <c r="B27" s="3">
        <v>1.875E-4</v>
      </c>
      <c r="C27" s="3">
        <v>4.3770000000000001E-4</v>
      </c>
      <c r="D27" s="3">
        <v>-8.8800000000000001E-4</v>
      </c>
      <c r="E27" s="3">
        <v>0</v>
      </c>
      <c r="F27" s="3">
        <v>0</v>
      </c>
      <c r="G27" s="3">
        <v>0</v>
      </c>
      <c r="H27" s="3">
        <v>1.5867605E-4</v>
      </c>
      <c r="I27" s="3">
        <v>5.1213568E-5</v>
      </c>
      <c r="J27" s="3">
        <v>-4.0983232000000002E-4</v>
      </c>
      <c r="K27" s="3"/>
      <c r="L27" s="3">
        <f t="shared" si="0"/>
        <v>0.21114864864864866</v>
      </c>
      <c r="M27" s="3"/>
      <c r="N27" s="2">
        <f>IF('Modell einstellen'!$B$1="Voll",H27/0.35,H27/0.35*2)</f>
        <v>4.5336014285714287E-4</v>
      </c>
      <c r="O27" s="2">
        <f>IF('Modell einstellen'!$B$1="Voll",J27/0.35,J27/0.35*2)</f>
        <v>-1.1709494857142858E-3</v>
      </c>
      <c r="P27" s="3">
        <f t="shared" si="1"/>
        <v>0.38717310045239967</v>
      </c>
      <c r="Q27" s="3"/>
      <c r="R27" s="3"/>
      <c r="S27" s="3"/>
      <c r="T27" s="3"/>
      <c r="U27" s="3"/>
      <c r="V27" s="3"/>
      <c r="W27" s="3"/>
      <c r="X27" s="3"/>
      <c r="Y27" s="3"/>
    </row>
    <row r="28" spans="1:25" x14ac:dyDescent="0.25">
      <c r="A28" s="3">
        <v>10000000000</v>
      </c>
      <c r="B28" s="3">
        <v>1.738E-4</v>
      </c>
      <c r="C28" s="3">
        <v>5.0180000000000005E-4</v>
      </c>
      <c r="D28" s="3">
        <v>-9.4260000000000004E-4</v>
      </c>
      <c r="E28" s="3">
        <v>0</v>
      </c>
      <c r="F28" s="3">
        <v>0</v>
      </c>
      <c r="G28" s="3">
        <v>0</v>
      </c>
      <c r="H28" s="3">
        <v>1.8332404000000001E-4</v>
      </c>
      <c r="I28" s="3">
        <v>6.0387133E-5</v>
      </c>
      <c r="J28" s="3">
        <v>-4.6838439999999999E-4</v>
      </c>
      <c r="K28" s="3"/>
      <c r="L28" s="3">
        <f t="shared" si="0"/>
        <v>0.18438361977509016</v>
      </c>
      <c r="M28" s="3"/>
      <c r="N28" s="2">
        <f>IF('Modell einstellen'!$B$1="Voll",H28/0.35,H28/0.35*2)</f>
        <v>5.2378297142857146E-4</v>
      </c>
      <c r="O28" s="2">
        <f>IF('Modell einstellen'!$B$1="Voll",J28/0.35,J28/0.35*2)</f>
        <v>-1.338241142857143E-3</v>
      </c>
      <c r="P28" s="3">
        <f t="shared" si="1"/>
        <v>0.39139655377079169</v>
      </c>
      <c r="Q28" s="3"/>
      <c r="R28" s="3"/>
      <c r="S28" s="3"/>
      <c r="T28" s="3"/>
      <c r="U28" s="3"/>
      <c r="V28" s="3"/>
      <c r="W28" s="3"/>
      <c r="X28" s="3"/>
      <c r="Y28" s="3"/>
    </row>
    <row r="29" spans="1:25" x14ac:dyDescent="0.25">
      <c r="A29" s="3">
        <v>100000000000</v>
      </c>
      <c r="B29" s="3">
        <v>1.1900000000000001E-4</v>
      </c>
      <c r="C29" s="3">
        <v>5.9860000000000002E-4</v>
      </c>
      <c r="D29" s="3">
        <v>-9.9130000000000008E-4</v>
      </c>
      <c r="E29" s="3">
        <v>0</v>
      </c>
      <c r="F29" s="3">
        <v>0</v>
      </c>
      <c r="G29" s="3">
        <v>0</v>
      </c>
      <c r="H29" s="3">
        <v>2.2337402000000001E-4</v>
      </c>
      <c r="I29" s="3">
        <v>7.4849756999999999E-5</v>
      </c>
      <c r="J29" s="3">
        <v>-5.6205003000000002E-4</v>
      </c>
      <c r="K29" s="3"/>
      <c r="L29" s="3">
        <f t="shared" si="0"/>
        <v>0.12004438615958841</v>
      </c>
      <c r="M29" s="3"/>
      <c r="N29" s="2">
        <f>IF('Modell einstellen'!$B$1="Voll",H29/0.35,H29/0.35*2)</f>
        <v>6.3821148571428581E-4</v>
      </c>
      <c r="O29" s="2">
        <f>IF('Modell einstellen'!$B$1="Voll",J29/0.35,J29/0.35*2)</f>
        <v>-1.6058572285714287E-3</v>
      </c>
      <c r="P29" s="3">
        <f t="shared" si="1"/>
        <v>0.39742728952438633</v>
      </c>
      <c r="Q29" s="3"/>
      <c r="R29" s="3"/>
      <c r="S29" s="3"/>
      <c r="T29" s="3"/>
      <c r="U29" s="3"/>
      <c r="V29" s="3"/>
      <c r="W29" s="3"/>
      <c r="X29" s="3"/>
      <c r="Y29" s="3"/>
    </row>
    <row r="30" spans="1:25" x14ac:dyDescent="0.25">
      <c r="A30" s="3">
        <v>1000000000000</v>
      </c>
      <c r="B30" s="3">
        <v>-3.8389999999999997E-5</v>
      </c>
      <c r="C30" s="3">
        <v>7.5960000000000003E-4</v>
      </c>
      <c r="D30" s="3">
        <v>-1.005E-3</v>
      </c>
      <c r="E30" s="3">
        <v>0</v>
      </c>
      <c r="F30" s="3">
        <v>0</v>
      </c>
      <c r="G30" s="3">
        <v>0</v>
      </c>
      <c r="H30" s="3">
        <v>2.9678852000000001E-4</v>
      </c>
      <c r="I30" s="3">
        <v>1.0030274E-4</v>
      </c>
      <c r="J30" s="3">
        <v>-7.2962943999999995E-4</v>
      </c>
      <c r="K30" s="3"/>
      <c r="L30" s="3">
        <f t="shared" si="0"/>
        <v>-3.8199004975124372E-2</v>
      </c>
      <c r="M30" s="3"/>
      <c r="N30" s="2">
        <f>IF('Modell einstellen'!$B$1="Voll",H30/0.35,H30/0.35*2)</f>
        <v>8.479672000000001E-4</v>
      </c>
      <c r="O30" s="2">
        <f>IF('Modell einstellen'!$B$1="Voll",J30/0.35,J30/0.35*2)</f>
        <v>-2.0846555428571428E-3</v>
      </c>
      <c r="P30" s="3">
        <f t="shared" si="1"/>
        <v>0.40676609759606197</v>
      </c>
      <c r="Q30" s="3"/>
      <c r="R30" s="3"/>
      <c r="S30" s="3"/>
      <c r="T30" s="3"/>
      <c r="U30" s="3"/>
      <c r="V30" s="3"/>
      <c r="W30" s="3"/>
      <c r="X30" s="3"/>
      <c r="Y30" s="3"/>
    </row>
    <row r="31" spans="1:25" x14ac:dyDescent="0.25">
      <c r="A31" s="3">
        <v>10000000000000</v>
      </c>
      <c r="B31" s="3">
        <v>-4.9989999999999995E-4</v>
      </c>
      <c r="C31" s="3">
        <v>1.072E-3</v>
      </c>
      <c r="D31" s="3">
        <v>-8.6729999999999999E-4</v>
      </c>
      <c r="E31" s="3">
        <v>0</v>
      </c>
      <c r="F31" s="3">
        <v>0</v>
      </c>
      <c r="G31" s="3">
        <v>0</v>
      </c>
      <c r="H31" s="3">
        <v>4.5733916999999999E-4</v>
      </c>
      <c r="I31" s="3">
        <v>1.5295201E-4</v>
      </c>
      <c r="J31" s="3">
        <v>-1.0838454999999999E-3</v>
      </c>
      <c r="K31" s="3"/>
      <c r="L31" s="3">
        <f t="shared" si="0"/>
        <v>-0.576386486798109</v>
      </c>
      <c r="M31" s="3"/>
      <c r="N31" s="2">
        <f>IF('Modell einstellen'!$B$1="Voll",H31/0.35,H31/0.35*2)</f>
        <v>1.306683342857143E-3</v>
      </c>
      <c r="O31" s="2">
        <f>IF('Modell einstellen'!$B$1="Voll",J31/0.35,J31/0.35*2)</f>
        <v>-3.0967014285714287E-3</v>
      </c>
      <c r="P31" s="3">
        <f t="shared" si="1"/>
        <v>0.42195974426244331</v>
      </c>
      <c r="Q31" s="3"/>
      <c r="R31" s="3"/>
      <c r="S31" s="3"/>
      <c r="T31" s="3"/>
      <c r="U31" s="3"/>
      <c r="V31" s="3"/>
      <c r="W31" s="3"/>
      <c r="X31" s="3"/>
      <c r="Y31" s="3"/>
    </row>
    <row r="32" spans="1:25" x14ac:dyDescent="0.25">
      <c r="A32" s="3">
        <v>100000000000000</v>
      </c>
      <c r="B32" s="3">
        <v>-1.6310000000000001E-3</v>
      </c>
      <c r="C32" s="3">
        <v>1.6479999999999999E-3</v>
      </c>
      <c r="D32" s="3">
        <v>-3.233E-4</v>
      </c>
      <c r="E32" s="3">
        <v>0</v>
      </c>
      <c r="F32" s="3">
        <v>0</v>
      </c>
      <c r="G32" s="3">
        <v>0</v>
      </c>
      <c r="H32" s="3">
        <v>7.8587009E-4</v>
      </c>
      <c r="I32" s="3">
        <v>2.5526029000000003E-4</v>
      </c>
      <c r="J32" s="3">
        <v>-1.785729E-3</v>
      </c>
      <c r="K32" s="3"/>
      <c r="L32" s="3">
        <f t="shared" si="0"/>
        <v>-5.0448499845344887</v>
      </c>
      <c r="M32" s="3"/>
      <c r="N32" s="2">
        <f>IF('Modell einstellen'!$B$1="Voll",H32/0.35,H32/0.35*2)</f>
        <v>2.2453431142857145E-3</v>
      </c>
      <c r="O32" s="2">
        <f>IF('Modell einstellen'!$B$1="Voll",J32/0.35,J32/0.35*2)</f>
        <v>-5.1020828571428575E-3</v>
      </c>
      <c r="P32" s="3">
        <f t="shared" si="1"/>
        <v>0.44008362411093732</v>
      </c>
      <c r="Q32" s="3"/>
      <c r="R32" s="3"/>
      <c r="S32" s="3"/>
      <c r="T32" s="3"/>
      <c r="U32" s="3"/>
      <c r="V32" s="3"/>
      <c r="W32" s="3"/>
      <c r="X32" s="3"/>
      <c r="Y32" s="3"/>
    </row>
    <row r="33" spans="1:25" x14ac:dyDescent="0.25">
      <c r="A33" s="2">
        <v>1000000000000000</v>
      </c>
      <c r="B33" s="3">
        <v>-3.9459999999999999E-3</v>
      </c>
      <c r="C33" s="3">
        <v>2.6770000000000001E-3</v>
      </c>
      <c r="D33" s="3">
        <v>9.5529999999999996E-4</v>
      </c>
      <c r="E33" s="3">
        <v>0</v>
      </c>
      <c r="F33" s="3">
        <v>0</v>
      </c>
      <c r="G33" s="3">
        <v>0</v>
      </c>
      <c r="H33" s="3">
        <v>1.4097812E-3</v>
      </c>
      <c r="I33" s="3">
        <v>4.4221259000000001E-4</v>
      </c>
      <c r="J33" s="3">
        <v>-3.0850089000000001E-3</v>
      </c>
      <c r="K33" s="3"/>
      <c r="L33" s="3">
        <f t="shared" si="0"/>
        <v>4.1306395896576991</v>
      </c>
      <c r="M33" s="3"/>
      <c r="N33" s="2">
        <f>IF('Modell einstellen'!$B$1="Voll",H33/0.35,H33/0.35*2)</f>
        <v>4.0279462857142857E-3</v>
      </c>
      <c r="O33" s="2">
        <f>IF('Modell einstellen'!$B$1="Voll",J33/0.35,J33/0.35*2)</f>
        <v>-8.8143111428571428E-3</v>
      </c>
      <c r="P33" s="3">
        <f t="shared" si="1"/>
        <v>0.45697800093866831</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4.4129999999999999E-5</v>
      </c>
      <c r="C3" s="3">
        <v>1.5420000000000001E-4</v>
      </c>
      <c r="D3" s="3">
        <v>-4.7120000000000002E-4</v>
      </c>
      <c r="E3" s="3">
        <v>0</v>
      </c>
      <c r="F3" s="3">
        <v>0</v>
      </c>
      <c r="G3" s="3">
        <v>0</v>
      </c>
      <c r="H3" s="3">
        <v>7.1196389000000005E-5</v>
      </c>
      <c r="I3" s="3">
        <v>1.5717216999999999E-5</v>
      </c>
      <c r="J3" s="3">
        <v>-1.9787082999999999E-4</v>
      </c>
      <c r="K3" s="3"/>
      <c r="L3" s="3">
        <f>-B3/D3</f>
        <v>9.3654499151103562E-2</v>
      </c>
      <c r="M3" s="3"/>
      <c r="N3" s="2">
        <f>IF('Modell einstellen'!$B$1="Voll",H3/0.35,H3/0.35*2)</f>
        <v>2.0341825428571431E-4</v>
      </c>
      <c r="O3" s="2">
        <f>IF('Modell einstellen'!$B$1="Voll",J3/0.35,J3/0.35*2)</f>
        <v>-5.6534522857142858E-4</v>
      </c>
      <c r="P3" s="3">
        <f>-N3/O3</f>
        <v>0.35981245441786447</v>
      </c>
      <c r="Q3" s="3"/>
      <c r="R3" s="3"/>
      <c r="S3" s="3"/>
      <c r="T3" s="3"/>
      <c r="U3" s="3"/>
    </row>
    <row r="4" spans="1:21" x14ac:dyDescent="0.25">
      <c r="A4" s="3">
        <v>1E-14</v>
      </c>
      <c r="B4" s="3">
        <v>4.4129999999999999E-5</v>
      </c>
      <c r="C4" s="3">
        <v>1.5420000000000001E-4</v>
      </c>
      <c r="D4" s="3">
        <v>-4.7120000000000002E-4</v>
      </c>
      <c r="E4" s="3">
        <v>0</v>
      </c>
      <c r="F4" s="3">
        <v>0</v>
      </c>
      <c r="G4" s="3">
        <v>0</v>
      </c>
      <c r="H4" s="3">
        <v>7.1198031999999999E-5</v>
      </c>
      <c r="I4" s="3">
        <v>1.5718310999999998E-5</v>
      </c>
      <c r="J4" s="3">
        <v>-1.9786698000000001E-4</v>
      </c>
      <c r="K4" s="3"/>
      <c r="L4" s="3">
        <f t="shared" ref="L4:L33" si="0">-B4/D4</f>
        <v>9.3654499151103562E-2</v>
      </c>
      <c r="M4" s="3"/>
      <c r="N4" s="2">
        <f>IF('Modell einstellen'!$B$1="Voll",H4/0.35,H4/0.35*2)</f>
        <v>2.0342294857142858E-4</v>
      </c>
      <c r="O4" s="2">
        <f>IF('Modell einstellen'!$B$1="Voll",J4/0.35,J4/0.35*2)</f>
        <v>-5.6533422857142862E-4</v>
      </c>
      <c r="P4" s="3">
        <f t="shared" ref="P4:P33" si="1">-N4/O4</f>
        <v>0.35982775903286135</v>
      </c>
      <c r="Q4" s="3"/>
      <c r="R4" s="3"/>
      <c r="S4" s="3"/>
      <c r="T4" s="3"/>
      <c r="U4" s="3"/>
    </row>
    <row r="5" spans="1:21" x14ac:dyDescent="0.25">
      <c r="A5" s="3">
        <v>1E-13</v>
      </c>
      <c r="B5" s="3">
        <v>4.4129999999999999E-5</v>
      </c>
      <c r="C5" s="3">
        <v>1.5420000000000001E-4</v>
      </c>
      <c r="D5" s="3">
        <v>-4.7120000000000002E-4</v>
      </c>
      <c r="E5" s="3">
        <v>0</v>
      </c>
      <c r="F5" s="3">
        <v>0</v>
      </c>
      <c r="G5" s="3">
        <v>0</v>
      </c>
      <c r="H5" s="3">
        <v>7.1198407000000005E-5</v>
      </c>
      <c r="I5" s="3">
        <v>1.5718477999999998E-5</v>
      </c>
      <c r="J5" s="3">
        <v>-1.9786797000000001E-4</v>
      </c>
      <c r="K5" s="3"/>
      <c r="L5" s="3">
        <f t="shared" si="0"/>
        <v>9.3654499151103562E-2</v>
      </c>
      <c r="M5" s="3"/>
      <c r="N5" s="2">
        <f>IF('Modell einstellen'!$B$1="Voll",H5/0.35,H5/0.35*2)</f>
        <v>2.0342402000000004E-4</v>
      </c>
      <c r="O5" s="2">
        <f>IF('Modell einstellen'!$B$1="Voll",J5/0.35,J5/0.35*2)</f>
        <v>-5.6533705714285724E-4</v>
      </c>
      <c r="P5" s="3">
        <f t="shared" si="1"/>
        <v>0.35982785389671706</v>
      </c>
      <c r="Q5" s="3"/>
      <c r="R5" s="3"/>
      <c r="S5" s="3"/>
      <c r="T5" s="3"/>
      <c r="U5" s="3"/>
    </row>
    <row r="6" spans="1:21" x14ac:dyDescent="0.25">
      <c r="A6" s="3">
        <v>9.9999999999999998E-13</v>
      </c>
      <c r="B6" s="3">
        <v>4.4129999999999999E-5</v>
      </c>
      <c r="C6" s="3">
        <v>1.5420000000000001E-4</v>
      </c>
      <c r="D6" s="3">
        <v>-4.7120000000000002E-4</v>
      </c>
      <c r="E6" s="3">
        <v>0</v>
      </c>
      <c r="F6" s="3">
        <v>0</v>
      </c>
      <c r="G6" s="3">
        <v>0</v>
      </c>
      <c r="H6" s="3">
        <v>7.1198523000000002E-5</v>
      </c>
      <c r="I6" s="3">
        <v>1.5718524000000001E-5</v>
      </c>
      <c r="J6" s="3">
        <v>-1.9786825999999999E-4</v>
      </c>
      <c r="K6" s="3"/>
      <c r="L6" s="3">
        <f t="shared" si="0"/>
        <v>9.3654499151103562E-2</v>
      </c>
      <c r="M6" s="3"/>
      <c r="N6" s="2">
        <f>IF('Modell einstellen'!$B$1="Voll",H6/0.35,H6/0.35*2)</f>
        <v>2.0342435142857145E-4</v>
      </c>
      <c r="O6" s="2">
        <f>IF('Modell einstellen'!$B$1="Voll",J6/0.35,J6/0.35*2)</f>
        <v>-5.6533788571428573E-4</v>
      </c>
      <c r="P6" s="3">
        <f t="shared" si="1"/>
        <v>0.35982791277388299</v>
      </c>
      <c r="Q6" s="3"/>
      <c r="R6" s="3"/>
      <c r="S6" s="3"/>
      <c r="T6" s="3"/>
      <c r="U6" s="3"/>
    </row>
    <row r="7" spans="1:21" x14ac:dyDescent="0.25">
      <c r="A7" s="3">
        <v>9.9999999999999994E-12</v>
      </c>
      <c r="B7" s="3">
        <v>4.4129999999999999E-5</v>
      </c>
      <c r="C7" s="3">
        <v>1.5420000000000001E-4</v>
      </c>
      <c r="D7" s="3">
        <v>-4.7120000000000002E-4</v>
      </c>
      <c r="E7" s="3">
        <v>0</v>
      </c>
      <c r="F7" s="3">
        <v>0</v>
      </c>
      <c r="G7" s="3">
        <v>0</v>
      </c>
      <c r="H7" s="3">
        <v>7.1198561E-5</v>
      </c>
      <c r="I7" s="3">
        <v>1.5718537E-5</v>
      </c>
      <c r="J7" s="3">
        <v>-1.9786835000000001E-4</v>
      </c>
      <c r="K7" s="3"/>
      <c r="L7" s="3">
        <f t="shared" si="0"/>
        <v>9.3654499151103562E-2</v>
      </c>
      <c r="M7" s="3"/>
      <c r="N7" s="2">
        <f>IF('Modell einstellen'!$B$1="Voll",H7/0.35,H7/0.35*2)</f>
        <v>2.0342446000000001E-4</v>
      </c>
      <c r="O7" s="2">
        <f>IF('Modell einstellen'!$B$1="Voll",J7/0.35,J7/0.35*2)</f>
        <v>-5.6533814285714286E-4</v>
      </c>
      <c r="P7" s="3">
        <f t="shared" si="1"/>
        <v>0.35982794115380251</v>
      </c>
      <c r="Q7" s="3"/>
      <c r="R7" s="3"/>
      <c r="S7" s="3"/>
      <c r="T7" s="3"/>
      <c r="U7" s="3"/>
    </row>
    <row r="8" spans="1:21" x14ac:dyDescent="0.25">
      <c r="A8" s="3">
        <v>1E-10</v>
      </c>
      <c r="B8" s="3">
        <v>4.4129999999999999E-5</v>
      </c>
      <c r="C8" s="3">
        <v>1.5420000000000001E-4</v>
      </c>
      <c r="D8" s="3">
        <v>-4.7120000000000002E-4</v>
      </c>
      <c r="E8" s="3">
        <v>0</v>
      </c>
      <c r="F8" s="3">
        <v>0</v>
      </c>
      <c r="G8" s="3">
        <v>0</v>
      </c>
      <c r="H8" s="3">
        <v>7.1198577000000003E-5</v>
      </c>
      <c r="I8" s="3">
        <v>1.5718542E-5</v>
      </c>
      <c r="J8" s="3">
        <v>-1.9786838E-4</v>
      </c>
      <c r="K8" s="3"/>
      <c r="L8" s="3">
        <f t="shared" si="0"/>
        <v>9.3654499151103562E-2</v>
      </c>
      <c r="M8" s="3"/>
      <c r="N8" s="2">
        <f>IF('Modell einstellen'!$B$1="Voll",H8/0.35,H8/0.35*2)</f>
        <v>2.0342450571428572E-4</v>
      </c>
      <c r="O8" s="2">
        <f>IF('Modell einstellen'!$B$1="Voll",J8/0.35,J8/0.35*2)</f>
        <v>-5.6533822857142858E-4</v>
      </c>
      <c r="P8" s="3">
        <f t="shared" si="1"/>
        <v>0.3598279674599853</v>
      </c>
      <c r="Q8" s="3"/>
      <c r="R8" s="3"/>
      <c r="S8" s="3"/>
      <c r="T8" s="3"/>
      <c r="U8" s="3"/>
    </row>
    <row r="9" spans="1:21" x14ac:dyDescent="0.25">
      <c r="A9" s="3">
        <v>1.0000000000000001E-9</v>
      </c>
      <c r="B9" s="3">
        <v>4.4129999999999999E-5</v>
      </c>
      <c r="C9" s="3">
        <v>1.5420000000000001E-4</v>
      </c>
      <c r="D9" s="3">
        <v>-4.7120000000000002E-4</v>
      </c>
      <c r="E9" s="3">
        <v>0</v>
      </c>
      <c r="F9" s="3">
        <v>0</v>
      </c>
      <c r="G9" s="3">
        <v>0</v>
      </c>
      <c r="H9" s="3">
        <v>7.1198617000000006E-5</v>
      </c>
      <c r="I9" s="3">
        <v>1.5718548E-5</v>
      </c>
      <c r="J9" s="3">
        <v>-1.9786844999999999E-4</v>
      </c>
      <c r="K9" s="3"/>
      <c r="L9" s="3">
        <f t="shared" si="0"/>
        <v>9.3654499151103562E-2</v>
      </c>
      <c r="M9" s="3"/>
      <c r="N9" s="2">
        <f>IF('Modell einstellen'!$B$1="Voll",H9/0.35,H9/0.35*2)</f>
        <v>2.0342462000000003E-4</v>
      </c>
      <c r="O9" s="2">
        <f>IF('Modell einstellen'!$B$1="Voll",J9/0.35,J9/0.35*2)</f>
        <v>-5.6533842857142854E-4</v>
      </c>
      <c r="P9" s="3">
        <f t="shared" si="1"/>
        <v>0.35982804231801491</v>
      </c>
      <c r="Q9" s="3"/>
      <c r="R9" s="3"/>
      <c r="S9" s="3"/>
      <c r="T9" s="3"/>
      <c r="U9" s="3"/>
    </row>
    <row r="10" spans="1:21" x14ac:dyDescent="0.25">
      <c r="A10" s="3">
        <v>1E-8</v>
      </c>
      <c r="B10" s="3">
        <v>4.4129999999999999E-5</v>
      </c>
      <c r="C10" s="3">
        <v>1.5420000000000001E-4</v>
      </c>
      <c r="D10" s="3">
        <v>-4.7120000000000002E-4</v>
      </c>
      <c r="E10" s="3">
        <v>0</v>
      </c>
      <c r="F10" s="3">
        <v>0</v>
      </c>
      <c r="G10" s="3">
        <v>0</v>
      </c>
      <c r="H10" s="3">
        <v>7.1198967000000004E-5</v>
      </c>
      <c r="I10" s="3">
        <v>1.5718588999999999E-5</v>
      </c>
      <c r="J10" s="3">
        <v>-1.9786901E-4</v>
      </c>
      <c r="K10" s="3"/>
      <c r="L10" s="3">
        <f t="shared" si="0"/>
        <v>9.3654499151103562E-2</v>
      </c>
      <c r="M10" s="3"/>
      <c r="N10" s="2">
        <f>IF('Modell einstellen'!$B$1="Voll",H10/0.35,H10/0.35*2)</f>
        <v>2.0342562000000001E-4</v>
      </c>
      <c r="O10" s="2">
        <f>IF('Modell einstellen'!$B$1="Voll",J10/0.35,J10/0.35*2)</f>
        <v>-5.6534002857142865E-4</v>
      </c>
      <c r="P10" s="3">
        <f t="shared" si="1"/>
        <v>0.3598287927957996</v>
      </c>
      <c r="Q10" s="3"/>
      <c r="R10" s="3"/>
      <c r="S10" s="3"/>
      <c r="T10" s="3"/>
      <c r="U10" s="3"/>
    </row>
    <row r="11" spans="1:21" x14ac:dyDescent="0.25">
      <c r="A11" s="3">
        <v>9.9999999999999995E-8</v>
      </c>
      <c r="B11" s="3">
        <v>4.4129999999999999E-5</v>
      </c>
      <c r="C11" s="3">
        <v>1.5420000000000001E-4</v>
      </c>
      <c r="D11" s="3">
        <v>-4.7120000000000002E-4</v>
      </c>
      <c r="E11" s="3">
        <v>0</v>
      </c>
      <c r="F11" s="3">
        <v>0</v>
      </c>
      <c r="G11" s="3">
        <v>0</v>
      </c>
      <c r="H11" s="3">
        <v>7.1202458999999996E-5</v>
      </c>
      <c r="I11" s="3">
        <v>1.5719E-5</v>
      </c>
      <c r="J11" s="3">
        <v>-1.9787459000000001E-4</v>
      </c>
      <c r="K11" s="3"/>
      <c r="L11" s="3">
        <f t="shared" si="0"/>
        <v>9.3654499151103562E-2</v>
      </c>
      <c r="M11" s="3"/>
      <c r="N11" s="2">
        <f>IF('Modell einstellen'!$B$1="Voll",H11/0.35,H11/0.35*2)</f>
        <v>2.0343559714285715E-4</v>
      </c>
      <c r="O11" s="2">
        <f>IF('Modell einstellen'!$B$1="Voll",J11/0.35,J11/0.35*2)</f>
        <v>-5.6535597142857151E-4</v>
      </c>
      <c r="P11" s="3">
        <f t="shared" si="1"/>
        <v>0.35983629328050659</v>
      </c>
      <c r="Q11" s="3"/>
      <c r="R11" s="3"/>
      <c r="S11" s="3"/>
      <c r="T11" s="3"/>
      <c r="U11" s="3"/>
    </row>
    <row r="12" spans="1:21" x14ac:dyDescent="0.25">
      <c r="A12" s="3">
        <v>9.9999999999999995E-7</v>
      </c>
      <c r="B12" s="3">
        <v>4.409E-5</v>
      </c>
      <c r="C12" s="3">
        <v>1.5420000000000001E-4</v>
      </c>
      <c r="D12" s="3">
        <v>-4.7130000000000002E-4</v>
      </c>
      <c r="E12" s="3">
        <v>0</v>
      </c>
      <c r="F12" s="3">
        <v>0</v>
      </c>
      <c r="G12" s="3">
        <v>0</v>
      </c>
      <c r="H12" s="3">
        <v>7.1237144000000003E-5</v>
      </c>
      <c r="I12" s="3">
        <v>1.5723084000000002E-5</v>
      </c>
      <c r="J12" s="3">
        <v>-1.9792995999999999E-4</v>
      </c>
      <c r="K12" s="3"/>
      <c r="L12" s="3">
        <f t="shared" si="0"/>
        <v>9.3549755994058986E-2</v>
      </c>
      <c r="M12" s="3"/>
      <c r="N12" s="2">
        <f>IF('Modell einstellen'!$B$1="Voll",H12/0.35,H12/0.35*2)</f>
        <v>2.0353469714285717E-4</v>
      </c>
      <c r="O12" s="2">
        <f>IF('Modell einstellen'!$B$1="Voll",J12/0.35,J12/0.35*2)</f>
        <v>-5.6551417142857146E-4</v>
      </c>
      <c r="P12" s="3">
        <f t="shared" si="1"/>
        <v>0.35991086948130546</v>
      </c>
      <c r="Q12" s="3"/>
      <c r="R12" s="3"/>
      <c r="S12" s="3"/>
      <c r="T12" s="3"/>
      <c r="U12" s="3"/>
    </row>
    <row r="13" spans="1:21" x14ac:dyDescent="0.25">
      <c r="A13" s="3">
        <v>1.0000000000000001E-5</v>
      </c>
      <c r="B13" s="3">
        <v>4.3720000000000002E-5</v>
      </c>
      <c r="C13" s="3">
        <v>1.5459999999999999E-4</v>
      </c>
      <c r="D13" s="3">
        <v>-4.7150000000000002E-4</v>
      </c>
      <c r="E13" s="3">
        <v>0</v>
      </c>
      <c r="F13" s="3">
        <v>0</v>
      </c>
      <c r="G13" s="3">
        <v>0</v>
      </c>
      <c r="H13" s="3">
        <v>7.1561984999999996E-5</v>
      </c>
      <c r="I13" s="3">
        <v>1.5761291999999999E-5</v>
      </c>
      <c r="J13" s="3">
        <v>-1.9844835999999999E-4</v>
      </c>
      <c r="K13" s="3"/>
      <c r="L13" s="3">
        <f t="shared" si="0"/>
        <v>9.2725344644750796E-2</v>
      </c>
      <c r="M13" s="3"/>
      <c r="N13" s="2">
        <f>IF('Modell einstellen'!$B$1="Voll",H13/0.35,H13/0.35*2)</f>
        <v>2.0446281428571428E-4</v>
      </c>
      <c r="O13" s="2">
        <f>IF('Modell einstellen'!$B$1="Voll",J13/0.35,J13/0.35*2)</f>
        <v>-5.6699531428571425E-4</v>
      </c>
      <c r="P13" s="3">
        <f t="shared" si="1"/>
        <v>0.36060759081103017</v>
      </c>
      <c r="Q13" s="3"/>
      <c r="R13" s="3"/>
      <c r="S13" s="3"/>
      <c r="T13" s="3"/>
      <c r="U13" s="3"/>
    </row>
    <row r="14" spans="1:21" x14ac:dyDescent="0.25">
      <c r="A14" s="3">
        <v>1E-4</v>
      </c>
      <c r="B14" s="3">
        <v>4.1980000000000001E-5</v>
      </c>
      <c r="C14" s="3">
        <v>1.5669999999999999E-4</v>
      </c>
      <c r="D14" s="3">
        <v>-4.7350000000000002E-4</v>
      </c>
      <c r="E14" s="3">
        <v>0</v>
      </c>
      <c r="F14" s="3">
        <v>0</v>
      </c>
      <c r="G14" s="3">
        <v>0</v>
      </c>
      <c r="H14" s="3">
        <v>7.3446963000000002E-5</v>
      </c>
      <c r="I14" s="3">
        <v>1.6001136E-5</v>
      </c>
      <c r="J14" s="3">
        <v>-2.0150705000000001E-4</v>
      </c>
      <c r="K14" s="3"/>
      <c r="L14" s="3">
        <f t="shared" si="0"/>
        <v>8.865892291446674E-2</v>
      </c>
      <c r="M14" s="3"/>
      <c r="N14" s="2">
        <f>IF('Modell einstellen'!$B$1="Voll",H14/0.35,H14/0.35*2)</f>
        <v>2.0984846571428574E-4</v>
      </c>
      <c r="O14" s="2">
        <f>IF('Modell einstellen'!$B$1="Voll",J14/0.35,J14/0.35*2)</f>
        <v>-5.7573442857142862E-4</v>
      </c>
      <c r="P14" s="3">
        <f t="shared" si="1"/>
        <v>0.36448830450349007</v>
      </c>
      <c r="Q14" s="3"/>
      <c r="R14" s="3"/>
      <c r="S14" s="3"/>
      <c r="T14" s="3"/>
      <c r="U14" s="3"/>
    </row>
    <row r="15" spans="1:21" x14ac:dyDescent="0.25">
      <c r="A15" s="3">
        <v>1E-3</v>
      </c>
      <c r="B15" s="3">
        <v>3.9409999999999997E-5</v>
      </c>
      <c r="C15" s="3">
        <v>1.594E-4</v>
      </c>
      <c r="D15" s="3">
        <v>-4.7560000000000001E-4</v>
      </c>
      <c r="E15" s="3">
        <v>0</v>
      </c>
      <c r="F15" s="3">
        <v>0</v>
      </c>
      <c r="G15" s="3">
        <v>0</v>
      </c>
      <c r="H15" s="3">
        <v>7.5915032999999998E-5</v>
      </c>
      <c r="I15" s="3">
        <v>1.6303140999999999E-5</v>
      </c>
      <c r="J15" s="3">
        <v>-2.0545565000000001E-4</v>
      </c>
      <c r="K15" s="3"/>
      <c r="L15" s="3">
        <f t="shared" si="0"/>
        <v>8.2863751051303614E-2</v>
      </c>
      <c r="M15" s="3"/>
      <c r="N15" s="2">
        <f>IF('Modell einstellen'!$B$1="Voll",H15/0.35,H15/0.35*2)</f>
        <v>2.1690009428571429E-4</v>
      </c>
      <c r="O15" s="2">
        <f>IF('Modell einstellen'!$B$1="Voll",J15/0.35,J15/0.35*2)</f>
        <v>-5.8701614285714288E-4</v>
      </c>
      <c r="P15" s="3">
        <f t="shared" si="1"/>
        <v>0.36949596178055943</v>
      </c>
      <c r="Q15" s="3"/>
      <c r="R15" s="3"/>
      <c r="S15" s="3"/>
      <c r="T15" s="3"/>
      <c r="U15" s="3"/>
    </row>
    <row r="16" spans="1:21" x14ac:dyDescent="0.25">
      <c r="A16" s="3">
        <v>0.01</v>
      </c>
      <c r="B16" s="3">
        <v>3.6159999999999999E-5</v>
      </c>
      <c r="C16" s="3">
        <v>1.6239999999999999E-4</v>
      </c>
      <c r="D16" s="3">
        <v>-4.7770000000000001E-4</v>
      </c>
      <c r="E16" s="3">
        <v>0</v>
      </c>
      <c r="F16" s="3">
        <v>0</v>
      </c>
      <c r="G16" s="3">
        <v>0</v>
      </c>
      <c r="H16" s="3">
        <v>7.8785680000000006E-5</v>
      </c>
      <c r="I16" s="3">
        <v>1.6644215E-5</v>
      </c>
      <c r="J16" s="3">
        <v>-2.0999422000000001E-4</v>
      </c>
      <c r="K16" s="3"/>
      <c r="L16" s="3">
        <f t="shared" si="0"/>
        <v>7.5696043541971944E-2</v>
      </c>
      <c r="M16" s="3"/>
      <c r="N16" s="2">
        <f>IF('Modell einstellen'!$B$1="Voll",H16/0.35,H16/0.35*2)</f>
        <v>2.2510194285714288E-4</v>
      </c>
      <c r="O16" s="2">
        <f>IF('Modell einstellen'!$B$1="Voll",J16/0.35,J16/0.35*2)</f>
        <v>-5.9998348571428575E-4</v>
      </c>
      <c r="P16" s="3">
        <f t="shared" si="1"/>
        <v>0.37518023115112409</v>
      </c>
      <c r="Q16" s="3"/>
      <c r="R16" s="3"/>
      <c r="S16" s="3"/>
      <c r="T16" s="3"/>
      <c r="U16" s="3"/>
    </row>
    <row r="17" spans="1:21" x14ac:dyDescent="0.25">
      <c r="A17" s="3">
        <v>0.1</v>
      </c>
      <c r="B17" s="3">
        <v>3.171E-5</v>
      </c>
      <c r="C17" s="3">
        <v>1.661E-4</v>
      </c>
      <c r="D17" s="3">
        <v>-4.796E-4</v>
      </c>
      <c r="E17" s="3">
        <v>0</v>
      </c>
      <c r="F17" s="3">
        <v>0</v>
      </c>
      <c r="G17" s="3">
        <v>0</v>
      </c>
      <c r="H17" s="3">
        <v>8.2424144000000003E-5</v>
      </c>
      <c r="I17" s="3">
        <v>1.7062135E-5</v>
      </c>
      <c r="J17" s="3">
        <v>-2.1566983999999999E-4</v>
      </c>
      <c r="K17" s="3"/>
      <c r="L17" s="3">
        <f t="shared" si="0"/>
        <v>6.6117597998331945E-2</v>
      </c>
      <c r="M17" s="3"/>
      <c r="N17" s="2">
        <f>IF('Modell einstellen'!$B$1="Voll",H17/0.35,H17/0.35*2)</f>
        <v>2.3549755428571432E-4</v>
      </c>
      <c r="O17" s="2">
        <f>IF('Modell einstellen'!$B$1="Voll",J17/0.35,J17/0.35*2)</f>
        <v>-6.1619954285714292E-4</v>
      </c>
      <c r="P17" s="3">
        <f t="shared" si="1"/>
        <v>0.38217742453001313</v>
      </c>
      <c r="Q17" s="3"/>
      <c r="R17" s="3"/>
      <c r="S17" s="3"/>
      <c r="T17" s="3"/>
      <c r="U17" s="3"/>
    </row>
    <row r="18" spans="1:21" x14ac:dyDescent="0.25">
      <c r="A18" s="3">
        <v>1</v>
      </c>
      <c r="B18" s="3">
        <v>2.6299999999999999E-5</v>
      </c>
      <c r="C18" s="3">
        <v>1.7019999999999999E-4</v>
      </c>
      <c r="D18" s="3">
        <v>-4.8119999999999999E-4</v>
      </c>
      <c r="E18" s="3">
        <v>0</v>
      </c>
      <c r="F18" s="3">
        <v>0</v>
      </c>
      <c r="G18" s="3">
        <v>0</v>
      </c>
      <c r="H18" s="3">
        <v>8.6592362000000004E-5</v>
      </c>
      <c r="I18" s="3">
        <v>1.7532123000000001E-5</v>
      </c>
      <c r="J18" s="3">
        <v>-2.2209684E-4</v>
      </c>
      <c r="K18" s="3"/>
      <c r="L18" s="3">
        <f t="shared" si="0"/>
        <v>5.4655029093931835E-2</v>
      </c>
      <c r="M18" s="3"/>
      <c r="N18" s="2">
        <f>IF('Modell einstellen'!$B$1="Voll",H18/0.35,H18/0.35*2)</f>
        <v>2.4740674857142862E-4</v>
      </c>
      <c r="O18" s="2">
        <f>IF('Modell einstellen'!$B$1="Voll",J18/0.35,J18/0.35*2)</f>
        <v>-6.345624E-4</v>
      </c>
      <c r="P18" s="3">
        <f t="shared" si="1"/>
        <v>0.38988561025902041</v>
      </c>
      <c r="Q18" s="3"/>
      <c r="R18" s="3"/>
      <c r="S18" s="3"/>
      <c r="T18" s="3"/>
      <c r="U18" s="3"/>
    </row>
    <row r="19" spans="1:21" x14ac:dyDescent="0.25">
      <c r="A19" s="3">
        <v>10</v>
      </c>
      <c r="B19" s="3">
        <v>2.0299999999999999E-5</v>
      </c>
      <c r="C19" s="3">
        <v>1.7650000000000001E-4</v>
      </c>
      <c r="D19" s="3">
        <v>-4.8460000000000002E-4</v>
      </c>
      <c r="E19" s="3">
        <v>0</v>
      </c>
      <c r="F19" s="3">
        <v>0</v>
      </c>
      <c r="G19" s="3">
        <v>0</v>
      </c>
      <c r="H19" s="3">
        <v>9.1992653000000002E-5</v>
      </c>
      <c r="I19" s="3">
        <v>1.8252865E-5</v>
      </c>
      <c r="J19" s="3">
        <v>-2.3068123E-4</v>
      </c>
      <c r="K19" s="3"/>
      <c r="L19" s="3">
        <f t="shared" si="0"/>
        <v>4.1890218737102761E-2</v>
      </c>
      <c r="M19" s="3"/>
      <c r="N19" s="2">
        <f>IF('Modell einstellen'!$B$1="Voll",H19/0.35,H19/0.35*2)</f>
        <v>2.6283615142857147E-4</v>
      </c>
      <c r="O19" s="2">
        <f>IF('Modell einstellen'!$B$1="Voll",J19/0.35,J19/0.35*2)</f>
        <v>-6.5908922857142857E-4</v>
      </c>
      <c r="P19" s="3">
        <f t="shared" si="1"/>
        <v>0.3987869017344845</v>
      </c>
      <c r="Q19" s="3"/>
      <c r="R19" s="3"/>
      <c r="S19" s="3"/>
      <c r="T19" s="3"/>
      <c r="U19" s="3"/>
    </row>
    <row r="20" spans="1:21" x14ac:dyDescent="0.25">
      <c r="A20" s="3">
        <v>100</v>
      </c>
      <c r="B20" s="3">
        <v>2.1350000000000001E-5</v>
      </c>
      <c r="C20" s="3">
        <v>1.9320000000000001E-4</v>
      </c>
      <c r="D20" s="3">
        <v>-5.0379999999999999E-4</v>
      </c>
      <c r="E20" s="3">
        <v>0</v>
      </c>
      <c r="F20" s="3">
        <v>0</v>
      </c>
      <c r="G20" s="3">
        <v>0</v>
      </c>
      <c r="H20" s="3">
        <v>9.9872318999999994E-5</v>
      </c>
      <c r="I20" s="3">
        <v>2.0176715000000001E-5</v>
      </c>
      <c r="J20" s="3">
        <v>-2.4564283000000001E-4</v>
      </c>
      <c r="K20" s="3"/>
      <c r="L20" s="3">
        <f t="shared" si="0"/>
        <v>4.2377927749106793E-2</v>
      </c>
      <c r="M20" s="3"/>
      <c r="N20" s="2">
        <f>IF('Modell einstellen'!$B$1="Voll",H20/0.35,H20/0.35*2)</f>
        <v>2.8534948285714284E-4</v>
      </c>
      <c r="O20" s="2">
        <f>IF('Modell einstellen'!$B$1="Voll",J20/0.35,J20/0.35*2)</f>
        <v>-7.0183665714285723E-4</v>
      </c>
      <c r="P20" s="3">
        <f t="shared" si="1"/>
        <v>0.40657534762972719</v>
      </c>
      <c r="Q20" s="3"/>
      <c r="R20" s="3"/>
      <c r="S20" s="3"/>
      <c r="T20" s="3"/>
      <c r="U20" s="3"/>
    </row>
    <row r="21" spans="1:21" x14ac:dyDescent="0.25">
      <c r="A21" s="3">
        <v>1000</v>
      </c>
      <c r="B21" s="3">
        <v>4.3770000000000003E-5</v>
      </c>
      <c r="C21" s="3">
        <v>2.3110000000000001E-4</v>
      </c>
      <c r="D21" s="3">
        <v>-5.6030000000000001E-4</v>
      </c>
      <c r="E21" s="3">
        <v>0</v>
      </c>
      <c r="F21" s="3">
        <v>0</v>
      </c>
      <c r="G21" s="3">
        <v>0</v>
      </c>
      <c r="H21" s="3">
        <v>1.1064323999999999E-4</v>
      </c>
      <c r="I21" s="3">
        <v>2.4620198E-5</v>
      </c>
      <c r="J21" s="3">
        <v>-2.7143738999999998E-4</v>
      </c>
      <c r="K21" s="3"/>
      <c r="L21" s="3">
        <f t="shared" si="0"/>
        <v>7.8118864893806886E-2</v>
      </c>
      <c r="M21" s="3"/>
      <c r="N21" s="2">
        <f>IF('Modell einstellen'!$B$1="Voll",H21/0.35,H21/0.35*2)</f>
        <v>3.1612354285714289E-4</v>
      </c>
      <c r="O21" s="2">
        <f>IF('Modell einstellen'!$B$1="Voll",J21/0.35,J21/0.35*2)</f>
        <v>-7.7553539999999997E-4</v>
      </c>
      <c r="P21" s="3">
        <f t="shared" si="1"/>
        <v>0.40761974612266944</v>
      </c>
      <c r="Q21" s="3"/>
      <c r="R21" s="3"/>
      <c r="S21" s="3"/>
      <c r="T21" s="3"/>
      <c r="U21" s="3"/>
    </row>
    <row r="22" spans="1:21" x14ac:dyDescent="0.25">
      <c r="A22" s="3">
        <v>10000</v>
      </c>
      <c r="B22" s="3">
        <v>7.7529999999999998E-5</v>
      </c>
      <c r="C22" s="3">
        <v>2.8269999999999999E-4</v>
      </c>
      <c r="D22" s="3">
        <v>-6.3969999999999999E-4</v>
      </c>
      <c r="E22" s="3">
        <v>0</v>
      </c>
      <c r="F22" s="3">
        <v>0</v>
      </c>
      <c r="G22" s="3">
        <v>0</v>
      </c>
      <c r="H22" s="3">
        <v>1.2323548E-4</v>
      </c>
      <c r="I22" s="3">
        <v>3.0881842999999997E-5</v>
      </c>
      <c r="J22" s="3">
        <v>-3.0507026E-4</v>
      </c>
      <c r="K22" s="3"/>
      <c r="L22" s="3">
        <f t="shared" si="0"/>
        <v>0.12119743629826481</v>
      </c>
      <c r="M22" s="3"/>
      <c r="N22" s="2">
        <f>IF('Modell einstellen'!$B$1="Voll",H22/0.35,H22/0.35*2)</f>
        <v>3.5210137142857145E-4</v>
      </c>
      <c r="O22" s="2">
        <f>IF('Modell einstellen'!$B$1="Voll",J22/0.35,J22/0.35*2)</f>
        <v>-8.7162931428571438E-4</v>
      </c>
      <c r="P22" s="3">
        <f t="shared" si="1"/>
        <v>0.40395769813812726</v>
      </c>
      <c r="Q22" s="3"/>
      <c r="R22" s="3"/>
      <c r="S22" s="3"/>
      <c r="T22" s="3"/>
      <c r="U22" s="3"/>
    </row>
    <row r="23" spans="1:21" x14ac:dyDescent="0.25">
      <c r="A23" s="3">
        <v>100000</v>
      </c>
      <c r="B23" s="3">
        <v>1.081E-4</v>
      </c>
      <c r="C23" s="3">
        <v>3.3780000000000003E-4</v>
      </c>
      <c r="D23" s="3">
        <v>-7.205E-4</v>
      </c>
      <c r="E23" s="3">
        <v>0</v>
      </c>
      <c r="F23" s="3">
        <v>0</v>
      </c>
      <c r="G23" s="3">
        <v>0</v>
      </c>
      <c r="H23" s="3">
        <v>1.3742002E-4</v>
      </c>
      <c r="I23" s="3">
        <v>3.7848795999999998E-5</v>
      </c>
      <c r="J23" s="3">
        <v>-3.4312448000000002E-4</v>
      </c>
      <c r="K23" s="3"/>
      <c r="L23" s="3">
        <f t="shared" si="0"/>
        <v>0.15003469812630119</v>
      </c>
      <c r="M23" s="3"/>
      <c r="N23" s="2">
        <f>IF('Modell einstellen'!$B$1="Voll",H23/0.35,H23/0.35*2)</f>
        <v>3.9262862857142859E-4</v>
      </c>
      <c r="O23" s="2">
        <f>IF('Modell einstellen'!$B$1="Voll",J23/0.35,J23/0.35*2)</f>
        <v>-9.803556571428573E-4</v>
      </c>
      <c r="P23" s="3">
        <f t="shared" si="1"/>
        <v>0.40049611149866071</v>
      </c>
      <c r="Q23" s="3"/>
      <c r="R23" s="3"/>
      <c r="S23" s="3"/>
      <c r="T23" s="3"/>
      <c r="U23" s="3"/>
    </row>
    <row r="24" spans="1:21" x14ac:dyDescent="0.25">
      <c r="A24" s="3">
        <v>1000000</v>
      </c>
      <c r="B24" s="3">
        <v>1.2769999999999999E-4</v>
      </c>
      <c r="C24" s="3">
        <v>3.948E-4</v>
      </c>
      <c r="D24" s="3">
        <v>-7.9500000000000003E-4</v>
      </c>
      <c r="E24" s="3">
        <v>0</v>
      </c>
      <c r="F24" s="3">
        <v>0</v>
      </c>
      <c r="G24" s="3">
        <v>0</v>
      </c>
      <c r="H24" s="3">
        <v>1.5458875999999999E-4</v>
      </c>
      <c r="I24" s="3">
        <v>4.5409998999999998E-5</v>
      </c>
      <c r="J24" s="3">
        <v>-3.8692875000000002E-4</v>
      </c>
      <c r="K24" s="3"/>
      <c r="L24" s="3">
        <f t="shared" si="0"/>
        <v>0.16062893081761004</v>
      </c>
      <c r="M24" s="3"/>
      <c r="N24" s="2">
        <f>IF('Modell einstellen'!$B$1="Voll",H24/0.35,H24/0.35*2)</f>
        <v>4.4168217142857142E-4</v>
      </c>
      <c r="O24" s="2">
        <f>IF('Modell einstellen'!$B$1="Voll",J24/0.35,J24/0.35*2)</f>
        <v>-1.1055107142857144E-3</v>
      </c>
      <c r="P24" s="3">
        <f t="shared" si="1"/>
        <v>0.39952771666618203</v>
      </c>
      <c r="Q24" s="3"/>
      <c r="R24" s="3"/>
      <c r="S24" s="3"/>
      <c r="T24" s="3"/>
      <c r="U24" s="3"/>
    </row>
    <row r="25" spans="1:21" x14ac:dyDescent="0.25">
      <c r="A25" s="3">
        <v>10000000</v>
      </c>
      <c r="B25" s="3">
        <v>1.247E-4</v>
      </c>
      <c r="C25" s="3">
        <v>4.6440000000000001E-4</v>
      </c>
      <c r="D25" s="3">
        <v>-8.633E-4</v>
      </c>
      <c r="E25" s="3">
        <v>0</v>
      </c>
      <c r="F25" s="3">
        <v>0</v>
      </c>
      <c r="G25" s="3">
        <v>0</v>
      </c>
      <c r="H25" s="3">
        <v>1.8028515E-4</v>
      </c>
      <c r="I25" s="3">
        <v>5.5134611999999998E-5</v>
      </c>
      <c r="J25" s="3">
        <v>-4.4791862000000002E-4</v>
      </c>
      <c r="K25" s="3"/>
      <c r="L25" s="3">
        <f t="shared" si="0"/>
        <v>0.14444573149542453</v>
      </c>
      <c r="M25" s="3"/>
      <c r="N25" s="2">
        <f>IF('Modell einstellen'!$B$1="Voll",H25/0.35,H25/0.35*2)</f>
        <v>5.1510042857142856E-4</v>
      </c>
      <c r="O25" s="2">
        <f>IF('Modell einstellen'!$B$1="Voll",J25/0.35,J25/0.35*2)</f>
        <v>-1.2797674857142859E-3</v>
      </c>
      <c r="P25" s="3">
        <f t="shared" si="1"/>
        <v>0.40249532381574127</v>
      </c>
      <c r="Q25" s="3"/>
      <c r="R25" s="3"/>
      <c r="S25" s="3"/>
      <c r="T25" s="3"/>
      <c r="U25" s="3"/>
    </row>
    <row r="26" spans="1:21" x14ac:dyDescent="0.25">
      <c r="A26" s="3">
        <v>100000000</v>
      </c>
      <c r="B26" s="3">
        <v>7.9010000000000004E-5</v>
      </c>
      <c r="C26" s="3">
        <v>5.6150000000000004E-4</v>
      </c>
      <c r="D26" s="3">
        <v>-9.1980000000000002E-4</v>
      </c>
      <c r="E26" s="3">
        <v>0</v>
      </c>
      <c r="F26" s="3">
        <v>0</v>
      </c>
      <c r="G26" s="3">
        <v>0</v>
      </c>
      <c r="H26" s="3">
        <v>2.2108277000000001E-4</v>
      </c>
      <c r="I26" s="3">
        <v>6.9456720000000003E-5</v>
      </c>
      <c r="J26" s="3">
        <v>-5.4139352999999998E-4</v>
      </c>
      <c r="K26" s="3"/>
      <c r="L26" s="3">
        <f t="shared" si="0"/>
        <v>8.5899108501848231E-2</v>
      </c>
      <c r="M26" s="3"/>
      <c r="N26" s="2">
        <f>IF('Modell einstellen'!$B$1="Voll",H26/0.35,H26/0.35*2)</f>
        <v>6.3166505714285718E-4</v>
      </c>
      <c r="O26" s="2">
        <f>IF('Modell einstellen'!$B$1="Voll",J26/0.35,J26/0.35*2)</f>
        <v>-1.5468386571428571E-3</v>
      </c>
      <c r="P26" s="3">
        <f t="shared" si="1"/>
        <v>0.40835872198177181</v>
      </c>
      <c r="Q26" s="3"/>
      <c r="R26" s="3"/>
      <c r="S26" s="3"/>
      <c r="T26" s="3"/>
      <c r="U26" s="3"/>
    </row>
    <row r="27" spans="1:21" x14ac:dyDescent="0.25">
      <c r="A27" s="3">
        <v>1000000000</v>
      </c>
      <c r="B27" s="3">
        <v>-7.1299999999999998E-5</v>
      </c>
      <c r="C27" s="3">
        <v>7.1659999999999996E-4</v>
      </c>
      <c r="D27" s="3">
        <v>-9.3300000000000002E-4</v>
      </c>
      <c r="E27" s="3">
        <v>0</v>
      </c>
      <c r="F27" s="3">
        <v>0</v>
      </c>
      <c r="G27" s="3">
        <v>0</v>
      </c>
      <c r="H27" s="3">
        <v>2.9380897999999999E-4</v>
      </c>
      <c r="I27" s="3">
        <v>9.3722209E-5</v>
      </c>
      <c r="J27" s="3">
        <v>-7.0361765000000003E-4</v>
      </c>
      <c r="K27" s="3"/>
      <c r="L27" s="3">
        <f t="shared" si="0"/>
        <v>-7.6420150053590569E-2</v>
      </c>
      <c r="M27" s="3"/>
      <c r="N27" s="2">
        <f>IF('Modell einstellen'!$B$1="Voll",H27/0.35,H27/0.35*2)</f>
        <v>8.3945422857142861E-4</v>
      </c>
      <c r="O27" s="2">
        <f>IF('Modell einstellen'!$B$1="Voll",J27/0.35,J27/0.35*2)</f>
        <v>-2.0103361428571429E-3</v>
      </c>
      <c r="P27" s="3">
        <f t="shared" si="1"/>
        <v>0.41756908741558713</v>
      </c>
      <c r="Q27" s="3"/>
      <c r="R27" s="3"/>
      <c r="S27" s="3"/>
      <c r="T27" s="3"/>
      <c r="U27" s="3"/>
    </row>
    <row r="28" spans="1:21" x14ac:dyDescent="0.25">
      <c r="A28" s="3">
        <v>10000000000</v>
      </c>
      <c r="B28" s="3">
        <v>-5.2079999999999997E-4</v>
      </c>
      <c r="C28" s="3">
        <v>1.013E-3</v>
      </c>
      <c r="D28" s="3">
        <v>-7.9069999999999997E-4</v>
      </c>
      <c r="E28" s="3">
        <v>0</v>
      </c>
      <c r="F28" s="3">
        <v>0</v>
      </c>
      <c r="G28" s="3">
        <v>0</v>
      </c>
      <c r="H28" s="3">
        <v>4.5070971999999998E-4</v>
      </c>
      <c r="I28" s="3">
        <v>1.4327417000000001E-4</v>
      </c>
      <c r="J28" s="3">
        <v>-1.0426226E-3</v>
      </c>
      <c r="K28" s="3"/>
      <c r="L28" s="3">
        <f t="shared" si="0"/>
        <v>-0.65865688630327557</v>
      </c>
      <c r="M28" s="3"/>
      <c r="N28" s="2">
        <f>IF('Modell einstellen'!$B$1="Voll",H28/0.35,H28/0.35*2)</f>
        <v>1.2877420571428572E-3</v>
      </c>
      <c r="O28" s="2">
        <f>IF('Modell einstellen'!$B$1="Voll",J28/0.35,J28/0.35*2)</f>
        <v>-2.9789217142857146E-3</v>
      </c>
      <c r="P28" s="3">
        <f t="shared" si="1"/>
        <v>0.43228462532847456</v>
      </c>
      <c r="Q28" s="3"/>
      <c r="R28" s="3"/>
      <c r="S28" s="3"/>
      <c r="T28" s="3"/>
      <c r="U28" s="3"/>
    </row>
    <row r="29" spans="1:21" x14ac:dyDescent="0.25">
      <c r="A29" s="3">
        <v>100000000000</v>
      </c>
      <c r="B29" s="3">
        <v>-1.6260000000000001E-3</v>
      </c>
      <c r="C29" s="3">
        <v>1.5590000000000001E-3</v>
      </c>
      <c r="D29" s="3">
        <v>-2.4130000000000001E-4</v>
      </c>
      <c r="E29" s="3">
        <v>0</v>
      </c>
      <c r="F29" s="3">
        <v>0</v>
      </c>
      <c r="G29" s="3">
        <v>0</v>
      </c>
      <c r="H29" s="3">
        <v>7.7029338999999998E-4</v>
      </c>
      <c r="I29" s="3">
        <v>2.3965552999999999E-4</v>
      </c>
      <c r="J29" s="3">
        <v>-1.7138715E-3</v>
      </c>
      <c r="K29" s="3"/>
      <c r="L29" s="3">
        <f t="shared" si="0"/>
        <v>-6.7384997927890593</v>
      </c>
      <c r="M29" s="3"/>
      <c r="N29" s="2">
        <f>IF('Modell einstellen'!$B$1="Voll",H29/0.35,H29/0.35*2)</f>
        <v>2.200838257142857E-3</v>
      </c>
      <c r="O29" s="2">
        <f>IF('Modell einstellen'!$B$1="Voll",J29/0.35,J29/0.35*2)</f>
        <v>-4.8967757142857147E-3</v>
      </c>
      <c r="P29" s="3">
        <f t="shared" si="1"/>
        <v>0.44944640832174404</v>
      </c>
      <c r="Q29" s="3"/>
      <c r="R29" s="3"/>
      <c r="S29" s="3"/>
      <c r="T29" s="3"/>
      <c r="U29" s="3"/>
    </row>
    <row r="30" spans="1:21" x14ac:dyDescent="0.25">
      <c r="A30" s="3">
        <v>1000000000000</v>
      </c>
      <c r="B30" s="3">
        <v>-3.8960000000000002E-3</v>
      </c>
      <c r="C30" s="3">
        <v>2.539E-3</v>
      </c>
      <c r="D30" s="3">
        <v>1.041E-3</v>
      </c>
      <c r="E30" s="3">
        <v>0</v>
      </c>
      <c r="F30" s="3">
        <v>0</v>
      </c>
      <c r="G30" s="3">
        <v>0</v>
      </c>
      <c r="H30" s="3">
        <v>1.3771527E-3</v>
      </c>
      <c r="I30" s="3">
        <v>4.1724421999999998E-4</v>
      </c>
      <c r="J30" s="3">
        <v>-2.9625049999999998E-3</v>
      </c>
      <c r="K30" s="3"/>
      <c r="L30" s="3">
        <f t="shared" si="0"/>
        <v>3.7425552353506246</v>
      </c>
      <c r="M30" s="3"/>
      <c r="N30" s="2">
        <f>IF('Modell einstellen'!$B$1="Voll",H30/0.35,H30/0.35*2)</f>
        <v>3.9347219999999999E-3</v>
      </c>
      <c r="O30" s="2">
        <f>IF('Modell einstellen'!$B$1="Voll",J30/0.35,J30/0.35*2)</f>
        <v>-8.4642999999999993E-3</v>
      </c>
      <c r="P30" s="3">
        <f t="shared" si="1"/>
        <v>0.46486088631074041</v>
      </c>
      <c r="Q30" s="3"/>
      <c r="R30" s="3"/>
      <c r="S30" s="3"/>
      <c r="T30" s="3"/>
      <c r="U30" s="3"/>
    </row>
    <row r="31" spans="1:21" x14ac:dyDescent="0.25">
      <c r="A31" s="3">
        <v>10000000000000</v>
      </c>
      <c r="B31" s="3">
        <v>-8.1429999999999992E-3</v>
      </c>
      <c r="C31" s="3">
        <v>4.267E-3</v>
      </c>
      <c r="D31" s="3">
        <v>3.5539999999999999E-3</v>
      </c>
      <c r="E31" s="3">
        <v>0</v>
      </c>
      <c r="F31" s="3">
        <v>0</v>
      </c>
      <c r="G31" s="3">
        <v>0</v>
      </c>
      <c r="H31" s="3">
        <v>2.4894317000000001E-3</v>
      </c>
      <c r="I31" s="3">
        <v>7.3721020000000004E-4</v>
      </c>
      <c r="J31" s="3">
        <v>-5.2133461000000002E-3</v>
      </c>
      <c r="K31" s="3"/>
      <c r="L31" s="3">
        <f t="shared" si="0"/>
        <v>2.2912211592571747</v>
      </c>
      <c r="M31" s="3"/>
      <c r="N31" s="2">
        <f>IF('Modell einstellen'!$B$1="Voll",H31/0.35,H31/0.35*2)</f>
        <v>7.1126620000000005E-3</v>
      </c>
      <c r="O31" s="2">
        <f>IF('Modell einstellen'!$B$1="Voll",J31/0.35,J31/0.35*2)</f>
        <v>-1.4895274571428573E-2</v>
      </c>
      <c r="P31" s="3">
        <f t="shared" si="1"/>
        <v>0.47751130507142042</v>
      </c>
      <c r="Q31" s="3"/>
      <c r="R31" s="3"/>
      <c r="S31" s="3"/>
      <c r="T31" s="3"/>
      <c r="U31" s="3"/>
    </row>
    <row r="32" spans="1:21" x14ac:dyDescent="0.25">
      <c r="A32" s="3">
        <v>100000000000000</v>
      </c>
      <c r="B32" s="3">
        <v>-1.244E-2</v>
      </c>
      <c r="C32" s="3">
        <v>5.9930000000000001E-3</v>
      </c>
      <c r="D32" s="3">
        <v>6.1180000000000002E-3</v>
      </c>
      <c r="E32" s="3">
        <v>0</v>
      </c>
      <c r="F32" s="3">
        <v>0</v>
      </c>
      <c r="G32" s="3">
        <v>0</v>
      </c>
      <c r="H32" s="3">
        <v>3.6301923000000001E-3</v>
      </c>
      <c r="I32" s="3">
        <v>1.0699716000000001E-3</v>
      </c>
      <c r="J32" s="3">
        <v>-7.5153310999999997E-3</v>
      </c>
      <c r="K32" s="3"/>
      <c r="L32" s="3">
        <f t="shared" si="0"/>
        <v>2.0333442301405689</v>
      </c>
      <c r="M32" s="3"/>
      <c r="N32" s="2">
        <f>IF('Modell einstellen'!$B$1="Voll",H32/0.35,H32/0.35*2)</f>
        <v>1.0371978E-2</v>
      </c>
      <c r="O32" s="2">
        <f>IF('Modell einstellen'!$B$1="Voll",J32/0.35,J32/0.35*2)</f>
        <v>-2.1472374571428574E-2</v>
      </c>
      <c r="P32" s="3">
        <f t="shared" si="1"/>
        <v>0.48303823899388809</v>
      </c>
      <c r="Q32" s="3"/>
      <c r="R32" s="3"/>
      <c r="S32" s="3"/>
      <c r="T32" s="3"/>
      <c r="U32" s="3"/>
    </row>
    <row r="33" spans="1:21" x14ac:dyDescent="0.25">
      <c r="A33" s="2">
        <v>1000000000000000</v>
      </c>
      <c r="B33" s="3">
        <v>-1.436E-2</v>
      </c>
      <c r="C33" s="3">
        <v>6.8149999999999999E-3</v>
      </c>
      <c r="D33" s="3">
        <v>7.2150000000000001E-3</v>
      </c>
      <c r="E33" s="3">
        <v>0</v>
      </c>
      <c r="F33" s="3">
        <v>0</v>
      </c>
      <c r="G33" s="3">
        <v>0</v>
      </c>
      <c r="H33" s="3">
        <v>4.1610880999999999E-3</v>
      </c>
      <c r="I33" s="3">
        <v>1.2351806E-3</v>
      </c>
      <c r="J33" s="3">
        <v>-8.6153549000000003E-3</v>
      </c>
      <c r="K33" s="3"/>
      <c r="L33" s="3">
        <f t="shared" si="0"/>
        <v>1.9902979902979903</v>
      </c>
      <c r="M33" s="3"/>
      <c r="N33" s="2">
        <f>IF('Modell einstellen'!$B$1="Voll",H33/0.35,H33/0.35*2)</f>
        <v>1.1888823142857143E-2</v>
      </c>
      <c r="O33" s="2">
        <f>IF('Modell einstellen'!$B$1="Voll",J33/0.35,J33/0.35*2)</f>
        <v>-2.4615299714285718E-2</v>
      </c>
      <c r="P33" s="3">
        <f t="shared" si="1"/>
        <v>0.48298510604595052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4.634E-5</v>
      </c>
      <c r="C3" s="3">
        <v>1.5569999999999999E-4</v>
      </c>
      <c r="D3" s="3">
        <v>-4.7449999999999999E-4</v>
      </c>
      <c r="E3" s="3">
        <v>0</v>
      </c>
      <c r="F3" s="3">
        <v>0</v>
      </c>
      <c r="G3" s="3">
        <v>0</v>
      </c>
      <c r="H3" s="3">
        <v>7.1422107999999997E-5</v>
      </c>
      <c r="I3" s="3">
        <v>1.5889279999999999E-5</v>
      </c>
      <c r="J3" s="3">
        <v>-1.9867771999999999E-4</v>
      </c>
      <c r="K3" s="2"/>
      <c r="L3" s="3"/>
      <c r="M3" s="3"/>
      <c r="N3" s="2">
        <f>IF('Modell einstellen'!$B$1="Voll",H3/0.35,H3/0.35*2)</f>
        <v>2.0406316571428571E-4</v>
      </c>
      <c r="O3" s="2">
        <f>IF('Modell einstellen'!$B$1="Voll",J3/0.35,J3/0.35*2)</f>
        <v>-5.6765062857142858E-4</v>
      </c>
      <c r="P3" s="3">
        <f>-N3/O3</f>
        <v>0.35948725403130255</v>
      </c>
      <c r="Q3" s="3"/>
      <c r="R3" s="3"/>
      <c r="S3" s="3"/>
      <c r="T3" s="3"/>
      <c r="U3" s="3"/>
    </row>
    <row r="4" spans="1:21" x14ac:dyDescent="0.25">
      <c r="A4" s="3">
        <v>1E-14</v>
      </c>
      <c r="B4" s="3">
        <v>4.634E-5</v>
      </c>
      <c r="C4" s="3">
        <v>1.5569999999999999E-4</v>
      </c>
      <c r="D4" s="3">
        <v>-4.7449999999999999E-4</v>
      </c>
      <c r="E4" s="3">
        <v>0</v>
      </c>
      <c r="F4" s="3">
        <v>0</v>
      </c>
      <c r="G4" s="3">
        <v>0</v>
      </c>
      <c r="H4" s="3">
        <v>7.1423918000000002E-5</v>
      </c>
      <c r="I4" s="3">
        <v>1.5890344999999999E-5</v>
      </c>
      <c r="J4" s="3">
        <v>-1.9867396999999999E-4</v>
      </c>
      <c r="K4" s="2"/>
      <c r="L4" s="3"/>
      <c r="M4" s="3"/>
      <c r="N4" s="2">
        <f>IF('Modell einstellen'!$B$1="Voll",H4/0.35,H4/0.35*2)</f>
        <v>2.0406833714285716E-4</v>
      </c>
      <c r="O4" s="2">
        <f>IF('Modell einstellen'!$B$1="Voll",J4/0.35,J4/0.35*2)</f>
        <v>-5.6763991428571429E-4</v>
      </c>
      <c r="P4" s="3">
        <f t="shared" ref="P4:P33" si="0">-N4/O4</f>
        <v>0.35950314980870418</v>
      </c>
      <c r="Q4" s="3"/>
      <c r="R4" s="3"/>
      <c r="S4" s="3"/>
      <c r="T4" s="3"/>
      <c r="U4" s="3"/>
    </row>
    <row r="5" spans="1:21" x14ac:dyDescent="0.25">
      <c r="A5" s="3">
        <v>1E-13</v>
      </c>
      <c r="B5" s="3">
        <v>4.634E-5</v>
      </c>
      <c r="C5" s="3">
        <v>1.5569999999999999E-4</v>
      </c>
      <c r="D5" s="3">
        <v>-4.7449999999999999E-4</v>
      </c>
      <c r="E5" s="3">
        <v>0</v>
      </c>
      <c r="F5" s="3">
        <v>0</v>
      </c>
      <c r="G5" s="3">
        <v>0</v>
      </c>
      <c r="H5" s="3">
        <v>7.1425220999999999E-5</v>
      </c>
      <c r="I5" s="3">
        <v>1.5890621000000001E-5</v>
      </c>
      <c r="J5" s="3">
        <v>-1.9867644000000001E-4</v>
      </c>
      <c r="K5" s="2"/>
      <c r="L5" s="3"/>
      <c r="M5" s="3"/>
      <c r="N5" s="2">
        <f>IF('Modell einstellen'!$B$1="Voll",H5/0.35,H5/0.35*2)</f>
        <v>2.0407206E-4</v>
      </c>
      <c r="O5" s="2">
        <f>IF('Modell einstellen'!$B$1="Voll",J5/0.35,J5/0.35*2)</f>
        <v>-5.6764697142857147E-4</v>
      </c>
      <c r="P5" s="3">
        <f t="shared" si="0"/>
        <v>0.35950523876912627</v>
      </c>
      <c r="Q5" s="3"/>
      <c r="R5" s="3"/>
      <c r="S5" s="3"/>
      <c r="T5" s="3"/>
      <c r="U5" s="3"/>
    </row>
    <row r="6" spans="1:21" x14ac:dyDescent="0.25">
      <c r="A6" s="3">
        <v>9.9999999999999998E-13</v>
      </c>
      <c r="B6" s="3">
        <v>4.6329999999999999E-5</v>
      </c>
      <c r="C6" s="3">
        <v>1.5569999999999999E-4</v>
      </c>
      <c r="D6" s="3">
        <v>-4.7449999999999999E-4</v>
      </c>
      <c r="E6" s="3">
        <v>0</v>
      </c>
      <c r="F6" s="3">
        <v>0</v>
      </c>
      <c r="G6" s="3">
        <v>0</v>
      </c>
      <c r="H6" s="3">
        <v>7.1434596999999994E-5</v>
      </c>
      <c r="I6" s="3">
        <v>1.5891780000000001E-5</v>
      </c>
      <c r="J6" s="3">
        <v>-1.9869158000000001E-4</v>
      </c>
      <c r="K6" s="2"/>
      <c r="L6" s="3"/>
      <c r="M6" s="3"/>
      <c r="N6" s="2">
        <f>IF('Modell einstellen'!$B$1="Voll",H6/0.35,H6/0.35*2)</f>
        <v>2.0409884857142856E-4</v>
      </c>
      <c r="O6" s="2">
        <f>IF('Modell einstellen'!$B$1="Voll",J6/0.35,J6/0.35*2)</f>
        <v>-5.6769022857142864E-4</v>
      </c>
      <c r="P6" s="3">
        <f t="shared" si="0"/>
        <v>0.35952503372311995</v>
      </c>
      <c r="Q6" s="3"/>
      <c r="R6" s="3"/>
      <c r="S6" s="3"/>
      <c r="T6" s="3"/>
      <c r="U6" s="3"/>
    </row>
    <row r="7" spans="1:21" x14ac:dyDescent="0.25">
      <c r="A7" s="3">
        <v>9.9999999999999994E-12</v>
      </c>
      <c r="B7" s="3">
        <v>4.6230000000000003E-5</v>
      </c>
      <c r="C7" s="3">
        <v>1.5579999999999999E-4</v>
      </c>
      <c r="D7" s="3">
        <v>-4.7459999999999999E-4</v>
      </c>
      <c r="E7" s="3">
        <v>0</v>
      </c>
      <c r="F7" s="3">
        <v>0</v>
      </c>
      <c r="G7" s="3">
        <v>0</v>
      </c>
      <c r="H7" s="3">
        <v>7.1525632999999995E-5</v>
      </c>
      <c r="I7" s="3">
        <v>1.5902747000000001E-5</v>
      </c>
      <c r="J7" s="3">
        <v>-1.9883764000000001E-4</v>
      </c>
      <c r="K7" s="2"/>
      <c r="L7" s="3"/>
      <c r="M7" s="3"/>
      <c r="N7" s="2">
        <f>IF('Modell einstellen'!$B$1="Voll",H7/0.35,H7/0.35*2)</f>
        <v>2.0435895142857142E-4</v>
      </c>
      <c r="O7" s="2">
        <f>IF('Modell einstellen'!$B$1="Voll",J7/0.35,J7/0.35*2)</f>
        <v>-5.6810754285714291E-4</v>
      </c>
      <c r="P7" s="3">
        <f t="shared" si="0"/>
        <v>0.35971877859745266</v>
      </c>
      <c r="Q7" s="3"/>
      <c r="R7" s="3"/>
      <c r="S7" s="3"/>
      <c r="T7" s="3"/>
      <c r="U7" s="3"/>
    </row>
    <row r="8" spans="1:21" x14ac:dyDescent="0.25">
      <c r="A8" s="3">
        <v>1E-10</v>
      </c>
      <c r="B8" s="3">
        <v>4.5370000000000001E-5</v>
      </c>
      <c r="C8" s="3">
        <v>1.5660000000000001E-4</v>
      </c>
      <c r="D8" s="3">
        <v>-4.752E-4</v>
      </c>
      <c r="E8" s="3">
        <v>0</v>
      </c>
      <c r="F8" s="3">
        <v>0</v>
      </c>
      <c r="G8" s="3">
        <v>0</v>
      </c>
      <c r="H8" s="3">
        <v>7.2292843999999994E-5</v>
      </c>
      <c r="I8" s="3">
        <v>1.5994869E-5</v>
      </c>
      <c r="J8" s="3">
        <v>-2.0006703E-4</v>
      </c>
      <c r="K8" s="2"/>
      <c r="L8" s="3"/>
      <c r="M8" s="3"/>
      <c r="N8" s="2">
        <f>IF('Modell einstellen'!$B$1="Voll",H8/0.35,H8/0.35*2)</f>
        <v>2.0655098285714285E-4</v>
      </c>
      <c r="O8" s="2">
        <f>IF('Modell einstellen'!$B$1="Voll",J8/0.35,J8/0.35*2)</f>
        <v>-5.7162008571428572E-4</v>
      </c>
      <c r="P8" s="3">
        <f t="shared" si="0"/>
        <v>0.36134311585472129</v>
      </c>
      <c r="Q8" s="3"/>
      <c r="R8" s="3"/>
      <c r="S8" s="3"/>
      <c r="T8" s="3"/>
      <c r="U8" s="3"/>
    </row>
    <row r="9" spans="1:21" x14ac:dyDescent="0.25">
      <c r="A9" s="3">
        <v>1.0000000000000001E-9</v>
      </c>
      <c r="B9" s="3">
        <v>4.32E-5</v>
      </c>
      <c r="C9" s="3">
        <v>1.594E-4</v>
      </c>
      <c r="D9" s="3">
        <v>-4.7780000000000001E-4</v>
      </c>
      <c r="E9" s="3">
        <v>0</v>
      </c>
      <c r="F9" s="3">
        <v>0</v>
      </c>
      <c r="G9" s="3">
        <v>0</v>
      </c>
      <c r="H9" s="3">
        <v>7.4688289999999994E-5</v>
      </c>
      <c r="I9" s="3">
        <v>1.6306532000000001E-5</v>
      </c>
      <c r="J9" s="3">
        <v>-2.0396804000000001E-4</v>
      </c>
      <c r="K9" s="2"/>
      <c r="L9" s="3"/>
      <c r="M9" s="3"/>
      <c r="N9" s="2">
        <f>IF('Modell einstellen'!$B$1="Voll",H9/0.35,H9/0.35*2)</f>
        <v>2.1339511428571429E-4</v>
      </c>
      <c r="O9" s="2">
        <f>IF('Modell einstellen'!$B$1="Voll",J9/0.35,J9/0.35*2)</f>
        <v>-5.8276582857142865E-4</v>
      </c>
      <c r="P9" s="3">
        <f t="shared" si="0"/>
        <v>0.3661764362691331</v>
      </c>
      <c r="Q9" s="3"/>
      <c r="R9" s="3"/>
      <c r="S9" s="3"/>
      <c r="T9" s="3"/>
      <c r="U9" s="3"/>
    </row>
    <row r="10" spans="1:21" x14ac:dyDescent="0.25">
      <c r="A10" s="3">
        <v>1E-8</v>
      </c>
      <c r="B10" s="3">
        <v>4.0410000000000001E-5</v>
      </c>
      <c r="C10" s="3">
        <v>1.6229999999999999E-4</v>
      </c>
      <c r="D10" s="3">
        <v>-4.7990000000000001E-4</v>
      </c>
      <c r="E10" s="3">
        <v>0</v>
      </c>
      <c r="F10" s="3">
        <v>0</v>
      </c>
      <c r="G10" s="3">
        <v>0</v>
      </c>
      <c r="H10" s="3">
        <v>7.7300443E-5</v>
      </c>
      <c r="I10" s="3">
        <v>1.6628824000000001E-5</v>
      </c>
      <c r="J10" s="3">
        <v>-2.0814609999999999E-4</v>
      </c>
      <c r="K10" s="2"/>
      <c r="L10" s="3"/>
      <c r="M10" s="3"/>
      <c r="N10" s="2">
        <f>IF('Modell einstellen'!$B$1="Voll",H10/0.35,H10/0.35*2)</f>
        <v>2.2085840857142858E-4</v>
      </c>
      <c r="O10" s="2">
        <f>IF('Modell einstellen'!$B$1="Voll",J10/0.35,J10/0.35*2)</f>
        <v>-5.9470314285714281E-4</v>
      </c>
      <c r="P10" s="3">
        <f t="shared" si="0"/>
        <v>0.37137588933926702</v>
      </c>
      <c r="Q10" s="3"/>
      <c r="R10" s="3"/>
      <c r="S10" s="3"/>
      <c r="T10" s="3"/>
      <c r="U10" s="3"/>
    </row>
    <row r="11" spans="1:21" x14ac:dyDescent="0.25">
      <c r="A11" s="3">
        <v>9.9999999999999995E-8</v>
      </c>
      <c r="B11" s="3">
        <v>3.6730000000000002E-5</v>
      </c>
      <c r="C11" s="3">
        <v>1.6559999999999999E-4</v>
      </c>
      <c r="D11" s="3">
        <v>-4.8210000000000001E-4</v>
      </c>
      <c r="E11" s="3">
        <v>0</v>
      </c>
      <c r="F11" s="3">
        <v>0</v>
      </c>
      <c r="G11" s="3">
        <v>0</v>
      </c>
      <c r="H11" s="3">
        <v>8.0480961999999993E-5</v>
      </c>
      <c r="I11" s="3">
        <v>1.7008900999999998E-5</v>
      </c>
      <c r="J11" s="3">
        <v>-2.1316980999999999E-4</v>
      </c>
      <c r="K11" s="2"/>
      <c r="L11" s="3"/>
      <c r="M11" s="3"/>
      <c r="N11" s="2">
        <f>IF('Modell einstellen'!$B$1="Voll",H11/0.35,H11/0.35*2)</f>
        <v>2.299456057142857E-4</v>
      </c>
      <c r="O11" s="2">
        <f>IF('Modell einstellen'!$B$1="Voll",J11/0.35,J11/0.35*2)</f>
        <v>-6.0905660000000006E-4</v>
      </c>
      <c r="P11" s="3">
        <f t="shared" si="0"/>
        <v>0.37754390267552423</v>
      </c>
      <c r="Q11" s="3"/>
      <c r="R11" s="3"/>
      <c r="S11" s="3"/>
      <c r="T11" s="3"/>
      <c r="U11" s="3"/>
    </row>
    <row r="12" spans="1:21" x14ac:dyDescent="0.25">
      <c r="A12" s="3">
        <v>9.9999999999999995E-7</v>
      </c>
      <c r="B12" s="3">
        <v>3.167E-5</v>
      </c>
      <c r="C12" s="3">
        <v>1.696E-4</v>
      </c>
      <c r="D12" s="3">
        <v>-4.84E-4</v>
      </c>
      <c r="E12" s="3">
        <v>0</v>
      </c>
      <c r="F12" s="3">
        <v>0</v>
      </c>
      <c r="G12" s="3">
        <v>0</v>
      </c>
      <c r="H12" s="3">
        <v>8.4489036000000002E-5</v>
      </c>
      <c r="I12" s="3">
        <v>1.7468550000000001E-5</v>
      </c>
      <c r="J12" s="3">
        <v>-2.1940258000000001E-4</v>
      </c>
      <c r="K12" s="2"/>
      <c r="L12" s="3"/>
      <c r="M12" s="3"/>
      <c r="N12" s="2">
        <f>IF('Modell einstellen'!$B$1="Voll",H12/0.35,H12/0.35*2)</f>
        <v>2.4139724571428574E-4</v>
      </c>
      <c r="O12" s="2">
        <f>IF('Modell einstellen'!$B$1="Voll",J12/0.35,J12/0.35*2)</f>
        <v>-6.2686451428571436E-4</v>
      </c>
      <c r="P12" s="3">
        <f t="shared" si="0"/>
        <v>0.38508679341874646</v>
      </c>
      <c r="Q12" s="3"/>
      <c r="R12" s="3"/>
      <c r="S12" s="3"/>
      <c r="T12" s="3"/>
      <c r="U12" s="3"/>
    </row>
    <row r="13" spans="1:21" x14ac:dyDescent="0.25">
      <c r="A13" s="3">
        <v>1.0000000000000001E-5</v>
      </c>
      <c r="B13" s="3">
        <v>2.5539999999999999E-5</v>
      </c>
      <c r="C13" s="3">
        <v>1.738E-4</v>
      </c>
      <c r="D13" s="3">
        <v>-4.8509999999999997E-4</v>
      </c>
      <c r="E13" s="3">
        <v>0</v>
      </c>
      <c r="F13" s="3">
        <v>0</v>
      </c>
      <c r="G13" s="3">
        <v>0</v>
      </c>
      <c r="H13" s="3">
        <v>8.8926304E-5</v>
      </c>
      <c r="I13" s="3">
        <v>1.7952660999999998E-5</v>
      </c>
      <c r="J13" s="3">
        <v>-2.2617833000000001E-4</v>
      </c>
      <c r="K13" s="2"/>
      <c r="L13" s="3"/>
      <c r="M13" s="3"/>
      <c r="N13" s="2">
        <f>IF('Modell einstellen'!$B$1="Voll",H13/0.35,H13/0.35*2)</f>
        <v>2.5407515428571429E-4</v>
      </c>
      <c r="O13" s="2">
        <f>IF('Modell einstellen'!$B$1="Voll",J13/0.35,J13/0.35*2)</f>
        <v>-6.4622380000000008E-4</v>
      </c>
      <c r="P13" s="3">
        <f t="shared" si="0"/>
        <v>0.39316898307631853</v>
      </c>
      <c r="Q13" s="3"/>
      <c r="R13" s="3"/>
      <c r="S13" s="3"/>
      <c r="T13" s="3"/>
      <c r="U13" s="3"/>
    </row>
    <row r="14" spans="1:21" x14ac:dyDescent="0.25">
      <c r="A14" s="3">
        <v>1E-4</v>
      </c>
      <c r="B14" s="3">
        <v>1.6310000000000001E-5</v>
      </c>
      <c r="C14" s="3">
        <v>1.7919999999999999E-4</v>
      </c>
      <c r="D14" s="3">
        <v>-4.8529999999999998E-4</v>
      </c>
      <c r="E14" s="3">
        <v>0</v>
      </c>
      <c r="F14" s="3">
        <v>0</v>
      </c>
      <c r="G14" s="3">
        <v>0</v>
      </c>
      <c r="H14" s="3">
        <v>9.5062217000000006E-5</v>
      </c>
      <c r="I14" s="3">
        <v>1.8584547E-5</v>
      </c>
      <c r="J14" s="3">
        <v>-2.3536237000000001E-4</v>
      </c>
      <c r="K14" s="2"/>
      <c r="L14" s="3"/>
      <c r="M14" s="3"/>
      <c r="N14" s="2">
        <f>IF('Modell einstellen'!$B$1="Voll",H14/0.35,H14/0.35*2)</f>
        <v>2.7160633428571432E-4</v>
      </c>
      <c r="O14" s="2">
        <f>IF('Modell einstellen'!$B$1="Voll",J14/0.35,J14/0.35*2)</f>
        <v>-6.724639142857144E-4</v>
      </c>
      <c r="P14" s="3">
        <f t="shared" si="0"/>
        <v>0.40389726276124766</v>
      </c>
      <c r="Q14" s="3"/>
      <c r="R14" s="3"/>
      <c r="S14" s="3"/>
      <c r="T14" s="3"/>
      <c r="U14" s="3"/>
    </row>
    <row r="15" spans="1:21" x14ac:dyDescent="0.25">
      <c r="A15" s="3">
        <v>1E-3</v>
      </c>
      <c r="B15" s="3">
        <v>3.7290000000000002E-6</v>
      </c>
      <c r="C15" s="3">
        <v>1.853E-4</v>
      </c>
      <c r="D15" s="3">
        <v>-4.8319999999999998E-4</v>
      </c>
      <c r="E15" s="3">
        <v>0</v>
      </c>
      <c r="F15" s="3">
        <v>0</v>
      </c>
      <c r="G15" s="3">
        <v>0</v>
      </c>
      <c r="H15" s="3">
        <v>1.0261869999999999E-4</v>
      </c>
      <c r="I15" s="3">
        <v>1.9303414000000001E-5</v>
      </c>
      <c r="J15" s="3">
        <v>-2.4637964000000001E-4</v>
      </c>
      <c r="K15" s="2"/>
      <c r="L15" s="3"/>
      <c r="M15" s="3"/>
      <c r="N15" s="2">
        <f>IF('Modell einstellen'!$B$1="Voll",H15/0.35,H15/0.35*2)</f>
        <v>2.9319628571428569E-4</v>
      </c>
      <c r="O15" s="2">
        <f>IF('Modell einstellen'!$B$1="Voll",J15/0.35,J15/0.35*2)</f>
        <v>-7.0394182857142862E-4</v>
      </c>
      <c r="P15" s="3">
        <f t="shared" si="0"/>
        <v>0.4165064126240301</v>
      </c>
      <c r="Q15" s="3"/>
      <c r="R15" s="3"/>
      <c r="S15" s="3"/>
      <c r="T15" s="3"/>
      <c r="U15" s="3"/>
    </row>
    <row r="16" spans="1:21" x14ac:dyDescent="0.25">
      <c r="A16" s="3">
        <v>0.01</v>
      </c>
      <c r="B16" s="3">
        <v>-1.169E-5</v>
      </c>
      <c r="C16" s="3">
        <v>1.9139999999999999E-4</v>
      </c>
      <c r="D16" s="3">
        <v>-4.7839999999999997E-4</v>
      </c>
      <c r="E16" s="3">
        <v>0</v>
      </c>
      <c r="F16" s="3">
        <v>0</v>
      </c>
      <c r="G16" s="3">
        <v>0</v>
      </c>
      <c r="H16" s="3">
        <v>1.1104581999999999E-4</v>
      </c>
      <c r="I16" s="3">
        <v>2.0037308000000001E-5</v>
      </c>
      <c r="J16" s="3">
        <v>-2.5833106999999998E-4</v>
      </c>
      <c r="K16" s="2"/>
      <c r="L16" s="3"/>
      <c r="M16" s="3"/>
      <c r="N16" s="2">
        <f>IF('Modell einstellen'!$B$1="Voll",H16/0.35,H16/0.35*2)</f>
        <v>3.1727377142857144E-4</v>
      </c>
      <c r="O16" s="2">
        <f>IF('Modell einstellen'!$B$1="Voll",J16/0.35,J16/0.35*2)</f>
        <v>-7.3808877142857144E-4</v>
      </c>
      <c r="P16" s="3">
        <f t="shared" si="0"/>
        <v>0.42985855321235655</v>
      </c>
      <c r="Q16" s="3"/>
      <c r="R16" s="3"/>
      <c r="S16" s="3"/>
      <c r="T16" s="3"/>
      <c r="U16" s="3"/>
    </row>
    <row r="17" spans="1:21" x14ac:dyDescent="0.25">
      <c r="A17" s="3">
        <v>0.1</v>
      </c>
      <c r="B17" s="3">
        <v>-3.2299999999999999E-5</v>
      </c>
      <c r="C17" s="3">
        <v>1.9819999999999999E-4</v>
      </c>
      <c r="D17" s="3">
        <v>-4.6969999999999998E-4</v>
      </c>
      <c r="E17" s="3">
        <v>0</v>
      </c>
      <c r="F17" s="3">
        <v>0</v>
      </c>
      <c r="G17" s="3">
        <v>0</v>
      </c>
      <c r="H17" s="3">
        <v>1.2148573E-4</v>
      </c>
      <c r="I17" s="3">
        <v>2.0879131E-5</v>
      </c>
      <c r="J17" s="3">
        <v>-2.727804E-4</v>
      </c>
      <c r="K17" s="2"/>
      <c r="L17" s="3"/>
      <c r="M17" s="3"/>
      <c r="N17" s="2">
        <f>IF('Modell einstellen'!$B$1="Voll",H17/0.35,H17/0.35*2)</f>
        <v>3.4710208571428572E-4</v>
      </c>
      <c r="O17" s="2">
        <f>IF('Modell einstellen'!$B$1="Voll",J17/0.35,J17/0.35*2)</f>
        <v>-7.7937257142857153E-4</v>
      </c>
      <c r="P17" s="3">
        <f t="shared" si="0"/>
        <v>0.44536092035938063</v>
      </c>
      <c r="Q17" s="3"/>
      <c r="R17" s="3"/>
      <c r="S17" s="3"/>
      <c r="T17" s="3"/>
      <c r="U17" s="3"/>
    </row>
    <row r="18" spans="1:21" x14ac:dyDescent="0.25">
      <c r="A18" s="3">
        <v>1</v>
      </c>
      <c r="B18" s="3">
        <v>-5.8440000000000003E-5</v>
      </c>
      <c r="C18" s="3">
        <v>2.0719999999999999E-4</v>
      </c>
      <c r="D18" s="3">
        <v>-4.5770000000000001E-4</v>
      </c>
      <c r="E18" s="3">
        <v>0</v>
      </c>
      <c r="F18" s="3">
        <v>0</v>
      </c>
      <c r="G18" s="3">
        <v>0</v>
      </c>
      <c r="H18" s="3">
        <v>1.3446599000000001E-4</v>
      </c>
      <c r="I18" s="3">
        <v>2.1996543999999999E-5</v>
      </c>
      <c r="J18" s="3">
        <v>-2.9076988999999999E-4</v>
      </c>
      <c r="K18" s="2"/>
      <c r="L18" s="3"/>
      <c r="M18" s="3"/>
      <c r="N18" s="2">
        <f>IF('Modell einstellen'!$B$1="Voll",H18/0.35,H18/0.35*2)</f>
        <v>3.8418854285714291E-4</v>
      </c>
      <c r="O18" s="2">
        <f>IF('Modell einstellen'!$B$1="Voll",J18/0.35,J18/0.35*2)</f>
        <v>-8.3077111428571425E-4</v>
      </c>
      <c r="P18" s="3">
        <f t="shared" si="0"/>
        <v>0.4624481234972439</v>
      </c>
      <c r="Q18" s="3"/>
      <c r="R18" s="3"/>
      <c r="S18" s="3"/>
      <c r="T18" s="3"/>
      <c r="U18" s="3"/>
    </row>
    <row r="19" spans="1:21" x14ac:dyDescent="0.25">
      <c r="A19" s="3">
        <v>10</v>
      </c>
      <c r="B19" s="3">
        <v>-9.0669999999999998E-5</v>
      </c>
      <c r="C19" s="3">
        <v>2.3120000000000001E-4</v>
      </c>
      <c r="D19" s="3">
        <v>-4.5399999999999998E-4</v>
      </c>
      <c r="E19" s="3">
        <v>0</v>
      </c>
      <c r="F19" s="3">
        <v>0</v>
      </c>
      <c r="G19" s="3">
        <v>0</v>
      </c>
      <c r="H19" s="3">
        <v>1.5504871999999999E-4</v>
      </c>
      <c r="I19" s="3">
        <v>2.4951475000000002E-5</v>
      </c>
      <c r="J19" s="3">
        <v>-3.2275541999999998E-4</v>
      </c>
      <c r="K19" s="2"/>
      <c r="L19" s="3"/>
      <c r="M19" s="3"/>
      <c r="N19" s="2">
        <f>IF('Modell einstellen'!$B$1="Voll",H19/0.35,H19/0.35*2)</f>
        <v>4.4299634285714288E-4</v>
      </c>
      <c r="O19" s="2">
        <f>IF('Modell einstellen'!$B$1="Voll",J19/0.35,J19/0.35*2)</f>
        <v>-9.2215834285714292E-4</v>
      </c>
      <c r="P19" s="3">
        <f t="shared" si="0"/>
        <v>0.48039075532798176</v>
      </c>
      <c r="Q19" s="3"/>
      <c r="R19" s="3"/>
      <c r="S19" s="3"/>
      <c r="T19" s="3"/>
      <c r="U19" s="3"/>
    </row>
    <row r="20" spans="1:21" x14ac:dyDescent="0.25">
      <c r="A20" s="3">
        <v>100</v>
      </c>
      <c r="B20" s="3">
        <v>-1.261E-4</v>
      </c>
      <c r="C20" s="3">
        <v>2.943E-4</v>
      </c>
      <c r="D20" s="3">
        <v>-4.8289999999999997E-4</v>
      </c>
      <c r="E20" s="3">
        <v>0</v>
      </c>
      <c r="F20" s="3">
        <v>0</v>
      </c>
      <c r="G20" s="3">
        <v>0</v>
      </c>
      <c r="H20" s="3">
        <v>1.8963494999999999E-4</v>
      </c>
      <c r="I20" s="3">
        <v>3.2943091999999998E-5</v>
      </c>
      <c r="J20" s="3">
        <v>-3.8606619000000001E-4</v>
      </c>
      <c r="K20" s="2"/>
      <c r="L20" s="3"/>
      <c r="M20" s="3"/>
      <c r="N20" s="2">
        <f>IF('Modell einstellen'!$B$1="Voll",H20/0.35,H20/0.35*2)</f>
        <v>5.4181414285714284E-4</v>
      </c>
      <c r="O20" s="2">
        <f>IF('Modell einstellen'!$B$1="Voll",J20/0.35,J20/0.35*2)</f>
        <v>-1.1030462571428572E-3</v>
      </c>
      <c r="P20" s="3">
        <f t="shared" si="0"/>
        <v>0.49119802487754749</v>
      </c>
      <c r="Q20" s="3"/>
      <c r="R20" s="3"/>
      <c r="S20" s="3"/>
      <c r="T20" s="3"/>
      <c r="U20" s="3"/>
    </row>
    <row r="21" spans="1:21" x14ac:dyDescent="0.25">
      <c r="A21" s="3">
        <v>1000</v>
      </c>
      <c r="B21" s="3">
        <v>-2.0770000000000001E-4</v>
      </c>
      <c r="C21" s="3">
        <v>4.0269999999999998E-4</v>
      </c>
      <c r="D21" s="3">
        <v>-5.1029999999999999E-4</v>
      </c>
      <c r="E21" s="3">
        <v>0</v>
      </c>
      <c r="F21" s="3">
        <v>0</v>
      </c>
      <c r="G21" s="3">
        <v>0</v>
      </c>
      <c r="H21" s="3">
        <v>2.4670156999999999E-4</v>
      </c>
      <c r="I21" s="3">
        <v>4.7645570000000001E-5</v>
      </c>
      <c r="J21" s="3">
        <v>-4.9591957000000005E-4</v>
      </c>
      <c r="K21" s="2"/>
      <c r="L21" s="3"/>
      <c r="M21" s="3"/>
      <c r="N21" s="2">
        <f>IF('Modell einstellen'!$B$1="Voll",H21/0.35,H21/0.35*2)</f>
        <v>7.0486162857142862E-4</v>
      </c>
      <c r="O21" s="2">
        <f>IF('Modell einstellen'!$B$1="Voll",J21/0.35,J21/0.35*2)</f>
        <v>-1.4169130571428574E-3</v>
      </c>
      <c r="P21" s="3">
        <f t="shared" si="0"/>
        <v>0.49746286479478913</v>
      </c>
      <c r="Q21" s="3"/>
      <c r="R21" s="3"/>
      <c r="S21" s="3"/>
      <c r="T21" s="3"/>
      <c r="U21" s="3"/>
    </row>
    <row r="22" spans="1:21" x14ac:dyDescent="0.25">
      <c r="A22" s="3">
        <v>10000</v>
      </c>
      <c r="B22" s="3">
        <v>-4.595E-4</v>
      </c>
      <c r="C22" s="3">
        <v>5.71E-4</v>
      </c>
      <c r="D22" s="3">
        <v>-4.3110000000000002E-4</v>
      </c>
      <c r="E22" s="3">
        <v>0</v>
      </c>
      <c r="F22" s="3">
        <v>0</v>
      </c>
      <c r="G22" s="3">
        <v>0</v>
      </c>
      <c r="H22" s="3">
        <v>3.5507052000000001E-4</v>
      </c>
      <c r="I22" s="3">
        <v>7.2934597999999999E-5</v>
      </c>
      <c r="J22" s="3">
        <v>-6.9622724000000002E-4</v>
      </c>
      <c r="K22" s="2"/>
      <c r="L22" s="3"/>
      <c r="M22" s="3"/>
      <c r="N22" s="2">
        <f>IF('Modell einstellen'!$B$1="Voll",H22/0.35,H22/0.35*2)</f>
        <v>1.0144872000000002E-3</v>
      </c>
      <c r="O22" s="2">
        <f>IF('Modell einstellen'!$B$1="Voll",J22/0.35,J22/0.35*2)</f>
        <v>-1.989220685714286E-3</v>
      </c>
      <c r="P22" s="3">
        <f t="shared" si="0"/>
        <v>0.50999228355385806</v>
      </c>
      <c r="Q22" s="3"/>
      <c r="R22" s="3"/>
      <c r="S22" s="3"/>
      <c r="T22" s="3"/>
      <c r="U22" s="3"/>
    </row>
    <row r="23" spans="1:21" x14ac:dyDescent="0.25">
      <c r="A23" s="3">
        <v>100000</v>
      </c>
      <c r="B23" s="3">
        <v>-1.1670000000000001E-3</v>
      </c>
      <c r="C23" s="3">
        <v>8.5959999999999997E-4</v>
      </c>
      <c r="D23" s="3">
        <v>-1.906E-5</v>
      </c>
      <c r="E23" s="3">
        <v>0</v>
      </c>
      <c r="F23" s="3">
        <v>0</v>
      </c>
      <c r="G23" s="3">
        <v>0</v>
      </c>
      <c r="H23" s="3">
        <v>5.8302310000000004E-4</v>
      </c>
      <c r="I23" s="3">
        <v>1.2111107E-4</v>
      </c>
      <c r="J23" s="3">
        <v>-1.0997963E-3</v>
      </c>
      <c r="K23" s="2"/>
      <c r="L23" s="3"/>
      <c r="M23" s="3"/>
      <c r="N23" s="2">
        <f>IF('Modell einstellen'!$B$1="Voll",H23/0.35,H23/0.35*2)</f>
        <v>1.6657802857142859E-3</v>
      </c>
      <c r="O23" s="2">
        <f>IF('Modell einstellen'!$B$1="Voll",J23/0.35,J23/0.35*2)</f>
        <v>-3.1422751428571431E-3</v>
      </c>
      <c r="P23" s="3">
        <f t="shared" si="0"/>
        <v>0.53011916843146323</v>
      </c>
      <c r="Q23" s="3"/>
      <c r="R23" s="3"/>
      <c r="S23" s="3"/>
      <c r="T23" s="3"/>
      <c r="U23" s="3"/>
    </row>
    <row r="24" spans="1:21" x14ac:dyDescent="0.25">
      <c r="A24" s="3">
        <v>1000000</v>
      </c>
      <c r="B24" s="3">
        <v>-2.7959999999999999E-3</v>
      </c>
      <c r="C24" s="3">
        <v>1.41E-3</v>
      </c>
      <c r="D24" s="3">
        <v>1.0549999999999999E-3</v>
      </c>
      <c r="E24" s="3">
        <v>0</v>
      </c>
      <c r="F24" s="3">
        <v>0</v>
      </c>
      <c r="G24" s="3">
        <v>0</v>
      </c>
      <c r="H24" s="3">
        <v>1.0345126E-3</v>
      </c>
      <c r="I24" s="3">
        <v>2.1798738E-4</v>
      </c>
      <c r="J24" s="3">
        <v>-1.9022453E-3</v>
      </c>
      <c r="K24" s="2"/>
      <c r="L24" s="3"/>
      <c r="M24" s="3"/>
      <c r="N24" s="2">
        <f>IF('Modell einstellen'!$B$1="Voll",H24/0.35,H24/0.35*2)</f>
        <v>2.955750285714286E-3</v>
      </c>
      <c r="O24" s="2">
        <f>IF('Modell einstellen'!$B$1="Voll",J24/0.35,J24/0.35*2)</f>
        <v>-5.4349865714285722E-3</v>
      </c>
      <c r="P24" s="3">
        <f t="shared" si="0"/>
        <v>0.54383764281084046</v>
      </c>
      <c r="Q24" s="3"/>
      <c r="R24" s="3"/>
      <c r="S24" s="3"/>
      <c r="T24" s="3"/>
      <c r="U24" s="3"/>
    </row>
    <row r="25" spans="1:21" x14ac:dyDescent="0.25">
      <c r="A25" s="3">
        <v>10000000</v>
      </c>
      <c r="B25" s="3">
        <v>-6.0039999999999998E-3</v>
      </c>
      <c r="C25" s="3">
        <v>2.4729999999999999E-3</v>
      </c>
      <c r="D25" s="3">
        <v>3.1979999999999999E-3</v>
      </c>
      <c r="E25" s="3">
        <v>0</v>
      </c>
      <c r="F25" s="3">
        <v>0</v>
      </c>
      <c r="G25" s="3">
        <v>0</v>
      </c>
      <c r="H25" s="3">
        <v>1.8615423E-3</v>
      </c>
      <c r="I25" s="3">
        <v>4.0890441999999998E-4</v>
      </c>
      <c r="J25" s="3">
        <v>-3.4140388000000002E-3</v>
      </c>
      <c r="K25" s="2"/>
      <c r="L25" s="3"/>
      <c r="M25" s="3"/>
      <c r="N25" s="2">
        <f>IF('Modell einstellen'!$B$1="Voll",H25/0.35,H25/0.35*2)</f>
        <v>5.3186922857142863E-3</v>
      </c>
      <c r="O25" s="2">
        <f>IF('Modell einstellen'!$B$1="Voll",J25/0.35,J25/0.35*2)</f>
        <v>-9.7543965714285731E-3</v>
      </c>
      <c r="P25" s="3">
        <f t="shared" si="0"/>
        <v>0.54526102632459827</v>
      </c>
      <c r="Q25" s="3"/>
      <c r="R25" s="3"/>
      <c r="S25" s="3"/>
      <c r="T25" s="3"/>
      <c r="U25" s="3"/>
    </row>
    <row r="26" spans="1:21" x14ac:dyDescent="0.25">
      <c r="A26" s="3">
        <v>100000000</v>
      </c>
      <c r="B26" s="3">
        <v>-1.1209999999999999E-2</v>
      </c>
      <c r="C26" s="3">
        <v>4.2770000000000004E-3</v>
      </c>
      <c r="D26" s="3">
        <v>6.5970000000000004E-3</v>
      </c>
      <c r="E26" s="3">
        <v>0</v>
      </c>
      <c r="F26" s="3">
        <v>0</v>
      </c>
      <c r="G26" s="3">
        <v>0</v>
      </c>
      <c r="H26" s="3">
        <v>3.1772236000000001E-3</v>
      </c>
      <c r="I26" s="3">
        <v>7.4146759999999998E-4</v>
      </c>
      <c r="J26" s="3">
        <v>-5.9029757000000002E-3</v>
      </c>
      <c r="K26" s="2"/>
      <c r="L26" s="3"/>
      <c r="M26" s="3"/>
      <c r="N26" s="2">
        <f>IF('Modell einstellen'!$B$1="Voll",H26/0.35,H26/0.35*2)</f>
        <v>9.0777817142857157E-3</v>
      </c>
      <c r="O26" s="2">
        <f>IF('Modell einstellen'!$B$1="Voll",J26/0.35,J26/0.35*2)</f>
        <v>-1.6865644857142859E-2</v>
      </c>
      <c r="P26" s="3">
        <f t="shared" si="0"/>
        <v>0.53824100953015952</v>
      </c>
      <c r="Q26" s="3"/>
      <c r="R26" s="3"/>
      <c r="S26" s="3"/>
      <c r="T26" s="3"/>
      <c r="U26" s="3"/>
    </row>
    <row r="27" spans="1:21" x14ac:dyDescent="0.25">
      <c r="A27" s="3">
        <v>1000000000</v>
      </c>
      <c r="B27" s="3">
        <v>-1.4489999999999999E-2</v>
      </c>
      <c r="C27" s="3">
        <v>5.7590000000000002E-3</v>
      </c>
      <c r="D27" s="3">
        <v>8.4010000000000005E-3</v>
      </c>
      <c r="E27" s="3">
        <v>0</v>
      </c>
      <c r="F27" s="3">
        <v>0</v>
      </c>
      <c r="G27" s="3">
        <v>0</v>
      </c>
      <c r="H27" s="3">
        <v>4.0207708000000002E-3</v>
      </c>
      <c r="I27" s="3">
        <v>1.0243871999999999E-3</v>
      </c>
      <c r="J27" s="3">
        <v>-7.7326360999999998E-3</v>
      </c>
      <c r="K27" s="2"/>
      <c r="L27" s="3"/>
      <c r="M27" s="3"/>
      <c r="N27" s="2">
        <f>IF('Modell einstellen'!$B$1="Voll",H27/0.35,H27/0.35*2)</f>
        <v>1.1487916571428572E-2</v>
      </c>
      <c r="O27" s="2">
        <f>IF('Modell einstellen'!$B$1="Voll",J27/0.35,J27/0.35*2)</f>
        <v>-2.2093246E-2</v>
      </c>
      <c r="P27" s="3">
        <f t="shared" si="0"/>
        <v>0.51997413922012958</v>
      </c>
      <c r="Q27" s="3"/>
      <c r="R27" s="3"/>
      <c r="S27" s="3"/>
      <c r="T27" s="3"/>
      <c r="U27" s="3"/>
    </row>
    <row r="28" spans="1:21" x14ac:dyDescent="0.25">
      <c r="A28" s="3">
        <v>10000000000</v>
      </c>
      <c r="B28" s="3">
        <v>-1.5800000000000002E-2</v>
      </c>
      <c r="C28" s="3">
        <v>6.6140000000000001E-3</v>
      </c>
      <c r="D28" s="3">
        <v>8.8529999999999998E-3</v>
      </c>
      <c r="E28" s="3">
        <v>0</v>
      </c>
      <c r="F28" s="3">
        <v>0</v>
      </c>
      <c r="G28" s="3">
        <v>0</v>
      </c>
      <c r="H28" s="3">
        <v>4.3751425999999996E-3</v>
      </c>
      <c r="I28" s="3">
        <v>1.1929093999999999E-3</v>
      </c>
      <c r="J28" s="3">
        <v>-8.6727476000000008E-3</v>
      </c>
      <c r="K28" s="2"/>
      <c r="L28" s="3"/>
      <c r="M28" s="3"/>
      <c r="N28" s="2">
        <f>IF('Modell einstellen'!$B$1="Voll",H28/0.35,H28/0.35*2)</f>
        <v>1.2500407428571428E-2</v>
      </c>
      <c r="O28" s="2">
        <f>IF('Modell einstellen'!$B$1="Voll",J28/0.35,J28/0.35*2)</f>
        <v>-2.4779278857142862E-2</v>
      </c>
      <c r="P28" s="3">
        <f t="shared" si="0"/>
        <v>0.50447018658769671</v>
      </c>
      <c r="Q28" s="3"/>
      <c r="R28" s="3"/>
      <c r="S28" s="3"/>
      <c r="T28" s="3"/>
      <c r="U28" s="3"/>
    </row>
    <row r="29" spans="1:21" x14ac:dyDescent="0.25">
      <c r="A29" s="3">
        <v>100000000000</v>
      </c>
      <c r="B29" s="3">
        <v>-1.6709999999999999E-2</v>
      </c>
      <c r="C29" s="3">
        <v>7.2259999999999998E-3</v>
      </c>
      <c r="D29" s="3">
        <v>9.1529999999999997E-3</v>
      </c>
      <c r="E29" s="3">
        <v>0</v>
      </c>
      <c r="F29" s="3">
        <v>0</v>
      </c>
      <c r="G29" s="3">
        <v>0</v>
      </c>
      <c r="H29" s="3">
        <v>4.6427061000000004E-3</v>
      </c>
      <c r="I29" s="3">
        <v>1.3168068000000001E-3</v>
      </c>
      <c r="J29" s="3">
        <v>-9.3682716999999999E-3</v>
      </c>
      <c r="K29" s="2"/>
      <c r="L29" s="3"/>
      <c r="M29" s="3"/>
      <c r="N29" s="2">
        <f>IF('Modell einstellen'!$B$1="Voll",H29/0.35,H29/0.35*2)</f>
        <v>1.3264874571428574E-2</v>
      </c>
      <c r="O29" s="2">
        <f>IF('Modell einstellen'!$B$1="Voll",J29/0.35,J29/0.35*2)</f>
        <v>-2.6766490571428572E-2</v>
      </c>
      <c r="P29" s="3">
        <f t="shared" si="0"/>
        <v>0.49557765281295169</v>
      </c>
      <c r="Q29" s="3"/>
      <c r="R29" s="3"/>
      <c r="S29" s="3"/>
      <c r="T29" s="3"/>
      <c r="U29" s="3"/>
    </row>
    <row r="30" spans="1:21" x14ac:dyDescent="0.25">
      <c r="A30" s="3">
        <v>1000000000000</v>
      </c>
      <c r="B30" s="3">
        <v>-1.6670000000000001E-2</v>
      </c>
      <c r="C30" s="3">
        <v>7.2830000000000004E-3</v>
      </c>
      <c r="D30" s="3">
        <v>9.0600000000000003E-3</v>
      </c>
      <c r="E30" s="3">
        <v>0</v>
      </c>
      <c r="F30" s="3">
        <v>0</v>
      </c>
      <c r="G30" s="3">
        <v>0</v>
      </c>
      <c r="H30" s="3">
        <v>4.6364841000000002E-3</v>
      </c>
      <c r="I30" s="3">
        <v>1.328638E-3</v>
      </c>
      <c r="J30" s="3">
        <v>-9.4039443999999993E-3</v>
      </c>
      <c r="K30" s="2"/>
      <c r="L30" s="3"/>
      <c r="M30" s="3"/>
      <c r="N30" s="2">
        <f>IF('Modell einstellen'!$B$1="Voll",H30/0.35,H30/0.35*2)</f>
        <v>1.3247097428571429E-2</v>
      </c>
      <c r="O30" s="2">
        <f>IF('Modell einstellen'!$B$1="Voll",J30/0.35,J30/0.35*2)</f>
        <v>-2.6868412571428572E-2</v>
      </c>
      <c r="P30" s="3">
        <f t="shared" si="0"/>
        <v>0.49303610302077072</v>
      </c>
      <c r="Q30" s="3"/>
      <c r="R30" s="3"/>
      <c r="S30" s="3"/>
      <c r="T30" s="3"/>
      <c r="U30" s="3"/>
    </row>
    <row r="31" spans="1:21" x14ac:dyDescent="0.25">
      <c r="A31" s="3">
        <v>10000000000000</v>
      </c>
      <c r="B31" s="3">
        <v>-1.634E-2</v>
      </c>
      <c r="C31" s="3">
        <v>7.4749999999999999E-3</v>
      </c>
      <c r="D31" s="3">
        <v>8.5400000000000007E-3</v>
      </c>
      <c r="E31" s="3">
        <v>0</v>
      </c>
      <c r="F31" s="3">
        <v>0</v>
      </c>
      <c r="G31" s="3">
        <v>0</v>
      </c>
      <c r="H31" s="3">
        <v>4.6079310999999996E-3</v>
      </c>
      <c r="I31" s="3">
        <v>1.3685167E-3</v>
      </c>
      <c r="J31" s="3">
        <v>-9.5169318999999992E-3</v>
      </c>
      <c r="K31" s="2"/>
      <c r="L31" s="3"/>
      <c r="M31" s="3"/>
      <c r="N31" s="2">
        <f>IF('Modell einstellen'!$B$1="Voll",H31/0.35,H31/0.35*2)</f>
        <v>1.3165517428571428E-2</v>
      </c>
      <c r="O31" s="2">
        <f>IF('Modell einstellen'!$B$1="Voll",J31/0.35,J31/0.35*2)</f>
        <v>-2.7191233999999998E-2</v>
      </c>
      <c r="P31" s="3">
        <f t="shared" si="0"/>
        <v>0.48418241807530432</v>
      </c>
      <c r="Q31" s="3"/>
      <c r="R31" s="3"/>
      <c r="S31" s="3"/>
      <c r="T31" s="3"/>
      <c r="U31" s="3"/>
    </row>
    <row r="32" spans="1:21" x14ac:dyDescent="0.25">
      <c r="A32" s="3">
        <v>100000000000000</v>
      </c>
      <c r="B32" s="3">
        <v>-1.634E-2</v>
      </c>
      <c r="C32" s="3">
        <v>7.4780000000000003E-3</v>
      </c>
      <c r="D32" s="3">
        <v>8.5319999999999997E-3</v>
      </c>
      <c r="E32" s="3">
        <v>0</v>
      </c>
      <c r="F32" s="3">
        <v>0</v>
      </c>
      <c r="G32" s="3">
        <v>0</v>
      </c>
      <c r="H32" s="3">
        <v>4.6076093E-3</v>
      </c>
      <c r="I32" s="3">
        <v>1.3690834E-3</v>
      </c>
      <c r="J32" s="3">
        <v>-9.5185996999999998E-3</v>
      </c>
      <c r="K32" s="2"/>
      <c r="L32" s="3"/>
      <c r="M32" s="3"/>
      <c r="N32" s="2">
        <f>IF('Modell einstellen'!$B$1="Voll",H32/0.35,H32/0.35*2)</f>
        <v>1.3164598000000001E-2</v>
      </c>
      <c r="O32" s="2">
        <f>IF('Modell einstellen'!$B$1="Voll",J32/0.35,J32/0.35*2)</f>
        <v>-2.7195999142857145E-2</v>
      </c>
      <c r="P32" s="3">
        <f t="shared" si="0"/>
        <v>0.48406377463273303</v>
      </c>
      <c r="Q32" s="3"/>
      <c r="R32" s="3"/>
      <c r="S32" s="3"/>
      <c r="T32" s="3"/>
      <c r="U32" s="3"/>
    </row>
    <row r="33" spans="1:21" x14ac:dyDescent="0.25">
      <c r="A33" s="2">
        <v>1000000000000000</v>
      </c>
      <c r="B33" s="3">
        <v>-1.6129999999999999E-2</v>
      </c>
      <c r="C33" s="3">
        <v>7.5440000000000004E-3</v>
      </c>
      <c r="D33" s="3">
        <v>8.2559999999999995E-3</v>
      </c>
      <c r="E33" s="3">
        <v>0</v>
      </c>
      <c r="F33" s="3">
        <v>0</v>
      </c>
      <c r="G33" s="3">
        <v>0</v>
      </c>
      <c r="H33" s="3">
        <v>4.6053161000000004E-3</v>
      </c>
      <c r="I33" s="3">
        <v>1.3836384000000001E-3</v>
      </c>
      <c r="J33" s="3">
        <v>-9.5676252000000007E-3</v>
      </c>
      <c r="K33" s="2"/>
      <c r="L33" s="3"/>
      <c r="M33" s="3"/>
      <c r="N33" s="2">
        <f>IF('Modell einstellen'!$B$1="Voll",H33/0.35,H33/0.35*2)</f>
        <v>1.3158046000000001E-2</v>
      </c>
      <c r="O33" s="2">
        <f>IF('Modell einstellen'!$B$1="Voll",J33/0.35,J33/0.35*2)</f>
        <v>-2.7336072000000003E-2</v>
      </c>
      <c r="P33" s="3">
        <f t="shared" si="0"/>
        <v>0.48134369853869274</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3.8630000000000001E-5</v>
      </c>
      <c r="C3" s="3">
        <v>1.696E-4</v>
      </c>
      <c r="D3" s="3">
        <v>-4.8799999999999999E-4</v>
      </c>
      <c r="E3" s="3">
        <v>0</v>
      </c>
      <c r="F3" s="3">
        <v>0</v>
      </c>
      <c r="G3" s="3">
        <v>0</v>
      </c>
      <c r="H3" s="3">
        <v>8.2006550999999994E-5</v>
      </c>
      <c r="I3" s="3">
        <v>1.7469031999999999E-5</v>
      </c>
      <c r="J3" s="3">
        <v>-2.1644068999999999E-4</v>
      </c>
      <c r="L3" s="3">
        <f>-B3/D3</f>
        <v>7.915983606557378E-2</v>
      </c>
      <c r="M3" s="3"/>
      <c r="N3" s="2">
        <f>IF('Modell einstellen'!$B$1="Voll",H3/0.35,H3/0.35*2)</f>
        <v>2.3430443142857143E-4</v>
      </c>
      <c r="O3" s="2">
        <f>IF('Modell einstellen'!$B$1="Voll",J3/0.35,J3/0.35*2)</f>
        <v>-6.1840197142857146E-4</v>
      </c>
      <c r="P3" s="3">
        <f>-N3/O3</f>
        <v>0.37888694126783645</v>
      </c>
    </row>
    <row r="4" spans="1:16" x14ac:dyDescent="0.25">
      <c r="A4" s="3">
        <v>1E-14</v>
      </c>
      <c r="B4" s="3">
        <v>3.1919999999999999E-5</v>
      </c>
      <c r="C4" s="3">
        <v>1.749E-4</v>
      </c>
      <c r="D4" s="3">
        <v>-4.9050000000000005E-4</v>
      </c>
      <c r="E4" s="3">
        <v>0</v>
      </c>
      <c r="F4" s="3">
        <v>0</v>
      </c>
      <c r="G4" s="3">
        <v>0</v>
      </c>
      <c r="H4" s="3">
        <v>8.7314182000000002E-5</v>
      </c>
      <c r="I4" s="3">
        <v>1.8080686999999999E-5</v>
      </c>
      <c r="J4" s="3">
        <v>-2.2467367E-4</v>
      </c>
      <c r="L4" s="3">
        <f t="shared" ref="L4:L33" si="0">-B4/D4</f>
        <v>6.5076452599388365E-2</v>
      </c>
      <c r="M4" s="3"/>
      <c r="N4" s="2">
        <f>IF('Modell einstellen'!$B$1="Voll",H4/0.35,H4/0.35*2)</f>
        <v>2.4946909142857147E-4</v>
      </c>
      <c r="O4" s="2">
        <f>IF('Modell einstellen'!$B$1="Voll",J4/0.35,J4/0.35*2)</f>
        <v>-6.4192477142857151E-4</v>
      </c>
      <c r="P4" s="3">
        <f t="shared" ref="P4:P33" si="1">-N4/O4</f>
        <v>0.38862667797254569</v>
      </c>
    </row>
    <row r="5" spans="1:16" x14ac:dyDescent="0.25">
      <c r="A5" s="3">
        <v>1E-13</v>
      </c>
      <c r="B5" s="3">
        <v>2.4090000000000001E-5</v>
      </c>
      <c r="C5" s="3">
        <v>1.8009999999999999E-4</v>
      </c>
      <c r="D5" s="3">
        <v>-4.9140000000000002E-4</v>
      </c>
      <c r="E5" s="3">
        <v>0</v>
      </c>
      <c r="F5" s="3">
        <v>0</v>
      </c>
      <c r="G5" s="3">
        <v>0</v>
      </c>
      <c r="H5" s="3">
        <v>9.2814993999999995E-5</v>
      </c>
      <c r="I5" s="3">
        <v>1.8677027000000001E-5</v>
      </c>
      <c r="J5" s="3">
        <v>-2.3302498000000001E-4</v>
      </c>
      <c r="L5" s="3">
        <f t="shared" si="0"/>
        <v>4.9023199023199023E-2</v>
      </c>
      <c r="M5" s="3"/>
      <c r="N5" s="2">
        <f>IF('Modell einstellen'!$B$1="Voll",H5/0.35,H5/0.35*2)</f>
        <v>2.6518569714285714E-4</v>
      </c>
      <c r="O5" s="2">
        <f>IF('Modell einstellen'!$B$1="Voll",J5/0.35,J5/0.35*2)</f>
        <v>-6.6578565714285718E-4</v>
      </c>
      <c r="P5" s="3">
        <f t="shared" si="1"/>
        <v>0.39830491134469787</v>
      </c>
    </row>
    <row r="6" spans="1:16" x14ac:dyDescent="0.25">
      <c r="A6" s="3">
        <v>9.9999999999999998E-13</v>
      </c>
      <c r="B6" s="3">
        <v>1.3010000000000001E-5</v>
      </c>
      <c r="C6" s="3">
        <v>1.861E-4</v>
      </c>
      <c r="D6" s="3">
        <v>-4.9069999999999995E-4</v>
      </c>
      <c r="E6" s="3">
        <v>0</v>
      </c>
      <c r="F6" s="3">
        <v>0</v>
      </c>
      <c r="G6" s="3">
        <v>0</v>
      </c>
      <c r="H6" s="3">
        <v>9.9837783000000002E-5</v>
      </c>
      <c r="I6" s="3">
        <v>1.9387842999999999E-5</v>
      </c>
      <c r="J6" s="3">
        <v>-2.4343722000000001E-4</v>
      </c>
      <c r="L6" s="3">
        <f t="shared" si="0"/>
        <v>2.6513144487466889E-2</v>
      </c>
      <c r="M6" s="3"/>
      <c r="N6" s="2">
        <f>IF('Modell einstellen'!$B$1="Voll",H6/0.35,H6/0.35*2)</f>
        <v>2.8525080857142858E-4</v>
      </c>
      <c r="O6" s="2">
        <f>IF('Modell einstellen'!$B$1="Voll",J6/0.35,J6/0.35*2)</f>
        <v>-6.9553491428571434E-4</v>
      </c>
      <c r="P6" s="3">
        <f t="shared" si="1"/>
        <v>0.41011716696403283</v>
      </c>
    </row>
    <row r="7" spans="1:16" x14ac:dyDescent="0.25">
      <c r="A7" s="3">
        <v>9.9999999999999994E-12</v>
      </c>
      <c r="B7" s="3">
        <v>-1.11E-6</v>
      </c>
      <c r="C7" s="3">
        <v>1.9230000000000001E-4</v>
      </c>
      <c r="D7" s="3">
        <v>-4.8730000000000003E-4</v>
      </c>
      <c r="E7" s="3">
        <v>0</v>
      </c>
      <c r="F7" s="3">
        <v>0</v>
      </c>
      <c r="G7" s="3">
        <v>0</v>
      </c>
      <c r="H7" s="3">
        <v>1.0790886E-4</v>
      </c>
      <c r="I7" s="3">
        <v>2.0139274000000001E-5</v>
      </c>
      <c r="J7" s="3">
        <v>-2.5508288000000002E-4</v>
      </c>
      <c r="L7" s="3">
        <f t="shared" si="0"/>
        <v>-2.2778575825979888E-3</v>
      </c>
      <c r="M7" s="3"/>
      <c r="N7" s="2">
        <f>IF('Modell einstellen'!$B$1="Voll",H7/0.35,H7/0.35*2)</f>
        <v>3.0831102857142861E-4</v>
      </c>
      <c r="O7" s="2">
        <f>IF('Modell einstellen'!$B$1="Voll",J7/0.35,J7/0.35*2)</f>
        <v>-7.2880822857142866E-4</v>
      </c>
      <c r="P7" s="3">
        <f t="shared" si="1"/>
        <v>0.42303450549092125</v>
      </c>
    </row>
    <row r="8" spans="1:16" x14ac:dyDescent="0.25">
      <c r="A8" s="3">
        <v>1E-10</v>
      </c>
      <c r="B8" s="3">
        <v>-1.931E-5</v>
      </c>
      <c r="C8" s="3">
        <v>1.9900000000000001E-4</v>
      </c>
      <c r="D8" s="3">
        <v>-4.8060000000000003E-4</v>
      </c>
      <c r="E8" s="3">
        <v>0</v>
      </c>
      <c r="F8" s="3">
        <v>0</v>
      </c>
      <c r="G8" s="3">
        <v>0</v>
      </c>
      <c r="H8" s="3">
        <v>1.1742024E-4</v>
      </c>
      <c r="I8" s="3">
        <v>2.0948769E-5</v>
      </c>
      <c r="J8" s="3">
        <v>-2.6843792999999998E-4</v>
      </c>
      <c r="L8" s="3">
        <f t="shared" si="0"/>
        <v>-4.0178942987931753E-2</v>
      </c>
      <c r="M8" s="3"/>
      <c r="N8" s="2">
        <f>IF('Modell einstellen'!$B$1="Voll",H8/0.35,H8/0.35*2)</f>
        <v>3.3548640000000005E-4</v>
      </c>
      <c r="O8" s="2">
        <f>IF('Modell einstellen'!$B$1="Voll",J8/0.35,J8/0.35*2)</f>
        <v>-7.6696551428571426E-4</v>
      </c>
      <c r="P8" s="3">
        <f t="shared" si="1"/>
        <v>0.4374204494871497</v>
      </c>
    </row>
    <row r="9" spans="1:16" x14ac:dyDescent="0.25">
      <c r="A9" s="3">
        <v>1.0000000000000001E-9</v>
      </c>
      <c r="B9" s="3">
        <v>-4.409E-5</v>
      </c>
      <c r="C9" s="3">
        <v>2.062E-4</v>
      </c>
      <c r="D9" s="3">
        <v>-4.684E-4</v>
      </c>
      <c r="E9" s="3">
        <v>0</v>
      </c>
      <c r="F9" s="3">
        <v>0</v>
      </c>
      <c r="G9" s="3">
        <v>0</v>
      </c>
      <c r="H9" s="3">
        <v>1.2927351999999999E-4</v>
      </c>
      <c r="I9" s="3">
        <v>2.1854801999999998E-5</v>
      </c>
      <c r="J9" s="3">
        <v>-2.8458550999999998E-4</v>
      </c>
      <c r="L9" s="3">
        <f t="shared" si="0"/>
        <v>-9.4128949615713067E-2</v>
      </c>
      <c r="M9" s="3"/>
      <c r="N9" s="2">
        <f>IF('Modell einstellen'!$B$1="Voll",H9/0.35,H9/0.35*2)</f>
        <v>3.6935291428571429E-4</v>
      </c>
      <c r="O9" s="2">
        <f>IF('Modell einstellen'!$B$1="Voll",J9/0.35,J9/0.35*2)</f>
        <v>-8.1310145714285709E-4</v>
      </c>
      <c r="P9" s="3">
        <f t="shared" si="1"/>
        <v>0.45425193995295127</v>
      </c>
    </row>
    <row r="10" spans="1:16" x14ac:dyDescent="0.25">
      <c r="A10" s="3">
        <v>1E-8</v>
      </c>
      <c r="B10" s="3">
        <v>-8.1630000000000003E-5</v>
      </c>
      <c r="C10" s="3">
        <v>2.1479999999999999E-4</v>
      </c>
      <c r="D10" s="3">
        <v>-4.46E-4</v>
      </c>
      <c r="E10" s="3">
        <v>0</v>
      </c>
      <c r="F10" s="3">
        <v>0</v>
      </c>
      <c r="G10" s="3">
        <v>0</v>
      </c>
      <c r="H10" s="3">
        <v>1.4575826E-4</v>
      </c>
      <c r="I10" s="3">
        <v>2.2964623E-5</v>
      </c>
      <c r="J10" s="3">
        <v>-3.0632062999999998E-4</v>
      </c>
      <c r="L10" s="3">
        <f t="shared" si="0"/>
        <v>-0.18302690582959641</v>
      </c>
      <c r="M10" s="3"/>
      <c r="N10" s="2">
        <f>IF('Modell einstellen'!$B$1="Voll",H10/0.35,H10/0.35*2)</f>
        <v>4.1645217142857147E-4</v>
      </c>
      <c r="O10" s="2">
        <f>IF('Modell einstellen'!$B$1="Voll",J10/0.35,J10/0.35*2)</f>
        <v>-8.7520179999999999E-4</v>
      </c>
      <c r="P10" s="3">
        <f t="shared" si="1"/>
        <v>0.47583559749142595</v>
      </c>
    </row>
    <row r="11" spans="1:16" x14ac:dyDescent="0.25">
      <c r="A11" s="3">
        <v>9.9999999999999995E-8</v>
      </c>
      <c r="B11" s="3">
        <v>-1.5090000000000001E-4</v>
      </c>
      <c r="C11" s="3">
        <v>2.264E-4</v>
      </c>
      <c r="D11" s="3">
        <v>-3.9720000000000001E-4</v>
      </c>
      <c r="E11" s="3">
        <v>0</v>
      </c>
      <c r="F11" s="3">
        <v>0</v>
      </c>
      <c r="G11" s="3">
        <v>0</v>
      </c>
      <c r="H11" s="3">
        <v>1.7330551999999999E-4</v>
      </c>
      <c r="I11" s="3">
        <v>2.4504752000000002E-5</v>
      </c>
      <c r="J11" s="3">
        <v>-3.4113465E-4</v>
      </c>
      <c r="L11" s="3">
        <f t="shared" si="0"/>
        <v>-0.37990936555891242</v>
      </c>
      <c r="M11" s="3"/>
      <c r="N11" s="2">
        <f>IF('Modell einstellen'!$B$1="Voll",H11/0.35,H11/0.35*2)</f>
        <v>4.9515862857142862E-4</v>
      </c>
      <c r="O11" s="2">
        <f>IF('Modell einstellen'!$B$1="Voll",J11/0.35,J11/0.35*2)</f>
        <v>-9.7467042857142863E-4</v>
      </c>
      <c r="P11" s="3">
        <f t="shared" si="1"/>
        <v>0.50802672786244374</v>
      </c>
    </row>
    <row r="12" spans="1:16" x14ac:dyDescent="0.25">
      <c r="A12" s="3">
        <v>9.9999999999999995E-7</v>
      </c>
      <c r="B12" s="3">
        <v>-2.8459999999999998E-4</v>
      </c>
      <c r="C12" s="3">
        <v>2.4039999999999999E-4</v>
      </c>
      <c r="D12" s="3">
        <v>-2.8889999999999997E-4</v>
      </c>
      <c r="E12" s="3">
        <v>0</v>
      </c>
      <c r="F12" s="3">
        <v>0</v>
      </c>
      <c r="G12" s="3">
        <v>0</v>
      </c>
      <c r="H12" s="3">
        <v>2.2088927E-4</v>
      </c>
      <c r="I12" s="3">
        <v>2.6508899E-5</v>
      </c>
      <c r="J12" s="3">
        <v>-3.9812992000000001E-4</v>
      </c>
      <c r="L12" s="3">
        <f t="shared" si="0"/>
        <v>-0.98511595707857391</v>
      </c>
      <c r="M12" s="3"/>
      <c r="N12" s="2">
        <f>IF('Modell einstellen'!$B$1="Voll",H12/0.35,H12/0.35*2)</f>
        <v>6.3111220000000004E-4</v>
      </c>
      <c r="O12" s="2">
        <f>IF('Modell einstellen'!$B$1="Voll",J12/0.35,J12/0.35*2)</f>
        <v>-1.1375140571428571E-3</v>
      </c>
      <c r="P12" s="3">
        <f t="shared" si="1"/>
        <v>0.55481705569880313</v>
      </c>
    </row>
    <row r="13" spans="1:16" x14ac:dyDescent="0.25">
      <c r="A13" s="3">
        <v>1.0000000000000001E-5</v>
      </c>
      <c r="B13" s="3">
        <v>-5.7090000000000005E-4</v>
      </c>
      <c r="C13" s="3">
        <v>2.5619999999999999E-4</v>
      </c>
      <c r="D13" s="3">
        <v>-3.2110000000000003E-5</v>
      </c>
      <c r="E13" s="3">
        <v>0</v>
      </c>
      <c r="F13" s="3">
        <v>0</v>
      </c>
      <c r="G13" s="3">
        <v>0</v>
      </c>
      <c r="H13" s="3">
        <v>3.1236333E-4</v>
      </c>
      <c r="I13" s="3">
        <v>2.9021910000000001E-5</v>
      </c>
      <c r="J13" s="3">
        <v>-5.0128924000000005E-4</v>
      </c>
      <c r="L13" s="3">
        <f t="shared" si="0"/>
        <v>-17.779507941451261</v>
      </c>
      <c r="M13" s="3"/>
      <c r="N13" s="2">
        <f>IF('Modell einstellen'!$B$1="Voll",H13/0.35,H13/0.35*2)</f>
        <v>8.9246665714285724E-4</v>
      </c>
      <c r="O13" s="2">
        <f>IF('Modell einstellen'!$B$1="Voll",J13/0.35,J13/0.35*2)</f>
        <v>-1.4322549714285717E-3</v>
      </c>
      <c r="P13" s="3">
        <f t="shared" si="1"/>
        <v>0.62311995765159445</v>
      </c>
    </row>
    <row r="14" spans="1:16" x14ac:dyDescent="0.25">
      <c r="A14" s="3">
        <v>1E-4</v>
      </c>
      <c r="B14" s="3">
        <v>-1.2830000000000001E-3</v>
      </c>
      <c r="C14" s="3">
        <v>2.7119999999999998E-4</v>
      </c>
      <c r="D14" s="3">
        <v>6.5039999999999998E-4</v>
      </c>
      <c r="E14" s="3">
        <v>0</v>
      </c>
      <c r="F14" s="3">
        <v>0</v>
      </c>
      <c r="G14" s="3">
        <v>0</v>
      </c>
      <c r="H14" s="3">
        <v>5.1945691E-4</v>
      </c>
      <c r="I14" s="3">
        <v>3.1877664999999999E-5</v>
      </c>
      <c r="J14" s="3">
        <v>-7.2122037E-4</v>
      </c>
      <c r="L14" s="3">
        <f t="shared" si="0"/>
        <v>1.9726322263222633</v>
      </c>
      <c r="M14" s="3"/>
      <c r="N14" s="2">
        <f>IF('Modell einstellen'!$B$1="Voll",H14/0.35,H14/0.35*2)</f>
        <v>1.4841626E-3</v>
      </c>
      <c r="O14" s="2">
        <f>IF('Modell einstellen'!$B$1="Voll",J14/0.35,J14/0.35*2)</f>
        <v>-2.0606296285714289E-3</v>
      </c>
      <c r="P14" s="3">
        <f t="shared" si="1"/>
        <v>0.72024714166073811</v>
      </c>
    </row>
    <row r="15" spans="1:16" x14ac:dyDescent="0.25">
      <c r="A15" s="3">
        <v>1E-3</v>
      </c>
      <c r="B15" s="3">
        <v>-2.862E-3</v>
      </c>
      <c r="C15" s="3">
        <v>2.8069999999999999E-4</v>
      </c>
      <c r="D15" s="3">
        <v>2.209E-3</v>
      </c>
      <c r="E15" s="3">
        <v>0</v>
      </c>
      <c r="F15" s="3">
        <v>0</v>
      </c>
      <c r="G15" s="3">
        <v>0</v>
      </c>
      <c r="H15" s="3">
        <v>9.5341641999999996E-4</v>
      </c>
      <c r="I15" s="3">
        <v>3.4106410999999999E-5</v>
      </c>
      <c r="J15" s="3">
        <v>-1.1634855999999999E-3</v>
      </c>
      <c r="L15" s="3">
        <f t="shared" si="0"/>
        <v>1.295608872793119</v>
      </c>
      <c r="M15" s="3"/>
      <c r="N15" s="2">
        <f>IF('Modell einstellen'!$B$1="Voll",H15/0.35,H15/0.35*2)</f>
        <v>2.7240469142857143E-3</v>
      </c>
      <c r="O15" s="2">
        <f>IF('Modell einstellen'!$B$1="Voll",J15/0.35,J15/0.35*2)</f>
        <v>-3.3242445714285712E-3</v>
      </c>
      <c r="P15" s="3">
        <f t="shared" si="1"/>
        <v>0.81944840572156641</v>
      </c>
    </row>
    <row r="16" spans="1:16" x14ac:dyDescent="0.25">
      <c r="A16" s="3">
        <v>0.01</v>
      </c>
      <c r="B16" s="3">
        <v>-5.9490000000000003E-3</v>
      </c>
      <c r="C16" s="3">
        <v>2.9050000000000001E-4</v>
      </c>
      <c r="D16" s="3">
        <v>5.2820000000000002E-3</v>
      </c>
      <c r="E16" s="3">
        <v>0</v>
      </c>
      <c r="F16" s="3">
        <v>0</v>
      </c>
      <c r="G16" s="3">
        <v>0</v>
      </c>
      <c r="H16" s="3">
        <v>1.7844221E-3</v>
      </c>
      <c r="I16" s="3">
        <v>3.5670718E-5</v>
      </c>
      <c r="J16" s="3">
        <v>-1.9943846999999999E-3</v>
      </c>
      <c r="L16" s="3">
        <f t="shared" si="0"/>
        <v>1.1262779250283983</v>
      </c>
      <c r="M16" s="3"/>
      <c r="N16" s="2">
        <f>IF('Modell einstellen'!$B$1="Voll",H16/0.35,H16/0.35*2)</f>
        <v>5.0983488571428575E-3</v>
      </c>
      <c r="O16" s="2">
        <f>IF('Modell einstellen'!$B$1="Voll",J16/0.35,J16/0.35*2)</f>
        <v>-5.6982420000000001E-3</v>
      </c>
      <c r="P16" s="3">
        <f t="shared" si="1"/>
        <v>0.89472311936608828</v>
      </c>
    </row>
    <row r="17" spans="1:16" x14ac:dyDescent="0.25">
      <c r="A17" s="3">
        <v>0.1</v>
      </c>
      <c r="B17" s="3">
        <v>-1.1599999999999999E-2</v>
      </c>
      <c r="C17" s="3">
        <v>3.2519999999999999E-4</v>
      </c>
      <c r="D17" s="3">
        <v>1.09E-2</v>
      </c>
      <c r="E17" s="3">
        <v>0</v>
      </c>
      <c r="F17" s="3">
        <v>0</v>
      </c>
      <c r="G17" s="3">
        <v>0</v>
      </c>
      <c r="H17" s="3">
        <v>3.3019172999999998E-3</v>
      </c>
      <c r="I17" s="3">
        <v>3.8662180999999999E-5</v>
      </c>
      <c r="J17" s="3">
        <v>-3.5001774999999999E-3</v>
      </c>
      <c r="L17" s="3">
        <f t="shared" si="0"/>
        <v>1.0642201834862384</v>
      </c>
      <c r="M17" s="3"/>
      <c r="N17" s="2">
        <f>IF('Modell einstellen'!$B$1="Voll",H17/0.35,H17/0.35*2)</f>
        <v>9.4340494285714283E-3</v>
      </c>
      <c r="O17" s="2">
        <f>IF('Modell einstellen'!$B$1="Voll",J17/0.35,J17/0.35*2)</f>
        <v>-1.0000507142857143E-2</v>
      </c>
      <c r="P17" s="3">
        <f t="shared" si="1"/>
        <v>0.94335710117558313</v>
      </c>
    </row>
    <row r="18" spans="1:16" x14ac:dyDescent="0.25">
      <c r="A18" s="3">
        <v>1</v>
      </c>
      <c r="B18" s="3">
        <v>-1.6979999999999999E-2</v>
      </c>
      <c r="C18" s="3">
        <v>4.2860000000000001E-4</v>
      </c>
      <c r="D18" s="3">
        <v>1.618E-2</v>
      </c>
      <c r="E18" s="3">
        <v>0</v>
      </c>
      <c r="F18" s="3">
        <v>0</v>
      </c>
      <c r="G18" s="3">
        <v>0</v>
      </c>
      <c r="H18" s="3">
        <v>4.7583382E-3</v>
      </c>
      <c r="I18" s="3">
        <v>5.0548772000000003E-5</v>
      </c>
      <c r="J18" s="3">
        <v>-4.9649228000000004E-3</v>
      </c>
      <c r="L18" s="3">
        <f t="shared" si="0"/>
        <v>1.0494437577255871</v>
      </c>
      <c r="M18" s="3"/>
      <c r="N18" s="2">
        <f>IF('Modell einstellen'!$B$1="Voll",H18/0.35,H18/0.35*2)</f>
        <v>1.3595252E-2</v>
      </c>
      <c r="O18" s="2">
        <f>IF('Modell einstellen'!$B$1="Voll",J18/0.35,J18/0.35*2)</f>
        <v>-1.4185493714285716E-2</v>
      </c>
      <c r="P18" s="3">
        <f t="shared" si="1"/>
        <v>0.9583911757902861</v>
      </c>
    </row>
    <row r="19" spans="1:16" x14ac:dyDescent="0.25">
      <c r="A19" s="3">
        <v>10</v>
      </c>
      <c r="B19" s="3">
        <v>-1.9310000000000001E-2</v>
      </c>
      <c r="C19" s="3">
        <v>6.4199999999999999E-4</v>
      </c>
      <c r="D19" s="3">
        <v>1.8290000000000001E-2</v>
      </c>
      <c r="E19" s="3">
        <v>0</v>
      </c>
      <c r="F19" s="3">
        <v>0</v>
      </c>
      <c r="G19" s="3">
        <v>0</v>
      </c>
      <c r="H19" s="3">
        <v>5.4005772999999998E-3</v>
      </c>
      <c r="I19" s="3">
        <v>8.3572263999999994E-5</v>
      </c>
      <c r="J19" s="3">
        <v>-5.7064085999999998E-3</v>
      </c>
      <c r="L19" s="3">
        <f t="shared" si="0"/>
        <v>1.0557681793329687</v>
      </c>
      <c r="M19" s="3"/>
      <c r="N19" s="2">
        <f>IF('Modell einstellen'!$B$1="Voll",H19/0.35,H19/0.35*2)</f>
        <v>1.5430220857142858E-2</v>
      </c>
      <c r="O19" s="2">
        <f>IF('Modell einstellen'!$B$1="Voll",J19/0.35,J19/0.35*2)</f>
        <v>-1.6304024571428571E-2</v>
      </c>
      <c r="P19" s="3">
        <f t="shared" si="1"/>
        <v>0.94640564294677398</v>
      </c>
    </row>
    <row r="20" spans="1:16" x14ac:dyDescent="0.25">
      <c r="A20" s="3">
        <v>100</v>
      </c>
      <c r="B20" s="3">
        <v>-2.0930000000000001E-2</v>
      </c>
      <c r="C20" s="3">
        <v>1.0690000000000001E-3</v>
      </c>
      <c r="D20" s="3">
        <v>1.949E-2</v>
      </c>
      <c r="E20" s="3">
        <v>0</v>
      </c>
      <c r="F20" s="3">
        <v>0</v>
      </c>
      <c r="G20" s="3">
        <v>0</v>
      </c>
      <c r="H20" s="3">
        <v>5.8350820999999997E-3</v>
      </c>
      <c r="I20" s="3">
        <v>1.5745679000000001E-4</v>
      </c>
      <c r="J20" s="3">
        <v>-6.3915326999999999E-3</v>
      </c>
      <c r="L20" s="3">
        <f t="shared" si="0"/>
        <v>1.0738840430990251</v>
      </c>
      <c r="M20" s="3"/>
      <c r="N20" s="2">
        <f>IF('Modell einstellen'!$B$1="Voll",H20/0.35,H20/0.35*2)</f>
        <v>1.6671663142857143E-2</v>
      </c>
      <c r="O20" s="2">
        <f>IF('Modell einstellen'!$B$1="Voll",J20/0.35,J20/0.35*2)</f>
        <v>-1.8261522000000002E-2</v>
      </c>
      <c r="P20" s="3">
        <f t="shared" si="1"/>
        <v>0.91293941123073641</v>
      </c>
    </row>
    <row r="21" spans="1:16" x14ac:dyDescent="0.25">
      <c r="A21" s="3">
        <v>1000</v>
      </c>
      <c r="B21" s="3">
        <v>-2.0709999999999999E-2</v>
      </c>
      <c r="C21" s="3">
        <v>1.952E-3</v>
      </c>
      <c r="D21" s="3">
        <v>1.839E-2</v>
      </c>
      <c r="E21" s="3">
        <v>0</v>
      </c>
      <c r="F21" s="3">
        <v>0</v>
      </c>
      <c r="G21" s="3">
        <v>0</v>
      </c>
      <c r="H21" s="3">
        <v>5.7256420000000004E-3</v>
      </c>
      <c r="I21" s="3">
        <v>3.177856E-4</v>
      </c>
      <c r="J21" s="3">
        <v>-6.8607281000000004E-3</v>
      </c>
      <c r="L21" s="3">
        <f t="shared" si="0"/>
        <v>1.1261555193039694</v>
      </c>
      <c r="M21" s="3"/>
      <c r="N21" s="2">
        <f>IF('Modell einstellen'!$B$1="Voll",H21/0.35,H21/0.35*2)</f>
        <v>1.6358977142857146E-2</v>
      </c>
      <c r="O21" s="2">
        <f>IF('Modell einstellen'!$B$1="Voll",J21/0.35,J21/0.35*2)</f>
        <v>-1.960208028571429E-2</v>
      </c>
      <c r="P21" s="3">
        <f t="shared" si="1"/>
        <v>0.83455311397634313</v>
      </c>
    </row>
    <row r="22" spans="1:16" x14ac:dyDescent="0.25">
      <c r="A22" s="3">
        <v>10000</v>
      </c>
      <c r="B22" s="3">
        <v>-1.9970000000000002E-2</v>
      </c>
      <c r="C22" s="3">
        <v>3.297E-3</v>
      </c>
      <c r="D22" s="3">
        <v>1.6320000000000001E-2</v>
      </c>
      <c r="E22" s="3">
        <v>0</v>
      </c>
      <c r="F22" s="3">
        <v>0</v>
      </c>
      <c r="G22" s="3">
        <v>0</v>
      </c>
      <c r="H22" s="3">
        <v>5.4393910999999996E-3</v>
      </c>
      <c r="I22" s="3">
        <v>5.6414085000000005E-4</v>
      </c>
      <c r="J22" s="3">
        <v>-7.4656122999999996E-3</v>
      </c>
      <c r="L22" s="3">
        <f t="shared" si="0"/>
        <v>1.2236519607843137</v>
      </c>
      <c r="M22" s="3"/>
      <c r="N22" s="2">
        <f>IF('Modell einstellen'!$B$1="Voll",H22/0.35,H22/0.35*2)</f>
        <v>1.5541117428571428E-2</v>
      </c>
      <c r="O22" s="2">
        <f>IF('Modell einstellen'!$B$1="Voll",J22/0.35,J22/0.35*2)</f>
        <v>-2.1330320857142857E-2</v>
      </c>
      <c r="P22" s="3">
        <f t="shared" si="1"/>
        <v>0.7285927639183728</v>
      </c>
    </row>
    <row r="23" spans="1:16" x14ac:dyDescent="0.25">
      <c r="A23" s="3">
        <v>100000</v>
      </c>
      <c r="B23" s="3">
        <v>-1.917E-2</v>
      </c>
      <c r="C23" s="3">
        <v>4.6189999999999998E-3</v>
      </c>
      <c r="D23" s="3">
        <v>1.4200000000000001E-2</v>
      </c>
      <c r="E23" s="3">
        <v>0</v>
      </c>
      <c r="F23" s="3">
        <v>0</v>
      </c>
      <c r="G23" s="3">
        <v>0</v>
      </c>
      <c r="H23" s="3">
        <v>5.1606600999999997E-3</v>
      </c>
      <c r="I23" s="3">
        <v>8.1033110999999996E-4</v>
      </c>
      <c r="J23" s="3">
        <v>-8.0739181000000007E-3</v>
      </c>
      <c r="L23" s="3">
        <f t="shared" si="0"/>
        <v>1.3499999999999999</v>
      </c>
      <c r="M23" s="3"/>
      <c r="N23" s="2">
        <f>IF('Modell einstellen'!$B$1="Voll",H23/0.35,H23/0.35*2)</f>
        <v>1.4744743142857142E-2</v>
      </c>
      <c r="O23" s="2">
        <f>IF('Modell einstellen'!$B$1="Voll",J23/0.35,J23/0.35*2)</f>
        <v>-2.3068337428571433E-2</v>
      </c>
      <c r="P23" s="3">
        <f t="shared" si="1"/>
        <v>0.63917667185650529</v>
      </c>
    </row>
    <row r="24" spans="1:16" x14ac:dyDescent="0.25">
      <c r="A24" s="3">
        <v>1000000</v>
      </c>
      <c r="B24" s="3">
        <v>-1.8460000000000001E-2</v>
      </c>
      <c r="C24" s="3">
        <v>5.6449999999999998E-3</v>
      </c>
      <c r="D24" s="3">
        <v>1.248E-2</v>
      </c>
      <c r="E24" s="3">
        <v>0</v>
      </c>
      <c r="F24" s="3">
        <v>0</v>
      </c>
      <c r="G24" s="3">
        <v>0</v>
      </c>
      <c r="H24" s="3">
        <v>4.9459591000000002E-3</v>
      </c>
      <c r="I24" s="3">
        <v>1.0051057999999999E-3</v>
      </c>
      <c r="J24" s="3">
        <v>-8.558398E-3</v>
      </c>
      <c r="L24" s="3">
        <f t="shared" si="0"/>
        <v>1.4791666666666667</v>
      </c>
      <c r="M24" s="3"/>
      <c r="N24" s="2">
        <f>IF('Modell einstellen'!$B$1="Voll",H24/0.35,H24/0.35*2)</f>
        <v>1.4131311714285716E-2</v>
      </c>
      <c r="O24" s="2">
        <f>IF('Modell einstellen'!$B$1="Voll",J24/0.35,J24/0.35*2)</f>
        <v>-2.4452565714285716E-2</v>
      </c>
      <c r="P24" s="3">
        <f t="shared" si="1"/>
        <v>0.57790711532695727</v>
      </c>
    </row>
    <row r="25" spans="1:16" x14ac:dyDescent="0.25">
      <c r="A25" s="3">
        <v>10000000</v>
      </c>
      <c r="B25" s="3">
        <v>-1.7899999999999999E-2</v>
      </c>
      <c r="C25" s="3">
        <v>6.3619999999999996E-3</v>
      </c>
      <c r="D25" s="3">
        <v>1.12E-2</v>
      </c>
      <c r="E25" s="3">
        <v>0</v>
      </c>
      <c r="F25" s="3">
        <v>0</v>
      </c>
      <c r="G25" s="3">
        <v>0</v>
      </c>
      <c r="H25" s="3">
        <v>4.7967645E-3</v>
      </c>
      <c r="I25" s="3">
        <v>1.1438411999999999E-3</v>
      </c>
      <c r="J25" s="3">
        <v>-8.9057734000000006E-3</v>
      </c>
      <c r="L25" s="3">
        <f t="shared" si="0"/>
        <v>1.5982142857142856</v>
      </c>
      <c r="M25" s="3"/>
      <c r="N25" s="2">
        <f>IF('Modell einstellen'!$B$1="Voll",H25/0.35,H25/0.35*2)</f>
        <v>1.3705041428571429E-2</v>
      </c>
      <c r="O25" s="2">
        <f>IF('Modell einstellen'!$B$1="Voll",J25/0.35,J25/0.35*2)</f>
        <v>-2.5445066857142859E-2</v>
      </c>
      <c r="P25" s="3">
        <f t="shared" si="1"/>
        <v>0.5386129069935689</v>
      </c>
    </row>
    <row r="26" spans="1:16" x14ac:dyDescent="0.25">
      <c r="A26" s="3">
        <v>100000000</v>
      </c>
      <c r="B26" s="3">
        <v>-1.7479999999999999E-2</v>
      </c>
      <c r="C26" s="3">
        <v>6.8380000000000003E-3</v>
      </c>
      <c r="D26" s="3">
        <v>1.031E-2</v>
      </c>
      <c r="E26" s="3">
        <v>0</v>
      </c>
      <c r="F26" s="3">
        <v>0</v>
      </c>
      <c r="G26" s="3">
        <v>0</v>
      </c>
      <c r="H26" s="3">
        <v>4.6988378999999999E-3</v>
      </c>
      <c r="I26" s="3">
        <v>1.2374249999999999E-3</v>
      </c>
      <c r="J26" s="3">
        <v>-9.1420766999999997E-3</v>
      </c>
      <c r="L26" s="3">
        <f t="shared" si="0"/>
        <v>1.6954413191076625</v>
      </c>
      <c r="M26" s="3"/>
      <c r="N26" s="2">
        <f>IF('Modell einstellen'!$B$1="Voll",H26/0.35,H26/0.35*2)</f>
        <v>1.3425251142857144E-2</v>
      </c>
      <c r="O26" s="2">
        <f>IF('Modell einstellen'!$B$1="Voll",J26/0.35,J26/0.35*2)</f>
        <v>-2.6120219142857143E-2</v>
      </c>
      <c r="P26" s="3">
        <f t="shared" si="1"/>
        <v>0.51397926906476299</v>
      </c>
    </row>
    <row r="27" spans="1:16" x14ac:dyDescent="0.25">
      <c r="A27" s="3">
        <v>1000000000</v>
      </c>
      <c r="B27" s="3">
        <v>-1.7149999999999999E-2</v>
      </c>
      <c r="C27" s="3">
        <v>7.1510000000000002E-3</v>
      </c>
      <c r="D27" s="3">
        <v>9.6699999999999998E-3</v>
      </c>
      <c r="E27" s="3">
        <v>0</v>
      </c>
      <c r="F27" s="3">
        <v>0</v>
      </c>
      <c r="G27" s="3">
        <v>0</v>
      </c>
      <c r="H27" s="3">
        <v>4.6372510999999998E-3</v>
      </c>
      <c r="I27" s="3">
        <v>1.3000408E-3</v>
      </c>
      <c r="J27" s="3">
        <v>-9.3036834999999998E-3</v>
      </c>
      <c r="L27" s="3">
        <f t="shared" si="0"/>
        <v>1.7735263702171664</v>
      </c>
      <c r="M27" s="3"/>
      <c r="N27" s="2">
        <f>IF('Modell einstellen'!$B$1="Voll",H27/0.35,H27/0.35*2)</f>
        <v>1.3249288857142858E-2</v>
      </c>
      <c r="O27" s="2">
        <f>IF('Modell einstellen'!$B$1="Voll",J27/0.35,J27/0.35*2)</f>
        <v>-2.6581952857142859E-2</v>
      </c>
      <c r="P27" s="3">
        <f t="shared" si="1"/>
        <v>0.49843173405458169</v>
      </c>
    </row>
    <row r="28" spans="1:16" x14ac:dyDescent="0.25">
      <c r="A28" s="3">
        <v>10000000000</v>
      </c>
      <c r="B28" s="3">
        <v>-1.686E-2</v>
      </c>
      <c r="C28" s="3">
        <v>7.3460000000000001E-3</v>
      </c>
      <c r="D28" s="3">
        <v>9.188E-3</v>
      </c>
      <c r="E28" s="3">
        <v>0</v>
      </c>
      <c r="F28" s="3">
        <v>0</v>
      </c>
      <c r="G28" s="3">
        <v>0</v>
      </c>
      <c r="H28" s="3">
        <v>4.6044768999999996E-3</v>
      </c>
      <c r="I28" s="3">
        <v>1.3401654000000001E-3</v>
      </c>
      <c r="J28" s="3">
        <v>-9.4135470999999991E-3</v>
      </c>
      <c r="L28" s="3">
        <f t="shared" si="0"/>
        <v>1.8350021767522855</v>
      </c>
      <c r="M28" s="3"/>
      <c r="N28" s="2">
        <f>IF('Modell einstellen'!$B$1="Voll",H28/0.35,H28/0.35*2)</f>
        <v>1.3155648285714285E-2</v>
      </c>
      <c r="O28" s="2">
        <f>IF('Modell einstellen'!$B$1="Voll",J28/0.35,J28/0.35*2)</f>
        <v>-2.6895848857142857E-2</v>
      </c>
      <c r="P28" s="3">
        <f t="shared" si="1"/>
        <v>0.48913303891579824</v>
      </c>
    </row>
    <row r="29" spans="1:16" x14ac:dyDescent="0.25">
      <c r="A29" s="3">
        <v>100000000000</v>
      </c>
      <c r="B29" s="3">
        <v>-1.6799999999999999E-2</v>
      </c>
      <c r="C29" s="3">
        <v>7.3810000000000004E-3</v>
      </c>
      <c r="D29" s="3">
        <v>9.0950000000000007E-3</v>
      </c>
      <c r="E29" s="3">
        <v>0</v>
      </c>
      <c r="F29" s="3">
        <v>0</v>
      </c>
      <c r="G29" s="3">
        <v>0</v>
      </c>
      <c r="H29" s="3">
        <v>4.5991373999999998E-3</v>
      </c>
      <c r="I29" s="3">
        <v>1.3474572999999999E-3</v>
      </c>
      <c r="J29" s="3">
        <v>-9.4340731000000008E-3</v>
      </c>
      <c r="L29" s="3">
        <f t="shared" si="0"/>
        <v>1.8471687740516765</v>
      </c>
      <c r="M29" s="3"/>
      <c r="N29" s="2">
        <f>IF('Modell einstellen'!$B$1="Voll",H29/0.35,H29/0.35*2)</f>
        <v>1.3140392571428572E-2</v>
      </c>
      <c r="O29" s="2">
        <f>IF('Modell einstellen'!$B$1="Voll",J29/0.35,J29/0.35*2)</f>
        <v>-2.6954494571428574E-2</v>
      </c>
      <c r="P29" s="3">
        <f t="shared" si="1"/>
        <v>0.48750283692417007</v>
      </c>
    </row>
    <row r="30" spans="1:16" x14ac:dyDescent="0.25">
      <c r="A30" s="3">
        <v>1000000000000</v>
      </c>
      <c r="B30" s="3">
        <v>-1.6410000000000001E-2</v>
      </c>
      <c r="C30" s="3">
        <v>7.5059999999999997E-3</v>
      </c>
      <c r="D30" s="3">
        <v>8.5730000000000008E-3</v>
      </c>
      <c r="E30" s="3">
        <v>0</v>
      </c>
      <c r="F30" s="3">
        <v>0</v>
      </c>
      <c r="G30" s="3">
        <v>0</v>
      </c>
      <c r="H30" s="3">
        <v>4.5951357999999996E-3</v>
      </c>
      <c r="I30" s="3">
        <v>1.3747103E-3</v>
      </c>
      <c r="J30" s="3">
        <v>-9.5261902999999992E-3</v>
      </c>
      <c r="L30" s="3">
        <f t="shared" si="0"/>
        <v>1.9141490726700103</v>
      </c>
      <c r="M30" s="3"/>
      <c r="N30" s="2">
        <f>IF('Modell einstellen'!$B$1="Voll",H30/0.35,H30/0.35*2)</f>
        <v>1.3128959428571427E-2</v>
      </c>
      <c r="O30" s="2">
        <f>IF('Modell einstellen'!$B$1="Voll",J30/0.35,J30/0.35*2)</f>
        <v>-2.7217686571428569E-2</v>
      </c>
      <c r="P30" s="3">
        <f t="shared" si="1"/>
        <v>0.48236867575488179</v>
      </c>
    </row>
    <row r="31" spans="1:16" x14ac:dyDescent="0.25">
      <c r="A31" s="3">
        <v>10000000000000</v>
      </c>
      <c r="B31" s="3">
        <v>-1.6400000000000001E-2</v>
      </c>
      <c r="C31" s="3">
        <v>7.5079999999999999E-3</v>
      </c>
      <c r="D31" s="3">
        <v>8.5649999999999997E-3</v>
      </c>
      <c r="E31" s="3">
        <v>0</v>
      </c>
      <c r="F31" s="3">
        <v>0</v>
      </c>
      <c r="G31" s="3">
        <v>0</v>
      </c>
      <c r="H31" s="3">
        <v>4.595142E-3</v>
      </c>
      <c r="I31" s="3">
        <v>1.3751137000000001E-3</v>
      </c>
      <c r="J31" s="3">
        <v>-9.5276032999999996E-3</v>
      </c>
      <c r="L31" s="3">
        <f t="shared" si="0"/>
        <v>1.9147694103911268</v>
      </c>
      <c r="M31" s="3"/>
      <c r="N31" s="2">
        <f>IF('Modell einstellen'!$B$1="Voll",H31/0.35,H31/0.35*2)</f>
        <v>1.3128977142857143E-2</v>
      </c>
      <c r="O31" s="2">
        <f>IF('Modell einstellen'!$B$1="Voll",J31/0.35,J31/0.35*2)</f>
        <v>-2.7221723714285714E-2</v>
      </c>
      <c r="P31" s="3">
        <f t="shared" si="1"/>
        <v>0.48229778836404746</v>
      </c>
    </row>
    <row r="32" spans="1:16" x14ac:dyDescent="0.25">
      <c r="A32" s="3">
        <v>100000000000000</v>
      </c>
      <c r="B32" s="3">
        <v>-1.626E-2</v>
      </c>
      <c r="C32" s="3">
        <v>7.5440000000000004E-3</v>
      </c>
      <c r="D32" s="3">
        <v>8.3899999999999999E-3</v>
      </c>
      <c r="E32" s="3">
        <v>0</v>
      </c>
      <c r="F32" s="3">
        <v>0</v>
      </c>
      <c r="G32" s="3">
        <v>0</v>
      </c>
      <c r="H32" s="3">
        <v>4.5952611999999999E-3</v>
      </c>
      <c r="I32" s="3">
        <v>1.38345E-3</v>
      </c>
      <c r="J32" s="3">
        <v>-9.5570550999999997E-3</v>
      </c>
      <c r="L32" s="3">
        <f t="shared" si="0"/>
        <v>1.9380214541120382</v>
      </c>
      <c r="M32" s="3"/>
      <c r="N32" s="2">
        <f>IF('Modell einstellen'!$B$1="Voll",H32/0.35,H32/0.35*2)</f>
        <v>1.3129317714285715E-2</v>
      </c>
      <c r="O32" s="2">
        <f>IF('Modell einstellen'!$B$1="Voll",J32/0.35,J32/0.35*2)</f>
        <v>-2.7305871714285716E-2</v>
      </c>
      <c r="P32" s="3">
        <f t="shared" si="1"/>
        <v>0.48082397264822718</v>
      </c>
    </row>
    <row r="33" spans="1:16" x14ac:dyDescent="0.25">
      <c r="A33" s="3">
        <v>1000000000000000</v>
      </c>
      <c r="B33" s="3">
        <v>-1.6250000000000001E-2</v>
      </c>
      <c r="C33" s="3">
        <v>7.5459999999999998E-3</v>
      </c>
      <c r="D33" s="3">
        <v>8.3820000000000006E-3</v>
      </c>
      <c r="E33" s="3">
        <v>0</v>
      </c>
      <c r="F33" s="3">
        <v>0</v>
      </c>
      <c r="G33" s="3">
        <v>0</v>
      </c>
      <c r="H33" s="3">
        <v>4.5955003999999999E-3</v>
      </c>
      <c r="I33" s="3">
        <v>1.3837652E-3</v>
      </c>
      <c r="J33" s="3">
        <v>-9.5583870999999994E-3</v>
      </c>
      <c r="L33" s="3">
        <f t="shared" si="0"/>
        <v>1.9386781197804819</v>
      </c>
      <c r="M33" s="3"/>
      <c r="N33" s="2">
        <f>IF('Modell einstellen'!$B$1="Voll",H33/0.35,H33/0.35*2)</f>
        <v>1.3130001142857143E-2</v>
      </c>
      <c r="O33" s="2">
        <f>IF('Modell einstellen'!$B$1="Voll",J33/0.35,J33/0.35*2)</f>
        <v>-2.7309677428571429E-2</v>
      </c>
      <c r="P33" s="3">
        <f t="shared" si="1"/>
        <v>0.48078199302055891</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3.1189999999999998E-5</v>
      </c>
      <c r="C3" s="3">
        <v>1.7980000000000001E-4</v>
      </c>
      <c r="D3" s="3">
        <v>-4.9560000000000001E-4</v>
      </c>
      <c r="E3" s="3">
        <v>0</v>
      </c>
      <c r="F3" s="3">
        <v>0</v>
      </c>
      <c r="G3" s="3">
        <v>0</v>
      </c>
      <c r="H3" s="3">
        <v>9.0164786999999999E-5</v>
      </c>
      <c r="I3" s="3">
        <v>1.8647970999999999E-5</v>
      </c>
      <c r="J3" s="3">
        <v>-2.2981839E-4</v>
      </c>
      <c r="L3" s="3">
        <f>-B3/D3</f>
        <v>6.2933817594834532E-2</v>
      </c>
      <c r="M3" s="3"/>
      <c r="N3" s="2">
        <f>IF('Modell einstellen'!$B$1="Voll",H3/0.35,H3/0.35*2)</f>
        <v>2.5761367714285716E-4</v>
      </c>
      <c r="O3" s="2">
        <f>IF('Modell einstellen'!$B$1="Voll",J3/0.35,J3/0.35*2)</f>
        <v>-6.5662397142857143E-4</v>
      </c>
      <c r="P3" s="3">
        <f>-N3/O3</f>
        <v>0.39233060069735937</v>
      </c>
    </row>
    <row r="4" spans="1:16" x14ac:dyDescent="0.25">
      <c r="A4" s="3">
        <v>1E-14</v>
      </c>
      <c r="B4" s="3">
        <v>1.925E-5</v>
      </c>
      <c r="C4" s="3">
        <v>1.872E-4</v>
      </c>
      <c r="D4" s="3">
        <v>-4.9620000000000003E-4</v>
      </c>
      <c r="E4" s="3">
        <v>0</v>
      </c>
      <c r="F4" s="3">
        <v>0</v>
      </c>
      <c r="G4" s="3">
        <v>0</v>
      </c>
      <c r="H4" s="3">
        <v>9.8224922999999998E-5</v>
      </c>
      <c r="I4" s="3">
        <v>1.9508681E-5</v>
      </c>
      <c r="J4" s="3">
        <v>-2.4194911999999999E-4</v>
      </c>
      <c r="L4" s="3">
        <f t="shared" ref="L4:L33" si="0">-B4/D4</f>
        <v>3.8794840790004032E-2</v>
      </c>
      <c r="M4" s="3"/>
      <c r="N4" s="2">
        <f>IF('Modell einstellen'!$B$1="Voll",H4/0.35,H4/0.35*2)</f>
        <v>2.8064263714285714E-4</v>
      </c>
      <c r="O4" s="2">
        <f>IF('Modell einstellen'!$B$1="Voll",J4/0.35,J4/0.35*2)</f>
        <v>-6.9128320000000007E-4</v>
      </c>
      <c r="P4" s="3">
        <f t="shared" ref="P4:P33" si="1">-N4/O4</f>
        <v>0.40597346665282347</v>
      </c>
    </row>
    <row r="5" spans="1:16" x14ac:dyDescent="0.25">
      <c r="A5" s="3">
        <v>1E-13</v>
      </c>
      <c r="B5" s="3">
        <v>5.541E-6</v>
      </c>
      <c r="C5" s="3">
        <v>1.9379999999999999E-4</v>
      </c>
      <c r="D5" s="3">
        <v>-4.9370000000000002E-4</v>
      </c>
      <c r="E5" s="3">
        <v>0</v>
      </c>
      <c r="F5" s="3">
        <v>0</v>
      </c>
      <c r="G5" s="3">
        <v>0</v>
      </c>
      <c r="H5" s="3">
        <v>1.0633346E-4</v>
      </c>
      <c r="I5" s="3">
        <v>2.0298851999999998E-5</v>
      </c>
      <c r="J5" s="3">
        <v>-2.5378739999999998E-4</v>
      </c>
      <c r="L5" s="3">
        <f t="shared" si="0"/>
        <v>1.1223415029370062E-2</v>
      </c>
      <c r="M5" s="3"/>
      <c r="N5" s="2">
        <f>IF('Modell einstellen'!$B$1="Voll",H5/0.35,H5/0.35*2)</f>
        <v>3.0380988571428576E-4</v>
      </c>
      <c r="O5" s="2">
        <f>IF('Modell einstellen'!$B$1="Voll",J5/0.35,J5/0.35*2)</f>
        <v>-7.2510685714285712E-4</v>
      </c>
      <c r="P5" s="3">
        <f t="shared" si="1"/>
        <v>0.41898636417726026</v>
      </c>
    </row>
    <row r="6" spans="1:16" x14ac:dyDescent="0.25">
      <c r="A6" s="3">
        <v>9.9999999999999998E-13</v>
      </c>
      <c r="B6" s="3">
        <v>-1.1430000000000001E-5</v>
      </c>
      <c r="C6" s="3">
        <v>2.0039999999999999E-4</v>
      </c>
      <c r="D6" s="3">
        <v>-4.8819999999999999E-4</v>
      </c>
      <c r="E6" s="3">
        <v>0</v>
      </c>
      <c r="F6" s="3">
        <v>0</v>
      </c>
      <c r="G6" s="3">
        <v>0</v>
      </c>
      <c r="H6" s="3">
        <v>1.1544322E-4</v>
      </c>
      <c r="I6" s="3">
        <v>2.1112590000000001E-5</v>
      </c>
      <c r="J6" s="3">
        <v>-2.6672901000000001E-4</v>
      </c>
      <c r="L6" s="3">
        <f t="shared" si="0"/>
        <v>-2.3412535845964769E-2</v>
      </c>
      <c r="M6" s="3"/>
      <c r="N6" s="2">
        <f>IF('Modell einstellen'!$B$1="Voll",H6/0.35,H6/0.35*2)</f>
        <v>3.2983777142857145E-4</v>
      </c>
      <c r="O6" s="2">
        <f>IF('Modell einstellen'!$B$1="Voll",J6/0.35,J6/0.35*2)</f>
        <v>-7.6208288571428585E-4</v>
      </c>
      <c r="P6" s="3">
        <f t="shared" si="1"/>
        <v>0.43281088922423544</v>
      </c>
    </row>
    <row r="7" spans="1:16" x14ac:dyDescent="0.25">
      <c r="A7" s="3">
        <v>9.9999999999999994E-12</v>
      </c>
      <c r="B7" s="3">
        <v>-3.4770000000000001E-5</v>
      </c>
      <c r="C7" s="3">
        <v>2.0790000000000001E-4</v>
      </c>
      <c r="D7" s="3">
        <v>-4.7760000000000001E-4</v>
      </c>
      <c r="E7" s="3">
        <v>0</v>
      </c>
      <c r="F7" s="3">
        <v>0</v>
      </c>
      <c r="G7" s="3">
        <v>0</v>
      </c>
      <c r="H7" s="3">
        <v>1.2688257000000001E-4</v>
      </c>
      <c r="I7" s="3">
        <v>2.2036383000000001E-5</v>
      </c>
      <c r="J7" s="3">
        <v>-2.8250971E-4</v>
      </c>
      <c r="L7" s="3">
        <f t="shared" si="0"/>
        <v>-7.2801507537688437E-2</v>
      </c>
      <c r="M7" s="3"/>
      <c r="N7" s="2">
        <f>IF('Modell einstellen'!$B$1="Voll",H7/0.35,H7/0.35*2)</f>
        <v>3.6252162857142861E-4</v>
      </c>
      <c r="O7" s="2">
        <f>IF('Modell einstellen'!$B$1="Voll",J7/0.35,J7/0.35*2)</f>
        <v>-8.0717060000000005E-4</v>
      </c>
      <c r="P7" s="3">
        <f t="shared" si="1"/>
        <v>0.44912640347830879</v>
      </c>
    </row>
    <row r="8" spans="1:16" x14ac:dyDescent="0.25">
      <c r="A8" s="3">
        <v>1E-10</v>
      </c>
      <c r="B8" s="3">
        <v>-6.8150000000000003E-5</v>
      </c>
      <c r="C8" s="3">
        <v>2.163E-4</v>
      </c>
      <c r="D8" s="3">
        <v>-4.5869999999999998E-4</v>
      </c>
      <c r="E8" s="3">
        <v>0</v>
      </c>
      <c r="F8" s="3">
        <v>0</v>
      </c>
      <c r="G8" s="3">
        <v>0</v>
      </c>
      <c r="H8" s="3">
        <v>1.4185841000000001E-4</v>
      </c>
      <c r="I8" s="3">
        <v>2.310815E-5</v>
      </c>
      <c r="J8" s="3">
        <v>-3.0251200000000001E-4</v>
      </c>
      <c r="L8" s="3">
        <f t="shared" si="0"/>
        <v>-0.1485720514497493</v>
      </c>
      <c r="M8" s="3"/>
      <c r="N8" s="2">
        <f>IF('Modell einstellen'!$B$1="Voll",H8/0.35,H8/0.35*2)</f>
        <v>4.053097428571429E-4</v>
      </c>
      <c r="O8" s="2">
        <f>IF('Modell einstellen'!$B$1="Voll",J8/0.35,J8/0.35*2)</f>
        <v>-8.6432000000000013E-4</v>
      </c>
      <c r="P8" s="3">
        <f t="shared" si="1"/>
        <v>0.4689348191146136</v>
      </c>
    </row>
    <row r="9" spans="1:16" x14ac:dyDescent="0.25">
      <c r="A9" s="3">
        <v>1.0000000000000001E-9</v>
      </c>
      <c r="B9" s="3">
        <v>-1.292E-4</v>
      </c>
      <c r="C9" s="3">
        <v>2.2770000000000001E-4</v>
      </c>
      <c r="D9" s="3">
        <v>-4.1750000000000001E-4</v>
      </c>
      <c r="E9" s="3">
        <v>0</v>
      </c>
      <c r="F9" s="3">
        <v>0</v>
      </c>
      <c r="G9" s="3">
        <v>0</v>
      </c>
      <c r="H9" s="3">
        <v>1.6674733E-4</v>
      </c>
      <c r="I9" s="3">
        <v>2.4616183E-5</v>
      </c>
      <c r="J9" s="3">
        <v>-3.3445662999999999E-4</v>
      </c>
      <c r="L9" s="3">
        <f t="shared" si="0"/>
        <v>-0.30946107784431137</v>
      </c>
      <c r="M9" s="3"/>
      <c r="N9" s="2">
        <f>IF('Modell einstellen'!$B$1="Voll",H9/0.35,H9/0.35*2)</f>
        <v>4.7642094285714291E-4</v>
      </c>
      <c r="O9" s="2">
        <f>IF('Modell einstellen'!$B$1="Voll",J9/0.35,J9/0.35*2)</f>
        <v>-9.5559037142857147E-4</v>
      </c>
      <c r="P9" s="3">
        <f t="shared" si="1"/>
        <v>0.49856189126823414</v>
      </c>
    </row>
    <row r="10" spans="1:16" x14ac:dyDescent="0.25">
      <c r="A10" s="3">
        <v>1E-8</v>
      </c>
      <c r="B10" s="3">
        <v>-2.455E-4</v>
      </c>
      <c r="C10" s="3">
        <v>2.418E-4</v>
      </c>
      <c r="D10" s="3">
        <v>-3.2630000000000002E-4</v>
      </c>
      <c r="E10" s="3">
        <v>0</v>
      </c>
      <c r="F10" s="3">
        <v>0</v>
      </c>
      <c r="G10" s="3">
        <v>0</v>
      </c>
      <c r="H10" s="3">
        <v>2.0918240999999999E-4</v>
      </c>
      <c r="I10" s="3">
        <v>2.6602640000000001E-5</v>
      </c>
      <c r="J10" s="3">
        <v>-3.8614733999999998E-4</v>
      </c>
      <c r="L10" s="3">
        <f t="shared" si="0"/>
        <v>-0.75237511492491571</v>
      </c>
      <c r="M10" s="3"/>
      <c r="N10" s="2">
        <f>IF('Modell einstellen'!$B$1="Voll",H10/0.35,H10/0.35*2)</f>
        <v>5.9766402857142856E-4</v>
      </c>
      <c r="O10" s="2">
        <f>IF('Modell einstellen'!$B$1="Voll",J10/0.35,J10/0.35*2)</f>
        <v>-1.1032781142857142E-3</v>
      </c>
      <c r="P10" s="3">
        <f t="shared" si="1"/>
        <v>0.54171656342369212</v>
      </c>
    </row>
    <row r="11" spans="1:16" x14ac:dyDescent="0.25">
      <c r="A11" s="3">
        <v>9.9999999999999995E-8</v>
      </c>
      <c r="B11" s="3">
        <v>-4.86E-4</v>
      </c>
      <c r="C11" s="3">
        <v>2.5799999999999998E-4</v>
      </c>
      <c r="D11" s="3">
        <v>-1.153E-4</v>
      </c>
      <c r="E11" s="3">
        <v>0</v>
      </c>
      <c r="F11" s="3">
        <v>0</v>
      </c>
      <c r="G11" s="3">
        <v>0</v>
      </c>
      <c r="H11" s="3">
        <v>2.8778586999999998E-4</v>
      </c>
      <c r="I11" s="3">
        <v>2.910098E-5</v>
      </c>
      <c r="J11" s="3">
        <v>-4.7629915000000001E-4</v>
      </c>
      <c r="L11" s="3">
        <f t="shared" si="0"/>
        <v>-4.2150910667823069</v>
      </c>
      <c r="M11" s="3"/>
      <c r="N11" s="2">
        <f>IF('Modell einstellen'!$B$1="Voll",H11/0.35,H11/0.35*2)</f>
        <v>8.2224534285714284E-4</v>
      </c>
      <c r="O11" s="2">
        <f>IF('Modell einstellen'!$B$1="Voll",J11/0.35,J11/0.35*2)</f>
        <v>-1.3608547142857144E-3</v>
      </c>
      <c r="P11" s="3">
        <f t="shared" si="1"/>
        <v>0.60421243665876778</v>
      </c>
    </row>
    <row r="12" spans="1:16" x14ac:dyDescent="0.25">
      <c r="A12" s="3">
        <v>9.9999999999999995E-7</v>
      </c>
      <c r="B12" s="3">
        <v>-1.0709999999999999E-3</v>
      </c>
      <c r="C12" s="3">
        <v>2.744E-4</v>
      </c>
      <c r="D12" s="3">
        <v>4.3790000000000002E-4</v>
      </c>
      <c r="E12" s="3">
        <v>0</v>
      </c>
      <c r="F12" s="3">
        <v>0</v>
      </c>
      <c r="G12" s="3">
        <v>0</v>
      </c>
      <c r="H12" s="3">
        <v>4.6102841999999999E-4</v>
      </c>
      <c r="I12" s="3">
        <v>3.2086821000000003E-5</v>
      </c>
      <c r="J12" s="3">
        <v>-6.6302007E-4</v>
      </c>
      <c r="L12" s="3">
        <f t="shared" si="0"/>
        <v>2.4457638730303719</v>
      </c>
      <c r="M12" s="3"/>
      <c r="N12" s="2">
        <f>IF('Modell einstellen'!$B$1="Voll",H12/0.35,H12/0.35*2)</f>
        <v>1.3172240571428572E-3</v>
      </c>
      <c r="O12" s="2">
        <f>IF('Modell einstellen'!$B$1="Voll",J12/0.35,J12/0.35*2)</f>
        <v>-1.8943430571428572E-3</v>
      </c>
      <c r="P12" s="3">
        <f t="shared" si="1"/>
        <v>0.69534610015651555</v>
      </c>
    </row>
    <row r="13" spans="1:16" x14ac:dyDescent="0.25">
      <c r="A13" s="3">
        <v>1.0000000000000001E-5</v>
      </c>
      <c r="B13" s="3">
        <v>-2.385E-3</v>
      </c>
      <c r="C13" s="3">
        <v>2.853E-4</v>
      </c>
      <c r="D13" s="3">
        <v>1.73E-3</v>
      </c>
      <c r="E13" s="3">
        <v>0</v>
      </c>
      <c r="F13" s="3">
        <v>0</v>
      </c>
      <c r="G13" s="3">
        <v>0</v>
      </c>
      <c r="H13" s="3">
        <v>8.2528720000000003E-4</v>
      </c>
      <c r="I13" s="3">
        <v>3.4553237000000001E-5</v>
      </c>
      <c r="J13" s="3">
        <v>-1.0371720000000001E-3</v>
      </c>
      <c r="L13" s="3">
        <f t="shared" si="0"/>
        <v>1.3786127167630058</v>
      </c>
      <c r="M13" s="3"/>
      <c r="N13" s="2">
        <f>IF('Modell einstellen'!$B$1="Voll",H13/0.35,H13/0.35*2)</f>
        <v>2.3579634285714286E-3</v>
      </c>
      <c r="O13" s="2">
        <f>IF('Modell einstellen'!$B$1="Voll",J13/0.35,J13/0.35*2)</f>
        <v>-2.9633485714285718E-3</v>
      </c>
      <c r="P13" s="3">
        <f t="shared" si="1"/>
        <v>0.79570910128696104</v>
      </c>
    </row>
    <row r="14" spans="1:16" x14ac:dyDescent="0.25">
      <c r="A14" s="3">
        <v>1E-4</v>
      </c>
      <c r="B14" s="3">
        <v>-5.0229999999999997E-3</v>
      </c>
      <c r="C14" s="3">
        <v>2.9300000000000002E-4</v>
      </c>
      <c r="D14" s="3">
        <v>4.3550000000000004E-3</v>
      </c>
      <c r="E14" s="3">
        <v>0</v>
      </c>
      <c r="F14" s="3">
        <v>0</v>
      </c>
      <c r="G14" s="3">
        <v>0</v>
      </c>
      <c r="H14" s="3">
        <v>1.5371814E-3</v>
      </c>
      <c r="I14" s="3">
        <v>3.6106402000000003E-5</v>
      </c>
      <c r="J14" s="3">
        <v>-1.7509035E-3</v>
      </c>
      <c r="L14" s="3">
        <f t="shared" si="0"/>
        <v>1.1533869115958666</v>
      </c>
      <c r="M14" s="3"/>
      <c r="N14" s="2">
        <f>IF('Modell einstellen'!$B$1="Voll",H14/0.35,H14/0.35*2)</f>
        <v>4.3919468571428574E-3</v>
      </c>
      <c r="O14" s="2">
        <f>IF('Modell einstellen'!$B$1="Voll",J14/0.35,J14/0.35*2)</f>
        <v>-5.0025814285714291E-3</v>
      </c>
      <c r="P14" s="3">
        <f t="shared" si="1"/>
        <v>0.87793610555921553</v>
      </c>
    </row>
    <row r="15" spans="1:16" x14ac:dyDescent="0.25">
      <c r="A15" s="3">
        <v>1E-3</v>
      </c>
      <c r="B15" s="3">
        <v>-9.9970000000000007E-3</v>
      </c>
      <c r="C15" s="3">
        <v>3.0880000000000002E-4</v>
      </c>
      <c r="D15" s="3">
        <v>9.3120000000000008E-3</v>
      </c>
      <c r="E15" s="3">
        <v>0</v>
      </c>
      <c r="F15" s="3">
        <v>0</v>
      </c>
      <c r="G15" s="3">
        <v>0</v>
      </c>
      <c r="H15" s="3">
        <v>2.8698437999999998E-3</v>
      </c>
      <c r="I15" s="3">
        <v>3.70689E-5</v>
      </c>
      <c r="J15" s="3">
        <v>-3.0701286999999999E-3</v>
      </c>
      <c r="L15" s="3">
        <f t="shared" si="0"/>
        <v>1.073560996563574</v>
      </c>
      <c r="M15" s="3"/>
      <c r="N15" s="2">
        <f>IF('Modell einstellen'!$B$1="Voll",H15/0.35,H15/0.35*2)</f>
        <v>8.199553714285714E-3</v>
      </c>
      <c r="O15" s="2">
        <f>IF('Modell einstellen'!$B$1="Voll",J15/0.35,J15/0.35*2)</f>
        <v>-8.7717962857142857E-3</v>
      </c>
      <c r="P15" s="3">
        <f t="shared" si="1"/>
        <v>0.93476335373171815</v>
      </c>
    </row>
    <row r="16" spans="1:16" x14ac:dyDescent="0.25">
      <c r="A16" s="3">
        <v>0.01</v>
      </c>
      <c r="B16" s="3">
        <v>-1.5980000000000001E-2</v>
      </c>
      <c r="C16" s="3">
        <v>3.4489999999999998E-4</v>
      </c>
      <c r="D16" s="3">
        <v>1.5259999999999999E-2</v>
      </c>
      <c r="E16" s="3">
        <v>0</v>
      </c>
      <c r="F16" s="3">
        <v>0</v>
      </c>
      <c r="G16" s="3">
        <v>0</v>
      </c>
      <c r="H16" s="3">
        <v>4.4754796999999999E-3</v>
      </c>
      <c r="I16" s="3">
        <v>3.832602E-5</v>
      </c>
      <c r="J16" s="3">
        <v>-4.6459316000000001E-3</v>
      </c>
      <c r="L16" s="3">
        <f t="shared" si="0"/>
        <v>1.0471821756225428</v>
      </c>
      <c r="M16" s="3"/>
      <c r="N16" s="2">
        <f>IF('Modell einstellen'!$B$1="Voll",H16/0.35,H16/0.35*2)</f>
        <v>1.2787084857142857E-2</v>
      </c>
      <c r="O16" s="2">
        <f>IF('Modell einstellen'!$B$1="Voll",J16/0.35,J16/0.35*2)</f>
        <v>-1.3274090285714286E-2</v>
      </c>
      <c r="P16" s="3">
        <f t="shared" si="1"/>
        <v>0.96331157781143395</v>
      </c>
    </row>
    <row r="17" spans="1:16" x14ac:dyDescent="0.25">
      <c r="A17" s="3">
        <v>0.1</v>
      </c>
      <c r="B17" s="3">
        <v>-1.9029999999999998E-2</v>
      </c>
      <c r="C17" s="3">
        <v>4.0549999999999999E-4</v>
      </c>
      <c r="D17" s="3">
        <v>1.8249999999999999E-2</v>
      </c>
      <c r="E17" s="3">
        <v>0</v>
      </c>
      <c r="F17" s="3">
        <v>0</v>
      </c>
      <c r="G17" s="3">
        <v>0</v>
      </c>
      <c r="H17" s="3">
        <v>5.3071715999999996E-3</v>
      </c>
      <c r="I17" s="3">
        <v>4.4678122999999998E-5</v>
      </c>
      <c r="J17" s="3">
        <v>-5.4767625999999998E-3</v>
      </c>
      <c r="L17" s="3">
        <f t="shared" si="0"/>
        <v>1.0427397260273972</v>
      </c>
      <c r="M17" s="3"/>
      <c r="N17" s="2">
        <f>IF('Modell einstellen'!$B$1="Voll",H17/0.35,H17/0.35*2)</f>
        <v>1.5163347428571429E-2</v>
      </c>
      <c r="O17" s="2">
        <f>IF('Modell einstellen'!$B$1="Voll",J17/0.35,J17/0.35*2)</f>
        <v>-1.5647893142857142E-2</v>
      </c>
      <c r="P17" s="3">
        <f t="shared" si="1"/>
        <v>0.96903444381540293</v>
      </c>
    </row>
    <row r="18" spans="1:16" x14ac:dyDescent="0.25">
      <c r="A18" s="3">
        <v>1</v>
      </c>
      <c r="B18" s="3">
        <v>-2.0889999999999999E-2</v>
      </c>
      <c r="C18" s="3">
        <v>5.5690000000000004E-4</v>
      </c>
      <c r="D18" s="3">
        <v>1.9959999999999999E-2</v>
      </c>
      <c r="E18" s="3">
        <v>0</v>
      </c>
      <c r="F18" s="3">
        <v>0</v>
      </c>
      <c r="G18" s="3">
        <v>0</v>
      </c>
      <c r="H18" s="3">
        <v>5.8234456000000002E-3</v>
      </c>
      <c r="I18" s="3">
        <v>6.7048406000000003E-5</v>
      </c>
      <c r="J18" s="3">
        <v>-6.0562947000000001E-3</v>
      </c>
      <c r="L18" s="3">
        <f t="shared" si="0"/>
        <v>1.0465931863727456</v>
      </c>
      <c r="M18" s="3"/>
      <c r="N18" s="2">
        <f>IF('Modell einstellen'!$B$1="Voll",H18/0.35,H18/0.35*2)</f>
        <v>1.6638416000000003E-2</v>
      </c>
      <c r="O18" s="2">
        <f>IF('Modell einstellen'!$B$1="Voll",J18/0.35,J18/0.35*2)</f>
        <v>-1.7303699142857145E-2</v>
      </c>
      <c r="P18" s="3">
        <f t="shared" si="1"/>
        <v>0.96155254796303102</v>
      </c>
    </row>
    <row r="19" spans="1:16" x14ac:dyDescent="0.25">
      <c r="A19" s="3">
        <v>10</v>
      </c>
      <c r="B19" s="3">
        <v>-2.1329999999999998E-2</v>
      </c>
      <c r="C19" s="3">
        <v>8.6729999999999999E-4</v>
      </c>
      <c r="D19" s="3">
        <v>2.01E-2</v>
      </c>
      <c r="E19" s="3">
        <v>0</v>
      </c>
      <c r="F19" s="3">
        <v>0</v>
      </c>
      <c r="G19" s="3">
        <v>0</v>
      </c>
      <c r="H19" s="3">
        <v>5.9491891000000002E-3</v>
      </c>
      <c r="I19" s="3">
        <v>1.2050900999999999E-4</v>
      </c>
      <c r="J19" s="3">
        <v>-6.3690363000000003E-3</v>
      </c>
      <c r="L19" s="3">
        <f t="shared" si="0"/>
        <v>1.0611940298507463</v>
      </c>
      <c r="M19" s="3"/>
      <c r="N19" s="2">
        <f>IF('Modell einstellen'!$B$1="Voll",H19/0.35,H19/0.35*2)</f>
        <v>1.6997683142857146E-2</v>
      </c>
      <c r="O19" s="2">
        <f>IF('Modell einstellen'!$B$1="Voll",J19/0.35,J19/0.35*2)</f>
        <v>-1.8197246571428575E-2</v>
      </c>
      <c r="P19" s="3">
        <f t="shared" si="1"/>
        <v>0.93407994864152366</v>
      </c>
    </row>
    <row r="20" spans="1:16" x14ac:dyDescent="0.25">
      <c r="A20" s="3">
        <v>100</v>
      </c>
      <c r="B20" s="3">
        <v>-2.0959999999999999E-2</v>
      </c>
      <c r="C20" s="3">
        <v>1.5E-3</v>
      </c>
      <c r="D20" s="3">
        <v>1.9089999999999999E-2</v>
      </c>
      <c r="E20" s="3">
        <v>0</v>
      </c>
      <c r="F20" s="3">
        <v>0</v>
      </c>
      <c r="G20" s="3">
        <v>0</v>
      </c>
      <c r="H20" s="3">
        <v>5.8213177000000001E-3</v>
      </c>
      <c r="I20" s="3">
        <v>2.3534715000000001E-4</v>
      </c>
      <c r="J20" s="3">
        <v>-6.6572506000000002E-3</v>
      </c>
      <c r="L20" s="3">
        <f t="shared" si="0"/>
        <v>1.0979570455735987</v>
      </c>
      <c r="M20" s="3"/>
      <c r="N20" s="2">
        <f>IF('Modell einstellen'!$B$1="Voll",H20/0.35,H20/0.35*2)</f>
        <v>1.6632336285714287E-2</v>
      </c>
      <c r="O20" s="2">
        <f>IF('Modell einstellen'!$B$1="Voll",J20/0.35,J20/0.35*2)</f>
        <v>-1.9020716E-2</v>
      </c>
      <c r="P20" s="3">
        <f t="shared" si="1"/>
        <v>0.87443271250747268</v>
      </c>
    </row>
    <row r="21" spans="1:16" x14ac:dyDescent="0.25">
      <c r="A21" s="3">
        <v>1000</v>
      </c>
      <c r="B21" s="3">
        <v>-2.0310000000000002E-2</v>
      </c>
      <c r="C21" s="3">
        <v>2.7000000000000001E-3</v>
      </c>
      <c r="D21" s="3">
        <v>1.7250000000000001E-2</v>
      </c>
      <c r="E21" s="3">
        <v>0</v>
      </c>
      <c r="F21" s="3">
        <v>0</v>
      </c>
      <c r="G21" s="3">
        <v>0</v>
      </c>
      <c r="H21" s="3">
        <v>5.5660385999999999E-3</v>
      </c>
      <c r="I21" s="3">
        <v>4.5440855999999999E-4</v>
      </c>
      <c r="J21" s="3">
        <v>-7.1954176000000002E-3</v>
      </c>
      <c r="L21" s="3">
        <f t="shared" si="0"/>
        <v>1.1773913043478261</v>
      </c>
      <c r="M21" s="3"/>
      <c r="N21" s="2">
        <f>IF('Modell einstellen'!$B$1="Voll",H21/0.35,H21/0.35*2)</f>
        <v>1.5902967428571429E-2</v>
      </c>
      <c r="O21" s="2">
        <f>IF('Modell einstellen'!$B$1="Voll",J21/0.35,J21/0.35*2)</f>
        <v>-2.0558336000000003E-2</v>
      </c>
      <c r="P21" s="3">
        <f t="shared" si="1"/>
        <v>0.77355324032895589</v>
      </c>
    </row>
    <row r="22" spans="1:16" x14ac:dyDescent="0.25">
      <c r="A22" s="3">
        <v>10000</v>
      </c>
      <c r="B22" s="3">
        <v>-1.95E-2</v>
      </c>
      <c r="C22" s="3">
        <v>4.0889999999999998E-3</v>
      </c>
      <c r="D22" s="3">
        <v>1.507E-2</v>
      </c>
      <c r="E22" s="3">
        <v>0</v>
      </c>
      <c r="F22" s="3">
        <v>0</v>
      </c>
      <c r="G22" s="3">
        <v>0</v>
      </c>
      <c r="H22" s="3">
        <v>5.2721634E-3</v>
      </c>
      <c r="I22" s="3">
        <v>7.1094514999999999E-4</v>
      </c>
      <c r="J22" s="3">
        <v>-7.8274767000000006E-3</v>
      </c>
      <c r="L22" s="3">
        <f t="shared" si="0"/>
        <v>1.2939615129396151</v>
      </c>
      <c r="M22" s="3"/>
      <c r="N22" s="2">
        <f>IF('Modell einstellen'!$B$1="Voll",H22/0.35,H22/0.35*2)</f>
        <v>1.5063324000000001E-2</v>
      </c>
      <c r="O22" s="2">
        <f>IF('Modell einstellen'!$B$1="Voll",J22/0.35,J22/0.35*2)</f>
        <v>-2.2364219142857147E-2</v>
      </c>
      <c r="P22" s="3">
        <f t="shared" si="1"/>
        <v>0.67354571620762527</v>
      </c>
    </row>
    <row r="23" spans="1:16" x14ac:dyDescent="0.25">
      <c r="A23" s="3">
        <v>100000</v>
      </c>
      <c r="B23" s="3">
        <v>-1.874E-2</v>
      </c>
      <c r="C23" s="3">
        <v>5.2519999999999997E-3</v>
      </c>
      <c r="D23" s="3">
        <v>1.315E-2</v>
      </c>
      <c r="E23" s="3">
        <v>0</v>
      </c>
      <c r="F23" s="3">
        <v>0</v>
      </c>
      <c r="G23" s="3">
        <v>0</v>
      </c>
      <c r="H23" s="3">
        <v>5.0280302999999998E-3</v>
      </c>
      <c r="I23" s="3">
        <v>9.3004781000000005E-4</v>
      </c>
      <c r="J23" s="3">
        <v>-8.3710507999999999E-3</v>
      </c>
      <c r="L23" s="3">
        <f t="shared" si="0"/>
        <v>1.4250950570342205</v>
      </c>
      <c r="M23" s="3"/>
      <c r="N23" s="2">
        <f>IF('Modell einstellen'!$B$1="Voll",H23/0.35,H23/0.35*2)</f>
        <v>1.4365800857142858E-2</v>
      </c>
      <c r="O23" s="2">
        <f>IF('Modell einstellen'!$B$1="Voll",J23/0.35,J23/0.35*2)</f>
        <v>-2.3917288000000002E-2</v>
      </c>
      <c r="P23" s="3">
        <f t="shared" si="1"/>
        <v>0.60064505880193675</v>
      </c>
    </row>
    <row r="24" spans="1:16" x14ac:dyDescent="0.25">
      <c r="A24" s="3">
        <v>1000000</v>
      </c>
      <c r="B24" s="3">
        <v>-1.8120000000000001E-2</v>
      </c>
      <c r="C24" s="3">
        <v>6.0930000000000003E-3</v>
      </c>
      <c r="D24" s="3">
        <v>1.1690000000000001E-2</v>
      </c>
      <c r="E24" s="3">
        <v>0</v>
      </c>
      <c r="F24" s="3">
        <v>0</v>
      </c>
      <c r="G24" s="3">
        <v>0</v>
      </c>
      <c r="H24" s="3">
        <v>4.8526423000000004E-3</v>
      </c>
      <c r="I24" s="3">
        <v>1.0914903E-3</v>
      </c>
      <c r="J24" s="3">
        <v>-8.7741812999999995E-3</v>
      </c>
      <c r="L24" s="3">
        <f t="shared" si="0"/>
        <v>1.5500427715996579</v>
      </c>
      <c r="M24" s="3"/>
      <c r="N24" s="2">
        <f>IF('Modell einstellen'!$B$1="Voll",H24/0.35,H24/0.35*2)</f>
        <v>1.3864692285714289E-2</v>
      </c>
      <c r="O24" s="2">
        <f>IF('Modell einstellen'!$B$1="Voll",J24/0.35,J24/0.35*2)</f>
        <v>-2.5069089428571428E-2</v>
      </c>
      <c r="P24" s="3">
        <f t="shared" si="1"/>
        <v>0.55305926947281125</v>
      </c>
    </row>
    <row r="25" spans="1:16" x14ac:dyDescent="0.25">
      <c r="A25" s="3">
        <v>10000000</v>
      </c>
      <c r="B25" s="3">
        <v>-1.7649999999999999E-2</v>
      </c>
      <c r="C25" s="3">
        <v>6.6600000000000001E-3</v>
      </c>
      <c r="D25" s="3">
        <v>1.0659999999999999E-2</v>
      </c>
      <c r="E25" s="3">
        <v>0</v>
      </c>
      <c r="F25" s="3">
        <v>0</v>
      </c>
      <c r="G25" s="3">
        <v>0</v>
      </c>
      <c r="H25" s="3">
        <v>4.7353159000000002E-3</v>
      </c>
      <c r="I25" s="3">
        <v>1.2021076E-3</v>
      </c>
      <c r="J25" s="3">
        <v>-9.0522763000000003E-3</v>
      </c>
      <c r="L25" s="3">
        <f t="shared" si="0"/>
        <v>1.6557223264540337</v>
      </c>
      <c r="M25" s="3"/>
      <c r="N25" s="2">
        <f>IF('Modell einstellen'!$B$1="Voll",H25/0.35,H25/0.35*2)</f>
        <v>1.3529474000000001E-2</v>
      </c>
      <c r="O25" s="2">
        <f>IF('Modell einstellen'!$B$1="Voll",J25/0.35,J25/0.35*2)</f>
        <v>-2.5863646571428575E-2</v>
      </c>
      <c r="P25" s="3">
        <f t="shared" si="1"/>
        <v>0.52310775136194199</v>
      </c>
    </row>
    <row r="26" spans="1:16" x14ac:dyDescent="0.25">
      <c r="A26" s="3">
        <v>100000000</v>
      </c>
      <c r="B26" s="3">
        <v>-1.728E-2</v>
      </c>
      <c r="C26" s="3">
        <v>7.0359999999999997E-3</v>
      </c>
      <c r="D26" s="3">
        <v>9.9170000000000005E-3</v>
      </c>
      <c r="E26" s="3">
        <v>0</v>
      </c>
      <c r="F26" s="3">
        <v>0</v>
      </c>
      <c r="G26" s="3">
        <v>0</v>
      </c>
      <c r="H26" s="3">
        <v>4.6592912000000004E-3</v>
      </c>
      <c r="I26" s="3">
        <v>1.2768641E-3</v>
      </c>
      <c r="J26" s="3">
        <v>-9.2429578999999994E-3</v>
      </c>
      <c r="L26" s="3">
        <f t="shared" si="0"/>
        <v>1.7424624382373701</v>
      </c>
      <c r="M26" s="3"/>
      <c r="N26" s="2">
        <f>IF('Modell einstellen'!$B$1="Voll",H26/0.35,H26/0.35*2)</f>
        <v>1.3312260571428574E-2</v>
      </c>
      <c r="O26" s="2">
        <f>IF('Modell einstellen'!$B$1="Voll",J26/0.35,J26/0.35*2)</f>
        <v>-2.6408451142857142E-2</v>
      </c>
      <c r="P26" s="3">
        <f t="shared" si="1"/>
        <v>0.50409092526538513</v>
      </c>
    </row>
    <row r="27" spans="1:16" x14ac:dyDescent="0.25">
      <c r="A27" s="3">
        <v>1000000000</v>
      </c>
      <c r="B27" s="3">
        <v>-1.6979999999999999E-2</v>
      </c>
      <c r="C27" s="3">
        <v>7.2769999999999996E-3</v>
      </c>
      <c r="D27" s="3">
        <v>9.3760000000000007E-3</v>
      </c>
      <c r="E27" s="3">
        <v>0</v>
      </c>
      <c r="F27" s="3">
        <v>0</v>
      </c>
      <c r="G27" s="3">
        <v>0</v>
      </c>
      <c r="H27" s="3">
        <v>4.6151022999999999E-3</v>
      </c>
      <c r="I27" s="3">
        <v>1.3256622999999999E-3</v>
      </c>
      <c r="J27" s="3">
        <v>-9.3724732999999998E-3</v>
      </c>
      <c r="L27" s="3">
        <f t="shared" si="0"/>
        <v>1.8110068259385663</v>
      </c>
      <c r="M27" s="3"/>
      <c r="N27" s="2">
        <f>IF('Modell einstellen'!$B$1="Voll",H27/0.35,H27/0.35*2)</f>
        <v>1.3186006571428571E-2</v>
      </c>
      <c r="O27" s="2">
        <f>IF('Modell einstellen'!$B$1="Voll",J27/0.35,J27/0.35*2)</f>
        <v>-2.6778495142857142E-2</v>
      </c>
      <c r="P27" s="3">
        <f t="shared" si="1"/>
        <v>0.49241029046196377</v>
      </c>
    </row>
    <row r="28" spans="1:16" x14ac:dyDescent="0.25">
      <c r="A28" s="3">
        <v>10000000000</v>
      </c>
      <c r="B28" s="3">
        <v>-1.6920000000000001E-2</v>
      </c>
      <c r="C28" s="3">
        <v>7.3169999999999997E-3</v>
      </c>
      <c r="D28" s="3">
        <v>9.2779999999999998E-3</v>
      </c>
      <c r="E28" s="3">
        <v>0</v>
      </c>
      <c r="F28" s="3">
        <v>0</v>
      </c>
      <c r="G28" s="3">
        <v>0</v>
      </c>
      <c r="H28" s="3">
        <v>4.6080938E-3</v>
      </c>
      <c r="I28" s="3">
        <v>1.3340609000000001E-3</v>
      </c>
      <c r="J28" s="3">
        <v>-9.3952832999999996E-3</v>
      </c>
      <c r="L28" s="3">
        <f t="shared" si="0"/>
        <v>1.823668894158224</v>
      </c>
      <c r="M28" s="3"/>
      <c r="N28" s="2">
        <f>IF('Modell einstellen'!$B$1="Voll",H28/0.35,H28/0.35*2)</f>
        <v>1.3165982285714287E-2</v>
      </c>
      <c r="O28" s="2">
        <f>IF('Modell einstellen'!$B$1="Voll",J28/0.35,J28/0.35*2)</f>
        <v>-2.6843666571428573E-2</v>
      </c>
      <c r="P28" s="3">
        <f t="shared" si="1"/>
        <v>0.49046885047095923</v>
      </c>
    </row>
    <row r="29" spans="1:16" x14ac:dyDescent="0.25">
      <c r="A29" s="3">
        <v>100000000000</v>
      </c>
      <c r="B29" s="3">
        <v>-1.6840000000000001E-2</v>
      </c>
      <c r="C29" s="3">
        <v>7.3699999999999998E-3</v>
      </c>
      <c r="D29" s="3">
        <v>9.1420000000000008E-3</v>
      </c>
      <c r="E29" s="3">
        <v>0</v>
      </c>
      <c r="F29" s="3">
        <v>0</v>
      </c>
      <c r="G29" s="3">
        <v>0</v>
      </c>
      <c r="H29" s="3">
        <v>4.5993932000000003E-3</v>
      </c>
      <c r="I29" s="3">
        <v>1.3452367999999999E-3</v>
      </c>
      <c r="J29" s="3">
        <v>-9.4262922000000002E-3</v>
      </c>
      <c r="L29" s="3">
        <f t="shared" si="0"/>
        <v>1.8420476919711222</v>
      </c>
      <c r="M29" s="3"/>
      <c r="N29" s="2">
        <f>IF('Modell einstellen'!$B$1="Voll",H29/0.35,H29/0.35*2)</f>
        <v>1.3141123428571429E-2</v>
      </c>
      <c r="O29" s="2">
        <f>IF('Modell einstellen'!$B$1="Voll",J29/0.35,J29/0.35*2)</f>
        <v>-2.693226342857143E-2</v>
      </c>
      <c r="P29" s="3">
        <f t="shared" si="1"/>
        <v>0.48793238130258682</v>
      </c>
    </row>
    <row r="30" spans="1:16" x14ac:dyDescent="0.25">
      <c r="A30" s="3">
        <v>1000000000000</v>
      </c>
      <c r="B30" s="3">
        <v>-1.643E-2</v>
      </c>
      <c r="C30" s="3">
        <v>7.5240000000000003E-3</v>
      </c>
      <c r="D30" s="3">
        <v>8.5780000000000006E-3</v>
      </c>
      <c r="E30" s="3">
        <v>0</v>
      </c>
      <c r="F30" s="3">
        <v>0</v>
      </c>
      <c r="G30" s="3">
        <v>0</v>
      </c>
      <c r="H30" s="3">
        <v>4.5875834999999998E-3</v>
      </c>
      <c r="I30" s="3">
        <v>1.3786477E-3</v>
      </c>
      <c r="J30" s="3">
        <v>-9.5325911999999992E-3</v>
      </c>
      <c r="L30" s="3">
        <f t="shared" si="0"/>
        <v>1.9153648869200279</v>
      </c>
      <c r="M30" s="3"/>
      <c r="N30" s="2">
        <f>IF('Modell einstellen'!$B$1="Voll",H30/0.35,H30/0.35*2)</f>
        <v>1.310738142857143E-2</v>
      </c>
      <c r="O30" s="2">
        <f>IF('Modell einstellen'!$B$1="Voll",J30/0.35,J30/0.35*2)</f>
        <v>-2.7235974857142856E-2</v>
      </c>
      <c r="P30" s="3">
        <f t="shared" si="1"/>
        <v>0.48125251610496006</v>
      </c>
    </row>
    <row r="31" spans="1:16" x14ac:dyDescent="0.25">
      <c r="A31" s="3">
        <v>10000000000000</v>
      </c>
      <c r="B31" s="3">
        <v>-1.6420000000000001E-2</v>
      </c>
      <c r="C31" s="3">
        <v>7.5259999999999997E-3</v>
      </c>
      <c r="D31" s="3">
        <v>8.5699999999999995E-3</v>
      </c>
      <c r="E31" s="3">
        <v>0</v>
      </c>
      <c r="F31" s="3">
        <v>0</v>
      </c>
      <c r="G31" s="3">
        <v>0</v>
      </c>
      <c r="H31" s="3">
        <v>4.5875763999999996E-3</v>
      </c>
      <c r="I31" s="3">
        <v>1.3790854999999999E-3</v>
      </c>
      <c r="J31" s="3">
        <v>-9.5341123999999992E-3</v>
      </c>
      <c r="L31" s="3">
        <f t="shared" si="0"/>
        <v>1.9159859976662779</v>
      </c>
      <c r="M31" s="3"/>
      <c r="N31" s="2">
        <f>IF('Modell einstellen'!$B$1="Voll",H31/0.35,H31/0.35*2)</f>
        <v>1.3107361142857142E-2</v>
      </c>
      <c r="O31" s="2">
        <f>IF('Modell einstellen'!$B$1="Voll",J31/0.35,J31/0.35*2)</f>
        <v>-2.7240321142857141E-2</v>
      </c>
      <c r="P31" s="3">
        <f t="shared" si="1"/>
        <v>0.48117498593786245</v>
      </c>
    </row>
    <row r="32" spans="1:16" x14ac:dyDescent="0.25">
      <c r="A32" s="3">
        <v>100000000000000</v>
      </c>
      <c r="B32" s="3">
        <v>-1.617E-2</v>
      </c>
      <c r="C32" s="3">
        <v>7.5659999999999998E-3</v>
      </c>
      <c r="D32" s="3">
        <v>8.2749999999999994E-3</v>
      </c>
      <c r="E32" s="3">
        <v>0</v>
      </c>
      <c r="F32" s="3">
        <v>0</v>
      </c>
      <c r="G32" s="3">
        <v>0</v>
      </c>
      <c r="H32" s="3">
        <v>4.5965140999999999E-3</v>
      </c>
      <c r="I32" s="3">
        <v>1.3884939000000001E-3</v>
      </c>
      <c r="J32" s="3">
        <v>-9.5758117000000007E-3</v>
      </c>
      <c r="L32" s="3">
        <f t="shared" si="0"/>
        <v>1.9540785498489428</v>
      </c>
      <c r="M32" s="3"/>
      <c r="N32" s="2">
        <f>IF('Modell einstellen'!$B$1="Voll",H32/0.35,H32/0.35*2)</f>
        <v>1.3132897428571429E-2</v>
      </c>
      <c r="O32" s="2">
        <f>IF('Modell einstellen'!$B$1="Voll",J32/0.35,J32/0.35*2)</f>
        <v>-2.7359462000000005E-2</v>
      </c>
      <c r="P32" s="3">
        <f t="shared" si="1"/>
        <v>0.48001299983791446</v>
      </c>
    </row>
    <row r="33" spans="1:16" x14ac:dyDescent="0.25">
      <c r="A33" s="3">
        <v>1000000000000000</v>
      </c>
      <c r="B33" s="3">
        <v>-1.6160000000000001E-2</v>
      </c>
      <c r="C33" s="3">
        <v>7.5659999999999998E-3</v>
      </c>
      <c r="D33" s="3">
        <v>8.2690000000000003E-3</v>
      </c>
      <c r="E33" s="3">
        <v>0</v>
      </c>
      <c r="F33" s="3">
        <v>0</v>
      </c>
      <c r="G33" s="3">
        <v>0</v>
      </c>
      <c r="H33" s="3">
        <v>4.5968639000000004E-3</v>
      </c>
      <c r="I33" s="3">
        <v>1.3886720000000001E-3</v>
      </c>
      <c r="J33" s="3">
        <v>-9.5767743000000002E-3</v>
      </c>
      <c r="L33" s="3">
        <f t="shared" si="0"/>
        <v>1.9542870963840853</v>
      </c>
      <c r="M33" s="3"/>
      <c r="N33" s="2">
        <f>IF('Modell einstellen'!$B$1="Voll",H33/0.35,H33/0.35*2)</f>
        <v>1.3133896857142859E-2</v>
      </c>
      <c r="O33" s="2">
        <f>IF('Modell einstellen'!$B$1="Voll",J33/0.35,J33/0.35*2)</f>
        <v>-2.7362212285714289E-2</v>
      </c>
      <c r="P33" s="3">
        <f t="shared" si="1"/>
        <v>0.4800012776744671</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2022-01-08T09:22:49Z</dcterms:modified>
</cp:coreProperties>
</file>