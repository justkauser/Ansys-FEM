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bestimmen'!$B$126:$H$126</definedName>
    <definedName name="solver_adj" localSheetId="6" hidden="1">'Universal Mastercurve'!$B$110:$B$141</definedName>
    <definedName name="solver_cvg" localSheetId="5" hidden="1">0.000000000000001</definedName>
    <definedName name="solver_cvg" localSheetId="6" hidden="1">"""""""""""""""""""""""""""""""""""""""""""""""""""""""""""""""0,0001"""""""""""""""""""""""""""""""""""""""""""""""""""""""""""""""</definedName>
    <definedName name="solver_drv" localSheetId="5" hidden="1">1</definedName>
    <definedName name="solver_drv" localSheetId="6" hidden="1">2</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'Mastercurve bestimmen'!$C$18:$C$48</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0.000000000000001</definedName>
    <definedName name="solver_mrt" localSheetId="6" hidden="1">"""""""""""""""""""""""""""""""""""""""""""""""""""""""""""""""0,075"""""""""""""""""""""""""""""""""""""""""""""""""""""""""""""""</definedName>
    <definedName name="solver_msl" localSheetId="5" hidden="1">2</definedName>
    <definedName name="solver_msl" localSheetId="6" hidden="1">2</definedName>
    <definedName name="solver_neg" localSheetId="5" hidden="1">2</definedName>
    <definedName name="solver_neg" localSheetId="6" hidden="1">1</definedName>
    <definedName name="solver_nod" localSheetId="5" hidden="1">2147483647</definedName>
    <definedName name="solver_nod" localSheetId="6" hidden="1">2147483647</definedName>
    <definedName name="solver_num" localSheetId="5" hidden="1">0</definedName>
    <definedName name="solver_num" localSheetId="6" hidden="1">0</definedName>
    <definedName name="solver_nwt" localSheetId="5" hidden="1">1</definedName>
    <definedName name="solver_nwt" localSheetId="6" hidden="1">1</definedName>
    <definedName name="solver_opt" localSheetId="5" hidden="1">'Mastercurve bestimmen'!$A$121</definedName>
    <definedName name="solver_opt" localSheetId="6" hidden="1">'Universal Mastercurve'!$G$146</definedName>
    <definedName name="solver_pre" localSheetId="5" hidden="1">0.000000000000001</definedName>
    <definedName name="solver_pre" localSheetId="6" hidden="1">"""""""""""""""""""""""""""""""""""""""""""""""""""""""""""""""0,000001"""""""""""""""""""""""""""""""""""""""""""""""""""""""""""""""</definedName>
    <definedName name="solver_rbv" localSheetId="5" hidden="1">2</definedName>
    <definedName name="solver_rbv" localSheetId="6" hidden="1">2</definedName>
    <definedName name="solver_rel1" localSheetId="5" hidden="1">3</definedName>
    <definedName name="solver_rhs1" localSheetId="5" hidden="1">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2</definedName>
    <definedName name="solver_scl" localSheetId="6" hidden="1">2</definedName>
    <definedName name="solver_sho" localSheetId="5" hidden="1">2</definedName>
    <definedName name="solver_sho" localSheetId="6" hidden="1">2</definedName>
    <definedName name="solver_ssz" localSheetId="5" hidden="1">0</definedName>
    <definedName name="solver_ssz" localSheetId="6" hidden="1">100</definedName>
    <definedName name="solver_tim" localSheetId="5" hidden="1">2147483647</definedName>
    <definedName name="solver_tim" localSheetId="6" hidden="1">2147483647</definedName>
    <definedName name="solver_tol" localSheetId="5" hidden="1">1</definedName>
    <definedName name="solver_tol" localSheetId="6"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44" i="52" l="1"/>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B142" i="52" l="1"/>
  <c r="C140" i="52" s="1"/>
  <c r="H140" i="52" s="1"/>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I441" i="43"/>
  <c r="I7" i="52" s="1"/>
  <c r="I449" i="43"/>
  <c r="I15" i="52" s="1"/>
  <c r="I453" i="43"/>
  <c r="I19" i="52" s="1"/>
  <c r="I457" i="43"/>
  <c r="I23"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O140" i="52" l="1"/>
  <c r="K140" i="52"/>
  <c r="C112" i="52"/>
  <c r="H112" i="52" s="1"/>
  <c r="C120" i="52"/>
  <c r="I120" i="52" s="1"/>
  <c r="C127" i="52"/>
  <c r="I127" i="52" s="1"/>
  <c r="C134" i="52"/>
  <c r="I134" i="52" s="1"/>
  <c r="I140" i="52"/>
  <c r="C123" i="52"/>
  <c r="L123" i="52" s="1"/>
  <c r="P140" i="52"/>
  <c r="C137" i="52"/>
  <c r="I137" i="52" s="1"/>
  <c r="C125" i="52"/>
  <c r="G125" i="52" s="1"/>
  <c r="AC140" i="52"/>
  <c r="C121" i="52"/>
  <c r="B84" i="39" s="1"/>
  <c r="C128" i="52"/>
  <c r="G128" i="52" s="1"/>
  <c r="C110" i="52"/>
  <c r="C131" i="52"/>
  <c r="O131" i="52" s="1"/>
  <c r="C136" i="52"/>
  <c r="B99" i="39" s="1"/>
  <c r="AI140" i="52"/>
  <c r="C116" i="52"/>
  <c r="I116" i="52" s="1"/>
  <c r="Q140" i="52"/>
  <c r="C138" i="52"/>
  <c r="O138" i="52" s="1"/>
  <c r="AJ140" i="52"/>
  <c r="M140" i="52"/>
  <c r="C135" i="52"/>
  <c r="L135" i="52" s="1"/>
  <c r="AD140" i="52"/>
  <c r="R140" i="52"/>
  <c r="T140" i="52"/>
  <c r="C122" i="52"/>
  <c r="J122" i="52" s="1"/>
  <c r="L140" i="52"/>
  <c r="F140" i="52"/>
  <c r="C130" i="52"/>
  <c r="O130" i="52" s="1"/>
  <c r="U140" i="52"/>
  <c r="J140" i="52"/>
  <c r="W140" i="52"/>
  <c r="C141" i="52"/>
  <c r="L141" i="52" s="1"/>
  <c r="C119" i="52"/>
  <c r="B82" i="39" s="1"/>
  <c r="Y140" i="52"/>
  <c r="C115" i="52"/>
  <c r="B78" i="39" s="1"/>
  <c r="AB140" i="52"/>
  <c r="Z140" i="52"/>
  <c r="N140" i="52"/>
  <c r="G140" i="52"/>
  <c r="AE140" i="52"/>
  <c r="AA140" i="52"/>
  <c r="C113" i="52"/>
  <c r="G113" i="52" s="1"/>
  <c r="AF140" i="52"/>
  <c r="C129" i="52"/>
  <c r="B92" i="39" s="1"/>
  <c r="V140" i="52"/>
  <c r="AG140" i="52"/>
  <c r="C111" i="52"/>
  <c r="AJ111" i="52" s="1"/>
  <c r="C139" i="52"/>
  <c r="H139" i="52" s="1"/>
  <c r="X140" i="52"/>
  <c r="AH140" i="52"/>
  <c r="C126" i="52"/>
  <c r="F126" i="52" s="1"/>
  <c r="C132" i="52"/>
  <c r="Y132" i="52" s="1"/>
  <c r="C124" i="52"/>
  <c r="AC124" i="52" s="1"/>
  <c r="C133" i="52"/>
  <c r="AD133" i="52" s="1"/>
  <c r="C117" i="52"/>
  <c r="AD117" i="52" s="1"/>
  <c r="C118" i="52"/>
  <c r="T118" i="52" s="1"/>
  <c r="C114" i="52"/>
  <c r="AH114" i="52" s="1"/>
  <c r="S140" i="52"/>
  <c r="B103" i="39"/>
  <c r="A135" i="52"/>
  <c r="I438" i="43"/>
  <c r="I4" i="52" s="1"/>
  <c r="I440" i="43"/>
  <c r="I6" i="52" s="1"/>
  <c r="I442" i="43"/>
  <c r="I8" i="52" s="1"/>
  <c r="I444" i="43"/>
  <c r="I10" i="52" s="1"/>
  <c r="I446" i="43"/>
  <c r="I12" i="52" s="1"/>
  <c r="I448" i="43"/>
  <c r="I14" i="52" s="1"/>
  <c r="I450" i="43"/>
  <c r="I16" i="52" s="1"/>
  <c r="I452" i="43"/>
  <c r="I18" i="52" s="1"/>
  <c r="I454" i="43"/>
  <c r="I20" i="52" s="1"/>
  <c r="I456" i="43"/>
  <c r="I22"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I443" i="43"/>
  <c r="I9" i="52" s="1"/>
  <c r="I445" i="43"/>
  <c r="I11" i="52" s="1"/>
  <c r="I439" i="43"/>
  <c r="I5" i="52" s="1"/>
  <c r="I455" i="43"/>
  <c r="I21" i="52" s="1"/>
  <c r="I451" i="43"/>
  <c r="I17" i="52" s="1"/>
  <c r="I447" i="43"/>
  <c r="I13"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H121" i="52" l="1"/>
  <c r="M123" i="52"/>
  <c r="W123" i="52"/>
  <c r="W121" i="52"/>
  <c r="AD130" i="52"/>
  <c r="Q116" i="52"/>
  <c r="F121" i="52"/>
  <c r="Q121" i="52"/>
  <c r="G121" i="52"/>
  <c r="AE121" i="52"/>
  <c r="J121" i="52"/>
  <c r="AA123" i="52"/>
  <c r="S123" i="52"/>
  <c r="M121" i="52"/>
  <c r="AC121" i="52"/>
  <c r="T121" i="52"/>
  <c r="T112" i="52"/>
  <c r="M128" i="52"/>
  <c r="N128" i="52"/>
  <c r="X128" i="52"/>
  <c r="X112" i="52"/>
  <c r="Z138" i="52"/>
  <c r="AD112" i="52"/>
  <c r="U121" i="52"/>
  <c r="S112" i="52"/>
  <c r="V130" i="52"/>
  <c r="AB116" i="52"/>
  <c r="H130" i="52"/>
  <c r="AI130" i="52"/>
  <c r="L116" i="52"/>
  <c r="K130" i="52"/>
  <c r="X130" i="52"/>
  <c r="Z116" i="52"/>
  <c r="T130" i="52"/>
  <c r="Q130" i="52"/>
  <c r="M130" i="52"/>
  <c r="R116" i="52"/>
  <c r="AA130" i="52"/>
  <c r="P116" i="52"/>
  <c r="AC112" i="52"/>
  <c r="AH122" i="52"/>
  <c r="AD138" i="52"/>
  <c r="AA112" i="52"/>
  <c r="P112" i="52"/>
  <c r="P138" i="52"/>
  <c r="AI112" i="52"/>
  <c r="AJ112" i="52"/>
  <c r="Q112" i="52"/>
  <c r="V112" i="52"/>
  <c r="R112" i="52"/>
  <c r="AG112" i="52"/>
  <c r="Z112" i="52"/>
  <c r="S136" i="52"/>
  <c r="X113" i="52"/>
  <c r="AE113" i="52"/>
  <c r="T113" i="52"/>
  <c r="V123" i="52"/>
  <c r="Y123" i="52"/>
  <c r="AF123" i="52"/>
  <c r="V128" i="52"/>
  <c r="AG128" i="52"/>
  <c r="AJ123" i="52"/>
  <c r="Q123" i="52"/>
  <c r="Z123" i="52"/>
  <c r="AB128" i="52"/>
  <c r="Z128" i="52"/>
  <c r="J123" i="52"/>
  <c r="AC123" i="52"/>
  <c r="AG123" i="52"/>
  <c r="S128" i="52"/>
  <c r="L128" i="52"/>
  <c r="J115" i="52"/>
  <c r="U123" i="52"/>
  <c r="N123" i="52"/>
  <c r="AD128" i="52"/>
  <c r="AH128" i="52"/>
  <c r="I128" i="52"/>
  <c r="AE123" i="52"/>
  <c r="R123" i="52"/>
  <c r="P123" i="52"/>
  <c r="W128" i="52"/>
  <c r="P128" i="52"/>
  <c r="O128" i="52"/>
  <c r="AJ127" i="52"/>
  <c r="S138" i="52"/>
  <c r="AB123" i="52"/>
  <c r="AI123" i="52"/>
  <c r="X123" i="52"/>
  <c r="T123" i="52"/>
  <c r="U112" i="52"/>
  <c r="J112" i="52"/>
  <c r="M112" i="52"/>
  <c r="H128" i="52"/>
  <c r="AI128" i="52"/>
  <c r="T128" i="52"/>
  <c r="I123" i="52"/>
  <c r="N121" i="52"/>
  <c r="AJ121" i="52"/>
  <c r="R130" i="52"/>
  <c r="AJ130" i="52"/>
  <c r="AB130" i="52"/>
  <c r="AC136" i="52"/>
  <c r="X116" i="52"/>
  <c r="AD116" i="52"/>
  <c r="AF121" i="52"/>
  <c r="AG121" i="52"/>
  <c r="AH121" i="52"/>
  <c r="AH130" i="52"/>
  <c r="W130" i="52"/>
  <c r="U130" i="52"/>
  <c r="AE116" i="52"/>
  <c r="V116" i="52"/>
  <c r="X121" i="52"/>
  <c r="P121" i="52"/>
  <c r="AA121" i="52"/>
  <c r="AG130" i="52"/>
  <c r="N130" i="52"/>
  <c r="J130" i="52"/>
  <c r="AH116" i="52"/>
  <c r="W116" i="52"/>
  <c r="L130" i="52"/>
  <c r="AB121" i="52"/>
  <c r="Y121" i="52"/>
  <c r="F123" i="52"/>
  <c r="H123" i="52"/>
  <c r="AH123" i="52"/>
  <c r="AD123" i="52"/>
  <c r="K123" i="52"/>
  <c r="P130" i="52"/>
  <c r="Y130" i="52"/>
  <c r="AC130" i="52"/>
  <c r="AF130" i="52"/>
  <c r="P136" i="52"/>
  <c r="U128" i="52"/>
  <c r="AA128" i="52"/>
  <c r="Y128" i="52"/>
  <c r="T116" i="52"/>
  <c r="AJ116" i="52"/>
  <c r="F116" i="52"/>
  <c r="N116" i="52"/>
  <c r="S125" i="52"/>
  <c r="H116" i="52"/>
  <c r="O123" i="52"/>
  <c r="B93" i="39"/>
  <c r="W132" i="52"/>
  <c r="Z121" i="52"/>
  <c r="AD121" i="52"/>
  <c r="AI121" i="52"/>
  <c r="V121" i="52"/>
  <c r="R121" i="52"/>
  <c r="S121" i="52"/>
  <c r="I130" i="52"/>
  <c r="F130" i="52"/>
  <c r="AE130" i="52"/>
  <c r="S130" i="52"/>
  <c r="Z130" i="52"/>
  <c r="AJ129" i="52"/>
  <c r="AE128" i="52"/>
  <c r="Q128" i="52"/>
  <c r="AF128" i="52"/>
  <c r="U116" i="52"/>
  <c r="AA116" i="52"/>
  <c r="AG116" i="52"/>
  <c r="AI116" i="52"/>
  <c r="K128" i="52"/>
  <c r="G116" i="52"/>
  <c r="I121" i="52"/>
  <c r="B86" i="39"/>
  <c r="AF116" i="52"/>
  <c r="S116" i="52"/>
  <c r="Y116" i="52"/>
  <c r="AC116" i="52"/>
  <c r="G130" i="52"/>
  <c r="O121" i="52"/>
  <c r="F131" i="52"/>
  <c r="AB112" i="52"/>
  <c r="AH112" i="52"/>
  <c r="AE112" i="52"/>
  <c r="N112" i="52"/>
  <c r="G112" i="52"/>
  <c r="I112" i="52"/>
  <c r="F112" i="52"/>
  <c r="Y112" i="52"/>
  <c r="W112" i="52"/>
  <c r="AF112" i="52"/>
  <c r="R113" i="52"/>
  <c r="G129" i="52"/>
  <c r="M136" i="52"/>
  <c r="AC128" i="52"/>
  <c r="AJ128" i="52"/>
  <c r="F128" i="52"/>
  <c r="R128" i="52"/>
  <c r="AE127" i="52"/>
  <c r="J128" i="52"/>
  <c r="AC127" i="52"/>
  <c r="Z127" i="52"/>
  <c r="AI122" i="52"/>
  <c r="AF122" i="52"/>
  <c r="AC131" i="52"/>
  <c r="AF131" i="52"/>
  <c r="AC122" i="52"/>
  <c r="L122" i="52"/>
  <c r="AH131" i="52"/>
  <c r="Z131" i="52"/>
  <c r="AE122" i="52"/>
  <c r="AG131" i="52"/>
  <c r="Q137" i="52"/>
  <c r="AE131" i="52"/>
  <c r="AJ137" i="52"/>
  <c r="F122" i="52"/>
  <c r="AG122" i="52"/>
  <c r="J137" i="52"/>
  <c r="AD131" i="52"/>
  <c r="N137" i="52"/>
  <c r="AE129" i="52"/>
  <c r="W129" i="52"/>
  <c r="AI125" i="52"/>
  <c r="AD125" i="52"/>
  <c r="P132" i="52"/>
  <c r="O132" i="52"/>
  <c r="G141" i="52"/>
  <c r="F136" i="52"/>
  <c r="Z136" i="52"/>
  <c r="AI136" i="52"/>
  <c r="V136" i="52"/>
  <c r="Q129" i="52"/>
  <c r="AC129" i="52"/>
  <c r="AD129" i="52"/>
  <c r="F127" i="52"/>
  <c r="P127" i="52"/>
  <c r="J127" i="52"/>
  <c r="N125" i="52"/>
  <c r="X125" i="52"/>
  <c r="AB125" i="52"/>
  <c r="T125" i="52"/>
  <c r="K127" i="52"/>
  <c r="O127" i="52"/>
  <c r="L127" i="52"/>
  <c r="L136" i="52"/>
  <c r="O141" i="52"/>
  <c r="AD136" i="52"/>
  <c r="X136" i="52"/>
  <c r="W136" i="52"/>
  <c r="AG136" i="52"/>
  <c r="F129" i="52"/>
  <c r="AB129" i="52"/>
  <c r="P129" i="52"/>
  <c r="R127" i="52"/>
  <c r="AH127" i="52"/>
  <c r="N127" i="52"/>
  <c r="T127" i="52"/>
  <c r="F125" i="52"/>
  <c r="V125" i="52"/>
  <c r="Y125" i="52"/>
  <c r="K136" i="52"/>
  <c r="O125" i="52"/>
  <c r="I141" i="52"/>
  <c r="R136" i="52"/>
  <c r="T136" i="52"/>
  <c r="Q136" i="52"/>
  <c r="AA136" i="52"/>
  <c r="V129" i="52"/>
  <c r="X129" i="52"/>
  <c r="S129" i="52"/>
  <c r="AF129" i="52"/>
  <c r="S127" i="52"/>
  <c r="Q127" i="52"/>
  <c r="AI127" i="52"/>
  <c r="M127" i="52"/>
  <c r="AA125" i="52"/>
  <c r="AC125" i="52"/>
  <c r="R125" i="52"/>
  <c r="K125" i="52"/>
  <c r="AF136" i="52"/>
  <c r="Y136" i="52"/>
  <c r="AH136" i="52"/>
  <c r="U136" i="52"/>
  <c r="Y129" i="52"/>
  <c r="AG129" i="52"/>
  <c r="AI129" i="52"/>
  <c r="Z129" i="52"/>
  <c r="AA127" i="52"/>
  <c r="AG127" i="52"/>
  <c r="AB127" i="52"/>
  <c r="M141" i="52"/>
  <c r="Q125" i="52"/>
  <c r="U125" i="52"/>
  <c r="AF125" i="52"/>
  <c r="I136" i="52"/>
  <c r="O129" i="52"/>
  <c r="AJ136" i="52"/>
  <c r="AE136" i="52"/>
  <c r="J136" i="52"/>
  <c r="AB136" i="52"/>
  <c r="N136" i="52"/>
  <c r="AH129" i="52"/>
  <c r="N129" i="52"/>
  <c r="AA129" i="52"/>
  <c r="K129" i="52"/>
  <c r="V127" i="52"/>
  <c r="X127" i="52"/>
  <c r="U127" i="52"/>
  <c r="AE125" i="52"/>
  <c r="AH125" i="52"/>
  <c r="AJ125" i="52"/>
  <c r="Z125" i="52"/>
  <c r="U122" i="52"/>
  <c r="AA122" i="52"/>
  <c r="W122" i="52"/>
  <c r="Y122" i="52"/>
  <c r="O137" i="52"/>
  <c r="Q131" i="52"/>
  <c r="X131" i="52"/>
  <c r="V131" i="52"/>
  <c r="T131" i="52"/>
  <c r="AE137" i="52"/>
  <c r="P137" i="52"/>
  <c r="R120" i="52"/>
  <c r="AJ122" i="52"/>
  <c r="AB122" i="52"/>
  <c r="N122" i="52"/>
  <c r="R122" i="52"/>
  <c r="AA131" i="52"/>
  <c r="AB131" i="52"/>
  <c r="P131" i="52"/>
  <c r="H131" i="52"/>
  <c r="L131" i="52"/>
  <c r="AC137" i="52"/>
  <c r="R137" i="52"/>
  <c r="U137" i="52"/>
  <c r="L120" i="52"/>
  <c r="Z120" i="52"/>
  <c r="K121" i="52"/>
  <c r="Q122" i="52"/>
  <c r="B83" i="39"/>
  <c r="X122" i="52"/>
  <c r="AD122" i="52"/>
  <c r="Z122" i="52"/>
  <c r="J120" i="52"/>
  <c r="AJ131" i="52"/>
  <c r="AI131" i="52"/>
  <c r="W131" i="52"/>
  <c r="Y131" i="52"/>
  <c r="AI137" i="52"/>
  <c r="AH137" i="52"/>
  <c r="AF137" i="52"/>
  <c r="S122" i="52"/>
  <c r="P122" i="52"/>
  <c r="V122" i="52"/>
  <c r="T122" i="52"/>
  <c r="U131" i="52"/>
  <c r="S131" i="52"/>
  <c r="N131" i="52"/>
  <c r="R131" i="52"/>
  <c r="Y137" i="52"/>
  <c r="AB137" i="52"/>
  <c r="Z137" i="52"/>
  <c r="AF120" i="52"/>
  <c r="L121" i="52"/>
  <c r="O120" i="52"/>
  <c r="W137" i="52"/>
  <c r="V137" i="52"/>
  <c r="AB120" i="52"/>
  <c r="M125" i="52"/>
  <c r="L112" i="52"/>
  <c r="AI141" i="52"/>
  <c r="H127" i="52"/>
  <c r="H129" i="52"/>
  <c r="U129" i="52"/>
  <c r="R129" i="52"/>
  <c r="T129" i="52"/>
  <c r="AD127" i="52"/>
  <c r="Y127" i="52"/>
  <c r="W127" i="52"/>
  <c r="AF127" i="52"/>
  <c r="P125" i="52"/>
  <c r="W125" i="52"/>
  <c r="H125" i="52"/>
  <c r="AG125" i="52"/>
  <c r="L125" i="52"/>
  <c r="H134" i="52"/>
  <c r="AI134" i="52"/>
  <c r="X134" i="52"/>
  <c r="AF134" i="52"/>
  <c r="B91" i="39"/>
  <c r="O136" i="52"/>
  <c r="I125" i="52"/>
  <c r="Z141" i="52"/>
  <c r="AD141" i="52"/>
  <c r="P141" i="52"/>
  <c r="AJ141" i="52"/>
  <c r="AB141" i="52"/>
  <c r="AH141" i="52"/>
  <c r="V141" i="52"/>
  <c r="AC141" i="52"/>
  <c r="J125" i="52"/>
  <c r="I129" i="52"/>
  <c r="R141" i="52"/>
  <c r="U141" i="52"/>
  <c r="G127" i="52"/>
  <c r="G123" i="52"/>
  <c r="AJ134" i="52"/>
  <c r="U134" i="52"/>
  <c r="Q134" i="52"/>
  <c r="Z134" i="52"/>
  <c r="V134" i="52"/>
  <c r="AG134" i="52"/>
  <c r="T134" i="52"/>
  <c r="J134" i="52"/>
  <c r="F134" i="52"/>
  <c r="N134" i="52"/>
  <c r="AH134" i="52"/>
  <c r="Y134" i="52"/>
  <c r="AD134" i="52"/>
  <c r="L134" i="52"/>
  <c r="AB134" i="52"/>
  <c r="S134" i="52"/>
  <c r="R134" i="52"/>
  <c r="W134" i="52"/>
  <c r="AA134" i="52"/>
  <c r="AC134" i="52"/>
  <c r="AE134" i="52"/>
  <c r="P134" i="52"/>
  <c r="AA141" i="52"/>
  <c r="G120" i="52"/>
  <c r="V119" i="52"/>
  <c r="F120" i="52"/>
  <c r="V120" i="52"/>
  <c r="L129" i="52"/>
  <c r="N141" i="52"/>
  <c r="AF141" i="52"/>
  <c r="W141" i="52"/>
  <c r="P120" i="52"/>
  <c r="AE120" i="52"/>
  <c r="AG141" i="52"/>
  <c r="X141" i="52"/>
  <c r="Q141" i="52"/>
  <c r="K131" i="52"/>
  <c r="AD120" i="52"/>
  <c r="W120" i="52"/>
  <c r="AH120" i="52"/>
  <c r="N120" i="52"/>
  <c r="K134" i="52"/>
  <c r="M120" i="52"/>
  <c r="L119" i="52"/>
  <c r="K120" i="52"/>
  <c r="T120" i="52"/>
  <c r="Q120" i="52"/>
  <c r="Y120" i="52"/>
  <c r="G137" i="52"/>
  <c r="I131" i="52"/>
  <c r="S137" i="52"/>
  <c r="L137" i="52"/>
  <c r="X137" i="52"/>
  <c r="AG137" i="52"/>
  <c r="T137" i="52"/>
  <c r="AH119" i="52"/>
  <c r="X120" i="52"/>
  <c r="AI120" i="52"/>
  <c r="AJ120" i="52"/>
  <c r="S120" i="52"/>
  <c r="AB135" i="52"/>
  <c r="AE141" i="52"/>
  <c r="H141" i="52"/>
  <c r="K141" i="52"/>
  <c r="T141" i="52"/>
  <c r="AG139" i="52"/>
  <c r="H122" i="52"/>
  <c r="K137" i="52"/>
  <c r="O134" i="52"/>
  <c r="G136" i="52"/>
  <c r="AD137" i="52"/>
  <c r="F137" i="52"/>
  <c r="H137" i="52"/>
  <c r="AA137" i="52"/>
  <c r="M137" i="52"/>
  <c r="AF119" i="52"/>
  <c r="U120" i="52"/>
  <c r="AG120" i="52"/>
  <c r="AA120" i="52"/>
  <c r="AC120" i="52"/>
  <c r="H120" i="52"/>
  <c r="H135" i="52"/>
  <c r="F141" i="52"/>
  <c r="Y141" i="52"/>
  <c r="S141" i="52"/>
  <c r="J141" i="52"/>
  <c r="U139" i="52"/>
  <c r="G122" i="52"/>
  <c r="M122" i="52"/>
  <c r="B88" i="39"/>
  <c r="Z139" i="52"/>
  <c r="Q139" i="52"/>
  <c r="J119" i="52"/>
  <c r="B75" i="39"/>
  <c r="S135" i="52"/>
  <c r="K112" i="52"/>
  <c r="M134" i="52"/>
  <c r="O112" i="52"/>
  <c r="Y135" i="52"/>
  <c r="B85" i="39"/>
  <c r="B97" i="39"/>
  <c r="I122" i="52"/>
  <c r="G134" i="52"/>
  <c r="G131" i="52"/>
  <c r="B100" i="39"/>
  <c r="O122" i="52"/>
  <c r="K122" i="52"/>
  <c r="H136" i="52"/>
  <c r="B90" i="39"/>
  <c r="W133" i="52"/>
  <c r="B94" i="39"/>
  <c r="M131" i="52"/>
  <c r="U132" i="52"/>
  <c r="G119" i="52"/>
  <c r="R132" i="52"/>
  <c r="Y124" i="52"/>
  <c r="J129" i="52"/>
  <c r="B104" i="39"/>
  <c r="Q117" i="52"/>
  <c r="K117" i="52"/>
  <c r="J131" i="52"/>
  <c r="U119" i="52"/>
  <c r="AB119" i="52"/>
  <c r="Z119" i="52"/>
  <c r="X119" i="52"/>
  <c r="O135" i="52"/>
  <c r="F135" i="52"/>
  <c r="AI135" i="52"/>
  <c r="V135" i="52"/>
  <c r="T135" i="52"/>
  <c r="AA126" i="52"/>
  <c r="G135" i="52"/>
  <c r="F119" i="52"/>
  <c r="AC119" i="52"/>
  <c r="P119" i="52"/>
  <c r="Q119" i="52"/>
  <c r="M135" i="52"/>
  <c r="AF135" i="52"/>
  <c r="R135" i="52"/>
  <c r="AC135" i="52"/>
  <c r="N135" i="52"/>
  <c r="K135" i="52"/>
  <c r="M119" i="52"/>
  <c r="AJ119" i="52"/>
  <c r="AI119" i="52"/>
  <c r="AG119" i="52"/>
  <c r="AE119" i="52"/>
  <c r="AD135" i="52"/>
  <c r="Z135" i="52"/>
  <c r="W135" i="52"/>
  <c r="AG135" i="52"/>
  <c r="AF126" i="52"/>
  <c r="T119" i="52"/>
  <c r="AA119" i="52"/>
  <c r="W119" i="52"/>
  <c r="Y119" i="52"/>
  <c r="J135" i="52"/>
  <c r="Q135" i="52"/>
  <c r="X135" i="52"/>
  <c r="P135" i="52"/>
  <c r="AA135" i="52"/>
  <c r="K119" i="52"/>
  <c r="I119" i="52"/>
  <c r="AD119" i="52"/>
  <c r="R119" i="52"/>
  <c r="N119" i="52"/>
  <c r="S119" i="52"/>
  <c r="I135" i="52"/>
  <c r="AJ135" i="52"/>
  <c r="AE135" i="52"/>
  <c r="AH135" i="52"/>
  <c r="U135" i="52"/>
  <c r="AG126" i="52"/>
  <c r="O119" i="52"/>
  <c r="H119" i="52"/>
  <c r="M129" i="52"/>
  <c r="J116" i="52"/>
  <c r="K116" i="52"/>
  <c r="O113" i="52"/>
  <c r="R138" i="52"/>
  <c r="F138" i="52"/>
  <c r="AG138" i="52"/>
  <c r="T138" i="52"/>
  <c r="F113" i="52"/>
  <c r="L113" i="52"/>
  <c r="AH113" i="52"/>
  <c r="AG113" i="52"/>
  <c r="G138" i="52"/>
  <c r="AG124" i="52"/>
  <c r="J113" i="52"/>
  <c r="AA138" i="52"/>
  <c r="W113" i="52"/>
  <c r="AC113" i="52"/>
  <c r="Y113" i="52"/>
  <c r="AA113" i="52"/>
  <c r="L138" i="52"/>
  <c r="J124" i="52"/>
  <c r="M113" i="52"/>
  <c r="V124" i="52"/>
  <c r="AH138" i="52"/>
  <c r="AJ138" i="52"/>
  <c r="AI138" i="52"/>
  <c r="K138" i="52"/>
  <c r="AE138" i="52"/>
  <c r="Y138" i="52"/>
  <c r="X138" i="52"/>
  <c r="U138" i="52"/>
  <c r="AF113" i="52"/>
  <c r="S113" i="52"/>
  <c r="Q113" i="52"/>
  <c r="U113" i="52"/>
  <c r="J138" i="52"/>
  <c r="I138" i="52"/>
  <c r="AA124" i="52"/>
  <c r="I113" i="52"/>
  <c r="B101" i="39"/>
  <c r="AJ113" i="52"/>
  <c r="M138" i="52"/>
  <c r="AC138" i="52"/>
  <c r="H138" i="52"/>
  <c r="AB138" i="52"/>
  <c r="N138" i="52"/>
  <c r="P113" i="52"/>
  <c r="AI113" i="52"/>
  <c r="N113" i="52"/>
  <c r="Q138" i="52"/>
  <c r="W138" i="52"/>
  <c r="V138" i="52"/>
  <c r="AF138" i="52"/>
  <c r="V113" i="52"/>
  <c r="AD113" i="52"/>
  <c r="Z113" i="52"/>
  <c r="AB113" i="52"/>
  <c r="K113" i="52"/>
  <c r="B79" i="39"/>
  <c r="M116" i="52"/>
  <c r="Y115" i="52"/>
  <c r="U115" i="52"/>
  <c r="T126" i="52"/>
  <c r="AC111" i="52"/>
  <c r="F115" i="52"/>
  <c r="AB115" i="52"/>
  <c r="U114" i="52"/>
  <c r="AI115" i="52"/>
  <c r="V115" i="52"/>
  <c r="R114" i="52"/>
  <c r="P114" i="52"/>
  <c r="J126" i="52"/>
  <c r="Y126" i="52"/>
  <c r="AJ114" i="52"/>
  <c r="U126" i="52"/>
  <c r="U111" i="52"/>
  <c r="N115" i="52"/>
  <c r="I126" i="52"/>
  <c r="O116" i="52"/>
  <c r="AB133" i="52"/>
  <c r="B98" i="39"/>
  <c r="B89" i="39"/>
  <c r="B76" i="39"/>
  <c r="T115" i="52"/>
  <c r="AG115" i="52"/>
  <c r="AD115" i="52"/>
  <c r="AH115" i="52"/>
  <c r="K115" i="52"/>
  <c r="H115" i="52"/>
  <c r="J111" i="52"/>
  <c r="AI111" i="52"/>
  <c r="Y111" i="52"/>
  <c r="Z115" i="52"/>
  <c r="AA115" i="52"/>
  <c r="AF115" i="52"/>
  <c r="AE115" i="52"/>
  <c r="P115" i="52"/>
  <c r="R111" i="52"/>
  <c r="I115" i="52"/>
  <c r="R115" i="52"/>
  <c r="AJ115" i="52"/>
  <c r="W115" i="52"/>
  <c r="X115" i="52"/>
  <c r="AG118" i="52"/>
  <c r="AC115" i="52"/>
  <c r="S115" i="52"/>
  <c r="M115" i="52"/>
  <c r="Q115" i="52"/>
  <c r="L115" i="52"/>
  <c r="V139" i="52"/>
  <c r="Y114" i="52"/>
  <c r="P111" i="52"/>
  <c r="AH111" i="52"/>
  <c r="B95" i="39"/>
  <c r="V111" i="52"/>
  <c r="H113" i="52"/>
  <c r="AG132" i="52"/>
  <c r="Z132" i="52"/>
  <c r="H132" i="52"/>
  <c r="F132" i="52"/>
  <c r="AJ132" i="52"/>
  <c r="S132" i="52"/>
  <c r="K132" i="52"/>
  <c r="T132" i="52"/>
  <c r="N132" i="52"/>
  <c r="J132" i="52"/>
  <c r="Q132" i="52"/>
  <c r="X132" i="52"/>
  <c r="AB132" i="52"/>
  <c r="AI132" i="52"/>
  <c r="AD132" i="52"/>
  <c r="AF132" i="52"/>
  <c r="AA132" i="52"/>
  <c r="I132" i="52"/>
  <c r="AC132" i="52"/>
  <c r="N111" i="52"/>
  <c r="V132" i="52"/>
  <c r="M132" i="52"/>
  <c r="Q111" i="52"/>
  <c r="AH132" i="52"/>
  <c r="G132" i="52"/>
  <c r="L132" i="52"/>
  <c r="AE132" i="52"/>
  <c r="N139" i="52"/>
  <c r="V117" i="52"/>
  <c r="F111" i="52"/>
  <c r="M111" i="52"/>
  <c r="K111" i="52"/>
  <c r="L111" i="52"/>
  <c r="G111" i="52"/>
  <c r="W117" i="52"/>
  <c r="AI124" i="52"/>
  <c r="T111" i="52"/>
  <c r="R118" i="52"/>
  <c r="AJ117" i="52"/>
  <c r="X117" i="52"/>
  <c r="G117" i="52"/>
  <c r="AB117" i="52"/>
  <c r="O111" i="52"/>
  <c r="AB111" i="52"/>
  <c r="N117" i="52"/>
  <c r="AA117" i="52"/>
  <c r="AC117" i="52"/>
  <c r="L117" i="52"/>
  <c r="AC139" i="52"/>
  <c r="Z111" i="52"/>
  <c r="W111" i="52"/>
  <c r="AA111" i="52"/>
  <c r="AG111" i="52"/>
  <c r="AE118" i="52"/>
  <c r="O117" i="52"/>
  <c r="O115" i="52"/>
  <c r="AF117" i="52"/>
  <c r="AE111" i="52"/>
  <c r="AD111" i="52"/>
  <c r="S111" i="52"/>
  <c r="Z124" i="52"/>
  <c r="S117" i="52"/>
  <c r="P118" i="52"/>
  <c r="F124" i="52"/>
  <c r="G115" i="52"/>
  <c r="H117" i="52"/>
  <c r="J117" i="52"/>
  <c r="H111" i="52"/>
  <c r="I117" i="52"/>
  <c r="B102" i="39"/>
  <c r="B74" i="39"/>
  <c r="I111" i="52"/>
  <c r="X111" i="52"/>
  <c r="AF111" i="52"/>
  <c r="T114" i="52"/>
  <c r="C142" i="52"/>
  <c r="H126" i="52"/>
  <c r="Q124" i="52"/>
  <c r="M126" i="52"/>
  <c r="W126" i="52"/>
  <c r="X126" i="52"/>
  <c r="AB126" i="52"/>
  <c r="Z133" i="52"/>
  <c r="AE124" i="52"/>
  <c r="N124" i="52"/>
  <c r="AB124" i="52"/>
  <c r="R126" i="52"/>
  <c r="L126" i="52"/>
  <c r="AD126" i="52"/>
  <c r="G126" i="52"/>
  <c r="V133" i="52"/>
  <c r="Z126" i="52"/>
  <c r="S124" i="52"/>
  <c r="AJ126" i="52"/>
  <c r="S126" i="52"/>
  <c r="AE126" i="52"/>
  <c r="AF124" i="52"/>
  <c r="AA133" i="52"/>
  <c r="P124" i="52"/>
  <c r="G133" i="52"/>
  <c r="AE133" i="52"/>
  <c r="AJ139" i="52"/>
  <c r="Y139" i="52"/>
  <c r="P139" i="52"/>
  <c r="AA139" i="52"/>
  <c r="K139" i="52"/>
  <c r="W139" i="52"/>
  <c r="AI139" i="52"/>
  <c r="AE139" i="52"/>
  <c r="R139" i="52"/>
  <c r="I139" i="52"/>
  <c r="AB139" i="52"/>
  <c r="M139" i="52"/>
  <c r="AD139" i="52"/>
  <c r="S139" i="52"/>
  <c r="AH139" i="52"/>
  <c r="G139" i="52"/>
  <c r="F139" i="52"/>
  <c r="T139" i="52"/>
  <c r="O139" i="52"/>
  <c r="J139" i="52"/>
  <c r="L139" i="52"/>
  <c r="I133" i="52"/>
  <c r="X124" i="52"/>
  <c r="AI126" i="52"/>
  <c r="P126" i="52"/>
  <c r="K126" i="52"/>
  <c r="AH124" i="52"/>
  <c r="I124" i="52"/>
  <c r="AF133" i="52"/>
  <c r="Y133" i="52"/>
  <c r="AF139" i="52"/>
  <c r="AC126" i="52"/>
  <c r="AH126" i="52"/>
  <c r="O126" i="52"/>
  <c r="V126" i="52"/>
  <c r="N126" i="52"/>
  <c r="Q126" i="52"/>
  <c r="AC133" i="52"/>
  <c r="R124" i="52"/>
  <c r="AH133" i="52"/>
  <c r="L133" i="52"/>
  <c r="M124" i="52"/>
  <c r="R133" i="52"/>
  <c r="AI133" i="52"/>
  <c r="F114" i="52"/>
  <c r="S133" i="52"/>
  <c r="X139" i="52"/>
  <c r="B81" i="39"/>
  <c r="B80" i="39"/>
  <c r="AJ133" i="52"/>
  <c r="AJ124" i="52"/>
  <c r="L124" i="52"/>
  <c r="T124" i="52"/>
  <c r="H124" i="52"/>
  <c r="W124" i="52"/>
  <c r="K124" i="52"/>
  <c r="G124" i="52"/>
  <c r="O124" i="52"/>
  <c r="U124" i="52"/>
  <c r="B87" i="39"/>
  <c r="AD124" i="52"/>
  <c r="B96" i="39"/>
  <c r="B77" i="39"/>
  <c r="Q133" i="52"/>
  <c r="AE117" i="52"/>
  <c r="U117" i="52"/>
  <c r="M117" i="52"/>
  <c r="AI117" i="52"/>
  <c r="Z117" i="52"/>
  <c r="Y117" i="52"/>
  <c r="T117" i="52"/>
  <c r="AH117" i="52"/>
  <c r="P117" i="52"/>
  <c r="R117" i="52"/>
  <c r="AG117" i="52"/>
  <c r="F117" i="52"/>
  <c r="F133" i="52"/>
  <c r="J133" i="52"/>
  <c r="P133" i="52"/>
  <c r="O133" i="52"/>
  <c r="U133" i="52"/>
  <c r="K133" i="52"/>
  <c r="M133" i="52"/>
  <c r="N133" i="52"/>
  <c r="T133" i="52"/>
  <c r="H133" i="52"/>
  <c r="X133" i="52"/>
  <c r="AG133" i="52"/>
  <c r="S118" i="52"/>
  <c r="V118" i="52"/>
  <c r="Z118" i="52"/>
  <c r="N118" i="52"/>
  <c r="G118" i="52"/>
  <c r="Y118" i="52"/>
  <c r="F118" i="52"/>
  <c r="J118" i="52"/>
  <c r="W118" i="52"/>
  <c r="X118" i="52"/>
  <c r="U118" i="52"/>
  <c r="AF118" i="52"/>
  <c r="AI118" i="52"/>
  <c r="O118" i="52"/>
  <c r="K118" i="52"/>
  <c r="AH118" i="52"/>
  <c r="AB118" i="52"/>
  <c r="AA118" i="52"/>
  <c r="AD118" i="52"/>
  <c r="AC118" i="52"/>
  <c r="Q118" i="52"/>
  <c r="I118" i="52"/>
  <c r="AJ118" i="52"/>
  <c r="M118" i="52"/>
  <c r="H118" i="52"/>
  <c r="L118" i="52"/>
  <c r="S114" i="52"/>
  <c r="W114" i="52"/>
  <c r="AF114" i="52"/>
  <c r="N114" i="52"/>
  <c r="Z114" i="52"/>
  <c r="AE114" i="52"/>
  <c r="X114" i="52"/>
  <c r="M114" i="52"/>
  <c r="O114" i="52"/>
  <c r="L114" i="52"/>
  <c r="H114" i="52"/>
  <c r="AG114" i="52"/>
  <c r="AA114" i="52"/>
  <c r="G114" i="52"/>
  <c r="AB114" i="52"/>
  <c r="K114" i="52"/>
  <c r="I114" i="52"/>
  <c r="AC114" i="52"/>
  <c r="Q114" i="52"/>
  <c r="V114" i="52"/>
  <c r="AD114" i="52"/>
  <c r="AI114" i="52"/>
  <c r="J114" i="52"/>
  <c r="A136" i="52"/>
  <c r="N122" i="43"/>
  <c r="O33" i="11"/>
  <c r="N33" i="11"/>
  <c r="P33" i="11" s="1"/>
  <c r="O32" i="11"/>
  <c r="N32" i="11"/>
  <c r="O31" i="11"/>
  <c r="N31" i="11"/>
  <c r="O30" i="11"/>
  <c r="N30" i="11"/>
  <c r="O29" i="11"/>
  <c r="N29" i="11"/>
  <c r="P29" i="11" s="1"/>
  <c r="O28" i="11"/>
  <c r="N28" i="11"/>
  <c r="P28" i="11" s="1"/>
  <c r="O27" i="11"/>
  <c r="N27" i="11"/>
  <c r="O26" i="11"/>
  <c r="N26" i="11"/>
  <c r="P26" i="11" s="1"/>
  <c r="O25" i="11"/>
  <c r="N25" i="11"/>
  <c r="P25" i="11" s="1"/>
  <c r="O24" i="11"/>
  <c r="N24" i="11"/>
  <c r="P24" i="11" s="1"/>
  <c r="O23" i="11"/>
  <c r="N23" i="11"/>
  <c r="O22" i="11"/>
  <c r="N22" i="11"/>
  <c r="O21" i="11"/>
  <c r="N21" i="11"/>
  <c r="P21" i="11" s="1"/>
  <c r="O20" i="11"/>
  <c r="N20" i="11"/>
  <c r="O19" i="11"/>
  <c r="N19" i="11"/>
  <c r="P19" i="11" s="1"/>
  <c r="O18" i="11"/>
  <c r="N18" i="11"/>
  <c r="O17" i="11"/>
  <c r="P17" i="11" s="1"/>
  <c r="N17" i="11"/>
  <c r="O16" i="11"/>
  <c r="N16" i="11"/>
  <c r="O15" i="11"/>
  <c r="N15" i="11"/>
  <c r="O14" i="11"/>
  <c r="N14" i="11"/>
  <c r="O13" i="11"/>
  <c r="N13" i="11"/>
  <c r="P13" i="11" s="1"/>
  <c r="O12" i="11"/>
  <c r="N12" i="11"/>
  <c r="O11" i="11"/>
  <c r="N11" i="11"/>
  <c r="O10" i="11"/>
  <c r="N10" i="11"/>
  <c r="O9" i="11"/>
  <c r="N9" i="11"/>
  <c r="O8" i="11"/>
  <c r="N8" i="11"/>
  <c r="P8" i="11" s="1"/>
  <c r="O7" i="11"/>
  <c r="N7" i="11"/>
  <c r="P7" i="11" s="1"/>
  <c r="O6" i="11"/>
  <c r="N6" i="11"/>
  <c r="O5" i="11"/>
  <c r="N5" i="11"/>
  <c r="P5" i="11" s="1"/>
  <c r="O4" i="11"/>
  <c r="N4" i="11"/>
  <c r="P4" i="11" s="1"/>
  <c r="O3" i="11"/>
  <c r="N3" i="11"/>
  <c r="AC110" i="52" l="1"/>
  <c r="I110" i="52"/>
  <c r="N110" i="52"/>
  <c r="AI110" i="52"/>
  <c r="J110" i="52"/>
  <c r="Y110" i="52"/>
  <c r="T110" i="52"/>
  <c r="S110" i="52"/>
  <c r="V110" i="52"/>
  <c r="AB110" i="52"/>
  <c r="AF110" i="52"/>
  <c r="AJ110" i="52"/>
  <c r="U110" i="52"/>
  <c r="X110" i="52"/>
  <c r="Z110" i="52"/>
  <c r="F110" i="52"/>
  <c r="AH110" i="52"/>
  <c r="Q110" i="52"/>
  <c r="R110" i="52"/>
  <c r="P110" i="52"/>
  <c r="W110" i="52"/>
  <c r="G110" i="52"/>
  <c r="H110" i="52"/>
  <c r="AG110" i="52"/>
  <c r="AE110" i="52"/>
  <c r="AD110" i="52"/>
  <c r="AA110" i="52"/>
  <c r="M110" i="52"/>
  <c r="K110" i="52"/>
  <c r="L110" i="52"/>
  <c r="O110" i="52"/>
  <c r="P14" i="11"/>
  <c r="P27" i="11"/>
  <c r="P23" i="11"/>
  <c r="P11" i="11"/>
  <c r="P3" i="11"/>
  <c r="P9" i="11"/>
  <c r="P12" i="11"/>
  <c r="P20" i="11"/>
  <c r="P31" i="11"/>
  <c r="P15" i="11"/>
  <c r="P32" i="11"/>
  <c r="P16" i="11"/>
  <c r="A137" i="52"/>
  <c r="P6" i="11"/>
  <c r="P18" i="11"/>
  <c r="P30" i="11"/>
  <c r="P10" i="11"/>
  <c r="P22" i="11"/>
  <c r="A18" i="43"/>
  <c r="A138" i="52" l="1"/>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R4" i="37"/>
  <c r="R5" i="37"/>
  <c r="R6" i="37"/>
  <c r="P5" i="37" s="1"/>
  <c r="B30" i="39" s="1"/>
  <c r="R7" i="37"/>
  <c r="R8" i="37"/>
  <c r="R9" i="37"/>
  <c r="R10" i="37"/>
  <c r="R11" i="37"/>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41" i="43" s="1"/>
  <c r="C7" i="52" s="1"/>
  <c r="C419" i="43"/>
  <c r="C443" i="43" s="1"/>
  <c r="C9" i="52" s="1"/>
  <c r="C423" i="43"/>
  <c r="C447" i="43" s="1"/>
  <c r="C13" i="52" s="1"/>
  <c r="C428" i="43"/>
  <c r="C452" i="43" s="1"/>
  <c r="C18" i="52" s="1"/>
  <c r="C404" i="43"/>
  <c r="C420" i="43"/>
  <c r="C444" i="43" s="1"/>
  <c r="C10" i="52" s="1"/>
  <c r="C431" i="43"/>
  <c r="C455" i="43" s="1"/>
  <c r="C21" i="52" s="1"/>
  <c r="C426" i="43"/>
  <c r="C450" i="43" s="1"/>
  <c r="C16" i="52" s="1"/>
  <c r="C409" i="43"/>
  <c r="C421" i="43"/>
  <c r="C445" i="43" s="1"/>
  <c r="C11" i="52" s="1"/>
  <c r="C434" i="43"/>
  <c r="C458" i="43" s="1"/>
  <c r="C24" i="52" s="1"/>
  <c r="C407" i="43"/>
  <c r="C414" i="43"/>
  <c r="C438" i="43" s="1"/>
  <c r="C4" i="52" s="1"/>
  <c r="C418" i="43"/>
  <c r="C442" i="43" s="1"/>
  <c r="C8" i="52" s="1"/>
  <c r="C425" i="43"/>
  <c r="C449" i="43" s="1"/>
  <c r="C15" i="52" s="1"/>
  <c r="C427" i="43"/>
  <c r="C451" i="43" s="1"/>
  <c r="C17" i="52" s="1"/>
  <c r="C429" i="43"/>
  <c r="C453" i="43" s="1"/>
  <c r="C19" i="52" s="1"/>
  <c r="C432" i="43"/>
  <c r="C456" i="43" s="1"/>
  <c r="C22" i="52" s="1"/>
  <c r="C410" i="43"/>
  <c r="C412" i="43"/>
  <c r="C422" i="43"/>
  <c r="C446" i="43" s="1"/>
  <c r="C12" i="52" s="1"/>
  <c r="C433" i="43"/>
  <c r="C457" i="43" s="1"/>
  <c r="C23" i="52" s="1"/>
  <c r="C405" i="43"/>
  <c r="C408" i="43"/>
  <c r="C415" i="43"/>
  <c r="C439" i="43" s="1"/>
  <c r="C5" i="52" s="1"/>
  <c r="C424" i="43"/>
  <c r="C448" i="43" s="1"/>
  <c r="C14" i="52" s="1"/>
  <c r="C430" i="43"/>
  <c r="C454" i="43" s="1"/>
  <c r="C20" i="52" s="1"/>
  <c r="C413" i="43"/>
  <c r="C411" i="43"/>
  <c r="C416" i="43"/>
  <c r="C440" i="43" s="1"/>
  <c r="C6" i="52" s="1"/>
  <c r="H434" i="43"/>
  <c r="H458" i="43" s="1"/>
  <c r="H24" i="52" s="1"/>
  <c r="H418" i="43"/>
  <c r="H442" i="43" s="1"/>
  <c r="H8" i="52" s="1"/>
  <c r="H415" i="43"/>
  <c r="H439" i="43" s="1"/>
  <c r="H5" i="52" s="1"/>
  <c r="H410" i="43"/>
  <c r="H424" i="43"/>
  <c r="H448" i="43" s="1"/>
  <c r="H14" i="52" s="1"/>
  <c r="H405" i="43"/>
  <c r="H428" i="43"/>
  <c r="H452" i="43" s="1"/>
  <c r="H18" i="52" s="1"/>
  <c r="H406" i="43"/>
  <c r="H417" i="43"/>
  <c r="H441" i="43" s="1"/>
  <c r="H7" i="52" s="1"/>
  <c r="H414" i="43"/>
  <c r="H438" i="43" s="1"/>
  <c r="H4" i="52" s="1"/>
  <c r="H430" i="43"/>
  <c r="H454" i="43" s="1"/>
  <c r="H20" i="52" s="1"/>
  <c r="H423" i="43"/>
  <c r="H447" i="43" s="1"/>
  <c r="H13" i="52" s="1"/>
  <c r="H419" i="43"/>
  <c r="H443" i="43" s="1"/>
  <c r="H9" i="52" s="1"/>
  <c r="H429" i="43"/>
  <c r="H453" i="43" s="1"/>
  <c r="H19" i="52" s="1"/>
  <c r="H416" i="43"/>
  <c r="H440" i="43" s="1"/>
  <c r="H6" i="52" s="1"/>
  <c r="H404" i="43"/>
  <c r="H413" i="43"/>
  <c r="H427" i="43"/>
  <c r="H451" i="43" s="1"/>
  <c r="H17" i="52" s="1"/>
  <c r="H409" i="43"/>
  <c r="H422" i="43"/>
  <c r="H446" i="43" s="1"/>
  <c r="H12" i="52" s="1"/>
  <c r="H421" i="43"/>
  <c r="H445" i="43" s="1"/>
  <c r="H11" i="52" s="1"/>
  <c r="H426" i="43"/>
  <c r="H450" i="43" s="1"/>
  <c r="H16" i="52" s="1"/>
  <c r="H420" i="43"/>
  <c r="H444" i="43" s="1"/>
  <c r="H10" i="52" s="1"/>
  <c r="H431" i="43"/>
  <c r="H455" i="43" s="1"/>
  <c r="H21" i="52" s="1"/>
  <c r="H433" i="43"/>
  <c r="H457" i="43" s="1"/>
  <c r="H23" i="52" s="1"/>
  <c r="H408" i="43"/>
  <c r="H432" i="43"/>
  <c r="H456" i="43" s="1"/>
  <c r="H22" i="52" s="1"/>
  <c r="H412" i="43"/>
  <c r="H425" i="43"/>
  <c r="H449" i="43" s="1"/>
  <c r="H15" i="52" s="1"/>
  <c r="H407" i="43"/>
  <c r="H411" i="43"/>
  <c r="G410" i="43"/>
  <c r="G413" i="43"/>
  <c r="G431" i="43"/>
  <c r="G455" i="43" s="1"/>
  <c r="G21" i="52" s="1"/>
  <c r="G416" i="43"/>
  <c r="G440" i="43" s="1"/>
  <c r="G6" i="52" s="1"/>
  <c r="G434" i="43"/>
  <c r="G458" i="43" s="1"/>
  <c r="G24" i="52" s="1"/>
  <c r="G428" i="43"/>
  <c r="G452" i="43" s="1"/>
  <c r="G18" i="52" s="1"/>
  <c r="G429" i="43"/>
  <c r="G453" i="43" s="1"/>
  <c r="G19" i="52" s="1"/>
  <c r="G411" i="43"/>
  <c r="G427" i="43"/>
  <c r="G451" i="43" s="1"/>
  <c r="G17" i="52" s="1"/>
  <c r="G409" i="43"/>
  <c r="G405" i="43"/>
  <c r="G404" i="43"/>
  <c r="G422" i="43"/>
  <c r="G446" i="43" s="1"/>
  <c r="G12" i="52" s="1"/>
  <c r="G426" i="43"/>
  <c r="G450" i="43" s="1"/>
  <c r="G16" i="52" s="1"/>
  <c r="G408" i="43"/>
  <c r="G424" i="43"/>
  <c r="G448" i="43" s="1"/>
  <c r="G14" i="52" s="1"/>
  <c r="G433" i="43"/>
  <c r="G457" i="43" s="1"/>
  <c r="G23" i="52" s="1"/>
  <c r="G430" i="43"/>
  <c r="G454" i="43" s="1"/>
  <c r="G20" i="52" s="1"/>
  <c r="G406" i="43"/>
  <c r="G419" i="43"/>
  <c r="G443" i="43" s="1"/>
  <c r="G9" i="52" s="1"/>
  <c r="G423" i="43"/>
  <c r="G447" i="43" s="1"/>
  <c r="G13" i="52" s="1"/>
  <c r="G421" i="43"/>
  <c r="G445" i="43" s="1"/>
  <c r="G11" i="52" s="1"/>
  <c r="G418" i="43"/>
  <c r="G442" i="43" s="1"/>
  <c r="G8" i="52" s="1"/>
  <c r="G415" i="43"/>
  <c r="G439" i="43" s="1"/>
  <c r="G5" i="52" s="1"/>
  <c r="G432" i="43"/>
  <c r="G456" i="43" s="1"/>
  <c r="G22" i="52" s="1"/>
  <c r="G407" i="43"/>
  <c r="G420" i="43"/>
  <c r="G444" i="43" s="1"/>
  <c r="G10" i="52" s="1"/>
  <c r="G425" i="43"/>
  <c r="G449" i="43" s="1"/>
  <c r="G15" i="52" s="1"/>
  <c r="G417" i="43"/>
  <c r="G441" i="43" s="1"/>
  <c r="G7" i="52" s="1"/>
  <c r="G414" i="43"/>
  <c r="G438" i="43" s="1"/>
  <c r="G4" i="52" s="1"/>
  <c r="G412" i="43"/>
  <c r="B405" i="43"/>
  <c r="B424" i="43"/>
  <c r="B448" i="43" s="1"/>
  <c r="B14" i="52" s="1"/>
  <c r="B425" i="43"/>
  <c r="B449" i="43" s="1"/>
  <c r="B15" i="52" s="1"/>
  <c r="B413" i="43"/>
  <c r="B414" i="43"/>
  <c r="B438" i="43" s="1"/>
  <c r="B4" i="52" s="1"/>
  <c r="B408" i="43"/>
  <c r="B431" i="43"/>
  <c r="B455" i="43" s="1"/>
  <c r="B21" i="52" s="1"/>
  <c r="B422" i="43"/>
  <c r="B446" i="43" s="1"/>
  <c r="B12" i="52" s="1"/>
  <c r="B415" i="43"/>
  <c r="B439" i="43" s="1"/>
  <c r="B5" i="52" s="1"/>
  <c r="B417" i="43"/>
  <c r="B441" i="43" s="1"/>
  <c r="B7" i="52" s="1"/>
  <c r="B409" i="43"/>
  <c r="B406" i="43"/>
  <c r="B429" i="43"/>
  <c r="B453" i="43" s="1"/>
  <c r="B19" i="52" s="1"/>
  <c r="B433" i="43"/>
  <c r="B457" i="43" s="1"/>
  <c r="B23" i="52" s="1"/>
  <c r="B411" i="43"/>
  <c r="B416" i="43"/>
  <c r="B440" i="43" s="1"/>
  <c r="B6" i="52" s="1"/>
  <c r="B432" i="43"/>
  <c r="B456" i="43" s="1"/>
  <c r="B22" i="52" s="1"/>
  <c r="B404" i="43"/>
  <c r="B428" i="43"/>
  <c r="B452" i="43" s="1"/>
  <c r="B18" i="52" s="1"/>
  <c r="B420" i="43"/>
  <c r="B444" i="43" s="1"/>
  <c r="B10" i="52" s="1"/>
  <c r="B421" i="43"/>
  <c r="B445" i="43" s="1"/>
  <c r="B11" i="52" s="1"/>
  <c r="B410" i="43"/>
  <c r="B407" i="43"/>
  <c r="B427" i="43"/>
  <c r="B451" i="43" s="1"/>
  <c r="B17" i="52" s="1"/>
  <c r="B426" i="43"/>
  <c r="B450" i="43" s="1"/>
  <c r="B16" i="52" s="1"/>
  <c r="B434" i="43"/>
  <c r="B458" i="43" s="1"/>
  <c r="B24" i="52" s="1"/>
  <c r="B430" i="43"/>
  <c r="B454" i="43" s="1"/>
  <c r="B20" i="52" s="1"/>
  <c r="B423" i="43"/>
  <c r="B447" i="43" s="1"/>
  <c r="B13" i="52" s="1"/>
  <c r="B418" i="43"/>
  <c r="B442" i="43" s="1"/>
  <c r="B8" i="52" s="1"/>
  <c r="B419" i="43"/>
  <c r="B443" i="43" s="1"/>
  <c r="B9" i="52" s="1"/>
  <c r="B412" i="43"/>
  <c r="F415" i="43"/>
  <c r="F439" i="43" s="1"/>
  <c r="F5" i="52" s="1"/>
  <c r="F410" i="43"/>
  <c r="F420" i="43"/>
  <c r="F444" i="43" s="1"/>
  <c r="F10" i="52" s="1"/>
  <c r="F431" i="43"/>
  <c r="F455" i="43" s="1"/>
  <c r="F21" i="52" s="1"/>
  <c r="F423" i="43"/>
  <c r="F447" i="43" s="1"/>
  <c r="F13" i="52" s="1"/>
  <c r="F424" i="43"/>
  <c r="F448" i="43" s="1"/>
  <c r="F14" i="52" s="1"/>
  <c r="F419" i="43"/>
  <c r="F443" i="43" s="1"/>
  <c r="F9" i="52" s="1"/>
  <c r="F430" i="43"/>
  <c r="F454" i="43" s="1"/>
  <c r="F20" i="52" s="1"/>
  <c r="F416" i="43"/>
  <c r="F440" i="43" s="1"/>
  <c r="F6" i="52" s="1"/>
  <c r="F404" i="43"/>
  <c r="F427" i="43"/>
  <c r="F451" i="43" s="1"/>
  <c r="F17" i="52" s="1"/>
  <c r="F434" i="43"/>
  <c r="F458" i="43" s="1"/>
  <c r="F24" i="52" s="1"/>
  <c r="F421" i="43"/>
  <c r="F445" i="43" s="1"/>
  <c r="F11" i="52" s="1"/>
  <c r="F425" i="43"/>
  <c r="F449" i="43" s="1"/>
  <c r="F15" i="52" s="1"/>
  <c r="F426" i="43"/>
  <c r="F450" i="43" s="1"/>
  <c r="F16" i="52" s="1"/>
  <c r="F412" i="43"/>
  <c r="F409" i="43"/>
  <c r="F407" i="43"/>
  <c r="F417" i="43"/>
  <c r="F441" i="43" s="1"/>
  <c r="F7" i="52" s="1"/>
  <c r="F414" i="43"/>
  <c r="F438" i="43" s="1"/>
  <c r="F4" i="52" s="1"/>
  <c r="F422" i="43"/>
  <c r="F446" i="43" s="1"/>
  <c r="F12" i="52" s="1"/>
  <c r="F411" i="43"/>
  <c r="F405" i="43"/>
  <c r="F408" i="43"/>
  <c r="F432" i="43"/>
  <c r="F456" i="43" s="1"/>
  <c r="F22" i="52" s="1"/>
  <c r="F418" i="43"/>
  <c r="F442" i="43" s="1"/>
  <c r="F8" i="52" s="1"/>
  <c r="F413" i="43"/>
  <c r="F428" i="43"/>
  <c r="F452" i="43" s="1"/>
  <c r="F18" i="52" s="1"/>
  <c r="F429" i="43"/>
  <c r="F453" i="43" s="1"/>
  <c r="F19" i="52" s="1"/>
  <c r="F406" i="43"/>
  <c r="F433" i="43"/>
  <c r="F457" i="43" s="1"/>
  <c r="F23" i="52" s="1"/>
  <c r="D405" i="43"/>
  <c r="D408" i="43"/>
  <c r="D413" i="43"/>
  <c r="D415" i="43"/>
  <c r="D439" i="43" s="1"/>
  <c r="D5" i="52" s="1"/>
  <c r="D424" i="43"/>
  <c r="D448" i="43" s="1"/>
  <c r="D14" i="52" s="1"/>
  <c r="D433" i="43"/>
  <c r="D457" i="43" s="1"/>
  <c r="D23" i="52" s="1"/>
  <c r="D406" i="43"/>
  <c r="D417" i="43"/>
  <c r="D441" i="43" s="1"/>
  <c r="D7" i="52" s="1"/>
  <c r="D419" i="43"/>
  <c r="D443" i="43" s="1"/>
  <c r="D9" i="52" s="1"/>
  <c r="D426" i="43"/>
  <c r="D450" i="43" s="1"/>
  <c r="D16" i="52" s="1"/>
  <c r="D430" i="43"/>
  <c r="D454" i="43" s="1"/>
  <c r="D20" i="52" s="1"/>
  <c r="D414" i="43"/>
  <c r="D438" i="43" s="1"/>
  <c r="D4" i="52" s="1"/>
  <c r="D427" i="43"/>
  <c r="D451" i="43" s="1"/>
  <c r="D17" i="52" s="1"/>
  <c r="D431" i="43"/>
  <c r="D455" i="43" s="1"/>
  <c r="D21" i="52" s="1"/>
  <c r="D411" i="43"/>
  <c r="D416" i="43"/>
  <c r="D440" i="43" s="1"/>
  <c r="D6" i="52" s="1"/>
  <c r="D423" i="43"/>
  <c r="D447" i="43" s="1"/>
  <c r="D13" i="52" s="1"/>
  <c r="D428" i="43"/>
  <c r="D452" i="43" s="1"/>
  <c r="D18" i="52" s="1"/>
  <c r="D404" i="43"/>
  <c r="D409" i="43"/>
  <c r="D421" i="43"/>
  <c r="D445" i="43" s="1"/>
  <c r="D11" i="52" s="1"/>
  <c r="D434" i="43"/>
  <c r="D458" i="43" s="1"/>
  <c r="D24" i="52" s="1"/>
  <c r="D407" i="43"/>
  <c r="D418" i="43"/>
  <c r="D442" i="43" s="1"/>
  <c r="D8" i="52" s="1"/>
  <c r="D425" i="43"/>
  <c r="D449" i="43" s="1"/>
  <c r="D15" i="52" s="1"/>
  <c r="D429" i="43"/>
  <c r="D453" i="43" s="1"/>
  <c r="D19" i="52" s="1"/>
  <c r="D432" i="43"/>
  <c r="D456" i="43" s="1"/>
  <c r="D22" i="52" s="1"/>
  <c r="D410" i="43"/>
  <c r="D412" i="43"/>
  <c r="D420" i="43"/>
  <c r="D444" i="43" s="1"/>
  <c r="D10" i="52" s="1"/>
  <c r="D422" i="43"/>
  <c r="D446" i="43" s="1"/>
  <c r="D12" i="52" s="1"/>
  <c r="E405" i="43"/>
  <c r="E410" i="43"/>
  <c r="E420" i="43"/>
  <c r="E444" i="43" s="1"/>
  <c r="E10" i="52" s="1"/>
  <c r="E422" i="43"/>
  <c r="E446" i="43" s="1"/>
  <c r="E12" i="52" s="1"/>
  <c r="E408" i="43"/>
  <c r="E413" i="43"/>
  <c r="E415" i="43"/>
  <c r="E439" i="43" s="1"/>
  <c r="E5" i="52" s="1"/>
  <c r="E424" i="43"/>
  <c r="E448" i="43" s="1"/>
  <c r="E14" i="52" s="1"/>
  <c r="E433" i="43"/>
  <c r="E457" i="43" s="1"/>
  <c r="E23" i="52" s="1"/>
  <c r="E406" i="43"/>
  <c r="E417" i="43"/>
  <c r="E441" i="43" s="1"/>
  <c r="E7" i="52" s="1"/>
  <c r="E419" i="43"/>
  <c r="E443" i="43" s="1"/>
  <c r="E9" i="52" s="1"/>
  <c r="E426" i="43"/>
  <c r="E450" i="43" s="1"/>
  <c r="E16" i="52" s="1"/>
  <c r="E430" i="43"/>
  <c r="E454" i="43" s="1"/>
  <c r="E20" i="52" s="1"/>
  <c r="E411" i="43"/>
  <c r="E416" i="43"/>
  <c r="E440" i="43" s="1"/>
  <c r="E6" i="52" s="1"/>
  <c r="E423" i="43"/>
  <c r="E447" i="43" s="1"/>
  <c r="E13" i="52" s="1"/>
  <c r="E404" i="43"/>
  <c r="E434" i="43"/>
  <c r="E458" i="43" s="1"/>
  <c r="E24" i="52" s="1"/>
  <c r="E431" i="43"/>
  <c r="E455" i="43" s="1"/>
  <c r="E21" i="52" s="1"/>
  <c r="E418" i="43"/>
  <c r="E442" i="43" s="1"/>
  <c r="E8" i="52" s="1"/>
  <c r="E425" i="43"/>
  <c r="E449" i="43" s="1"/>
  <c r="E15" i="52" s="1"/>
  <c r="E427" i="43"/>
  <c r="E451" i="43" s="1"/>
  <c r="E17" i="52" s="1"/>
  <c r="E429" i="43"/>
  <c r="E453" i="43" s="1"/>
  <c r="E19" i="52" s="1"/>
  <c r="E414" i="43"/>
  <c r="E438" i="43" s="1"/>
  <c r="E4" i="52" s="1"/>
  <c r="E421" i="43"/>
  <c r="E445" i="43" s="1"/>
  <c r="E11" i="52" s="1"/>
  <c r="E409" i="43"/>
  <c r="E428" i="43"/>
  <c r="E452" i="43" s="1"/>
  <c r="E18" i="52" s="1"/>
  <c r="E432" i="43"/>
  <c r="E456" i="43" s="1"/>
  <c r="E22" i="52" s="1"/>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F87" i="52" l="1"/>
  <c r="F90" i="52"/>
  <c r="F89" i="52"/>
  <c r="F86" i="52"/>
  <c r="F82" i="52"/>
  <c r="F93" i="52"/>
  <c r="F97" i="52"/>
  <c r="F96" i="52"/>
  <c r="F91" i="52"/>
  <c r="F88" i="52"/>
  <c r="F98" i="52"/>
  <c r="F100" i="52"/>
  <c r="F99" i="52"/>
  <c r="F94" i="52"/>
  <c r="F92" i="52"/>
  <c r="F95" i="52"/>
  <c r="F74" i="52"/>
  <c r="F73" i="52"/>
  <c r="F101" i="52"/>
  <c r="F72" i="52"/>
  <c r="F76" i="52"/>
  <c r="F79" i="52"/>
  <c r="F78" i="52"/>
  <c r="F77" i="52"/>
  <c r="F75" i="52"/>
  <c r="F102" i="52"/>
  <c r="F83" i="52"/>
  <c r="F85" i="52"/>
  <c r="F84" i="52"/>
  <c r="F81" i="52"/>
  <c r="F80" i="52"/>
  <c r="D76" i="52"/>
  <c r="D82" i="52"/>
  <c r="D88" i="52"/>
  <c r="D94" i="52"/>
  <c r="D100" i="52"/>
  <c r="D77" i="52"/>
  <c r="D83" i="52"/>
  <c r="D89" i="52"/>
  <c r="D95" i="52"/>
  <c r="D101" i="52"/>
  <c r="D72" i="52"/>
  <c r="D78" i="52"/>
  <c r="D84" i="52"/>
  <c r="D90" i="52"/>
  <c r="D96" i="52"/>
  <c r="D102" i="52"/>
  <c r="D73" i="52"/>
  <c r="D79" i="52"/>
  <c r="D85" i="52"/>
  <c r="D91" i="52"/>
  <c r="D97" i="52"/>
  <c r="D74" i="52"/>
  <c r="D80" i="52"/>
  <c r="D86" i="52"/>
  <c r="D92" i="52"/>
  <c r="D98" i="52"/>
  <c r="D75" i="52"/>
  <c r="D81" i="52"/>
  <c r="D87" i="52"/>
  <c r="D93" i="52"/>
  <c r="D99" i="52"/>
  <c r="H73" i="52"/>
  <c r="H79" i="52"/>
  <c r="H85" i="52"/>
  <c r="H91" i="52"/>
  <c r="H97" i="52"/>
  <c r="H74" i="52"/>
  <c r="H80" i="52"/>
  <c r="H86" i="52"/>
  <c r="H92" i="52"/>
  <c r="H98" i="52"/>
  <c r="H75" i="52"/>
  <c r="H81" i="52"/>
  <c r="H87" i="52"/>
  <c r="H93" i="52"/>
  <c r="H99" i="52"/>
  <c r="H76" i="52"/>
  <c r="H88" i="52"/>
  <c r="H100" i="52"/>
  <c r="H82" i="52"/>
  <c r="H94" i="52"/>
  <c r="H77" i="52"/>
  <c r="H83" i="52"/>
  <c r="H89" i="52"/>
  <c r="H95" i="52"/>
  <c r="H101" i="52"/>
  <c r="H72" i="52"/>
  <c r="H78" i="52"/>
  <c r="H84" i="52"/>
  <c r="H90" i="52"/>
  <c r="H96" i="52"/>
  <c r="H102" i="52"/>
  <c r="B96" i="52"/>
  <c r="B90" i="52"/>
  <c r="B74" i="52"/>
  <c r="B100" i="52"/>
  <c r="B101" i="52"/>
  <c r="B85" i="52"/>
  <c r="B86" i="52"/>
  <c r="B77" i="52"/>
  <c r="B80" i="52"/>
  <c r="B75" i="52"/>
  <c r="B76" i="52"/>
  <c r="B82" i="52"/>
  <c r="B91" i="52"/>
  <c r="B92" i="52"/>
  <c r="B81" i="52"/>
  <c r="B102" i="52"/>
  <c r="B84" i="52"/>
  <c r="B97" i="52"/>
  <c r="B87" i="52"/>
  <c r="B98" i="52"/>
  <c r="B83" i="52"/>
  <c r="B72" i="52"/>
  <c r="B73" i="52"/>
  <c r="B93" i="52"/>
  <c r="B88" i="52"/>
  <c r="B89" i="52"/>
  <c r="B78" i="52"/>
  <c r="B79" i="52"/>
  <c r="B99" i="52"/>
  <c r="B94" i="52"/>
  <c r="B95" i="52"/>
  <c r="G72" i="52"/>
  <c r="G78" i="52"/>
  <c r="G84" i="52"/>
  <c r="G90" i="52"/>
  <c r="G96" i="52"/>
  <c r="G102" i="52"/>
  <c r="G73" i="52"/>
  <c r="G79" i="52"/>
  <c r="G85" i="52"/>
  <c r="G91" i="52"/>
  <c r="G97" i="52"/>
  <c r="G74" i="52"/>
  <c r="G80" i="52"/>
  <c r="G86" i="52"/>
  <c r="G92" i="52"/>
  <c r="G98" i="52"/>
  <c r="G81" i="52"/>
  <c r="G93" i="52"/>
  <c r="G75" i="52"/>
  <c r="G87" i="52"/>
  <c r="G99" i="52"/>
  <c r="G76" i="52"/>
  <c r="G82" i="52"/>
  <c r="G88" i="52"/>
  <c r="G94" i="52"/>
  <c r="G100" i="52"/>
  <c r="G77" i="52"/>
  <c r="G83" i="52"/>
  <c r="G89" i="52"/>
  <c r="G95" i="52"/>
  <c r="G101" i="52"/>
  <c r="C75" i="52"/>
  <c r="C81" i="52"/>
  <c r="C87" i="52"/>
  <c r="C93" i="52"/>
  <c r="C99" i="52"/>
  <c r="C76" i="52"/>
  <c r="C82" i="52"/>
  <c r="C88" i="52"/>
  <c r="C94" i="52"/>
  <c r="C100" i="52"/>
  <c r="C77" i="52"/>
  <c r="C83" i="52"/>
  <c r="C89" i="52"/>
  <c r="C95" i="52"/>
  <c r="C101" i="52"/>
  <c r="C102" i="52"/>
  <c r="C72" i="52"/>
  <c r="C78" i="52"/>
  <c r="C84" i="52"/>
  <c r="C90" i="52"/>
  <c r="C96" i="52"/>
  <c r="C73" i="52"/>
  <c r="C79" i="52"/>
  <c r="C85" i="52"/>
  <c r="C91" i="52"/>
  <c r="C97" i="52"/>
  <c r="C74" i="52"/>
  <c r="C80" i="52"/>
  <c r="C86" i="52"/>
  <c r="C92" i="52"/>
  <c r="C98" i="52"/>
  <c r="E77" i="52"/>
  <c r="E83" i="52"/>
  <c r="E89" i="52"/>
  <c r="E95" i="52"/>
  <c r="E101" i="52"/>
  <c r="E72" i="52"/>
  <c r="E78" i="52"/>
  <c r="E84" i="52"/>
  <c r="E90" i="52"/>
  <c r="E96" i="52"/>
  <c r="E102" i="52"/>
  <c r="E73" i="52"/>
  <c r="E79" i="52"/>
  <c r="E85" i="52"/>
  <c r="E91" i="52"/>
  <c r="E97" i="52"/>
  <c r="E74" i="52"/>
  <c r="E80" i="52"/>
  <c r="E86" i="52"/>
  <c r="E92" i="52"/>
  <c r="E98" i="52"/>
  <c r="E75" i="52"/>
  <c r="E81" i="52"/>
  <c r="E87" i="52"/>
  <c r="E93" i="52"/>
  <c r="E99" i="52"/>
  <c r="E76" i="52"/>
  <c r="E82" i="52"/>
  <c r="E88" i="52"/>
  <c r="E94" i="52"/>
  <c r="E100" i="52"/>
  <c r="H217" i="44" a="1"/>
  <c r="A8" i="43"/>
  <c r="M14" i="43"/>
  <c r="J78" i="52" l="1"/>
  <c r="L109" i="52" s="1"/>
  <c r="L148" i="52" s="1"/>
  <c r="J83" i="52"/>
  <c r="Q109" i="52" s="1"/>
  <c r="Q148" i="52" s="1"/>
  <c r="J81" i="52"/>
  <c r="O109" i="52" s="1"/>
  <c r="O142" i="52" s="1"/>
  <c r="O143" i="52" s="1"/>
  <c r="J74" i="52"/>
  <c r="H109" i="52" s="1"/>
  <c r="H148" i="52" s="1"/>
  <c r="J89" i="52"/>
  <c r="W109" i="52" s="1"/>
  <c r="J98" i="52"/>
  <c r="AF109" i="52" s="1"/>
  <c r="J92" i="52"/>
  <c r="Z109" i="52" s="1"/>
  <c r="J77" i="52"/>
  <c r="K109" i="52" s="1"/>
  <c r="J90" i="52"/>
  <c r="X109" i="52" s="1"/>
  <c r="J95" i="52"/>
  <c r="AC109" i="52" s="1"/>
  <c r="J88" i="52"/>
  <c r="V109" i="52" s="1"/>
  <c r="J87" i="52"/>
  <c r="U109" i="52" s="1"/>
  <c r="J91" i="52"/>
  <c r="Y109" i="52" s="1"/>
  <c r="J86" i="52"/>
  <c r="T109" i="52" s="1"/>
  <c r="J96" i="52"/>
  <c r="AD109" i="52" s="1"/>
  <c r="J94" i="52"/>
  <c r="AB109" i="52" s="1"/>
  <c r="J93" i="52"/>
  <c r="AA109" i="52" s="1"/>
  <c r="J97" i="52"/>
  <c r="AE109" i="52" s="1"/>
  <c r="J82" i="52"/>
  <c r="P109" i="52" s="1"/>
  <c r="J85" i="52"/>
  <c r="S109" i="52" s="1"/>
  <c r="J80" i="52"/>
  <c r="N109" i="52" s="1"/>
  <c r="J99" i="52"/>
  <c r="AG109" i="52" s="1"/>
  <c r="J73" i="52"/>
  <c r="G109" i="52" s="1"/>
  <c r="J84" i="52"/>
  <c r="R109" i="52" s="1"/>
  <c r="J76" i="52"/>
  <c r="J109" i="52" s="1"/>
  <c r="J101" i="52"/>
  <c r="AI109" i="52" s="1"/>
  <c r="J79" i="52"/>
  <c r="M109" i="52" s="1"/>
  <c r="J72" i="52"/>
  <c r="F109" i="52" s="1"/>
  <c r="J75" i="52"/>
  <c r="I109" i="52" s="1"/>
  <c r="J100" i="52"/>
  <c r="AH109" i="52" s="1"/>
  <c r="H217" i="44"/>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L142" i="52" l="1"/>
  <c r="L143" i="52" s="1"/>
  <c r="L144" i="52"/>
  <c r="J102" i="52"/>
  <c r="AJ109" i="52" s="1"/>
  <c r="AJ148" i="52" s="1"/>
  <c r="Q144" i="52"/>
  <c r="H144" i="52"/>
  <c r="O144" i="52"/>
  <c r="H142" i="52"/>
  <c r="H143" i="52" s="1"/>
  <c r="O148" i="52"/>
  <c r="Q142" i="52"/>
  <c r="Q143" i="52" s="1"/>
  <c r="AG148" i="52"/>
  <c r="AG142" i="52"/>
  <c r="AG143" i="52" s="1"/>
  <c r="AG144" i="52"/>
  <c r="P148" i="52"/>
  <c r="P142" i="52"/>
  <c r="P143" i="52" s="1"/>
  <c r="P144" i="52"/>
  <c r="AC148" i="52"/>
  <c r="AC142" i="52"/>
  <c r="AC143" i="52" s="1"/>
  <c r="AC144" i="52"/>
  <c r="Z148" i="52"/>
  <c r="Z142" i="52"/>
  <c r="Z143" i="52" s="1"/>
  <c r="Z144" i="52"/>
  <c r="N148" i="52"/>
  <c r="N144" i="52"/>
  <c r="N142" i="52"/>
  <c r="N143" i="52" s="1"/>
  <c r="AD148" i="52"/>
  <c r="AD144" i="52"/>
  <c r="AD142" i="52"/>
  <c r="AD143" i="52" s="1"/>
  <c r="AF148" i="52"/>
  <c r="AF142" i="52"/>
  <c r="AF143" i="52" s="1"/>
  <c r="AF144" i="52"/>
  <c r="AE148" i="52"/>
  <c r="AE142" i="52"/>
  <c r="AE143" i="52" s="1"/>
  <c r="AE144" i="52"/>
  <c r="AI148" i="52"/>
  <c r="AI144" i="52"/>
  <c r="AI142" i="52"/>
  <c r="AI143" i="52" s="1"/>
  <c r="AA148" i="52"/>
  <c r="AA142" i="52"/>
  <c r="AA143" i="52" s="1"/>
  <c r="AA144" i="52"/>
  <c r="T148" i="52"/>
  <c r="T142" i="52"/>
  <c r="T143" i="52" s="1"/>
  <c r="T144" i="52"/>
  <c r="W148" i="52"/>
  <c r="W144" i="52"/>
  <c r="W142" i="52"/>
  <c r="W143" i="52" s="1"/>
  <c r="M148" i="52"/>
  <c r="M144" i="52"/>
  <c r="M142" i="52"/>
  <c r="M143" i="52" s="1"/>
  <c r="AH148" i="52"/>
  <c r="AH142" i="52"/>
  <c r="AH143" i="52" s="1"/>
  <c r="AH144" i="52"/>
  <c r="J148" i="52"/>
  <c r="J144" i="52"/>
  <c r="J142" i="52"/>
  <c r="J143" i="52" s="1"/>
  <c r="AB148" i="52"/>
  <c r="AB144" i="52"/>
  <c r="AB142" i="52"/>
  <c r="AB143" i="52" s="1"/>
  <c r="Y148" i="52"/>
  <c r="Y142" i="52"/>
  <c r="Y143" i="52" s="1"/>
  <c r="Y144" i="52"/>
  <c r="I148" i="52"/>
  <c r="I142" i="52"/>
  <c r="I143" i="52" s="1"/>
  <c r="I144" i="52"/>
  <c r="R148" i="52"/>
  <c r="R144" i="52"/>
  <c r="R142" i="52"/>
  <c r="R143" i="52" s="1"/>
  <c r="U148" i="52"/>
  <c r="U142" i="52"/>
  <c r="U143" i="52" s="1"/>
  <c r="U144" i="52"/>
  <c r="X144" i="52"/>
  <c r="X148" i="52"/>
  <c r="X142" i="52"/>
  <c r="X143" i="52" s="1"/>
  <c r="F142" i="52"/>
  <c r="F143" i="52" s="1"/>
  <c r="F148" i="52"/>
  <c r="F144" i="52"/>
  <c r="G148" i="52"/>
  <c r="G142" i="52"/>
  <c r="G143" i="52" s="1"/>
  <c r="G144" i="52"/>
  <c r="S148" i="52"/>
  <c r="S142" i="52"/>
  <c r="S143" i="52" s="1"/>
  <c r="S144" i="52"/>
  <c r="V148" i="52"/>
  <c r="V142" i="52"/>
  <c r="V143" i="52" s="1"/>
  <c r="V144" i="52"/>
  <c r="K148" i="52"/>
  <c r="K144" i="52"/>
  <c r="K142" i="52"/>
  <c r="K143" i="52" s="1"/>
  <c r="F224" i="44"/>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J142" i="52" l="1"/>
  <c r="AJ143" i="52" s="1"/>
  <c r="AJ144" i="52"/>
  <c r="K146" i="52" s="1"/>
  <c r="F149" i="52"/>
  <c r="F150" i="52"/>
  <c r="A12" i="43"/>
  <c r="P14" i="43"/>
  <c r="G146" i="52" l="1"/>
  <c r="I146" i="52" s="1"/>
  <c r="A13" i="43"/>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<sst xmlns="http://schemas.openxmlformats.org/spreadsheetml/2006/main" count="326" uniqueCount="166">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</sst>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-5.5892037142857146E-4</c:v>
                </c:pt>
                <c:pt idx="1">
                  <c:v>-5.5890980000000007E-4</c:v>
                </c:pt>
                <c:pt idx="2">
                  <c:v>-5.5891268571428576E-4</c:v>
                </c:pt>
                <c:pt idx="3">
                  <c:v>-5.5891354285714288E-4</c:v>
                </c:pt>
                <c:pt idx="4">
                  <c:v>-5.5891380000000002E-4</c:v>
                </c:pt>
                <c:pt idx="5">
                  <c:v>-5.5891388571428573E-4</c:v>
                </c:pt>
                <c:pt idx="6">
                  <c:v>-5.5891391428571438E-4</c:v>
                </c:pt>
                <c:pt idx="7">
                  <c:v>-5.5891391428571438E-4</c:v>
                </c:pt>
                <c:pt idx="8">
                  <c:v>-5.5891391428571438E-4</c:v>
                </c:pt>
                <c:pt idx="9">
                  <c:v>-5.5891391428571438E-4</c:v>
                </c:pt>
                <c:pt idx="10">
                  <c:v>-5.5891391428571438E-4</c:v>
                </c:pt>
                <c:pt idx="11">
                  <c:v>-5.5891394285714291E-4</c:v>
                </c:pt>
                <c:pt idx="12">
                  <c:v>-5.5891397142857145E-4</c:v>
                </c:pt>
                <c:pt idx="13">
                  <c:v>-5.5891448571428572E-4</c:v>
                </c:pt>
                <c:pt idx="14">
                  <c:v>-5.5891965714285712E-4</c:v>
                </c:pt>
                <c:pt idx="15">
                  <c:v>-5.5897102857142866E-4</c:v>
                </c:pt>
                <c:pt idx="16">
                  <c:v>-5.5947377142857152E-4</c:v>
                </c:pt>
                <c:pt idx="17">
                  <c:v>-5.6355397142857143E-4</c:v>
                </c:pt>
                <c:pt idx="18">
                  <c:v>-5.7474800000000003E-4</c:v>
                </c:pt>
                <c:pt idx="19">
                  <c:v>-5.8737985714285719E-4</c:v>
                </c:pt>
                <c:pt idx="20">
                  <c:v>-6.0804631428571431E-4</c:v>
                </c:pt>
                <c:pt idx="21">
                  <c:v>-6.5085985714285718E-4</c:v>
                </c:pt>
                <c:pt idx="22">
                  <c:v>-7.1475934285714299E-4</c:v>
                </c:pt>
                <c:pt idx="23">
                  <c:v>-7.9079345714285724E-4</c:v>
                </c:pt>
                <c:pt idx="24">
                  <c:v>-8.6991351428571432E-4</c:v>
                </c:pt>
                <c:pt idx="25">
                  <c:v>-9.4754371428571436E-4</c:v>
                </c:pt>
                <c:pt idx="26">
                  <c:v>-1.0310119428571429E-3</c:v>
                </c:pt>
                <c:pt idx="27">
                  <c:v>-1.1241460285714286E-3</c:v>
                </c:pt>
                <c:pt idx="28">
                  <c:v>-1.2562818285714286E-3</c:v>
                </c:pt>
                <c:pt idx="29">
                  <c:v>-1.4614530285714286E-3</c:v>
                </c:pt>
                <c:pt idx="30">
                  <c:v>-1.802786285714286E-3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-5.6168965714285715E-4</c:v>
                </c:pt>
                <c:pt idx="1">
                  <c:v>-5.6167891428571433E-4</c:v>
                </c:pt>
                <c:pt idx="2">
                  <c:v>-5.6168177142857149E-4</c:v>
                </c:pt>
                <c:pt idx="3">
                  <c:v>-5.6168260000000008E-4</c:v>
                </c:pt>
                <c:pt idx="4">
                  <c:v>-5.6168285714285721E-4</c:v>
                </c:pt>
                <c:pt idx="5">
                  <c:v>-5.6168294285714293E-4</c:v>
                </c:pt>
                <c:pt idx="6">
                  <c:v>-5.6168297142857146E-4</c:v>
                </c:pt>
                <c:pt idx="7">
                  <c:v>-5.6168297142857146E-4</c:v>
                </c:pt>
                <c:pt idx="8">
                  <c:v>-5.61683E-4</c:v>
                </c:pt>
                <c:pt idx="9">
                  <c:v>-5.61683E-4</c:v>
                </c:pt>
                <c:pt idx="10">
                  <c:v>-5.61683E-4</c:v>
                </c:pt>
                <c:pt idx="11">
                  <c:v>-5.6168320000000006E-4</c:v>
                </c:pt>
                <c:pt idx="12">
                  <c:v>-5.6168508571428574E-4</c:v>
                </c:pt>
                <c:pt idx="13">
                  <c:v>-5.617039142857144E-4</c:v>
                </c:pt>
                <c:pt idx="14">
                  <c:v>-5.6189088571428577E-4</c:v>
                </c:pt>
                <c:pt idx="15">
                  <c:v>-5.6361988571428567E-4</c:v>
                </c:pt>
                <c:pt idx="16">
                  <c:v>-5.7295888571428581E-4</c:v>
                </c:pt>
                <c:pt idx="17">
                  <c:v>-5.846362000000001E-4</c:v>
                </c:pt>
                <c:pt idx="18">
                  <c:v>-6.0134048571428575E-4</c:v>
                </c:pt>
                <c:pt idx="19">
                  <c:v>-6.3636051428571437E-4</c:v>
                </c:pt>
                <c:pt idx="20">
                  <c:v>-6.9439380000000002E-4</c:v>
                </c:pt>
                <c:pt idx="21">
                  <c:v>-7.6528542857142866E-4</c:v>
                </c:pt>
                <c:pt idx="22">
                  <c:v>-8.4155414285714278E-4</c:v>
                </c:pt>
                <c:pt idx="23">
                  <c:v>-9.1760622857142856E-4</c:v>
                </c:pt>
                <c:pt idx="24">
                  <c:v>-9.9569642857142869E-4</c:v>
                </c:pt>
                <c:pt idx="25">
                  <c:v>-1.0819888857142856E-3</c:v>
                </c:pt>
                <c:pt idx="26">
                  <c:v>-1.1905131142857144E-3</c:v>
                </c:pt>
                <c:pt idx="27">
                  <c:v>-1.357037342857143E-3</c:v>
                </c:pt>
                <c:pt idx="28">
                  <c:v>-1.6271212571428572E-3</c:v>
                </c:pt>
                <c:pt idx="29">
                  <c:v>-2.1151075142857145E-3</c:v>
                </c:pt>
                <c:pt idx="30">
                  <c:v>-3.1498225714285716E-3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-5.6348934285714288E-4</c:v>
                </c:pt>
                <c:pt idx="1">
                  <c:v>-5.6347848571428581E-4</c:v>
                </c:pt>
                <c:pt idx="2">
                  <c:v>-5.6348131428571432E-4</c:v>
                </c:pt>
                <c:pt idx="3">
                  <c:v>-5.6348214285714291E-4</c:v>
                </c:pt>
                <c:pt idx="4">
                  <c:v>-5.6348240000000005E-4</c:v>
                </c:pt>
                <c:pt idx="5">
                  <c:v>-5.6348248571428576E-4</c:v>
                </c:pt>
                <c:pt idx="6">
                  <c:v>-5.634825142857143E-4</c:v>
                </c:pt>
                <c:pt idx="7">
                  <c:v>-5.634825142857143E-4</c:v>
                </c:pt>
                <c:pt idx="8">
                  <c:v>-5.6348254285714294E-4</c:v>
                </c:pt>
                <c:pt idx="9">
                  <c:v>-5.6348271428571437E-4</c:v>
                </c:pt>
                <c:pt idx="10">
                  <c:v>-5.6348448571428569E-4</c:v>
                </c:pt>
                <c:pt idx="11">
                  <c:v>-5.6350217142857144E-4</c:v>
                </c:pt>
                <c:pt idx="12">
                  <c:v>-5.6367762857142858E-4</c:v>
                </c:pt>
                <c:pt idx="13">
                  <c:v>-5.6530822857142854E-4</c:v>
                </c:pt>
                <c:pt idx="14">
                  <c:v>-5.7441494285714293E-4</c:v>
                </c:pt>
                <c:pt idx="15">
                  <c:v>-5.8573588571428576E-4</c:v>
                </c:pt>
                <c:pt idx="16">
                  <c:v>-5.9907651428571431E-4</c:v>
                </c:pt>
                <c:pt idx="17">
                  <c:v>-6.1825137142857149E-4</c:v>
                </c:pt>
                <c:pt idx="18">
                  <c:v>-6.5297140000000005E-4</c:v>
                </c:pt>
                <c:pt idx="19">
                  <c:v>-7.1575365714285713E-4</c:v>
                </c:pt>
                <c:pt idx="20">
                  <c:v>-7.9640562857142866E-4</c:v>
                </c:pt>
                <c:pt idx="21">
                  <c:v>-8.8083740000000001E-4</c:v>
                </c:pt>
                <c:pt idx="22">
                  <c:v>-9.6669668571428577E-4</c:v>
                </c:pt>
                <c:pt idx="23">
                  <c:v>-1.0590879428571428E-3</c:v>
                </c:pt>
                <c:pt idx="24">
                  <c:v>-1.1709494857142858E-3</c:v>
                </c:pt>
                <c:pt idx="25">
                  <c:v>-1.338241142857143E-3</c:v>
                </c:pt>
                <c:pt idx="26">
                  <c:v>-1.6058572285714287E-3</c:v>
                </c:pt>
                <c:pt idx="27">
                  <c:v>-2.0846555428571428E-3</c:v>
                </c:pt>
                <c:pt idx="28">
                  <c:v>-3.0967014285714287E-3</c:v>
                </c:pt>
                <c:pt idx="29">
                  <c:v>-5.1020828571428575E-3</c:v>
                </c:pt>
                <c:pt idx="30">
                  <c:v>-8.8143111428571428E-3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-5.6534522857142858E-4</c:v>
                </c:pt>
                <c:pt idx="1">
                  <c:v>-5.6533422857142862E-4</c:v>
                </c:pt>
                <c:pt idx="2">
                  <c:v>-5.6533705714285724E-4</c:v>
                </c:pt>
                <c:pt idx="3">
                  <c:v>-5.6533788571428573E-4</c:v>
                </c:pt>
                <c:pt idx="4">
                  <c:v>-5.6533814285714286E-4</c:v>
                </c:pt>
                <c:pt idx="5">
                  <c:v>-5.6533822857142858E-4</c:v>
                </c:pt>
                <c:pt idx="6">
                  <c:v>-5.6533842857142854E-4</c:v>
                </c:pt>
                <c:pt idx="7">
                  <c:v>-5.6534002857142865E-4</c:v>
                </c:pt>
                <c:pt idx="8">
                  <c:v>-5.6535597142857151E-4</c:v>
                </c:pt>
                <c:pt idx="9">
                  <c:v>-5.6551417142857146E-4</c:v>
                </c:pt>
                <c:pt idx="10">
                  <c:v>-5.6699531428571425E-4</c:v>
                </c:pt>
                <c:pt idx="11">
                  <c:v>-5.7573442857142862E-4</c:v>
                </c:pt>
                <c:pt idx="12">
                  <c:v>-5.8701614285714288E-4</c:v>
                </c:pt>
                <c:pt idx="13">
                  <c:v>-5.9998348571428575E-4</c:v>
                </c:pt>
                <c:pt idx="14">
                  <c:v>-6.1619954285714292E-4</c:v>
                </c:pt>
                <c:pt idx="15">
                  <c:v>-6.345624E-4</c:v>
                </c:pt>
                <c:pt idx="16">
                  <c:v>-6.5908922857142857E-4</c:v>
                </c:pt>
                <c:pt idx="17">
                  <c:v>-7.0183665714285723E-4</c:v>
                </c:pt>
                <c:pt idx="18">
                  <c:v>-7.7553539999999997E-4</c:v>
                </c:pt>
                <c:pt idx="19">
                  <c:v>-8.7162931428571438E-4</c:v>
                </c:pt>
                <c:pt idx="20">
                  <c:v>-9.803556571428573E-4</c:v>
                </c:pt>
                <c:pt idx="21">
                  <c:v>-1.1055107142857144E-3</c:v>
                </c:pt>
                <c:pt idx="22">
                  <c:v>-1.2797674857142859E-3</c:v>
                </c:pt>
                <c:pt idx="23">
                  <c:v>-1.5468386571428571E-3</c:v>
                </c:pt>
                <c:pt idx="24">
                  <c:v>-2.0103361428571429E-3</c:v>
                </c:pt>
                <c:pt idx="25">
                  <c:v>-2.9789217142857146E-3</c:v>
                </c:pt>
                <c:pt idx="26">
                  <c:v>-4.8967757142857147E-3</c:v>
                </c:pt>
                <c:pt idx="27">
                  <c:v>-8.4642999999999993E-3</c:v>
                </c:pt>
                <c:pt idx="28">
                  <c:v>-1.4895274571428573E-2</c:v>
                </c:pt>
                <c:pt idx="29">
                  <c:v>-2.1472374571428574E-2</c:v>
                </c:pt>
                <c:pt idx="30">
                  <c:v>-2.4615299714285718E-2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-5.6765062857142858E-4</c:v>
                </c:pt>
                <c:pt idx="1">
                  <c:v>-5.6763991428571429E-4</c:v>
                </c:pt>
                <c:pt idx="2">
                  <c:v>-5.6764697142857147E-4</c:v>
                </c:pt>
                <c:pt idx="3">
                  <c:v>-5.6769022857142864E-4</c:v>
                </c:pt>
                <c:pt idx="4">
                  <c:v>-5.6810754285714291E-4</c:v>
                </c:pt>
                <c:pt idx="5">
                  <c:v>-5.7162008571428572E-4</c:v>
                </c:pt>
                <c:pt idx="6">
                  <c:v>-5.8276582857142865E-4</c:v>
                </c:pt>
                <c:pt idx="7">
                  <c:v>-5.9470314285714281E-4</c:v>
                </c:pt>
                <c:pt idx="8">
                  <c:v>-6.0905660000000006E-4</c:v>
                </c:pt>
                <c:pt idx="9">
                  <c:v>-6.2686451428571436E-4</c:v>
                </c:pt>
                <c:pt idx="10">
                  <c:v>-6.4622380000000008E-4</c:v>
                </c:pt>
                <c:pt idx="11">
                  <c:v>-6.724639142857144E-4</c:v>
                </c:pt>
                <c:pt idx="12">
                  <c:v>-7.0394182857142862E-4</c:v>
                </c:pt>
                <c:pt idx="13">
                  <c:v>-7.3808877142857144E-4</c:v>
                </c:pt>
                <c:pt idx="14">
                  <c:v>-7.7937257142857153E-4</c:v>
                </c:pt>
                <c:pt idx="15">
                  <c:v>-8.3077111428571425E-4</c:v>
                </c:pt>
                <c:pt idx="16">
                  <c:v>-9.2215834285714292E-4</c:v>
                </c:pt>
                <c:pt idx="17">
                  <c:v>-1.1030462571428572E-3</c:v>
                </c:pt>
                <c:pt idx="18">
                  <c:v>-1.4169130571428574E-3</c:v>
                </c:pt>
                <c:pt idx="19">
                  <c:v>-1.989220685714286E-3</c:v>
                </c:pt>
                <c:pt idx="20">
                  <c:v>-3.1422751428571431E-3</c:v>
                </c:pt>
                <c:pt idx="21">
                  <c:v>-5.4349865714285722E-3</c:v>
                </c:pt>
                <c:pt idx="22">
                  <c:v>-9.7543965714285731E-3</c:v>
                </c:pt>
                <c:pt idx="23">
                  <c:v>-1.6865644857142859E-2</c:v>
                </c:pt>
                <c:pt idx="24">
                  <c:v>-2.2093246E-2</c:v>
                </c:pt>
                <c:pt idx="25">
                  <c:v>-2.4779278857142862E-2</c:v>
                </c:pt>
                <c:pt idx="26">
                  <c:v>-2.6766490571428572E-2</c:v>
                </c:pt>
                <c:pt idx="27">
                  <c:v>-2.6868412571428572E-2</c:v>
                </c:pt>
                <c:pt idx="28">
                  <c:v>-2.7191233999999998E-2</c:v>
                </c:pt>
                <c:pt idx="29">
                  <c:v>-2.7195999142857145E-2</c:v>
                </c:pt>
                <c:pt idx="30">
                  <c:v>-2.7336072000000003E-2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-6.1840197142857146E-4</c:v>
                </c:pt>
                <c:pt idx="1">
                  <c:v>-6.4192477142857151E-4</c:v>
                </c:pt>
                <c:pt idx="2">
                  <c:v>-6.6578565714285718E-4</c:v>
                </c:pt>
                <c:pt idx="3">
                  <c:v>-6.9553491428571434E-4</c:v>
                </c:pt>
                <c:pt idx="4">
                  <c:v>-7.2880822857142866E-4</c:v>
                </c:pt>
                <c:pt idx="5">
                  <c:v>-7.6696551428571426E-4</c:v>
                </c:pt>
                <c:pt idx="6">
                  <c:v>-8.1310145714285709E-4</c:v>
                </c:pt>
                <c:pt idx="7">
                  <c:v>-8.7520179999999999E-4</c:v>
                </c:pt>
                <c:pt idx="8">
                  <c:v>-9.7467042857142863E-4</c:v>
                </c:pt>
                <c:pt idx="9">
                  <c:v>-1.1375140571428571E-3</c:v>
                </c:pt>
                <c:pt idx="10">
                  <c:v>-1.4322549714285717E-3</c:v>
                </c:pt>
                <c:pt idx="11">
                  <c:v>-2.0606296285714289E-3</c:v>
                </c:pt>
                <c:pt idx="12">
                  <c:v>-3.3242445714285712E-3</c:v>
                </c:pt>
                <c:pt idx="13">
                  <c:v>-5.6982420000000001E-3</c:v>
                </c:pt>
                <c:pt idx="14">
                  <c:v>-1.0000507142857143E-2</c:v>
                </c:pt>
                <c:pt idx="15">
                  <c:v>-1.4185493714285716E-2</c:v>
                </c:pt>
                <c:pt idx="16">
                  <c:v>-1.6304024571428571E-2</c:v>
                </c:pt>
                <c:pt idx="17">
                  <c:v>-1.8261522000000002E-2</c:v>
                </c:pt>
                <c:pt idx="18">
                  <c:v>-1.960208028571429E-2</c:v>
                </c:pt>
                <c:pt idx="19">
                  <c:v>-2.1330320857142857E-2</c:v>
                </c:pt>
                <c:pt idx="20">
                  <c:v>-2.3068337428571433E-2</c:v>
                </c:pt>
                <c:pt idx="21">
                  <c:v>-2.4452565714285716E-2</c:v>
                </c:pt>
                <c:pt idx="22">
                  <c:v>-2.5445066857142859E-2</c:v>
                </c:pt>
                <c:pt idx="23">
                  <c:v>-2.6120219142857143E-2</c:v>
                </c:pt>
                <c:pt idx="24">
                  <c:v>-2.6581952857142859E-2</c:v>
                </c:pt>
                <c:pt idx="25">
                  <c:v>-2.6895848857142857E-2</c:v>
                </c:pt>
                <c:pt idx="26">
                  <c:v>-2.6954494571428574E-2</c:v>
                </c:pt>
                <c:pt idx="27">
                  <c:v>-2.7217686571428569E-2</c:v>
                </c:pt>
                <c:pt idx="28">
                  <c:v>-2.7221723714285714E-2</c:v>
                </c:pt>
                <c:pt idx="29">
                  <c:v>-2.7305871714285716E-2</c:v>
                </c:pt>
                <c:pt idx="30">
                  <c:v>-2.7309677428571429E-2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-6.5662397142857143E-4</c:v>
                </c:pt>
                <c:pt idx="1">
                  <c:v>-6.9128320000000007E-4</c:v>
                </c:pt>
                <c:pt idx="2">
                  <c:v>-7.2510685714285712E-4</c:v>
                </c:pt>
                <c:pt idx="3">
                  <c:v>-7.6208288571428585E-4</c:v>
                </c:pt>
                <c:pt idx="4">
                  <c:v>-8.0717060000000005E-4</c:v>
                </c:pt>
                <c:pt idx="5">
                  <c:v>-8.6432000000000013E-4</c:v>
                </c:pt>
                <c:pt idx="6">
                  <c:v>-9.5559037142857147E-4</c:v>
                </c:pt>
                <c:pt idx="7">
                  <c:v>-1.1032781142857142E-3</c:v>
                </c:pt>
                <c:pt idx="8">
                  <c:v>-1.3608547142857144E-3</c:v>
                </c:pt>
                <c:pt idx="9">
                  <c:v>-1.8943430571428572E-3</c:v>
                </c:pt>
                <c:pt idx="10">
                  <c:v>-2.9633485714285718E-3</c:v>
                </c:pt>
                <c:pt idx="11">
                  <c:v>-5.0025814285714291E-3</c:v>
                </c:pt>
                <c:pt idx="12">
                  <c:v>-8.7717962857142857E-3</c:v>
                </c:pt>
                <c:pt idx="13">
                  <c:v>-1.3274090285714286E-2</c:v>
                </c:pt>
                <c:pt idx="14">
                  <c:v>-1.5647893142857142E-2</c:v>
                </c:pt>
                <c:pt idx="15">
                  <c:v>-1.7303699142857145E-2</c:v>
                </c:pt>
                <c:pt idx="16">
                  <c:v>-1.8197246571428575E-2</c:v>
                </c:pt>
                <c:pt idx="17">
                  <c:v>-1.9020716E-2</c:v>
                </c:pt>
                <c:pt idx="18">
                  <c:v>-2.0558336000000003E-2</c:v>
                </c:pt>
                <c:pt idx="19">
                  <c:v>-2.2364219142857147E-2</c:v>
                </c:pt>
                <c:pt idx="20">
                  <c:v>-2.3917288000000002E-2</c:v>
                </c:pt>
                <c:pt idx="21">
                  <c:v>-2.5069089428571428E-2</c:v>
                </c:pt>
                <c:pt idx="22">
                  <c:v>-2.5863646571428575E-2</c:v>
                </c:pt>
                <c:pt idx="23">
                  <c:v>-2.6408451142857142E-2</c:v>
                </c:pt>
                <c:pt idx="24">
                  <c:v>-2.6778495142857142E-2</c:v>
                </c:pt>
                <c:pt idx="25">
                  <c:v>-2.6843666571428573E-2</c:v>
                </c:pt>
                <c:pt idx="26">
                  <c:v>-2.693226342857143E-2</c:v>
                </c:pt>
                <c:pt idx="27">
                  <c:v>-2.7235974857142856E-2</c:v>
                </c:pt>
                <c:pt idx="28">
                  <c:v>-2.7240321142857141E-2</c:v>
                </c:pt>
                <c:pt idx="29">
                  <c:v>-2.7359462000000005E-2</c:v>
                </c:pt>
                <c:pt idx="30">
                  <c:v>-2.7362212285714289E-2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117733008"/>
        <c:axId val="4440319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177330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31904"/>
        <c:crossesAt val="-8.0000000000000019E-3"/>
        <c:crossBetween val="midCat"/>
      </c:valAx>
      <c:valAx>
        <c:axId val="444031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77330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17891.636288798203</c:v>
                </c:pt>
                <c:pt idx="1">
                  <c:v>17891.97469788506</c:v>
                </c:pt>
                <c:pt idx="2">
                  <c:v>17891.882320080251</c:v>
                </c:pt>
                <c:pt idx="3">
                  <c:v>17891.85488131208</c:v>
                </c:pt>
                <c:pt idx="4">
                  <c:v>17891.84664969804</c:v>
                </c:pt>
                <c:pt idx="5">
                  <c:v>17891.843905828377</c:v>
                </c:pt>
                <c:pt idx="6">
                  <c:v>17891.84299120534</c:v>
                </c:pt>
                <c:pt idx="7">
                  <c:v>17891.84299120534</c:v>
                </c:pt>
                <c:pt idx="8">
                  <c:v>17891.84299120534</c:v>
                </c:pt>
                <c:pt idx="9">
                  <c:v>17891.84299120534</c:v>
                </c:pt>
                <c:pt idx="10">
                  <c:v>17891.84299120534</c:v>
                </c:pt>
                <c:pt idx="11">
                  <c:v>17891.842076582398</c:v>
                </c:pt>
                <c:pt idx="12">
                  <c:v>17891.841161959554</c:v>
                </c:pt>
                <c:pt idx="13">
                  <c:v>17891.824698764292</c:v>
                </c:pt>
                <c:pt idx="14">
                  <c:v>17891.659153873792</c:v>
                </c:pt>
                <c:pt idx="15">
                  <c:v>17890.014846667746</c:v>
                </c:pt>
                <c:pt idx="16">
                  <c:v>17873.938888083707</c:v>
                </c:pt>
                <c:pt idx="17">
                  <c:v>17744.529374268575</c:v>
                </c:pt>
                <c:pt idx="18">
                  <c:v>17398.92961784991</c:v>
                </c:pt>
                <c:pt idx="19">
                  <c:v>17024.758132909366</c:v>
                </c:pt>
                <c:pt idx="20">
                  <c:v>16446.115641285032</c:v>
                </c:pt>
                <c:pt idx="21">
                  <c:v>15364.29062301979</c:v>
                </c:pt>
                <c:pt idx="22">
                  <c:v>13990.723031372356</c:v>
                </c:pt>
                <c:pt idx="23">
                  <c:v>12645.526982646108</c:v>
                </c:pt>
                <c:pt idx="24">
                  <c:v>11495.395617817245</c:v>
                </c:pt>
                <c:pt idx="25">
                  <c:v>10553.602804001805</c:v>
                </c:pt>
                <c:pt idx="26">
                  <c:v>9699.2086942154856</c:v>
                </c:pt>
                <c:pt idx="27">
                  <c:v>8895.6414432278507</c:v>
                </c:pt>
                <c:pt idx="28">
                  <c:v>7959.9973290797534</c:v>
                </c:pt>
                <c:pt idx="29">
                  <c:v>6842.5052358850062</c:v>
                </c:pt>
                <c:pt idx="30">
                  <c:v>5546.9691994233681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17803.425562199114</c:v>
                </c:pt>
                <c:pt idx="1">
                  <c:v>17803.766076419255</c:v>
                </c:pt>
                <c:pt idx="2">
                  <c:v>17803.675512855218</c:v>
                </c:pt>
                <c:pt idx="3">
                  <c:v>17803.649249593986</c:v>
                </c:pt>
                <c:pt idx="4">
                  <c:v>17803.641098942462</c:v>
                </c:pt>
                <c:pt idx="5">
                  <c:v>17803.638382060279</c:v>
                </c:pt>
                <c:pt idx="6">
                  <c:v>17803.637476433069</c:v>
                </c:pt>
                <c:pt idx="7">
                  <c:v>17803.637476433069</c:v>
                </c:pt>
                <c:pt idx="8">
                  <c:v>17803.636570805953</c:v>
                </c:pt>
                <c:pt idx="9">
                  <c:v>17803.636570805953</c:v>
                </c:pt>
                <c:pt idx="10">
                  <c:v>17803.636570805953</c:v>
                </c:pt>
                <c:pt idx="11">
                  <c:v>17803.630231418705</c:v>
                </c:pt>
                <c:pt idx="12">
                  <c:v>17803.570460275198</c:v>
                </c:pt>
                <c:pt idx="13">
                  <c:v>17802.973676472251</c:v>
                </c:pt>
                <c:pt idx="14">
                  <c:v>17797.049666124803</c:v>
                </c:pt>
                <c:pt idx="15">
                  <c:v>17742.454184927879</c:v>
                </c:pt>
                <c:pt idx="16">
                  <c:v>17453.259298934485</c:v>
                </c:pt>
                <c:pt idx="17">
                  <c:v>17104.654142182775</c:v>
                </c:pt>
                <c:pt idx="18">
                  <c:v>16629.513956842227</c:v>
                </c:pt>
                <c:pt idx="19">
                  <c:v>15714.36281087387</c:v>
                </c:pt>
                <c:pt idx="20">
                  <c:v>14401.050239791886</c:v>
                </c:pt>
                <c:pt idx="21">
                  <c:v>13067.019998887436</c:v>
                </c:pt>
                <c:pt idx="22">
                  <c:v>11882.776746899743</c:v>
                </c:pt>
                <c:pt idx="23">
                  <c:v>10897.920795032591</c:v>
                </c:pt>
                <c:pt idx="24">
                  <c:v>10043.221722053837</c:v>
                </c:pt>
                <c:pt idx="25">
                  <c:v>9242.2391135731505</c:v>
                </c:pt>
                <c:pt idx="26">
                  <c:v>8399.7394736804836</c:v>
                </c:pt>
                <c:pt idx="27">
                  <c:v>7368.9939725208524</c:v>
                </c:pt>
                <c:pt idx="28">
                  <c:v>6145.8234634335095</c:v>
                </c:pt>
                <c:pt idx="29">
                  <c:v>4727.8920492025509</c:v>
                </c:pt>
                <c:pt idx="30">
                  <c:v>3174.7819990586318</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17746.564556652535</c:v>
                </c:pt>
                <c:pt idx="1">
                  <c:v>17746.906498699122</c:v>
                </c:pt>
                <c:pt idx="2">
                  <c:v>17746.817412528217</c:v>
                </c:pt>
                <c:pt idx="3">
                  <c:v>17746.791316748531</c:v>
                </c:pt>
                <c:pt idx="4">
                  <c:v>17746.783218073891</c:v>
                </c:pt>
                <c:pt idx="5">
                  <c:v>17746.78051851732</c:v>
                </c:pt>
                <c:pt idx="6">
                  <c:v>17746.77961866531</c:v>
                </c:pt>
                <c:pt idx="7">
                  <c:v>17746.77961866531</c:v>
                </c:pt>
                <c:pt idx="8">
                  <c:v>17746.778718813392</c:v>
                </c:pt>
                <c:pt idx="9">
                  <c:v>17746.773319703811</c:v>
                </c:pt>
                <c:pt idx="10">
                  <c:v>17746.717529097139</c:v>
                </c:pt>
                <c:pt idx="11">
                  <c:v>17746.160542111738</c:v>
                </c:pt>
                <c:pt idx="12">
                  <c:v>17740.636656707073</c:v>
                </c:pt>
                <c:pt idx="13">
                  <c:v>17689.464781488612</c:v>
                </c:pt>
                <c:pt idx="14">
                  <c:v>17409.017861304143</c:v>
                </c:pt>
                <c:pt idx="15">
                  <c:v>17072.541129702728</c:v>
                </c:pt>
                <c:pt idx="16">
                  <c:v>16692.358591161119</c:v>
                </c:pt>
                <c:pt idx="17">
                  <c:v>16174.650736145324</c:v>
                </c:pt>
                <c:pt idx="18">
                  <c:v>15314.606428397934</c:v>
                </c:pt>
                <c:pt idx="19">
                  <c:v>13971.287327986509</c:v>
                </c:pt>
                <c:pt idx="20">
                  <c:v>12556.415526517228</c:v>
                </c:pt>
                <c:pt idx="21">
                  <c:v>11352.833110855647</c:v>
                </c:pt>
                <c:pt idx="22">
                  <c:v>10344.506345970418</c:v>
                </c:pt>
                <c:pt idx="23">
                  <c:v>9442.0865306261639</c:v>
                </c:pt>
                <c:pt idx="24">
                  <c:v>8540.0780494813098</c:v>
                </c:pt>
                <c:pt idx="25">
                  <c:v>7472.4948140885981</c:v>
                </c:pt>
                <c:pt idx="26">
                  <c:v>6227.2036530271153</c:v>
                </c:pt>
                <c:pt idx="27">
                  <c:v>4796.9555614422579</c:v>
                </c:pt>
                <c:pt idx="28">
                  <c:v>3229.2425442556155</c:v>
                </c:pt>
                <c:pt idx="29">
                  <c:v>1959.9838497330782</c:v>
                </c:pt>
                <c:pt idx="30">
                  <c:v>1134.5186070613929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17688.307063754673</c:v>
                </c:pt>
                <c:pt idx="1">
                  <c:v>17688.651234278703</c:v>
                </c:pt>
                <c:pt idx="2">
                  <c:v>17688.562732007609</c:v>
                </c:pt>
                <c:pt idx="3">
                  <c:v>17688.536807267625</c:v>
                </c:pt>
                <c:pt idx="4">
                  <c:v>17688.528761674112</c:v>
                </c:pt>
                <c:pt idx="5">
                  <c:v>17688.526079811236</c:v>
                </c:pt>
                <c:pt idx="6">
                  <c:v>17688.519822134353</c:v>
                </c:pt>
                <c:pt idx="7">
                  <c:v>17688.46976087867</c:v>
                </c:pt>
                <c:pt idx="8">
                  <c:v>17687.970951702286</c:v>
                </c:pt>
                <c:pt idx="9">
                  <c:v>17683.02282282076</c:v>
                </c:pt>
                <c:pt idx="10">
                  <c:v>17636.830054932176</c:v>
                </c:pt>
                <c:pt idx="11">
                  <c:v>17369.119343467137</c:v>
                </c:pt>
                <c:pt idx="12">
                  <c:v>17035.306646470905</c:v>
                </c:pt>
                <c:pt idx="13">
                  <c:v>16667.125409451746</c:v>
                </c:pt>
                <c:pt idx="14">
                  <c:v>16228.509280667151</c:v>
                </c:pt>
                <c:pt idx="15">
                  <c:v>15758.891481751834</c:v>
                </c:pt>
                <c:pt idx="16">
                  <c:v>15172.452479120213</c:v>
                </c:pt>
                <c:pt idx="17">
                  <c:v>14248.329576727314</c:v>
                </c:pt>
                <c:pt idx="18">
                  <c:v>12894.317912502769</c:v>
                </c:pt>
                <c:pt idx="19">
                  <c:v>11472.766961945093</c:v>
                </c:pt>
                <c:pt idx="20">
                  <c:v>10200.379757223965</c:v>
                </c:pt>
                <c:pt idx="21">
                  <c:v>9045.5930193866425</c:v>
                </c:pt>
                <c:pt idx="22">
                  <c:v>7813.9194124146916</c:v>
                </c:pt>
                <c:pt idx="23">
                  <c:v>6464.7983510257318</c:v>
                </c:pt>
                <c:pt idx="24">
                  <c:v>4974.2925010479767</c:v>
                </c:pt>
                <c:pt idx="25">
                  <c:v>3356.9193685231835</c:v>
                </c:pt>
                <c:pt idx="26">
                  <c:v>2042.1601036016993</c:v>
                </c:pt>
                <c:pt idx="27">
                  <c:v>1181.4326051770379</c:v>
                </c:pt>
                <c:pt idx="28">
                  <c:v>671.35385467694152</c:v>
                </c:pt>
                <c:pt idx="29">
                  <c:v>465.71467756091272</c:v>
                </c:pt>
                <c:pt idx="30">
                  <c:v>406.25140120460964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17616.469526628349</c:v>
                </c:pt>
                <c:pt idx="1">
                  <c:v>17616.802040045808</c:v>
                </c:pt>
                <c:pt idx="2">
                  <c:v>17616.583023130472</c:v>
                </c:pt>
                <c:pt idx="3">
                  <c:v>17615.24066596078</c:v>
                </c:pt>
                <c:pt idx="4">
                  <c:v>17602.301053261344</c:v>
                </c:pt>
                <c:pt idx="5">
                  <c:v>17494.13684003806</c:v>
                </c:pt>
                <c:pt idx="6">
                  <c:v>17159.551074766416</c:v>
                </c:pt>
                <c:pt idx="7">
                  <c:v>16815.112077526315</c:v>
                </c:pt>
                <c:pt idx="8">
                  <c:v>16418.835293796994</c:v>
                </c:pt>
                <c:pt idx="9">
                  <c:v>15952.410404654309</c:v>
                </c:pt>
                <c:pt idx="10">
                  <c:v>15474.515175702285</c:v>
                </c:pt>
                <c:pt idx="11">
                  <c:v>14870.686422812616</c:v>
                </c:pt>
                <c:pt idx="12">
                  <c:v>14205.719271283941</c:v>
                </c:pt>
                <c:pt idx="13">
                  <c:v>13548.505799166936</c:v>
                </c:pt>
                <c:pt idx="14">
                  <c:v>12830.833886892166</c:v>
                </c:pt>
                <c:pt idx="15">
                  <c:v>12037.009746779489</c:v>
                </c:pt>
                <c:pt idx="16">
                  <c:v>10844.124631586357</c:v>
                </c:pt>
                <c:pt idx="17">
                  <c:v>9065.8029391281325</c:v>
                </c:pt>
                <c:pt idx="18">
                  <c:v>7057.5960533277594</c:v>
                </c:pt>
                <c:pt idx="19">
                  <c:v>5027.0943147814778</c:v>
                </c:pt>
                <c:pt idx="20">
                  <c:v>3182.4075058263061</c:v>
                </c:pt>
                <c:pt idx="21">
                  <c:v>1839.9309489685686</c:v>
                </c:pt>
                <c:pt idx="22">
                  <c:v>1025.1787413781001</c:v>
                </c:pt>
                <c:pt idx="23">
                  <c:v>592.92129561028003</c:v>
                </c:pt>
                <c:pt idx="24">
                  <c:v>452.62701551415307</c:v>
                </c:pt>
                <c:pt idx="25">
                  <c:v>403.56299542258085</c:v>
                </c:pt>
                <c:pt idx="26">
                  <c:v>373.60146162285196</c:v>
                </c:pt>
                <c:pt idx="27">
                  <c:v>372.18425068527625</c:v>
                </c:pt>
                <c:pt idx="28">
                  <c:v>367.76558209899559</c:v>
                </c:pt>
                <c:pt idx="29">
                  <c:v>367.7011441084133</c:v>
                </c:pt>
                <c:pt idx="30">
                  <c:v>365.81700545711175</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16170.711708597861</c:v>
                </c:pt>
                <c:pt idx="1">
                  <c:v>15578.149411099215</c:v>
                </c:pt>
                <c:pt idx="2">
                  <c:v>15019.848944950021</c:v>
                </c:pt>
                <c:pt idx="3">
                  <c:v>14377.423468769482</c:v>
                </c:pt>
                <c:pt idx="4">
                  <c:v>13721.030592096184</c:v>
                </c:pt>
                <c:pt idx="5">
                  <c:v>13038.395877959572</c:v>
                </c:pt>
                <c:pt idx="6">
                  <c:v>12298.588216947519</c:v>
                </c:pt>
                <c:pt idx="7">
                  <c:v>11425.936281209659</c:v>
                </c:pt>
                <c:pt idx="8">
                  <c:v>10259.878320774509</c:v>
                </c:pt>
                <c:pt idx="9">
                  <c:v>8791.100151427956</c:v>
                </c:pt>
                <c:pt idx="10">
                  <c:v>6981.997060220162</c:v>
                </c:pt>
                <c:pt idx="11">
                  <c:v>4852.8856721004695</c:v>
                </c:pt>
                <c:pt idx="12">
                  <c:v>3008.2022502040422</c:v>
                </c:pt>
                <c:pt idx="13">
                  <c:v>1754.9272214132006</c:v>
                </c:pt>
                <c:pt idx="14">
                  <c:v>999.94928828609397</c:v>
                </c:pt>
                <c:pt idx="15">
                  <c:v>704.94550287871539</c:v>
                </c:pt>
                <c:pt idx="16">
                  <c:v>613.34549369633294</c:v>
                </c:pt>
                <c:pt idx="17">
                  <c:v>547.59948267181665</c:v>
                </c:pt>
                <c:pt idx="18">
                  <c:v>510.14993583552734</c:v>
                </c:pt>
                <c:pt idx="19">
                  <c:v>468.8162014520899</c:v>
                </c:pt>
                <c:pt idx="20">
                  <c:v>433.49461273331463</c:v>
                </c:pt>
                <c:pt idx="21">
                  <c:v>408.9550404176108</c:v>
                </c:pt>
                <c:pt idx="22">
                  <c:v>393.00348692905209</c:v>
                </c:pt>
                <c:pt idx="23">
                  <c:v>382.84518002348415</c:v>
                </c:pt>
                <c:pt idx="24">
                  <c:v>376.19508445230321</c:v>
                </c:pt>
                <c:pt idx="25">
                  <c:v>371.80458787952523</c:v>
                </c:pt>
                <c:pt idx="26">
                  <c:v>370.99564132060834</c:v>
                </c:pt>
                <c:pt idx="27">
                  <c:v>367.40815475836132</c:v>
                </c:pt>
                <c:pt idx="28">
                  <c:v>367.35366595290549</c:v>
                </c:pt>
                <c:pt idx="29">
                  <c:v>366.22159895258943</c:v>
                </c:pt>
                <c:pt idx="30">
                  <c:v>366.17056448780988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15229.41658411235</c:v>
                </c:pt>
                <c:pt idx="1">
                  <c:v>14465.85133270995</c:v>
                </c:pt>
                <c:pt idx="2">
                  <c:v>13791.070793900722</c:v>
                </c:pt>
                <c:pt idx="3">
                  <c:v>13121.932256262637</c:v>
                </c:pt>
                <c:pt idx="4">
                  <c:v>12388.954701769366</c:v>
                </c:pt>
                <c:pt idx="5">
                  <c:v>11569.788967049239</c:v>
                </c:pt>
                <c:pt idx="6">
                  <c:v>10464.734994190427</c:v>
                </c:pt>
                <c:pt idx="7">
                  <c:v>9063.8977339582361</c:v>
                </c:pt>
                <c:pt idx="8">
                  <c:v>7348.3230024659915</c:v>
                </c:pt>
                <c:pt idx="9">
                  <c:v>5278.8748913739519</c:v>
                </c:pt>
                <c:pt idx="10">
                  <c:v>3374.5608250126302</c:v>
                </c:pt>
                <c:pt idx="11">
                  <c:v>1998.967961398215</c:v>
                </c:pt>
                <c:pt idx="12">
                  <c:v>1140.0173549727735</c:v>
                </c:pt>
                <c:pt idx="13">
                  <c:v>753.34729422189514</c:v>
                </c:pt>
                <c:pt idx="14">
                  <c:v>639.0636687447435</c:v>
                </c:pt>
                <c:pt idx="15">
                  <c:v>577.91111122779409</c:v>
                </c:pt>
                <c:pt idx="16">
                  <c:v>549.5336869095878</c:v>
                </c:pt>
                <c:pt idx="17">
                  <c:v>525.74256405489677</c:v>
                </c:pt>
                <c:pt idx="18">
                  <c:v>486.42069085747011</c:v>
                </c:pt>
                <c:pt idx="19">
                  <c:v>447.1428193456008</c:v>
                </c:pt>
                <c:pt idx="20">
                  <c:v>418.10760484215433</c:v>
                </c:pt>
                <c:pt idx="21">
                  <c:v>398.89761566700247</c:v>
                </c:pt>
                <c:pt idx="22">
                  <c:v>386.6430811441316</c:v>
                </c:pt>
                <c:pt idx="23">
                  <c:v>378.66666037719375</c:v>
                </c:pt>
                <c:pt idx="24">
                  <c:v>373.43397926777772</c:v>
                </c:pt>
                <c:pt idx="25">
                  <c:v>372.52735103794049</c:v>
                </c:pt>
                <c:pt idx="26">
                  <c:v>371.30187837801162</c:v>
                </c:pt>
                <c:pt idx="27">
                  <c:v>367.16144923953101</c:v>
                </c:pt>
                <c:pt idx="28">
                  <c:v>367.10286738385844</c:v>
                </c:pt>
                <c:pt idx="29">
                  <c:v>365.50426320517556</c:v>
                </c:pt>
                <c:pt idx="30">
                  <c:v>365.4675249055415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44027200"/>
        <c:axId val="4440315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02720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31512"/>
        <c:crosses val="autoZero"/>
        <c:crossBetween val="midCat"/>
      </c:valAx>
      <c:valAx>
        <c:axId val="44403151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2720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21415.549463341617</c:v>
                </c:pt>
                <c:pt idx="1">
                  <c:v>21418.129347436585</c:v>
                </c:pt>
                <c:pt idx="2">
                  <c:v>21418.027901668822</c:v>
                </c:pt>
                <c:pt idx="3">
                  <c:v>21418.001164184629</c:v>
                </c:pt>
                <c:pt idx="4">
                  <c:v>21417.996445812005</c:v>
                </c:pt>
                <c:pt idx="5">
                  <c:v>21417.994873021591</c:v>
                </c:pt>
                <c:pt idx="6">
                  <c:v>21417.994086626455</c:v>
                </c:pt>
                <c:pt idx="7">
                  <c:v>21417.995659416745</c:v>
                </c:pt>
                <c:pt idx="8">
                  <c:v>21417.995659416745</c:v>
                </c:pt>
                <c:pt idx="9">
                  <c:v>21417.995659416745</c:v>
                </c:pt>
                <c:pt idx="10">
                  <c:v>21417.996445811998</c:v>
                </c:pt>
                <c:pt idx="11">
                  <c:v>21417.993300231385</c:v>
                </c:pt>
                <c:pt idx="12">
                  <c:v>21417.998018602641</c:v>
                </c:pt>
                <c:pt idx="13">
                  <c:v>21418.017678505221</c:v>
                </c:pt>
                <c:pt idx="14">
                  <c:v>21418.204842585139</c:v>
                </c:pt>
                <c:pt idx="15">
                  <c:v>21420.104979077681</c:v>
                </c:pt>
                <c:pt idx="16">
                  <c:v>21438.72699730254</c:v>
                </c:pt>
                <c:pt idx="17">
                  <c:v>21591.91354953156</c:v>
                </c:pt>
                <c:pt idx="18">
                  <c:v>21981.9631335095</c:v>
                </c:pt>
                <c:pt idx="19">
                  <c:v>22407.604388033797</c:v>
                </c:pt>
                <c:pt idx="20">
                  <c:v>22560.039258077912</c:v>
                </c:pt>
                <c:pt idx="21">
                  <c:v>21511.102064156192</c:v>
                </c:pt>
                <c:pt idx="22">
                  <c:v>19453.10107442255</c:v>
                </c:pt>
                <c:pt idx="23">
                  <c:v>17501.941840447187</c:v>
                </c:pt>
                <c:pt idx="24">
                  <c:v>15922.848974370625</c:v>
                </c:pt>
                <c:pt idx="25">
                  <c:v>14666.610346882935</c:v>
                </c:pt>
                <c:pt idx="26">
                  <c:v>13634.017168889319</c:v>
                </c:pt>
                <c:pt idx="27">
                  <c:v>12699.710660677774</c:v>
                </c:pt>
                <c:pt idx="28">
                  <c:v>11705.735730239914</c:v>
                </c:pt>
                <c:pt idx="29">
                  <c:v>10519.606653272505</c:v>
                </c:pt>
                <c:pt idx="30">
                  <c:v>9139.358134000011</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21246.654365218023</c:v>
                </c:pt>
                <c:pt idx="1">
                  <c:v>21249.288922902317</c:v>
                </c:pt>
                <c:pt idx="2">
                  <c:v>21249.192166425808</c:v>
                </c:pt>
                <c:pt idx="3">
                  <c:v>21249.170493095851</c:v>
                </c:pt>
                <c:pt idx="4">
                  <c:v>21249.165074770277</c:v>
                </c:pt>
                <c:pt idx="5">
                  <c:v>21249.163526677763</c:v>
                </c:pt>
                <c:pt idx="6">
                  <c:v>21249.162752631597</c:v>
                </c:pt>
                <c:pt idx="7">
                  <c:v>21249.164300724002</c:v>
                </c:pt>
                <c:pt idx="8">
                  <c:v>21249.160430493426</c:v>
                </c:pt>
                <c:pt idx="9">
                  <c:v>21249.161204539429</c:v>
                </c:pt>
                <c:pt idx="10">
                  <c:v>21249.164300723998</c:v>
                </c:pt>
                <c:pt idx="11">
                  <c:v>21249.169719049183</c:v>
                </c:pt>
                <c:pt idx="12">
                  <c:v>21249.236287269807</c:v>
                </c:pt>
                <c:pt idx="13">
                  <c:v>21249.904314716554</c:v>
                </c:pt>
                <c:pt idx="14">
                  <c:v>21256.517187436755</c:v>
                </c:pt>
                <c:pt idx="15">
                  <c:v>21318.022948522812</c:v>
                </c:pt>
                <c:pt idx="16">
                  <c:v>21626.656240393881</c:v>
                </c:pt>
                <c:pt idx="17">
                  <c:v>22019.296579100948</c:v>
                </c:pt>
                <c:pt idx="18">
                  <c:v>22280.927585826728</c:v>
                </c:pt>
                <c:pt idx="19">
                  <c:v>21634.832802797777</c:v>
                </c:pt>
                <c:pt idx="20">
                  <c:v>19809.843613170575</c:v>
                </c:pt>
                <c:pt idx="21">
                  <c:v>17854.167769799165</c:v>
                </c:pt>
                <c:pt idx="22">
                  <c:v>16251.693600598475</c:v>
                </c:pt>
                <c:pt idx="23">
                  <c:v>14973.174915431517</c:v>
                </c:pt>
                <c:pt idx="24">
                  <c:v>13932.682294916583</c:v>
                </c:pt>
                <c:pt idx="25">
                  <c:v>13012.504459106436</c:v>
                </c:pt>
                <c:pt idx="26">
                  <c:v>12095.958273782331</c:v>
                </c:pt>
                <c:pt idx="27">
                  <c:v>11015.969851493697</c:v>
                </c:pt>
                <c:pt idx="28">
                  <c:v>9723.9790210987012</c:v>
                </c:pt>
                <c:pt idx="29">
                  <c:v>8226.9442531679888</c:v>
                </c:pt>
                <c:pt idx="30">
                  <c:v>6586.8915062561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21138.881521485364</c:v>
                </c:pt>
                <c:pt idx="1">
                  <c:v>21141.54918337987</c:v>
                </c:pt>
                <c:pt idx="2">
                  <c:v>21141.458002892334</c:v>
                </c:pt>
                <c:pt idx="3">
                  <c:v>21141.435782556586</c:v>
                </c:pt>
                <c:pt idx="4">
                  <c:v>21141.430419034266</c:v>
                </c:pt>
                <c:pt idx="5">
                  <c:v>21141.428886599821</c:v>
                </c:pt>
                <c:pt idx="6">
                  <c:v>21141.428120382676</c:v>
                </c:pt>
                <c:pt idx="7">
                  <c:v>21141.429652817013</c:v>
                </c:pt>
                <c:pt idx="8">
                  <c:v>21141.42888659981</c:v>
                </c:pt>
                <c:pt idx="9">
                  <c:v>21141.436548774276</c:v>
                </c:pt>
                <c:pt idx="10">
                  <c:v>21141.497080147841</c:v>
                </c:pt>
                <c:pt idx="11">
                  <c:v>21142.106244278795</c:v>
                </c:pt>
                <c:pt idx="12">
                  <c:v>21148.168381910014</c:v>
                </c:pt>
                <c:pt idx="13">
                  <c:v>21204.786669183137</c:v>
                </c:pt>
                <c:pt idx="14">
                  <c:v>21500.071275807713</c:v>
                </c:pt>
                <c:pt idx="15">
                  <c:v>21906.047441038187</c:v>
                </c:pt>
                <c:pt idx="16">
                  <c:v>22404.083637132706</c:v>
                </c:pt>
                <c:pt idx="17">
                  <c:v>22895.94836830191</c:v>
                </c:pt>
                <c:pt idx="18">
                  <c:v>22419.944782878854</c:v>
                </c:pt>
                <c:pt idx="19">
                  <c:v>20539.514116784583</c:v>
                </c:pt>
                <c:pt idx="20">
                  <c:v>18287.793331633096</c:v>
                </c:pt>
                <c:pt idx="21">
                  <c:v>16366.291443716864</c:v>
                </c:pt>
                <c:pt idx="22">
                  <c:v>14875.871056629718</c:v>
                </c:pt>
                <c:pt idx="23">
                  <c:v>13679.119589976604</c:v>
                </c:pt>
                <c:pt idx="24">
                  <c:v>12615.310243278691</c:v>
                </c:pt>
                <c:pt idx="25">
                  <c:v>11467.553246143232</c:v>
                </c:pt>
                <c:pt idx="26">
                  <c:v>10118.356731455086</c:v>
                </c:pt>
                <c:pt idx="27">
                  <c:v>8575.1274263935629</c:v>
                </c:pt>
                <c:pt idx="28">
                  <c:v>6896.5316120851512</c:v>
                </c:pt>
                <c:pt idx="29">
                  <c:v>5451.9982243309096</c:v>
                </c:pt>
                <c:pt idx="30">
                  <c:v>4395.1103769183901</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21029.337271371158</c:v>
                </c:pt>
                <c:pt idx="1">
                  <c:v>21032.04256923874</c:v>
                </c:pt>
                <c:pt idx="2">
                  <c:v>21031.951572573435</c:v>
                </c:pt>
                <c:pt idx="3">
                  <c:v>21031.929581830798</c:v>
                </c:pt>
                <c:pt idx="4">
                  <c:v>21031.924273727393</c:v>
                </c:pt>
                <c:pt idx="5">
                  <c:v>21031.925032027721</c:v>
                </c:pt>
                <c:pt idx="6">
                  <c:v>21031.928823530161</c:v>
                </c:pt>
                <c:pt idx="7">
                  <c:v>21031.981904707714</c:v>
                </c:pt>
                <c:pt idx="8">
                  <c:v>21032.514247905889</c:v>
                </c:pt>
                <c:pt idx="9">
                  <c:v>21037.823987899148</c:v>
                </c:pt>
                <c:pt idx="10">
                  <c:v>21087.745688053081</c:v>
                </c:pt>
                <c:pt idx="11">
                  <c:v>21362.386569694612</c:v>
                </c:pt>
                <c:pt idx="12">
                  <c:v>21755.784825889568</c:v>
                </c:pt>
                <c:pt idx="13">
                  <c:v>22254.922121125535</c:v>
                </c:pt>
                <c:pt idx="14">
                  <c:v>22956.140077474745</c:v>
                </c:pt>
                <c:pt idx="15">
                  <c:v>23852.304133942343</c:v>
                </c:pt>
                <c:pt idx="16">
                  <c:v>24984.336248848347</c:v>
                </c:pt>
                <c:pt idx="17">
                  <c:v>25418.575674324286</c:v>
                </c:pt>
                <c:pt idx="18">
                  <c:v>23263.120582790365</c:v>
                </c:pt>
                <c:pt idx="19">
                  <c:v>19909.225309289814</c:v>
                </c:pt>
                <c:pt idx="20">
                  <c:v>17085.395540575068</c:v>
                </c:pt>
                <c:pt idx="21">
                  <c:v>15005.121676746025</c:v>
                </c:pt>
                <c:pt idx="22">
                  <c:v>13356.486612068389</c:v>
                </c:pt>
                <c:pt idx="23">
                  <c:v>11757.435242482163</c:v>
                </c:pt>
                <c:pt idx="24">
                  <c:v>10057.498142164573</c:v>
                </c:pt>
                <c:pt idx="25">
                  <c:v>8262.3268959892011</c:v>
                </c:pt>
                <c:pt idx="26">
                  <c:v>6732.657482244631</c:v>
                </c:pt>
                <c:pt idx="27">
                  <c:v>5603.5970610254153</c:v>
                </c:pt>
                <c:pt idx="28">
                  <c:v>4975.4914399512863</c:v>
                </c:pt>
                <c:pt idx="29">
                  <c:v>4576.1234873460335</c:v>
                </c:pt>
                <c:pt idx="30">
                  <c:v>3979.3704886018731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20895.458516568593</c:v>
                </c:pt>
                <c:pt idx="1">
                  <c:v>20898.217072790078</c:v>
                </c:pt>
                <c:pt idx="2">
                  <c:v>20898.267983792535</c:v>
                </c:pt>
                <c:pt idx="3">
                  <c:v>20899.620210907251</c:v>
                </c:pt>
                <c:pt idx="4">
                  <c:v>20913.111625908266</c:v>
                </c:pt>
                <c:pt idx="5">
                  <c:v>21028.090248189499</c:v>
                </c:pt>
                <c:pt idx="6">
                  <c:v>21370.863989837715</c:v>
                </c:pt>
                <c:pt idx="7">
                  <c:v>21788.439703811193</c:v>
                </c:pt>
                <c:pt idx="8">
                  <c:v>22346.560185690454</c:v>
                </c:pt>
                <c:pt idx="9">
                  <c:v>23136.897372735224</c:v>
                </c:pt>
                <c:pt idx="10">
                  <c:v>24141.732774663273</c:v>
                </c:pt>
                <c:pt idx="11">
                  <c:v>25789.564463477425</c:v>
                </c:pt>
                <c:pt idx="12">
                  <c:v>28356.906835083992</c:v>
                </c:pt>
                <c:pt idx="13">
                  <c:v>32193.295166802207</c:v>
                </c:pt>
                <c:pt idx="14">
                  <c:v>39138.146699166959</c:v>
                </c:pt>
                <c:pt idx="15">
                  <c:v>53423.91587229132</c:v>
                </c:pt>
                <c:pt idx="16">
                  <c:v>92168.471325335064</c:v>
                </c:pt>
                <c:pt idx="17">
                  <c:v>171662.28437377722</c:v>
                </c:pt>
                <c:pt idx="18">
                  <c:v>463619.75761957688</c:v>
                </c:pt>
                <c:pt idx="19">
                  <c:v>-83849.607344267439</c:v>
                </c:pt>
                <c:pt idx="20">
                  <c:v>-17610.089474348857</c:v>
                </c:pt>
                <c:pt idx="21">
                  <c:v>-6995.2474288968015</c:v>
                </c:pt>
                <c:pt idx="22">
                  <c:v>-3775.0607407273196</c:v>
                </c:pt>
                <c:pt idx="23">
                  <c:v>-2584.1424467915831</c:v>
                </c:pt>
                <c:pt idx="24">
                  <c:v>-3776.7753137016589</c:v>
                </c:pt>
                <c:pt idx="25">
                  <c:v>-15046.463479224287</c:v>
                </c:pt>
                <c:pt idx="26">
                  <c:v>14080.059216706419</c:v>
                </c:pt>
                <c:pt idx="27">
                  <c:v>8907.4707211437271</c:v>
                </c:pt>
                <c:pt idx="28">
                  <c:v>3875.0716749864532</c:v>
                </c:pt>
                <c:pt idx="29">
                  <c:v>3845.5482779470067</c:v>
                </c:pt>
                <c:pt idx="30">
                  <c:v>3268.0379353843514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22252.915138241082</c:v>
                </c:pt>
                <c:pt idx="1">
                  <c:v>23312.20967390361</c:v>
                </c:pt>
                <c:pt idx="2">
                  <c:v>24615.821575972968</c:v>
                </c:pt>
                <c:pt idx="3">
                  <c:v>26659.565167867426</c:v>
                </c:pt>
                <c:pt idx="4">
                  <c:v>29712.515284966801</c:v>
                </c:pt>
                <c:pt idx="5">
                  <c:v>34724.857590878732</c:v>
                </c:pt>
                <c:pt idx="6">
                  <c:v>44805.499964731716</c:v>
                </c:pt>
                <c:pt idx="7">
                  <c:v>78806.943927508604</c:v>
                </c:pt>
                <c:pt idx="8">
                  <c:v>-213035.71635085696</c:v>
                </c:pt>
                <c:pt idx="9">
                  <c:v>-26728.603714542747</c:v>
                </c:pt>
                <c:pt idx="10">
                  <c:v>-9451.4829187669911</c:v>
                </c:pt>
                <c:pt idx="11">
                  <c:v>-3672.303179894539</c:v>
                </c:pt>
                <c:pt idx="12">
                  <c:v>-1569.4773638584659</c:v>
                </c:pt>
                <c:pt idx="13">
                  <c:v>-740.99503141660125</c:v>
                </c:pt>
                <c:pt idx="14">
                  <c:v>-375.90063240770604</c:v>
                </c:pt>
                <c:pt idx="15">
                  <c:v>-256.31147227887442</c:v>
                </c:pt>
                <c:pt idx="16">
                  <c:v>-228.99407873653888</c:v>
                </c:pt>
                <c:pt idx="17">
                  <c:v>-221.01688035368008</c:v>
                </c:pt>
                <c:pt idx="18">
                  <c:v>-254.14496459277763</c:v>
                </c:pt>
                <c:pt idx="19">
                  <c:v>-341.81324131173977</c:v>
                </c:pt>
                <c:pt idx="20">
                  <c:v>-519.11790358595283</c:v>
                </c:pt>
                <c:pt idx="21">
                  <c:v>-874.87738593436063</c:v>
                </c:pt>
                <c:pt idx="22">
                  <c:v>-1696.3390289612576</c:v>
                </c:pt>
                <c:pt idx="23">
                  <c:v>-4564.4396504786673</c:v>
                </c:pt>
                <c:pt idx="24">
                  <c:v>39979.941492210644</c:v>
                </c:pt>
                <c:pt idx="25">
                  <c:v>5702.3698560346911</c:v>
                </c:pt>
                <c:pt idx="26">
                  <c:v>4947.7314580582743</c:v>
                </c:pt>
                <c:pt idx="27">
                  <c:v>3473.062579328473</c:v>
                </c:pt>
                <c:pt idx="28">
                  <c:v>3458.6419059528112</c:v>
                </c:pt>
                <c:pt idx="29">
                  <c:v>3182.9811273773585</c:v>
                </c:pt>
                <c:pt idx="30">
                  <c:v>3175.5856619222559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23574.349943362293</c:v>
                </c:pt>
                <c:pt idx="1">
                  <c:v>25641.434776886017</c:v>
                </c:pt>
                <c:pt idx="2">
                  <c:v>28371.912649528116</c:v>
                </c:pt>
                <c:pt idx="3">
                  <c:v>32549.74926928135</c:v>
                </c:pt>
                <c:pt idx="4">
                  <c:v>40587.375864960486</c:v>
                </c:pt>
                <c:pt idx="5">
                  <c:v>62072.651960059178</c:v>
                </c:pt>
                <c:pt idx="6">
                  <c:v>1212789.0336150853</c:v>
                </c:pt>
                <c:pt idx="7">
                  <c:v>-36212.225992432257</c:v>
                </c:pt>
                <c:pt idx="8">
                  <c:v>-11752.153002824527</c:v>
                </c:pt>
                <c:pt idx="9">
                  <c:v>-4503.8650947765718</c:v>
                </c:pt>
                <c:pt idx="10">
                  <c:v>-1901.9597358384426</c:v>
                </c:pt>
                <c:pt idx="11">
                  <c:v>-881.52817896754868</c:v>
                </c:pt>
                <c:pt idx="12">
                  <c:v>-437.02600705557256</c:v>
                </c:pt>
                <c:pt idx="13">
                  <c:v>-271.00096000928653</c:v>
                </c:pt>
                <c:pt idx="14">
                  <c:v>-227.08483963573565</c:v>
                </c:pt>
                <c:pt idx="15">
                  <c:v>-208.6837543483359</c:v>
                </c:pt>
                <c:pt idx="16">
                  <c:v>-210.99557375293912</c:v>
                </c:pt>
                <c:pt idx="17">
                  <c:v>-234.01737548256389</c:v>
                </c:pt>
                <c:pt idx="18">
                  <c:v>-296.35954977328169</c:v>
                </c:pt>
                <c:pt idx="19">
                  <c:v>-429.41885776718681</c:v>
                </c:pt>
                <c:pt idx="20">
                  <c:v>-692.37975154011986</c:v>
                </c:pt>
                <c:pt idx="21">
                  <c:v>-1252.9938049480259</c:v>
                </c:pt>
                <c:pt idx="22">
                  <c:v>-2788.6968539117224</c:v>
                </c:pt>
                <c:pt idx="23">
                  <c:v>-15427.099242529001</c:v>
                </c:pt>
                <c:pt idx="24">
                  <c:v>8200.4451201611373</c:v>
                </c:pt>
                <c:pt idx="25">
                  <c:v>6514.2081393728131</c:v>
                </c:pt>
                <c:pt idx="26">
                  <c:v>5128.0743904844003</c:v>
                </c:pt>
                <c:pt idx="27">
                  <c:v>3264.0953429193382</c:v>
                </c:pt>
                <c:pt idx="28">
                  <c:v>3250.133626922548</c:v>
                </c:pt>
                <c:pt idx="29">
                  <c:v>3047.8499378020801</c:v>
                </c:pt>
                <c:pt idx="30">
                  <c:v>3045.7572818617796</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4027592"/>
        <c:axId val="4440307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4027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30728"/>
        <c:crosses val="autoZero"/>
        <c:crossBetween val="midCat"/>
        <c:majorUnit val="10000"/>
      </c:valAx>
      <c:valAx>
        <c:axId val="44403072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27592"/>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0.36075821278502584</c:v>
                </c:pt>
                <c:pt idx="1">
                  <c:v>0.36077235156217125</c:v>
                </c:pt>
                <c:pt idx="2">
                  <c:v>0.3607724109628368</c:v>
                </c:pt>
                <c:pt idx="3">
                  <c:v>0.36077245067394526</c:v>
                </c:pt>
                <c:pt idx="4">
                  <c:v>0.36077248405747009</c:v>
                </c:pt>
                <c:pt idx="5">
                  <c:v>0.36077249518530485</c:v>
                </c:pt>
                <c:pt idx="6">
                  <c:v>0.36077249719059723</c:v>
                </c:pt>
                <c:pt idx="7">
                  <c:v>0.36077250741450745</c:v>
                </c:pt>
                <c:pt idx="8">
                  <c:v>0.36077250741450745</c:v>
                </c:pt>
                <c:pt idx="9">
                  <c:v>0.36077250741450745</c:v>
                </c:pt>
                <c:pt idx="10">
                  <c:v>0.3607725125264627</c:v>
                </c:pt>
                <c:pt idx="11">
                  <c:v>0.36077249919588944</c:v>
                </c:pt>
                <c:pt idx="12">
                  <c:v>0.36077253698486383</c:v>
                </c:pt>
                <c:pt idx="13">
                  <c:v>0.36077279289389885</c:v>
                </c:pt>
                <c:pt idx="14">
                  <c:v>0.36077529773254408</c:v>
                </c:pt>
                <c:pt idx="15">
                  <c:v>0.36080044220027546</c:v>
                </c:pt>
                <c:pt idx="16">
                  <c:v>0.36104632914746104</c:v>
                </c:pt>
                <c:pt idx="17">
                  <c:v>0.36303105764137994</c:v>
                </c:pt>
                <c:pt idx="18">
                  <c:v>0.36808177298075478</c:v>
                </c:pt>
                <c:pt idx="19">
                  <c:v>0.37337068078846036</c:v>
                </c:pt>
                <c:pt idx="20">
                  <c:v>0.3785011301535724</c:v>
                </c:pt>
                <c:pt idx="21">
                  <c:v>0.3809584420082533</c:v>
                </c:pt>
                <c:pt idx="22">
                  <c:v>0.38013288148894225</c:v>
                </c:pt>
                <c:pt idx="23">
                  <c:v>0.37957977179592961</c:v>
                </c:pt>
                <c:pt idx="24">
                  <c:v>0.37967610113491412</c:v>
                </c:pt>
                <c:pt idx="25">
                  <c:v>0.38007223488822078</c:v>
                </c:pt>
                <c:pt idx="26">
                  <c:v>0.38143371375107804</c:v>
                </c:pt>
                <c:pt idx="27">
                  <c:v>0.3832566389252276</c:v>
                </c:pt>
                <c:pt idx="28">
                  <c:v>0.38666528511436832</c:v>
                </c:pt>
                <c:pt idx="29">
                  <c:v>0.39159123749561497</c:v>
                </c:pt>
                <c:pt idx="30">
                  <c:v>0.39884466140666064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0.36034330192910802</c:v>
                </c:pt>
                <c:pt idx="1">
                  <c:v>0.36035794624300349</c:v>
                </c:pt>
                <c:pt idx="2">
                  <c:v>0.36035802072368178</c:v>
                </c:pt>
                <c:pt idx="3">
                  <c:v>0.36035808428868132</c:v>
                </c:pt>
                <c:pt idx="4">
                  <c:v>0.36035811261057327</c:v>
                </c:pt>
                <c:pt idx="5">
                  <c:v>0.36035812374678278</c:v>
                </c:pt>
                <c:pt idx="6">
                  <c:v>0.36035812576326737</c:v>
                </c:pt>
                <c:pt idx="7">
                  <c:v>0.36035813593677452</c:v>
                </c:pt>
                <c:pt idx="8">
                  <c:v>0.36035811760624514</c:v>
                </c:pt>
                <c:pt idx="9">
                  <c:v>0.36035812269299844</c:v>
                </c:pt>
                <c:pt idx="10">
                  <c:v>0.36035814304001162</c:v>
                </c:pt>
                <c:pt idx="11">
                  <c:v>0.36035822836991183</c:v>
                </c:pt>
                <c:pt idx="12">
                  <c:v>0.36035913464067154</c:v>
                </c:pt>
                <c:pt idx="13">
                  <c:v>0.36036820517082785</c:v>
                </c:pt>
                <c:pt idx="14">
                  <c:v>0.36045809300748322</c:v>
                </c:pt>
                <c:pt idx="15">
                  <c:v>0.36128752630445571</c:v>
                </c:pt>
                <c:pt idx="16">
                  <c:v>0.36549577902897135</c:v>
                </c:pt>
                <c:pt idx="17">
                  <c:v>0.37053284467454167</c:v>
                </c:pt>
                <c:pt idx="18">
                  <c:v>0.37560725877333956</c:v>
                </c:pt>
                <c:pt idx="19">
                  <c:v>0.378942421586901</c:v>
                </c:pt>
                <c:pt idx="20">
                  <c:v>0.37883927370483844</c:v>
                </c:pt>
                <c:pt idx="21">
                  <c:v>0.37802082434975703</c:v>
                </c:pt>
                <c:pt idx="22">
                  <c:v>0.37813806734105387</c:v>
                </c:pt>
                <c:pt idx="23">
                  <c:v>0.37869505680899296</c:v>
                </c:pt>
                <c:pt idx="24">
                  <c:v>0.37986015531125017</c:v>
                </c:pt>
                <c:pt idx="25">
                  <c:v>0.38162361900152603</c:v>
                </c:pt>
                <c:pt idx="26">
                  <c:v>0.38426244971585954</c:v>
                </c:pt>
                <c:pt idx="27">
                  <c:v>0.38851043724304701</c:v>
                </c:pt>
                <c:pt idx="28">
                  <c:v>0.39466206083438088</c:v>
                </c:pt>
                <c:pt idx="29">
                  <c:v>0.4042193572787377</c:v>
                </c:pt>
                <c:pt idx="30">
                  <c:v>0.41966918952985927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0.36007959993361766</c:v>
                </c:pt>
                <c:pt idx="1">
                  <c:v>0.36009455957426084</c:v>
                </c:pt>
                <c:pt idx="2">
                  <c:v>0.36009465848176681</c:v>
                </c:pt>
                <c:pt idx="3">
                  <c:v>0.36009471716051339</c:v>
                </c:pt>
                <c:pt idx="4">
                  <c:v>0.36009474551214277</c:v>
                </c:pt>
                <c:pt idx="5">
                  <c:v>0.36009475665284973</c:v>
                </c:pt>
                <c:pt idx="6">
                  <c:v>0.36009475867624846</c:v>
                </c:pt>
                <c:pt idx="7">
                  <c:v>0.36009476881726538</c:v>
                </c:pt>
                <c:pt idx="8">
                  <c:v>0.36009477084066338</c:v>
                </c:pt>
                <c:pt idx="9">
                  <c:v>0.36009486410915376</c:v>
                </c:pt>
                <c:pt idx="10">
                  <c:v>0.36009570449829092</c:v>
                </c:pt>
                <c:pt idx="11">
                  <c:v>0.36010412635753059</c:v>
                </c:pt>
                <c:pt idx="12">
                  <c:v>0.36018776081587062</c:v>
                </c:pt>
                <c:pt idx="13">
                  <c:v>0.36096327323430338</c:v>
                </c:pt>
                <c:pt idx="14">
                  <c:v>0.36504682055873694</c:v>
                </c:pt>
                <c:pt idx="15">
                  <c:v>0.37010785358354592</c:v>
                </c:pt>
                <c:pt idx="16">
                  <c:v>0.37582354135732149</c:v>
                </c:pt>
                <c:pt idx="17">
                  <c:v>0.3822597308778426</c:v>
                </c:pt>
                <c:pt idx="18">
                  <c:v>0.38615340361220812</c:v>
                </c:pt>
                <c:pt idx="19">
                  <c:v>0.38663081927070042</c:v>
                </c:pt>
                <c:pt idx="20">
                  <c:v>0.38556651515378187</c:v>
                </c:pt>
                <c:pt idx="21">
                  <c:v>0.38438805099394219</c:v>
                </c:pt>
                <c:pt idx="22">
                  <c:v>0.38410195379942486</c:v>
                </c:pt>
                <c:pt idx="23">
                  <c:v>0.38495742886912027</c:v>
                </c:pt>
                <c:pt idx="24">
                  <c:v>0.38717310045239967</c:v>
                </c:pt>
                <c:pt idx="25">
                  <c:v>0.39139655377079169</c:v>
                </c:pt>
                <c:pt idx="26">
                  <c:v>0.39742728952438633</c:v>
                </c:pt>
                <c:pt idx="27">
                  <c:v>0.40676609759606197</c:v>
                </c:pt>
                <c:pt idx="28">
                  <c:v>0.42195974426244331</c:v>
                </c:pt>
                <c:pt idx="29">
                  <c:v>0.44008362411093732</c:v>
                </c:pt>
                <c:pt idx="30">
                  <c:v>0.45697800093866831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0.35981245441786447</c:v>
                </c:pt>
                <c:pt idx="1">
                  <c:v>0.35982775903286135</c:v>
                </c:pt>
                <c:pt idx="2">
                  <c:v>0.35982785389671706</c:v>
                </c:pt>
                <c:pt idx="3">
                  <c:v>0.35982791277388299</c:v>
                </c:pt>
                <c:pt idx="4">
                  <c:v>0.35982794115380251</c:v>
                </c:pt>
                <c:pt idx="5">
                  <c:v>0.3598279674599853</c:v>
                </c:pt>
                <c:pt idx="6">
                  <c:v>0.35982804231801491</c:v>
                </c:pt>
                <c:pt idx="7">
                  <c:v>0.3598287927957996</c:v>
                </c:pt>
                <c:pt idx="8">
                  <c:v>0.35983629328050659</c:v>
                </c:pt>
                <c:pt idx="9">
                  <c:v>0.35991086948130546</c:v>
                </c:pt>
                <c:pt idx="10">
                  <c:v>0.36060759081103017</c:v>
                </c:pt>
                <c:pt idx="11">
                  <c:v>0.36448830450349007</c:v>
                </c:pt>
                <c:pt idx="12">
                  <c:v>0.36949596178055943</c:v>
                </c:pt>
                <c:pt idx="13">
                  <c:v>0.37518023115112409</c:v>
                </c:pt>
                <c:pt idx="14">
                  <c:v>0.38217742453001313</c:v>
                </c:pt>
                <c:pt idx="15">
                  <c:v>0.38988561025902041</c:v>
                </c:pt>
                <c:pt idx="16">
                  <c:v>0.3987869017344845</c:v>
                </c:pt>
                <c:pt idx="17">
                  <c:v>0.40657534762972719</c:v>
                </c:pt>
                <c:pt idx="18">
                  <c:v>0.40761974612266944</c:v>
                </c:pt>
                <c:pt idx="19">
                  <c:v>0.40395769813812726</c:v>
                </c:pt>
                <c:pt idx="20">
                  <c:v>0.40049611149866071</c:v>
                </c:pt>
                <c:pt idx="21">
                  <c:v>0.39952771666618203</c:v>
                </c:pt>
                <c:pt idx="22">
                  <c:v>0.40249532381574127</c:v>
                </c:pt>
                <c:pt idx="23">
                  <c:v>0.40835872198177181</c:v>
                </c:pt>
                <c:pt idx="24">
                  <c:v>0.41756908741558713</c:v>
                </c:pt>
                <c:pt idx="25">
                  <c:v>0.43228462532847456</c:v>
                </c:pt>
                <c:pt idx="26">
                  <c:v>0.44944640832174404</c:v>
                </c:pt>
                <c:pt idx="27">
                  <c:v>0.46486088631074041</c:v>
                </c:pt>
                <c:pt idx="28">
                  <c:v>0.47751130507142042</c:v>
                </c:pt>
                <c:pt idx="29">
                  <c:v>0.48303823899388809</c:v>
                </c:pt>
                <c:pt idx="30">
                  <c:v>0.48298510604595052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0.35948725403130255</c:v>
                </c:pt>
                <c:pt idx="1">
                  <c:v>0.35950314980870418</c:v>
                </c:pt>
                <c:pt idx="2">
                  <c:v>0.35950523876912627</c:v>
                </c:pt>
                <c:pt idx="3">
                  <c:v>0.35952503372311995</c:v>
                </c:pt>
                <c:pt idx="4">
                  <c:v>0.35971877859745266</c:v>
                </c:pt>
                <c:pt idx="5">
                  <c:v>0.36134311585472129</c:v>
                </c:pt>
                <c:pt idx="6">
                  <c:v>0.3661764362691331</c:v>
                </c:pt>
                <c:pt idx="7">
                  <c:v>0.37137588933926702</c:v>
                </c:pt>
                <c:pt idx="8">
                  <c:v>0.37754390267552423</c:v>
                </c:pt>
                <c:pt idx="9">
                  <c:v>0.38508679341874646</c:v>
                </c:pt>
                <c:pt idx="10">
                  <c:v>0.39316898307631853</c:v>
                </c:pt>
                <c:pt idx="11">
                  <c:v>0.40389726276124766</c:v>
                </c:pt>
                <c:pt idx="12">
                  <c:v>0.4165064126240301</c:v>
                </c:pt>
                <c:pt idx="13">
                  <c:v>0.42985855321235655</c:v>
                </c:pt>
                <c:pt idx="14">
                  <c:v>0.44536092035938063</c:v>
                </c:pt>
                <c:pt idx="15">
                  <c:v>0.4624481234972439</c:v>
                </c:pt>
                <c:pt idx="16">
                  <c:v>0.48039075532798176</c:v>
                </c:pt>
                <c:pt idx="17">
                  <c:v>0.49119802487754749</c:v>
                </c:pt>
                <c:pt idx="18">
                  <c:v>0.49746286479478913</c:v>
                </c:pt>
                <c:pt idx="19">
                  <c:v>0.50999228355385806</c:v>
                </c:pt>
                <c:pt idx="20">
                  <c:v>0.53011916843146323</c:v>
                </c:pt>
                <c:pt idx="21">
                  <c:v>0.54383764281084046</c:v>
                </c:pt>
                <c:pt idx="22">
                  <c:v>0.54526102632459827</c:v>
                </c:pt>
                <c:pt idx="23">
                  <c:v>0.53824100953015952</c:v>
                </c:pt>
                <c:pt idx="24">
                  <c:v>0.51997413922012958</c:v>
                </c:pt>
                <c:pt idx="25">
                  <c:v>0.50447018658769671</c:v>
                </c:pt>
                <c:pt idx="26">
                  <c:v>0.49557765281295169</c:v>
                </c:pt>
                <c:pt idx="27">
                  <c:v>0.49303610302077072</c:v>
                </c:pt>
                <c:pt idx="28">
                  <c:v>0.48418241807530432</c:v>
                </c:pt>
                <c:pt idx="29">
                  <c:v>0.48406377463273303</c:v>
                </c:pt>
                <c:pt idx="30">
                  <c:v>0.48134369853869274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0.37888694126783645</c:v>
                </c:pt>
                <c:pt idx="1">
                  <c:v>0.38862667797254569</c:v>
                </c:pt>
                <c:pt idx="2">
                  <c:v>0.39830491134469787</c:v>
                </c:pt>
                <c:pt idx="3">
                  <c:v>0.41011716696403283</c:v>
                </c:pt>
                <c:pt idx="4">
                  <c:v>0.42303450549092125</c:v>
                </c:pt>
                <c:pt idx="5">
                  <c:v>0.4374204494871497</c:v>
                </c:pt>
                <c:pt idx="6">
                  <c:v>0.45425193995295127</c:v>
                </c:pt>
                <c:pt idx="7">
                  <c:v>0.47583559749142595</c:v>
                </c:pt>
                <c:pt idx="8">
                  <c:v>0.50802672786244374</c:v>
                </c:pt>
                <c:pt idx="9">
                  <c:v>0.55481705569880313</c:v>
                </c:pt>
                <c:pt idx="10">
                  <c:v>0.62311995765159445</c:v>
                </c:pt>
                <c:pt idx="11">
                  <c:v>0.72024714166073811</c:v>
                </c:pt>
                <c:pt idx="12">
                  <c:v>0.81944840572156641</c:v>
                </c:pt>
                <c:pt idx="13">
                  <c:v>0.89472311936608828</c:v>
                </c:pt>
                <c:pt idx="14">
                  <c:v>0.94335710117558313</c:v>
                </c:pt>
                <c:pt idx="15">
                  <c:v>0.9583911757902861</c:v>
                </c:pt>
                <c:pt idx="16">
                  <c:v>0.94640564294677398</c:v>
                </c:pt>
                <c:pt idx="17">
                  <c:v>0.91293941123073641</c:v>
                </c:pt>
                <c:pt idx="18">
                  <c:v>0.83455311397634313</c:v>
                </c:pt>
                <c:pt idx="19">
                  <c:v>0.7285927639183728</c:v>
                </c:pt>
                <c:pt idx="20">
                  <c:v>0.63917667185650529</c:v>
                </c:pt>
                <c:pt idx="21">
                  <c:v>0.57790711532695727</c:v>
                </c:pt>
                <c:pt idx="22">
                  <c:v>0.5386129069935689</c:v>
                </c:pt>
                <c:pt idx="23">
                  <c:v>0.51397926906476299</c:v>
                </c:pt>
                <c:pt idx="24">
                  <c:v>0.49843173405458169</c:v>
                </c:pt>
                <c:pt idx="25">
                  <c:v>0.48913303891579824</c:v>
                </c:pt>
                <c:pt idx="26">
                  <c:v>0.48750283692417007</c:v>
                </c:pt>
                <c:pt idx="27">
                  <c:v>0.48236867575488179</c:v>
                </c:pt>
                <c:pt idx="28">
                  <c:v>0.48229778836404746</c:v>
                </c:pt>
                <c:pt idx="29">
                  <c:v>0.48082397264822718</c:v>
                </c:pt>
                <c:pt idx="30">
                  <c:v>0.48078199302055891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0.39233060069735937</c:v>
                </c:pt>
                <c:pt idx="1">
                  <c:v>0.40597346665282347</c:v>
                </c:pt>
                <c:pt idx="2">
                  <c:v>0.41898636417726026</c:v>
                </c:pt>
                <c:pt idx="3">
                  <c:v>0.43281088922423544</c:v>
                </c:pt>
                <c:pt idx="4">
                  <c:v>0.44912640347830879</c:v>
                </c:pt>
                <c:pt idx="5">
                  <c:v>0.4689348191146136</c:v>
                </c:pt>
                <c:pt idx="6">
                  <c:v>0.49856189126823414</c:v>
                </c:pt>
                <c:pt idx="7">
                  <c:v>0.54171656342369212</c:v>
                </c:pt>
                <c:pt idx="8">
                  <c:v>0.60421243665876778</c:v>
                </c:pt>
                <c:pt idx="9">
                  <c:v>0.69534610015651555</c:v>
                </c:pt>
                <c:pt idx="10">
                  <c:v>0.79570910128696104</c:v>
                </c:pt>
                <c:pt idx="11">
                  <c:v>0.87793610555921553</c:v>
                </c:pt>
                <c:pt idx="12">
                  <c:v>0.93476335373171815</c:v>
                </c:pt>
                <c:pt idx="13">
                  <c:v>0.96331157781143395</c:v>
                </c:pt>
                <c:pt idx="14">
                  <c:v>0.96903444381540293</c:v>
                </c:pt>
                <c:pt idx="15">
                  <c:v>0.96155254796303102</c:v>
                </c:pt>
                <c:pt idx="16">
                  <c:v>0.93407994864152366</c:v>
                </c:pt>
                <c:pt idx="17">
                  <c:v>0.87443271250747268</c:v>
                </c:pt>
                <c:pt idx="18">
                  <c:v>0.77355324032895589</c:v>
                </c:pt>
                <c:pt idx="19">
                  <c:v>0.67354571620762527</c:v>
                </c:pt>
                <c:pt idx="20">
                  <c:v>0.60064505880193675</c:v>
                </c:pt>
                <c:pt idx="21">
                  <c:v>0.55305926947281125</c:v>
                </c:pt>
                <c:pt idx="22">
                  <c:v>0.52310775136194199</c:v>
                </c:pt>
                <c:pt idx="23">
                  <c:v>0.50409092526538513</c:v>
                </c:pt>
                <c:pt idx="24">
                  <c:v>0.49241029046196377</c:v>
                </c:pt>
                <c:pt idx="25">
                  <c:v>0.49046885047095923</c:v>
                </c:pt>
                <c:pt idx="26">
                  <c:v>0.48793238130258682</c:v>
                </c:pt>
                <c:pt idx="27">
                  <c:v>0.48125251610496006</c:v>
                </c:pt>
                <c:pt idx="28">
                  <c:v>0.48117498593786245</c:v>
                </c:pt>
                <c:pt idx="29">
                  <c:v>0.48001299983791446</c:v>
                </c:pt>
                <c:pt idx="30">
                  <c:v>0.4800012776744671</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4028376"/>
        <c:axId val="4440326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0283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032688"/>
        <c:crosses val="autoZero"/>
        <c:crossBetween val="midCat"/>
        <c:majorUnit val="10000"/>
      </c:valAx>
      <c:valAx>
        <c:axId val="44403268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028376"/>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4034648"/>
        <c:axId val="4440279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03464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27984"/>
        <c:crosses val="autoZero"/>
        <c:crossBetween val="midCat"/>
        <c:majorUnit val="10000"/>
      </c:valAx>
      <c:valAx>
        <c:axId val="44402798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34648"/>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5.1156457225314362E-5</c:v>
                </c:pt>
                <c:pt idx="1">
                  <c:v>4.2804881042918809E-5</c:v>
                </c:pt>
                <c:pt idx="2">
                  <c:v>4.5094444632820016E-5</c:v>
                </c:pt>
                <c:pt idx="3">
                  <c:v>1.9740393254759815E-5</c:v>
                </c:pt>
                <c:pt idx="4">
                  <c:v>1.9993085915518774E-4</c:v>
                </c:pt>
                <c:pt idx="5">
                  <c:v>4.5930359479836221E-5</c:v>
                </c:pt>
                <c:pt idx="6">
                  <c:v>2.6096333268115096E-6</c:v>
                </c:pt>
                <c:pt idx="7">
                  <c:v>1.1498449467020584E-5</c:v>
                </c:pt>
                <c:pt idx="8">
                  <c:v>3.2298232999951528E-5</c:v>
                </c:pt>
                <c:pt idx="9">
                  <c:v>6.8339836461226209E-5</c:v>
                </c:pt>
                <c:pt idx="10">
                  <c:v>1.2124120712710884E-4</c:v>
                </c:pt>
                <c:pt idx="11">
                  <c:v>1.8503960055676742E-4</c:v>
                </c:pt>
                <c:pt idx="12">
                  <c:v>2.4182562488531294E-4</c:v>
                </c:pt>
                <c:pt idx="13">
                  <c:v>2.6969161069538642E-4</c:v>
                </c:pt>
                <c:pt idx="14">
                  <c:v>2.5923513188927443E-4</c:v>
                </c:pt>
                <c:pt idx="15">
                  <c:v>2.1552448920512918E-4</c:v>
                </c:pt>
                <c:pt idx="16">
                  <c:v>1.6052501168358307E-4</c:v>
                </c:pt>
                <c:pt idx="17">
                  <c:v>1.115543597462643E-4</c:v>
                </c:pt>
                <c:pt idx="18">
                  <c:v>7.3380202656222687E-5</c:v>
                </c:pt>
                <c:pt idx="19">
                  <c:v>4.7765849761802205E-5</c:v>
                </c:pt>
                <c:pt idx="20">
                  <c:v>3.32216666868991E-5</c:v>
                </c:pt>
                <c:pt idx="21">
                  <c:v>2.8652922137003349E-5</c:v>
                </c:pt>
                <c:pt idx="22">
                  <c:v>5.9934715642135516E-5</c:v>
                </c:pt>
                <c:pt idx="23">
                  <c:v>1.8439669757121276E-4</c:v>
                </c:pt>
                <c:pt idx="24">
                  <c:v>3.4626579817549516E-4</c:v>
                </c:pt>
                <c:pt idx="25">
                  <c:v>5.0139758493959502E-4</c:v>
                </c:pt>
                <c:pt idx="26">
                  <c:v>6.8145469299666132E-4</c:v>
                </c:pt>
                <c:pt idx="27">
                  <c:v>9.3050538871696734E-4</c:v>
                </c:pt>
                <c:pt idx="28">
                  <c:v>1.2929230559726224E-3</c:v>
                </c:pt>
                <c:pt idx="29">
                  <c:v>1.3356350109058211E-3</c:v>
                </c:pt>
                <c:pt idx="30">
                  <c:v>6.2009975446184319E-4</c:v>
                </c:pt>
              </c:numCache>
            </c:numRef>
          </c:yVal>
          <c:smooth val="1"/>
        </c:ser>
        <c:dLbls>
          <c:showLegendKey val="0"/>
          <c:showVal val="0"/>
          <c:showCatName val="0"/>
          <c:showSerName val="0"/>
          <c:showPercent val="0"/>
          <c:showBubbleSize val="0"/>
        </c:dLbls>
        <c:axId val="444029160"/>
        <c:axId val="444029944"/>
      </c:scatterChart>
      <c:valAx>
        <c:axId val="4440291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29944"/>
        <c:crossesAt val="-1.5000000000000005E-3"/>
        <c:crossBetween val="midCat"/>
      </c:valAx>
      <c:valAx>
        <c:axId val="44402994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2916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6479.4173945203111</c:v>
                </c:pt>
                <c:pt idx="1">
                  <c:v>6479.4098224930394</c:v>
                </c:pt>
                <c:pt idx="2">
                  <c:v>6479.3341469977386</c:v>
                </c:pt>
                <c:pt idx="3">
                  <c:v>6478.5818432109809</c:v>
                </c:pt>
                <c:pt idx="4">
                  <c:v>6471.4785465571667</c:v>
                </c:pt>
                <c:pt idx="5">
                  <c:v>6425.6175200356038</c:v>
                </c:pt>
                <c:pt idx="6">
                  <c:v>6280.1208683889499</c:v>
                </c:pt>
                <c:pt idx="7">
                  <c:v>6130.6746241219416</c:v>
                </c:pt>
                <c:pt idx="8">
                  <c:v>5959.6523788731929</c:v>
                </c:pt>
                <c:pt idx="9">
                  <c:v>5758.2385072650131</c:v>
                </c:pt>
                <c:pt idx="10">
                  <c:v>5554.3841101126818</c:v>
                </c:pt>
                <c:pt idx="11">
                  <c:v>5295.2360373201445</c:v>
                </c:pt>
                <c:pt idx="12">
                  <c:v>5015.5630964993961</c:v>
                </c:pt>
                <c:pt idx="13">
                  <c:v>4736.4306946254346</c:v>
                </c:pt>
                <c:pt idx="14">
                  <c:v>4439.7769128197897</c:v>
                </c:pt>
                <c:pt idx="15">
                  <c:v>4114.4760224463907</c:v>
                </c:pt>
                <c:pt idx="16">
                  <c:v>3663.1765450388234</c:v>
                </c:pt>
                <c:pt idx="17">
                  <c:v>3039.432542847569</c:v>
                </c:pt>
                <c:pt idx="18">
                  <c:v>2356.6908091986825</c:v>
                </c:pt>
                <c:pt idx="19">
                  <c:v>1664.5297615424545</c:v>
                </c:pt>
                <c:pt idx="20">
                  <c:v>1039.9560035477971</c:v>
                </c:pt>
                <c:pt idx="21">
                  <c:v>595.87814759475407</c:v>
                </c:pt>
                <c:pt idx="22">
                  <c:v>331.73689354379809</c:v>
                </c:pt>
                <c:pt idx="23">
                  <c:v>192.69150907064895</c:v>
                </c:pt>
                <c:pt idx="24">
                  <c:v>148.94455539923553</c:v>
                </c:pt>
                <c:pt idx="25">
                  <c:v>134.05405221959603</c:v>
                </c:pt>
                <c:pt idx="26">
                  <c:v>124.98717582100117</c:v>
                </c:pt>
                <c:pt idx="27">
                  <c:v>124.52409237864396</c:v>
                </c:pt>
                <c:pt idx="28">
                  <c:v>124.05519369270712</c:v>
                </c:pt>
                <c:pt idx="29">
                  <c:v>123.71773904314418</c:v>
                </c:pt>
                <c:pt idx="30">
                  <c:v>123.55128956685287</c:v>
                </c:pt>
              </c:numCache>
            </c:numRef>
          </c:yVal>
          <c:smooth val="1"/>
        </c:ser>
        <c:dLbls>
          <c:showLegendKey val="0"/>
          <c:showVal val="0"/>
          <c:showCatName val="0"/>
          <c:showSerName val="0"/>
          <c:showPercent val="0"/>
          <c:showBubbleSize val="0"/>
        </c:dLbls>
        <c:axId val="444031120"/>
        <c:axId val="396062344"/>
      </c:scatterChart>
      <c:valAx>
        <c:axId val="4440311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6062344"/>
        <c:crosses val="autoZero"/>
        <c:crossBetween val="midCat"/>
      </c:valAx>
      <c:valAx>
        <c:axId val="3960623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3112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7.6131759767981578E-3</c:v>
                </c:pt>
                <c:pt idx="1">
                  <c:v>7.6217572456709817E-3</c:v>
                </c:pt>
                <c:pt idx="2">
                  <c:v>7.6178132237081234E-3</c:v>
                </c:pt>
                <c:pt idx="3">
                  <c:v>7.6284808584345101E-3</c:v>
                </c:pt>
                <c:pt idx="4">
                  <c:v>7.7489829626393395E-3</c:v>
                </c:pt>
                <c:pt idx="5">
                  <c:v>8.8460809758141665E-3</c:v>
                </c:pt>
                <c:pt idx="6">
                  <c:v>1.3489996443375445E-2</c:v>
                </c:pt>
                <c:pt idx="7">
                  <c:v>1.4409616304745305E-2</c:v>
                </c:pt>
                <c:pt idx="8">
                  <c:v>1.440961654912378E-2</c:v>
                </c:pt>
                <c:pt idx="9">
                  <c:v>1.44096188528913E-2</c:v>
                </c:pt>
                <c:pt idx="10">
                  <c:v>1.4409638188014558E-2</c:v>
                </c:pt>
                <c:pt idx="11">
                  <c:v>1.4409827834009835E-2</c:v>
                </c:pt>
                <c:pt idx="12">
                  <c:v>1.4412053546253134E-2</c:v>
                </c:pt>
                <c:pt idx="13">
                  <c:v>1.4433968754763391E-2</c:v>
                </c:pt>
                <c:pt idx="14">
                  <c:v>1.4650421934995227E-2</c:v>
                </c:pt>
                <c:pt idx="15">
                  <c:v>1.6576046040650598E-2</c:v>
                </c:pt>
                <c:pt idx="16">
                  <c:v>2.5981087351759077E-2</c:v>
                </c:pt>
                <c:pt idx="17">
                  <c:v>4.2509380312216898E-2</c:v>
                </c:pt>
                <c:pt idx="18">
                  <c:v>4.3438853103205492E-2</c:v>
                </c:pt>
                <c:pt idx="19">
                  <c:v>4.8225294074050906E-2</c:v>
                </c:pt>
                <c:pt idx="20">
                  <c:v>4.6053809835978628E-2</c:v>
                </c:pt>
                <c:pt idx="21">
                  <c:v>1.4602150916419887E-2</c:v>
                </c:pt>
                <c:pt idx="22">
                  <c:v>2.52868508968817E-2</c:v>
                </c:pt>
                <c:pt idx="23">
                  <c:v>7.4643194609123054E-2</c:v>
                </c:pt>
                <c:pt idx="24">
                  <c:v>0.11329077581262721</c:v>
                </c:pt>
                <c:pt idx="25">
                  <c:v>0.13467030713285075</c:v>
                </c:pt>
                <c:pt idx="26">
                  <c:v>0.13707072098787862</c:v>
                </c:pt>
                <c:pt idx="27">
                  <c:v>7.9839517474721164E-2</c:v>
                </c:pt>
                <c:pt idx="28">
                  <c:v>1.3615030379580057E-2</c:v>
                </c:pt>
                <c:pt idx="29">
                  <c:v>0.12670018875375577</c:v>
                </c:pt>
                <c:pt idx="30">
                  <c:v>0.25690949524561746</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2.9779870266006992E-3</c:v>
                </c:pt>
                <c:pt idx="1">
                  <c:v>3.7801455122298466E-3</c:v>
                </c:pt>
                <c:pt idx="2">
                  <c:v>3.7750918201479625E-3</c:v>
                </c:pt>
                <c:pt idx="3">
                  <c:v>3.7735911072817913E-3</c:v>
                </c:pt>
                <c:pt idx="4">
                  <c:v>3.7731423057423127E-3</c:v>
                </c:pt>
                <c:pt idx="5">
                  <c:v>3.7732232026626814E-3</c:v>
                </c:pt>
                <c:pt idx="6">
                  <c:v>3.7753277359235437E-3</c:v>
                </c:pt>
                <c:pt idx="7">
                  <c:v>3.7970446141489672E-3</c:v>
                </c:pt>
                <c:pt idx="8">
                  <c:v>4.0111643301799817E-3</c:v>
                </c:pt>
                <c:pt idx="9">
                  <c:v>5.8764235897998769E-3</c:v>
                </c:pt>
                <c:pt idx="10">
                  <c:v>1.3817728673078958E-2</c:v>
                </c:pt>
                <c:pt idx="11">
                  <c:v>2.1459185753008585E-2</c:v>
                </c:pt>
                <c:pt idx="12">
                  <c:v>2.2801959592540232E-2</c:v>
                </c:pt>
                <c:pt idx="13">
                  <c:v>2.7523526007474968E-2</c:v>
                </c:pt>
                <c:pt idx="14">
                  <c:v>3.1800360018461274E-2</c:v>
                </c:pt>
                <c:pt idx="15">
                  <c:v>3.4452553247909967E-2</c:v>
                </c:pt>
                <c:pt idx="16">
                  <c:v>4.3616645024908224E-2</c:v>
                </c:pt>
                <c:pt idx="17">
                  <c:v>2.9482377043788113E-2</c:v>
                </c:pt>
                <c:pt idx="18">
                  <c:v>1.0279919921213092E-2</c:v>
                </c:pt>
                <c:pt idx="19">
                  <c:v>5.9031129092098421E-2</c:v>
                </c:pt>
                <c:pt idx="20">
                  <c:v>9.2092855065850757E-2</c:v>
                </c:pt>
                <c:pt idx="21">
                  <c:v>6.7450243004499172E-2</c:v>
                </c:pt>
                <c:pt idx="22">
                  <c:v>7.3315699874072805E-3</c:v>
                </c:pt>
                <c:pt idx="23">
                  <c:v>7.5622368102670312E-2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5.1156462264738142E-5</c:v>
                </c:pt>
                <c:pt idx="1">
                  <c:v>4.2804931432583459E-5</c:v>
                </c:pt>
                <c:pt idx="2">
                  <c:v>4.5094947995219948E-5</c:v>
                </c:pt>
                <c:pt idx="3">
                  <c:v>1.9745373643413947E-5</c:v>
                </c:pt>
                <c:pt idx="4">
                  <c:v>1.9988593624194008E-4</c:v>
                </c:pt>
                <c:pt idx="5">
                  <c:v>4.6149760551832343E-5</c:v>
                </c:pt>
                <c:pt idx="6">
                  <c:v>2.1248080534506049E-6</c:v>
                </c:pt>
                <c:pt idx="7">
                  <c:v>1.103843215154689E-5</c:v>
                </c:pt>
                <c:pt idx="8">
                  <c:v>3.2891970868719661E-5</c:v>
                </c:pt>
                <c:pt idx="9">
                  <c:v>6.7643870947901448E-5</c:v>
                </c:pt>
                <c:pt idx="10">
                  <c:v>1.2195502138705744E-4</c:v>
                </c:pt>
                <c:pt idx="11">
                  <c:v>1.8399041322981845E-4</c:v>
                </c:pt>
                <c:pt idx="12">
                  <c:v>2.4279960678090062E-4</c:v>
                </c:pt>
                <c:pt idx="13">
                  <c:v>2.6858749022968105E-4</c:v>
                </c:pt>
                <c:pt idx="14">
                  <c:v>2.6041154765923502E-4</c:v>
                </c:pt>
                <c:pt idx="15">
                  <c:v>2.1404920915645901E-4</c:v>
                </c:pt>
                <c:pt idx="16">
                  <c:v>1.631186216761931E-4</c:v>
                </c:pt>
                <c:pt idx="17">
                  <c:v>1.0814578848052476E-4</c:v>
                </c:pt>
                <c:pt idx="18">
                  <c:v>7.7828661857904123E-5</c:v>
                </c:pt>
                <c:pt idx="19">
                  <c:v>4.1897375272298421E-5</c:v>
                </c:pt>
                <c:pt idx="20">
                  <c:v>4.0544294672102925E-5</c:v>
                </c:pt>
                <c:pt idx="21">
                  <c:v>2.1456423745326445E-5</c:v>
                </c:pt>
                <c:pt idx="22">
                  <c:v>7.2319388528162005E-5</c:v>
                </c:pt>
                <c:pt idx="23">
                  <c:v>1.7650734984696697E-4</c:v>
                </c:pt>
                <c:pt idx="24">
                  <c:v>3.4745035057011392E-4</c:v>
                </c:pt>
                <c:pt idx="25">
                  <c:v>4.9891119633011405E-4</c:v>
                </c:pt>
                <c:pt idx="26">
                  <c:v>6.8158111895881275E-4</c:v>
                </c:pt>
                <c:pt idx="27">
                  <c:v>9.3048067188942173E-4</c:v>
                </c:pt>
                <c:pt idx="28">
                  <c:v>1.2930239060187595E-3</c:v>
                </c:pt>
                <c:pt idx="29">
                  <c:v>1.3356288305038672E-3</c:v>
                </c:pt>
                <c:pt idx="30">
                  <c:v>6.2015529141877719E-4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4.9202602564638303E-3</c:v>
                </c:pt>
                <c:pt idx="1">
                  <c:v>1.377174228879253E-2</c:v>
                </c:pt>
                <c:pt idx="2">
                  <c:v>1.7161529748859799E-2</c:v>
                </c:pt>
                <c:pt idx="3">
                  <c:v>1.7115609409647219E-2</c:v>
                </c:pt>
                <c:pt idx="4">
                  <c:v>1.9768566944659949E-2</c:v>
                </c:pt>
                <c:pt idx="5">
                  <c:v>2.0212192687473419E-2</c:v>
                </c:pt>
                <c:pt idx="6">
                  <c:v>5.9541006579929339E-3</c:v>
                </c:pt>
                <c:pt idx="7">
                  <c:v>2.1835710326397129E-2</c:v>
                </c:pt>
                <c:pt idx="8">
                  <c:v>4.2997495850587701E-2</c:v>
                </c:pt>
                <c:pt idx="9">
                  <c:v>2.7465219001452209E-2</c:v>
                </c:pt>
                <c:pt idx="10">
                  <c:v>1.1680614544125587E-2</c:v>
                </c:pt>
                <c:pt idx="11">
                  <c:v>1.3324109812534131E-2</c:v>
                </c:pt>
                <c:pt idx="12">
                  <c:v>5.1478927369109424E-2</c:v>
                </c:pt>
                <c:pt idx="13">
                  <c:v>0.10354989938578266</c:v>
                </c:pt>
                <c:pt idx="14">
                  <c:v>9.9246910199989602E-2</c:v>
                </c:pt>
                <c:pt idx="15">
                  <c:v>0.12074093931864693</c:v>
                </c:pt>
                <c:pt idx="16">
                  <c:v>0.1217031955547327</c:v>
                </c:pt>
                <c:pt idx="17">
                  <c:v>0.11247149874076057</c:v>
                </c:pt>
                <c:pt idx="18">
                  <c:v>9.6593505778609673E-2</c:v>
                </c:pt>
                <c:pt idx="19">
                  <c:v>7.4017507865963339E-2</c:v>
                </c:pt>
                <c:pt idx="20">
                  <c:v>5.4986263579888249E-2</c:v>
                </c:pt>
                <c:pt idx="21">
                  <c:v>4.9039856120488355E-2</c:v>
                </c:pt>
                <c:pt idx="22">
                  <c:v>4.0507695723606678E-2</c:v>
                </c:pt>
                <c:pt idx="23">
                  <c:v>3.2528608009284123E-2</c:v>
                </c:pt>
                <c:pt idx="24">
                  <c:v>2.6590651702006161E-2</c:v>
                </c:pt>
                <c:pt idx="25">
                  <c:v>2.5491009544066211E-2</c:v>
                </c:pt>
                <c:pt idx="26">
                  <c:v>2.3938552679086893E-2</c:v>
                </c:pt>
                <c:pt idx="27">
                  <c:v>1.736294797357012E-2</c:v>
                </c:pt>
                <c:pt idx="28">
                  <c:v>1.7257580243206862E-2</c:v>
                </c:pt>
                <c:pt idx="29">
                  <c:v>1.3733700867729621E-2</c:v>
                </c:pt>
                <c:pt idx="30">
                  <c:v>1.3642369641701716E-2</c:v>
                </c:pt>
              </c:numCache>
            </c:numRef>
          </c:yVal>
          <c:smooth val="1"/>
        </c:ser>
        <c:dLbls>
          <c:showLegendKey val="0"/>
          <c:showVal val="0"/>
          <c:showCatName val="0"/>
          <c:showSerName val="0"/>
          <c:showPercent val="0"/>
          <c:showBubbleSize val="0"/>
        </c:dLbls>
        <c:axId val="443681448"/>
        <c:axId val="443677136"/>
      </c:scatterChart>
      <c:valAx>
        <c:axId val="4436814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77136"/>
        <c:crossesAt val="1.0000000000000005E-9"/>
        <c:crossBetween val="midCat"/>
      </c:valAx>
      <c:valAx>
        <c:axId val="443677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8144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-24.635271452940994</c:v>
                </c:pt>
                <c:pt idx="1">
                  <c:v>-21.515325340007891</c:v>
                </c:pt>
                <c:pt idx="2">
                  <c:v>-17.30798424296643</c:v>
                </c:pt>
                <c:pt idx="3">
                  <c:v>-10.743895843593299</c:v>
                </c:pt>
                <c:pt idx="4">
                  <c:v>0</c:v>
                </c:pt>
                <c:pt idx="5">
                  <c:v>19.380392094928641</c:v>
                </c:pt>
                <c:pt idx="6">
                  <c:v>23.582578516418124</c:v>
                </c:pt>
              </c:numCache>
            </c:numRef>
          </c:yVal>
          <c:smooth val="0"/>
        </c:ser>
        <c:dLbls>
          <c:showLegendKey val="0"/>
          <c:showVal val="0"/>
          <c:showCatName val="0"/>
          <c:showSerName val="0"/>
          <c:showPercent val="0"/>
          <c:showBubbleSize val="0"/>
        </c:dLbls>
        <c:axId val="443679880"/>
        <c:axId val="443680272"/>
      </c:scatterChart>
      <c:valAx>
        <c:axId val="4436798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80272"/>
        <c:crossesAt val="-100"/>
        <c:crossBetween val="midCat"/>
      </c:valAx>
      <c:valAx>
        <c:axId val="443680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7988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ser>
        <c:dLbls>
          <c:showLegendKey val="0"/>
          <c:showVal val="0"/>
          <c:showCatName val="0"/>
          <c:showSerName val="0"/>
          <c:showPercent val="0"/>
          <c:showBubbleSize val="0"/>
        </c:dLbls>
        <c:axId val="443682624"/>
        <c:axId val="443681056"/>
      </c:scatterChart>
      <c:valAx>
        <c:axId val="44368262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81056"/>
        <c:crosses val="autoZero"/>
        <c:crossBetween val="midCat"/>
      </c:valAx>
      <c:valAx>
        <c:axId val="44368105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8262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2.0000347791695201E-26</c:v>
                </c:pt>
                <c:pt idx="1">
                  <c:v>2.0000347791695199E-25</c:v>
                </c:pt>
                <c:pt idx="2">
                  <c:v>2.00003477916952E-24</c:v>
                </c:pt>
                <c:pt idx="3">
                  <c:v>2.0000347791695199E-23</c:v>
                </c:pt>
                <c:pt idx="4">
                  <c:v>2.0000347791695197E-22</c:v>
                </c:pt>
                <c:pt idx="5">
                  <c:v>2.0000347791695201E-21</c:v>
                </c:pt>
                <c:pt idx="6">
                  <c:v>2.0000347791695201E-20</c:v>
                </c:pt>
                <c:pt idx="7">
                  <c:v>2.00003477916952E-19</c:v>
                </c:pt>
                <c:pt idx="8">
                  <c:v>2.0000347791695199E-18</c:v>
                </c:pt>
                <c:pt idx="9">
                  <c:v>2.0000347791695199E-17</c:v>
                </c:pt>
                <c:pt idx="10">
                  <c:v>2.00003477916952E-16</c:v>
                </c:pt>
                <c:pt idx="11">
                  <c:v>2.0000347791695202E-15</c:v>
                </c:pt>
                <c:pt idx="12">
                  <c:v>2.0000347791695201E-14</c:v>
                </c:pt>
                <c:pt idx="13">
                  <c:v>2.00003477916952E-13</c:v>
                </c:pt>
                <c:pt idx="14">
                  <c:v>2.00003477916952E-12</c:v>
                </c:pt>
                <c:pt idx="15">
                  <c:v>2.00003477916952E-11</c:v>
                </c:pt>
                <c:pt idx="16">
                  <c:v>2.0000347791695198E-10</c:v>
                </c:pt>
                <c:pt idx="17">
                  <c:v>2.0000347791695197E-9</c:v>
                </c:pt>
                <c:pt idx="18">
                  <c:v>2.0000347791695198E-8</c:v>
                </c:pt>
                <c:pt idx="19">
                  <c:v>2.00003477916952E-7</c:v>
                </c:pt>
                <c:pt idx="20">
                  <c:v>2.0000347791695201E-6</c:v>
                </c:pt>
                <c:pt idx="21">
                  <c:v>2.0000347791695198E-5</c:v>
                </c:pt>
                <c:pt idx="22">
                  <c:v>2.00003477916952E-4</c:v>
                </c:pt>
                <c:pt idx="23">
                  <c:v>2.0000347791695201E-3</c:v>
                </c:pt>
                <c:pt idx="24">
                  <c:v>2.0000347791695201E-2</c:v>
                </c:pt>
                <c:pt idx="25">
                  <c:v>0.200003477916952</c:v>
                </c:pt>
                <c:pt idx="26">
                  <c:v>2.0000347791695199</c:v>
                </c:pt>
                <c:pt idx="27">
                  <c:v>20.000347791695198</c:v>
                </c:pt>
                <c:pt idx="28">
                  <c:v>200.00347791695199</c:v>
                </c:pt>
                <c:pt idx="29">
                  <c:v>2000.0347791695199</c:v>
                </c:pt>
                <c:pt idx="30">
                  <c:v>20000.3477916952</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4.5291106237996045E-25</c:v>
                </c:pt>
                <c:pt idx="1">
                  <c:v>4.5291106237996045E-24</c:v>
                </c:pt>
                <c:pt idx="2">
                  <c:v>4.5291106237996048E-23</c:v>
                </c:pt>
                <c:pt idx="3">
                  <c:v>4.5291106237996048E-22</c:v>
                </c:pt>
                <c:pt idx="4">
                  <c:v>4.5291106237996042E-21</c:v>
                </c:pt>
                <c:pt idx="5">
                  <c:v>4.5291106237996045E-20</c:v>
                </c:pt>
                <c:pt idx="6">
                  <c:v>4.5291106237996045E-19</c:v>
                </c:pt>
                <c:pt idx="7">
                  <c:v>4.5291106237996045E-18</c:v>
                </c:pt>
                <c:pt idx="8">
                  <c:v>4.5291106237996042E-17</c:v>
                </c:pt>
                <c:pt idx="9">
                  <c:v>4.5291106237996042E-16</c:v>
                </c:pt>
                <c:pt idx="10">
                  <c:v>4.5291106237996052E-15</c:v>
                </c:pt>
                <c:pt idx="11">
                  <c:v>4.5291106237996046E-14</c:v>
                </c:pt>
                <c:pt idx="12">
                  <c:v>4.5291106237996046E-13</c:v>
                </c:pt>
                <c:pt idx="13">
                  <c:v>4.5291106237996049E-12</c:v>
                </c:pt>
                <c:pt idx="14">
                  <c:v>4.5291106237996049E-11</c:v>
                </c:pt>
                <c:pt idx="15">
                  <c:v>4.5291106237996045E-10</c:v>
                </c:pt>
                <c:pt idx="16">
                  <c:v>4.5291106237996043E-9</c:v>
                </c:pt>
                <c:pt idx="17">
                  <c:v>4.5291106237996048E-8</c:v>
                </c:pt>
                <c:pt idx="18">
                  <c:v>4.5291106237996044E-7</c:v>
                </c:pt>
                <c:pt idx="19">
                  <c:v>4.5291106237996047E-6</c:v>
                </c:pt>
                <c:pt idx="20">
                  <c:v>4.5291106237996045E-5</c:v>
                </c:pt>
                <c:pt idx="21">
                  <c:v>4.5291106237996048E-4</c:v>
                </c:pt>
                <c:pt idx="22">
                  <c:v>4.5291106237996042E-3</c:v>
                </c:pt>
                <c:pt idx="23">
                  <c:v>4.5291106237996044E-2</c:v>
                </c:pt>
                <c:pt idx="24">
                  <c:v>0.45291106237996043</c:v>
                </c:pt>
                <c:pt idx="25">
                  <c:v>4.5291106237996042</c:v>
                </c:pt>
                <c:pt idx="26">
                  <c:v>45.291106237996047</c:v>
                </c:pt>
                <c:pt idx="27">
                  <c:v>452.91106237996047</c:v>
                </c:pt>
                <c:pt idx="28">
                  <c:v>4529.1106237996046</c:v>
                </c:pt>
                <c:pt idx="29">
                  <c:v>45291.106237996042</c:v>
                </c:pt>
                <c:pt idx="30">
                  <c:v>452911.06237996044</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3.0425515863485163E-23</c:v>
                </c:pt>
                <c:pt idx="1">
                  <c:v>3.042551586348516E-22</c:v>
                </c:pt>
                <c:pt idx="2">
                  <c:v>3.0425515863485161E-21</c:v>
                </c:pt>
                <c:pt idx="3">
                  <c:v>3.0425515863485161E-20</c:v>
                </c:pt>
                <c:pt idx="4">
                  <c:v>3.0425515863485158E-19</c:v>
                </c:pt>
                <c:pt idx="5">
                  <c:v>3.042551586348516E-18</c:v>
                </c:pt>
                <c:pt idx="6">
                  <c:v>3.0425515863485165E-17</c:v>
                </c:pt>
                <c:pt idx="7">
                  <c:v>3.0425515863485162E-16</c:v>
                </c:pt>
                <c:pt idx="8">
                  <c:v>3.0425515863485157E-15</c:v>
                </c:pt>
                <c:pt idx="9">
                  <c:v>3.0425515863485161E-14</c:v>
                </c:pt>
                <c:pt idx="10">
                  <c:v>3.0425515863485161E-13</c:v>
                </c:pt>
                <c:pt idx="11">
                  <c:v>3.042551586348516E-12</c:v>
                </c:pt>
                <c:pt idx="12">
                  <c:v>3.0425515863485163E-11</c:v>
                </c:pt>
                <c:pt idx="13">
                  <c:v>3.0425515863485161E-10</c:v>
                </c:pt>
                <c:pt idx="14">
                  <c:v>3.0425515863485161E-9</c:v>
                </c:pt>
                <c:pt idx="15">
                  <c:v>3.0425515863485158E-8</c:v>
                </c:pt>
                <c:pt idx="16">
                  <c:v>3.0425515863485163E-7</c:v>
                </c:pt>
                <c:pt idx="17">
                  <c:v>3.0425515863485162E-6</c:v>
                </c:pt>
                <c:pt idx="18">
                  <c:v>3.0425515863485159E-5</c:v>
                </c:pt>
                <c:pt idx="19">
                  <c:v>3.0425515863485159E-4</c:v>
                </c:pt>
                <c:pt idx="20">
                  <c:v>3.0425515863485159E-3</c:v>
                </c:pt>
                <c:pt idx="21">
                  <c:v>3.0425515863485162E-2</c:v>
                </c:pt>
                <c:pt idx="22">
                  <c:v>0.30425515863485159</c:v>
                </c:pt>
                <c:pt idx="23">
                  <c:v>3.042551586348516</c:v>
                </c:pt>
                <c:pt idx="24">
                  <c:v>30.42551586348516</c:v>
                </c:pt>
                <c:pt idx="25">
                  <c:v>304.25515863485163</c:v>
                </c:pt>
                <c:pt idx="26">
                  <c:v>3042.5515863485161</c:v>
                </c:pt>
                <c:pt idx="27">
                  <c:v>30425.515863485161</c:v>
                </c:pt>
                <c:pt idx="28">
                  <c:v>304255.15863485163</c:v>
                </c:pt>
                <c:pt idx="29">
                  <c:v>3042551.5863485159</c:v>
                </c:pt>
                <c:pt idx="30">
                  <c:v>30425515.863485161</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2.1576714793079767E-20</c:v>
                </c:pt>
                <c:pt idx="1">
                  <c:v>2.1576714793079764E-19</c:v>
                </c:pt>
                <c:pt idx="2">
                  <c:v>2.1576714793079764E-18</c:v>
                </c:pt>
                <c:pt idx="3">
                  <c:v>2.1576714793079764E-17</c:v>
                </c:pt>
                <c:pt idx="4">
                  <c:v>2.1576714793079763E-16</c:v>
                </c:pt>
                <c:pt idx="5">
                  <c:v>2.1576714793079764E-15</c:v>
                </c:pt>
                <c:pt idx="6">
                  <c:v>2.1576714793079764E-14</c:v>
                </c:pt>
                <c:pt idx="7">
                  <c:v>2.1576714793079764E-13</c:v>
                </c:pt>
                <c:pt idx="8">
                  <c:v>2.1576714793079765E-12</c:v>
                </c:pt>
                <c:pt idx="9">
                  <c:v>2.1576714793079763E-11</c:v>
                </c:pt>
                <c:pt idx="10">
                  <c:v>2.1576714793079766E-10</c:v>
                </c:pt>
                <c:pt idx="11">
                  <c:v>2.1576714793079766E-9</c:v>
                </c:pt>
                <c:pt idx="12">
                  <c:v>2.1576714793079764E-8</c:v>
                </c:pt>
                <c:pt idx="13">
                  <c:v>2.1576714793079766E-7</c:v>
                </c:pt>
                <c:pt idx="14">
                  <c:v>2.1576714793079766E-6</c:v>
                </c:pt>
                <c:pt idx="15">
                  <c:v>2.1576714793079765E-5</c:v>
                </c:pt>
                <c:pt idx="16">
                  <c:v>2.1576714793079764E-4</c:v>
                </c:pt>
                <c:pt idx="17">
                  <c:v>2.1576714793079764E-3</c:v>
                </c:pt>
                <c:pt idx="18">
                  <c:v>2.1576714793079765E-2</c:v>
                </c:pt>
                <c:pt idx="19">
                  <c:v>0.21576714793079765</c:v>
                </c:pt>
                <c:pt idx="20">
                  <c:v>2.1576714793079765</c:v>
                </c:pt>
                <c:pt idx="21">
                  <c:v>21.576714793079763</c:v>
                </c:pt>
                <c:pt idx="22">
                  <c:v>215.76714793079765</c:v>
                </c:pt>
                <c:pt idx="23">
                  <c:v>2157.6714793079764</c:v>
                </c:pt>
                <c:pt idx="24">
                  <c:v>21576.714793079766</c:v>
                </c:pt>
                <c:pt idx="25">
                  <c:v>215767.14793079763</c:v>
                </c:pt>
                <c:pt idx="26">
                  <c:v>2157671.4793079766</c:v>
                </c:pt>
                <c:pt idx="27">
                  <c:v>21576714.793079764</c:v>
                </c:pt>
                <c:pt idx="28">
                  <c:v>215767147.93079764</c:v>
                </c:pt>
                <c:pt idx="29">
                  <c:v>2157671479.3079762</c:v>
                </c:pt>
                <c:pt idx="30">
                  <c:v>21576714793.079765</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2.6109427185763351E-7</c:v>
                </c:pt>
                <c:pt idx="1">
                  <c:v>2.6109427185763348E-6</c:v>
                </c:pt>
                <c:pt idx="2">
                  <c:v>2.6109427185763346E-5</c:v>
                </c:pt>
                <c:pt idx="3">
                  <c:v>2.6109427185763348E-4</c:v>
                </c:pt>
                <c:pt idx="4">
                  <c:v>2.6109427185763345E-3</c:v>
                </c:pt>
                <c:pt idx="5">
                  <c:v>2.6109427185763347E-2</c:v>
                </c:pt>
                <c:pt idx="6">
                  <c:v>0.26109427185763351</c:v>
                </c:pt>
                <c:pt idx="7">
                  <c:v>2.610942718576335</c:v>
                </c:pt>
                <c:pt idx="8">
                  <c:v>26.109427185763344</c:v>
                </c:pt>
                <c:pt idx="9">
                  <c:v>261.09427185763349</c:v>
                </c:pt>
                <c:pt idx="10">
                  <c:v>2610.9427185763348</c:v>
                </c:pt>
                <c:pt idx="11">
                  <c:v>26109.427185763347</c:v>
                </c:pt>
                <c:pt idx="12">
                  <c:v>261094.27185763349</c:v>
                </c:pt>
                <c:pt idx="13">
                  <c:v>2610942.7185763349</c:v>
                </c:pt>
                <c:pt idx="14">
                  <c:v>26109427.185763348</c:v>
                </c:pt>
                <c:pt idx="15">
                  <c:v>261094271.85763347</c:v>
                </c:pt>
                <c:pt idx="16">
                  <c:v>2610942718.5763345</c:v>
                </c:pt>
                <c:pt idx="17">
                  <c:v>26109427185.763348</c:v>
                </c:pt>
                <c:pt idx="18">
                  <c:v>261094271857.63348</c:v>
                </c:pt>
                <c:pt idx="19">
                  <c:v>2610942718576.3345</c:v>
                </c:pt>
                <c:pt idx="20">
                  <c:v>26109427185763.348</c:v>
                </c:pt>
                <c:pt idx="21">
                  <c:v>261094271857633.47</c:v>
                </c:pt>
                <c:pt idx="22">
                  <c:v>2610942718576334.5</c:v>
                </c:pt>
                <c:pt idx="23">
                  <c:v>2.6109427185763348E+16</c:v>
                </c:pt>
                <c:pt idx="24">
                  <c:v>2.6109427185763347E+17</c:v>
                </c:pt>
                <c:pt idx="25">
                  <c:v>2.6109427185763348E+18</c:v>
                </c:pt>
                <c:pt idx="26">
                  <c:v>2.6109427185763348E+19</c:v>
                </c:pt>
                <c:pt idx="27">
                  <c:v>2.6109427185763346E+20</c:v>
                </c:pt>
                <c:pt idx="28">
                  <c:v>2.6109427185763347E+21</c:v>
                </c:pt>
                <c:pt idx="29">
                  <c:v>2.6109427185763347E+22</c:v>
                </c:pt>
                <c:pt idx="30">
                  <c:v>2.6109427185763346E+23</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1.7449529394212134E-5</c:v>
                </c:pt>
                <c:pt idx="1">
                  <c:v>1.7449529394212134E-4</c:v>
                </c:pt>
                <c:pt idx="2">
                  <c:v>1.7449529394212135E-3</c:v>
                </c:pt>
                <c:pt idx="3">
                  <c:v>1.7449529394212134E-2</c:v>
                </c:pt>
                <c:pt idx="4">
                  <c:v>0.17449529394212132</c:v>
                </c:pt>
                <c:pt idx="5">
                  <c:v>1.7449529394212133</c:v>
                </c:pt>
                <c:pt idx="6">
                  <c:v>17.449529394212135</c:v>
                </c:pt>
                <c:pt idx="7">
                  <c:v>174.49529394212135</c:v>
                </c:pt>
                <c:pt idx="8">
                  <c:v>1744.9529394212132</c:v>
                </c:pt>
                <c:pt idx="9">
                  <c:v>17449.529394212132</c:v>
                </c:pt>
                <c:pt idx="10">
                  <c:v>174495.29394212135</c:v>
                </c:pt>
                <c:pt idx="11">
                  <c:v>1744952.9394212135</c:v>
                </c:pt>
                <c:pt idx="12">
                  <c:v>17449529.394212134</c:v>
                </c:pt>
                <c:pt idx="13">
                  <c:v>174495293.94212133</c:v>
                </c:pt>
                <c:pt idx="14">
                  <c:v>1744952939.4212134</c:v>
                </c:pt>
                <c:pt idx="15">
                  <c:v>17449529394.212132</c:v>
                </c:pt>
                <c:pt idx="16">
                  <c:v>174495293942.12134</c:v>
                </c:pt>
                <c:pt idx="17">
                  <c:v>1744952939421.2134</c:v>
                </c:pt>
                <c:pt idx="18">
                  <c:v>17449529394212.133</c:v>
                </c:pt>
                <c:pt idx="19">
                  <c:v>174495293942121.34</c:v>
                </c:pt>
                <c:pt idx="20">
                  <c:v>1744952939421213.2</c:v>
                </c:pt>
                <c:pt idx="21">
                  <c:v>1.7449529394212134E+16</c:v>
                </c:pt>
                <c:pt idx="22">
                  <c:v>1.7449529394212134E+17</c:v>
                </c:pt>
                <c:pt idx="23">
                  <c:v>1.7449529394212134E+18</c:v>
                </c:pt>
                <c:pt idx="24">
                  <c:v>1.7449529394212133E+19</c:v>
                </c:pt>
                <c:pt idx="25">
                  <c:v>1.7449529394212133E+20</c:v>
                </c:pt>
                <c:pt idx="26">
                  <c:v>1.7449529394212134E+21</c:v>
                </c:pt>
                <c:pt idx="27">
                  <c:v>1.7449529394212133E+22</c:v>
                </c:pt>
                <c:pt idx="28">
                  <c:v>1.7449529394212134E+23</c:v>
                </c:pt>
                <c:pt idx="29">
                  <c:v>1.7449529394212133E+24</c:v>
                </c:pt>
                <c:pt idx="30">
                  <c:v>1.7449529394212134E+25</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443676352"/>
        <c:axId val="443675568"/>
      </c:scatterChart>
      <c:valAx>
        <c:axId val="44367635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75568"/>
        <c:crosses val="autoZero"/>
        <c:crossBetween val="midCat"/>
      </c:valAx>
      <c:valAx>
        <c:axId val="443675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7635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2.0000347791695201E-26</c:v>
                </c:pt>
                <c:pt idx="1">
                  <c:v>2.0000347791695199E-25</c:v>
                </c:pt>
                <c:pt idx="2">
                  <c:v>2.00003477916952E-24</c:v>
                </c:pt>
                <c:pt idx="3">
                  <c:v>2.0000347791695199E-23</c:v>
                </c:pt>
                <c:pt idx="4">
                  <c:v>2.0000347791695197E-22</c:v>
                </c:pt>
                <c:pt idx="5">
                  <c:v>2.0000347791695201E-21</c:v>
                </c:pt>
                <c:pt idx="6">
                  <c:v>2.0000347791695201E-20</c:v>
                </c:pt>
                <c:pt idx="7">
                  <c:v>2.00003477916952E-19</c:v>
                </c:pt>
                <c:pt idx="8">
                  <c:v>2.0000347791695199E-18</c:v>
                </c:pt>
                <c:pt idx="9">
                  <c:v>2.0000347791695199E-17</c:v>
                </c:pt>
                <c:pt idx="10">
                  <c:v>2.00003477916952E-16</c:v>
                </c:pt>
                <c:pt idx="11">
                  <c:v>2.0000347791695202E-15</c:v>
                </c:pt>
                <c:pt idx="12">
                  <c:v>2.0000347791695201E-14</c:v>
                </c:pt>
                <c:pt idx="13">
                  <c:v>2.00003477916952E-13</c:v>
                </c:pt>
                <c:pt idx="14">
                  <c:v>2.00003477916952E-12</c:v>
                </c:pt>
                <c:pt idx="15">
                  <c:v>2.00003477916952E-11</c:v>
                </c:pt>
                <c:pt idx="16">
                  <c:v>2.0000347791695198E-10</c:v>
                </c:pt>
                <c:pt idx="17">
                  <c:v>2.0000347791695197E-9</c:v>
                </c:pt>
                <c:pt idx="18">
                  <c:v>2.0000347791695198E-8</c:v>
                </c:pt>
                <c:pt idx="19">
                  <c:v>2.00003477916952E-7</c:v>
                </c:pt>
                <c:pt idx="20">
                  <c:v>2.0000347791695201E-6</c:v>
                </c:pt>
                <c:pt idx="21">
                  <c:v>2.0000347791695198E-5</c:v>
                </c:pt>
                <c:pt idx="22">
                  <c:v>2.00003477916952E-4</c:v>
                </c:pt>
                <c:pt idx="23">
                  <c:v>2.0000347791695201E-3</c:v>
                </c:pt>
                <c:pt idx="24">
                  <c:v>2.0000347791695201E-2</c:v>
                </c:pt>
                <c:pt idx="25">
                  <c:v>0.200003477916952</c:v>
                </c:pt>
                <c:pt idx="26">
                  <c:v>2.0000347791695199</c:v>
                </c:pt>
                <c:pt idx="27">
                  <c:v>20.000347791695198</c:v>
                </c:pt>
                <c:pt idx="28">
                  <c:v>200.00347791695199</c:v>
                </c:pt>
                <c:pt idx="29">
                  <c:v>2000.0347791695199</c:v>
                </c:pt>
                <c:pt idx="30">
                  <c:v>20000.3477916952</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4.5291106237996045E-25</c:v>
                </c:pt>
                <c:pt idx="1">
                  <c:v>4.5291106237996045E-24</c:v>
                </c:pt>
                <c:pt idx="2">
                  <c:v>4.5291106237996048E-23</c:v>
                </c:pt>
                <c:pt idx="3">
                  <c:v>4.5291106237996048E-22</c:v>
                </c:pt>
                <c:pt idx="4">
                  <c:v>4.5291106237996042E-21</c:v>
                </c:pt>
                <c:pt idx="5">
                  <c:v>4.5291106237996045E-20</c:v>
                </c:pt>
                <c:pt idx="6">
                  <c:v>4.5291106237996045E-19</c:v>
                </c:pt>
                <c:pt idx="7">
                  <c:v>4.5291106237996045E-18</c:v>
                </c:pt>
                <c:pt idx="8">
                  <c:v>4.5291106237996042E-17</c:v>
                </c:pt>
                <c:pt idx="9">
                  <c:v>4.5291106237996042E-16</c:v>
                </c:pt>
                <c:pt idx="10">
                  <c:v>4.5291106237996052E-15</c:v>
                </c:pt>
                <c:pt idx="11">
                  <c:v>4.5291106237996046E-14</c:v>
                </c:pt>
                <c:pt idx="12">
                  <c:v>4.5291106237996046E-13</c:v>
                </c:pt>
                <c:pt idx="13">
                  <c:v>4.5291106237996049E-12</c:v>
                </c:pt>
                <c:pt idx="14">
                  <c:v>4.5291106237996049E-11</c:v>
                </c:pt>
                <c:pt idx="15">
                  <c:v>4.5291106237996045E-10</c:v>
                </c:pt>
                <c:pt idx="16">
                  <c:v>4.5291106237996043E-9</c:v>
                </c:pt>
                <c:pt idx="17">
                  <c:v>4.5291106237996048E-8</c:v>
                </c:pt>
                <c:pt idx="18">
                  <c:v>4.5291106237996044E-7</c:v>
                </c:pt>
                <c:pt idx="19">
                  <c:v>4.5291106237996047E-6</c:v>
                </c:pt>
                <c:pt idx="20">
                  <c:v>4.5291106237996045E-5</c:v>
                </c:pt>
                <c:pt idx="21">
                  <c:v>4.5291106237996048E-4</c:v>
                </c:pt>
                <c:pt idx="22">
                  <c:v>4.5291106237996042E-3</c:v>
                </c:pt>
                <c:pt idx="23">
                  <c:v>4.5291106237996044E-2</c:v>
                </c:pt>
                <c:pt idx="24">
                  <c:v>0.45291106237996043</c:v>
                </c:pt>
                <c:pt idx="25">
                  <c:v>4.5291106237996042</c:v>
                </c:pt>
                <c:pt idx="26">
                  <c:v>45.291106237996047</c:v>
                </c:pt>
                <c:pt idx="27">
                  <c:v>452.91106237996047</c:v>
                </c:pt>
                <c:pt idx="28">
                  <c:v>4529.1106237996046</c:v>
                </c:pt>
                <c:pt idx="29">
                  <c:v>45291.106237996042</c:v>
                </c:pt>
                <c:pt idx="30">
                  <c:v>452911.06237996044</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3.0425515863485163E-23</c:v>
                </c:pt>
                <c:pt idx="1">
                  <c:v>3.042551586348516E-22</c:v>
                </c:pt>
                <c:pt idx="2">
                  <c:v>3.0425515863485161E-21</c:v>
                </c:pt>
                <c:pt idx="3">
                  <c:v>3.0425515863485161E-20</c:v>
                </c:pt>
                <c:pt idx="4">
                  <c:v>3.0425515863485158E-19</c:v>
                </c:pt>
                <c:pt idx="5">
                  <c:v>3.042551586348516E-18</c:v>
                </c:pt>
                <c:pt idx="6">
                  <c:v>3.0425515863485165E-17</c:v>
                </c:pt>
                <c:pt idx="7">
                  <c:v>3.0425515863485162E-16</c:v>
                </c:pt>
                <c:pt idx="8">
                  <c:v>3.0425515863485157E-15</c:v>
                </c:pt>
                <c:pt idx="9">
                  <c:v>3.0425515863485161E-14</c:v>
                </c:pt>
                <c:pt idx="10">
                  <c:v>3.0425515863485161E-13</c:v>
                </c:pt>
                <c:pt idx="11">
                  <c:v>3.042551586348516E-12</c:v>
                </c:pt>
                <c:pt idx="12">
                  <c:v>3.0425515863485163E-11</c:v>
                </c:pt>
                <c:pt idx="13">
                  <c:v>3.0425515863485161E-10</c:v>
                </c:pt>
                <c:pt idx="14">
                  <c:v>3.0425515863485161E-9</c:v>
                </c:pt>
                <c:pt idx="15">
                  <c:v>3.0425515863485158E-8</c:v>
                </c:pt>
                <c:pt idx="16">
                  <c:v>3.0425515863485163E-7</c:v>
                </c:pt>
                <c:pt idx="17">
                  <c:v>3.0425515863485162E-6</c:v>
                </c:pt>
                <c:pt idx="18">
                  <c:v>3.0425515863485159E-5</c:v>
                </c:pt>
                <c:pt idx="19">
                  <c:v>3.0425515863485159E-4</c:v>
                </c:pt>
                <c:pt idx="20">
                  <c:v>3.0425515863485159E-3</c:v>
                </c:pt>
                <c:pt idx="21">
                  <c:v>3.0425515863485162E-2</c:v>
                </c:pt>
                <c:pt idx="22">
                  <c:v>0.30425515863485159</c:v>
                </c:pt>
                <c:pt idx="23">
                  <c:v>3.042551586348516</c:v>
                </c:pt>
                <c:pt idx="24">
                  <c:v>30.42551586348516</c:v>
                </c:pt>
                <c:pt idx="25">
                  <c:v>304.25515863485163</c:v>
                </c:pt>
                <c:pt idx="26">
                  <c:v>3042.5515863485161</c:v>
                </c:pt>
                <c:pt idx="27">
                  <c:v>30425.515863485161</c:v>
                </c:pt>
                <c:pt idx="28">
                  <c:v>304255.15863485163</c:v>
                </c:pt>
                <c:pt idx="29">
                  <c:v>3042551.5863485159</c:v>
                </c:pt>
                <c:pt idx="30">
                  <c:v>30425515.863485161</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2.1576714793079767E-20</c:v>
                </c:pt>
                <c:pt idx="1">
                  <c:v>2.1576714793079764E-19</c:v>
                </c:pt>
                <c:pt idx="2">
                  <c:v>2.1576714793079764E-18</c:v>
                </c:pt>
                <c:pt idx="3">
                  <c:v>2.1576714793079764E-17</c:v>
                </c:pt>
                <c:pt idx="4">
                  <c:v>2.1576714793079763E-16</c:v>
                </c:pt>
                <c:pt idx="5">
                  <c:v>2.1576714793079764E-15</c:v>
                </c:pt>
                <c:pt idx="6">
                  <c:v>2.1576714793079764E-14</c:v>
                </c:pt>
                <c:pt idx="7">
                  <c:v>2.1576714793079764E-13</c:v>
                </c:pt>
                <c:pt idx="8">
                  <c:v>2.1576714793079765E-12</c:v>
                </c:pt>
                <c:pt idx="9">
                  <c:v>2.1576714793079763E-11</c:v>
                </c:pt>
                <c:pt idx="10">
                  <c:v>2.1576714793079766E-10</c:v>
                </c:pt>
                <c:pt idx="11">
                  <c:v>2.1576714793079766E-9</c:v>
                </c:pt>
                <c:pt idx="12">
                  <c:v>2.1576714793079764E-8</c:v>
                </c:pt>
                <c:pt idx="13">
                  <c:v>2.1576714793079766E-7</c:v>
                </c:pt>
                <c:pt idx="14">
                  <c:v>2.1576714793079766E-6</c:v>
                </c:pt>
                <c:pt idx="15">
                  <c:v>2.1576714793079765E-5</c:v>
                </c:pt>
                <c:pt idx="16">
                  <c:v>2.1576714793079764E-4</c:v>
                </c:pt>
                <c:pt idx="17">
                  <c:v>2.1576714793079764E-3</c:v>
                </c:pt>
                <c:pt idx="18">
                  <c:v>2.1576714793079765E-2</c:v>
                </c:pt>
                <c:pt idx="19">
                  <c:v>0.21576714793079765</c:v>
                </c:pt>
                <c:pt idx="20">
                  <c:v>2.1576714793079765</c:v>
                </c:pt>
                <c:pt idx="21">
                  <c:v>21.576714793079763</c:v>
                </c:pt>
                <c:pt idx="22">
                  <c:v>215.76714793079765</c:v>
                </c:pt>
                <c:pt idx="23">
                  <c:v>2157.6714793079764</c:v>
                </c:pt>
                <c:pt idx="24">
                  <c:v>21576.714793079766</c:v>
                </c:pt>
                <c:pt idx="25">
                  <c:v>215767.14793079763</c:v>
                </c:pt>
                <c:pt idx="26">
                  <c:v>2157671.4793079766</c:v>
                </c:pt>
                <c:pt idx="27">
                  <c:v>21576714.793079764</c:v>
                </c:pt>
                <c:pt idx="28">
                  <c:v>215767147.93079764</c:v>
                </c:pt>
                <c:pt idx="29">
                  <c:v>2157671479.3079762</c:v>
                </c:pt>
                <c:pt idx="30">
                  <c:v>21576714793.079765</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2.6109427185763351E-7</c:v>
                </c:pt>
                <c:pt idx="1">
                  <c:v>2.6109427185763348E-6</c:v>
                </c:pt>
                <c:pt idx="2">
                  <c:v>2.6109427185763346E-5</c:v>
                </c:pt>
                <c:pt idx="3">
                  <c:v>2.6109427185763348E-4</c:v>
                </c:pt>
                <c:pt idx="4">
                  <c:v>2.6109427185763345E-3</c:v>
                </c:pt>
                <c:pt idx="5">
                  <c:v>2.6109427185763347E-2</c:v>
                </c:pt>
                <c:pt idx="6">
                  <c:v>0.26109427185763351</c:v>
                </c:pt>
                <c:pt idx="7">
                  <c:v>2.610942718576335</c:v>
                </c:pt>
                <c:pt idx="8">
                  <c:v>26.109427185763344</c:v>
                </c:pt>
                <c:pt idx="9">
                  <c:v>261.09427185763349</c:v>
                </c:pt>
                <c:pt idx="10">
                  <c:v>2610.9427185763348</c:v>
                </c:pt>
                <c:pt idx="11">
                  <c:v>26109.427185763347</c:v>
                </c:pt>
                <c:pt idx="12">
                  <c:v>261094.27185763349</c:v>
                </c:pt>
                <c:pt idx="13">
                  <c:v>2610942.7185763349</c:v>
                </c:pt>
                <c:pt idx="14">
                  <c:v>26109427.185763348</c:v>
                </c:pt>
                <c:pt idx="15">
                  <c:v>261094271.85763347</c:v>
                </c:pt>
                <c:pt idx="16">
                  <c:v>2610942718.5763345</c:v>
                </c:pt>
                <c:pt idx="17">
                  <c:v>26109427185.763348</c:v>
                </c:pt>
                <c:pt idx="18">
                  <c:v>261094271857.63348</c:v>
                </c:pt>
                <c:pt idx="19">
                  <c:v>2610942718576.3345</c:v>
                </c:pt>
                <c:pt idx="20">
                  <c:v>26109427185763.348</c:v>
                </c:pt>
                <c:pt idx="21">
                  <c:v>261094271857633.47</c:v>
                </c:pt>
                <c:pt idx="22">
                  <c:v>2610942718576334.5</c:v>
                </c:pt>
                <c:pt idx="23">
                  <c:v>2.6109427185763348E+16</c:v>
                </c:pt>
                <c:pt idx="24">
                  <c:v>2.6109427185763347E+17</c:v>
                </c:pt>
                <c:pt idx="25">
                  <c:v>2.6109427185763348E+18</c:v>
                </c:pt>
                <c:pt idx="26">
                  <c:v>2.6109427185763348E+19</c:v>
                </c:pt>
                <c:pt idx="27">
                  <c:v>2.6109427185763346E+20</c:v>
                </c:pt>
                <c:pt idx="28">
                  <c:v>2.6109427185763347E+21</c:v>
                </c:pt>
                <c:pt idx="29">
                  <c:v>2.6109427185763347E+22</c:v>
                </c:pt>
                <c:pt idx="30">
                  <c:v>2.6109427185763346E+23</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1.7449529394212134E-5</c:v>
                </c:pt>
                <c:pt idx="1">
                  <c:v>1.7449529394212134E-4</c:v>
                </c:pt>
                <c:pt idx="2">
                  <c:v>1.7449529394212135E-3</c:v>
                </c:pt>
                <c:pt idx="3">
                  <c:v>1.7449529394212134E-2</c:v>
                </c:pt>
                <c:pt idx="4">
                  <c:v>0.17449529394212132</c:v>
                </c:pt>
                <c:pt idx="5">
                  <c:v>1.7449529394212133</c:v>
                </c:pt>
                <c:pt idx="6">
                  <c:v>17.449529394212135</c:v>
                </c:pt>
                <c:pt idx="7">
                  <c:v>174.49529394212135</c:v>
                </c:pt>
                <c:pt idx="8">
                  <c:v>1744.9529394212132</c:v>
                </c:pt>
                <c:pt idx="9">
                  <c:v>17449.529394212132</c:v>
                </c:pt>
                <c:pt idx="10">
                  <c:v>174495.29394212135</c:v>
                </c:pt>
                <c:pt idx="11">
                  <c:v>1744952.9394212135</c:v>
                </c:pt>
                <c:pt idx="12">
                  <c:v>17449529.394212134</c:v>
                </c:pt>
                <c:pt idx="13">
                  <c:v>174495293.94212133</c:v>
                </c:pt>
                <c:pt idx="14">
                  <c:v>1744952939.4212134</c:v>
                </c:pt>
                <c:pt idx="15">
                  <c:v>17449529394.212132</c:v>
                </c:pt>
                <c:pt idx="16">
                  <c:v>174495293942.12134</c:v>
                </c:pt>
                <c:pt idx="17">
                  <c:v>1744952939421.2134</c:v>
                </c:pt>
                <c:pt idx="18">
                  <c:v>17449529394212.133</c:v>
                </c:pt>
                <c:pt idx="19">
                  <c:v>174495293942121.34</c:v>
                </c:pt>
                <c:pt idx="20">
                  <c:v>1744952939421213.2</c:v>
                </c:pt>
                <c:pt idx="21">
                  <c:v>1.7449529394212134E+16</c:v>
                </c:pt>
                <c:pt idx="22">
                  <c:v>1.7449529394212134E+17</c:v>
                </c:pt>
                <c:pt idx="23">
                  <c:v>1.7449529394212134E+18</c:v>
                </c:pt>
                <c:pt idx="24">
                  <c:v>1.7449529394212133E+19</c:v>
                </c:pt>
                <c:pt idx="25">
                  <c:v>1.7449529394212133E+20</c:v>
                </c:pt>
                <c:pt idx="26">
                  <c:v>1.7449529394212134E+21</c:v>
                </c:pt>
                <c:pt idx="27">
                  <c:v>1.7449529394212133E+22</c:v>
                </c:pt>
                <c:pt idx="28">
                  <c:v>1.7449529394212134E+23</c:v>
                </c:pt>
                <c:pt idx="29">
                  <c:v>1.7449529394212133E+24</c:v>
                </c:pt>
                <c:pt idx="30">
                  <c:v>1.7449529394212134E+25</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443676744"/>
        <c:axId val="443677528"/>
      </c:scatterChart>
      <c:valAx>
        <c:axId val="44367674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77528"/>
        <c:crosses val="autoZero"/>
        <c:crossBetween val="midCat"/>
      </c:valAx>
      <c:valAx>
        <c:axId val="443677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7674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2.0000347791695201E-26</c:v>
                </c:pt>
                <c:pt idx="1">
                  <c:v>2.0000347791695199E-25</c:v>
                </c:pt>
                <c:pt idx="2">
                  <c:v>2.00003477916952E-24</c:v>
                </c:pt>
                <c:pt idx="3">
                  <c:v>2.0000347791695199E-23</c:v>
                </c:pt>
                <c:pt idx="4">
                  <c:v>2.0000347791695197E-22</c:v>
                </c:pt>
                <c:pt idx="5">
                  <c:v>2.0000347791695201E-21</c:v>
                </c:pt>
                <c:pt idx="6">
                  <c:v>2.0000347791695201E-20</c:v>
                </c:pt>
                <c:pt idx="7">
                  <c:v>2.00003477916952E-19</c:v>
                </c:pt>
                <c:pt idx="8">
                  <c:v>2.0000347791695199E-18</c:v>
                </c:pt>
                <c:pt idx="9">
                  <c:v>2.0000347791695199E-17</c:v>
                </c:pt>
                <c:pt idx="10">
                  <c:v>2.00003477916952E-16</c:v>
                </c:pt>
                <c:pt idx="11">
                  <c:v>2.0000347791695202E-15</c:v>
                </c:pt>
                <c:pt idx="12">
                  <c:v>2.0000347791695201E-14</c:v>
                </c:pt>
                <c:pt idx="13">
                  <c:v>2.00003477916952E-13</c:v>
                </c:pt>
                <c:pt idx="14">
                  <c:v>2.00003477916952E-12</c:v>
                </c:pt>
                <c:pt idx="15">
                  <c:v>2.00003477916952E-11</c:v>
                </c:pt>
                <c:pt idx="16">
                  <c:v>2.0000347791695198E-10</c:v>
                </c:pt>
                <c:pt idx="17">
                  <c:v>2.0000347791695197E-9</c:v>
                </c:pt>
                <c:pt idx="18">
                  <c:v>2.0000347791695198E-8</c:v>
                </c:pt>
                <c:pt idx="19">
                  <c:v>2.00003477916952E-7</c:v>
                </c:pt>
                <c:pt idx="20">
                  <c:v>2.0000347791695201E-6</c:v>
                </c:pt>
                <c:pt idx="21">
                  <c:v>2.0000347791695198E-5</c:v>
                </c:pt>
                <c:pt idx="22">
                  <c:v>2.00003477916952E-4</c:v>
                </c:pt>
                <c:pt idx="23">
                  <c:v>2.0000347791695201E-3</c:v>
                </c:pt>
                <c:pt idx="24">
                  <c:v>2.0000347791695201E-2</c:v>
                </c:pt>
                <c:pt idx="25">
                  <c:v>0.200003477916952</c:v>
                </c:pt>
                <c:pt idx="26">
                  <c:v>2.0000347791695199</c:v>
                </c:pt>
                <c:pt idx="27">
                  <c:v>20.000347791695198</c:v>
                </c:pt>
                <c:pt idx="28">
                  <c:v>200.00347791695199</c:v>
                </c:pt>
                <c:pt idx="29">
                  <c:v>2000.0347791695199</c:v>
                </c:pt>
                <c:pt idx="30">
                  <c:v>20000.3477916952</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4.5291106237996045E-25</c:v>
                </c:pt>
                <c:pt idx="1">
                  <c:v>4.5291106237996045E-24</c:v>
                </c:pt>
                <c:pt idx="2">
                  <c:v>4.5291106237996048E-23</c:v>
                </c:pt>
                <c:pt idx="3">
                  <c:v>4.5291106237996048E-22</c:v>
                </c:pt>
                <c:pt idx="4">
                  <c:v>4.5291106237996042E-21</c:v>
                </c:pt>
                <c:pt idx="5">
                  <c:v>4.5291106237996045E-20</c:v>
                </c:pt>
                <c:pt idx="6">
                  <c:v>4.5291106237996045E-19</c:v>
                </c:pt>
                <c:pt idx="7">
                  <c:v>4.5291106237996045E-18</c:v>
                </c:pt>
                <c:pt idx="8">
                  <c:v>4.5291106237996042E-17</c:v>
                </c:pt>
                <c:pt idx="9">
                  <c:v>4.5291106237996042E-16</c:v>
                </c:pt>
                <c:pt idx="10">
                  <c:v>4.5291106237996052E-15</c:v>
                </c:pt>
                <c:pt idx="11">
                  <c:v>4.5291106237996046E-14</c:v>
                </c:pt>
                <c:pt idx="12">
                  <c:v>4.5291106237996046E-13</c:v>
                </c:pt>
                <c:pt idx="13">
                  <c:v>4.5291106237996049E-12</c:v>
                </c:pt>
                <c:pt idx="14">
                  <c:v>4.5291106237996049E-11</c:v>
                </c:pt>
                <c:pt idx="15">
                  <c:v>4.5291106237996045E-10</c:v>
                </c:pt>
                <c:pt idx="16">
                  <c:v>4.5291106237996043E-9</c:v>
                </c:pt>
                <c:pt idx="17">
                  <c:v>4.5291106237996048E-8</c:v>
                </c:pt>
                <c:pt idx="18">
                  <c:v>4.5291106237996044E-7</c:v>
                </c:pt>
                <c:pt idx="19">
                  <c:v>4.5291106237996047E-6</c:v>
                </c:pt>
                <c:pt idx="20">
                  <c:v>4.5291106237996045E-5</c:v>
                </c:pt>
                <c:pt idx="21">
                  <c:v>4.5291106237996048E-4</c:v>
                </c:pt>
                <c:pt idx="22">
                  <c:v>4.5291106237996042E-3</c:v>
                </c:pt>
                <c:pt idx="23">
                  <c:v>4.5291106237996044E-2</c:v>
                </c:pt>
                <c:pt idx="24">
                  <c:v>0.45291106237996043</c:v>
                </c:pt>
                <c:pt idx="25">
                  <c:v>4.5291106237996042</c:v>
                </c:pt>
                <c:pt idx="26">
                  <c:v>45.291106237996047</c:v>
                </c:pt>
                <c:pt idx="27">
                  <c:v>452.91106237996047</c:v>
                </c:pt>
                <c:pt idx="28">
                  <c:v>4529.1106237996046</c:v>
                </c:pt>
                <c:pt idx="29">
                  <c:v>45291.106237996042</c:v>
                </c:pt>
                <c:pt idx="30">
                  <c:v>452911.06237996044</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3.0425515863485163E-23</c:v>
                </c:pt>
                <c:pt idx="1">
                  <c:v>3.042551586348516E-22</c:v>
                </c:pt>
                <c:pt idx="2">
                  <c:v>3.0425515863485161E-21</c:v>
                </c:pt>
                <c:pt idx="3">
                  <c:v>3.0425515863485161E-20</c:v>
                </c:pt>
                <c:pt idx="4">
                  <c:v>3.0425515863485158E-19</c:v>
                </c:pt>
                <c:pt idx="5">
                  <c:v>3.042551586348516E-18</c:v>
                </c:pt>
                <c:pt idx="6">
                  <c:v>3.0425515863485165E-17</c:v>
                </c:pt>
                <c:pt idx="7">
                  <c:v>3.0425515863485162E-16</c:v>
                </c:pt>
                <c:pt idx="8">
                  <c:v>3.0425515863485157E-15</c:v>
                </c:pt>
                <c:pt idx="9">
                  <c:v>3.0425515863485161E-14</c:v>
                </c:pt>
                <c:pt idx="10">
                  <c:v>3.0425515863485161E-13</c:v>
                </c:pt>
                <c:pt idx="11">
                  <c:v>3.042551586348516E-12</c:v>
                </c:pt>
                <c:pt idx="12">
                  <c:v>3.0425515863485163E-11</c:v>
                </c:pt>
                <c:pt idx="13">
                  <c:v>3.0425515863485161E-10</c:v>
                </c:pt>
                <c:pt idx="14">
                  <c:v>3.0425515863485161E-9</c:v>
                </c:pt>
                <c:pt idx="15">
                  <c:v>3.0425515863485158E-8</c:v>
                </c:pt>
                <c:pt idx="16">
                  <c:v>3.0425515863485163E-7</c:v>
                </c:pt>
                <c:pt idx="17">
                  <c:v>3.0425515863485162E-6</c:v>
                </c:pt>
                <c:pt idx="18">
                  <c:v>3.0425515863485159E-5</c:v>
                </c:pt>
                <c:pt idx="19">
                  <c:v>3.0425515863485159E-4</c:v>
                </c:pt>
                <c:pt idx="20">
                  <c:v>3.0425515863485159E-3</c:v>
                </c:pt>
                <c:pt idx="21">
                  <c:v>3.0425515863485162E-2</c:v>
                </c:pt>
                <c:pt idx="22">
                  <c:v>0.30425515863485159</c:v>
                </c:pt>
                <c:pt idx="23">
                  <c:v>3.042551586348516</c:v>
                </c:pt>
                <c:pt idx="24">
                  <c:v>30.42551586348516</c:v>
                </c:pt>
                <c:pt idx="25">
                  <c:v>304.25515863485163</c:v>
                </c:pt>
                <c:pt idx="26">
                  <c:v>3042.5515863485161</c:v>
                </c:pt>
                <c:pt idx="27">
                  <c:v>30425.515863485161</c:v>
                </c:pt>
                <c:pt idx="28">
                  <c:v>304255.15863485163</c:v>
                </c:pt>
                <c:pt idx="29">
                  <c:v>3042551.5863485159</c:v>
                </c:pt>
                <c:pt idx="30">
                  <c:v>30425515.863485161</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2.1576714793079767E-20</c:v>
                </c:pt>
                <c:pt idx="1">
                  <c:v>2.1576714793079764E-19</c:v>
                </c:pt>
                <c:pt idx="2">
                  <c:v>2.1576714793079764E-18</c:v>
                </c:pt>
                <c:pt idx="3">
                  <c:v>2.1576714793079764E-17</c:v>
                </c:pt>
                <c:pt idx="4">
                  <c:v>2.1576714793079763E-16</c:v>
                </c:pt>
                <c:pt idx="5">
                  <c:v>2.1576714793079764E-15</c:v>
                </c:pt>
                <c:pt idx="6">
                  <c:v>2.1576714793079764E-14</c:v>
                </c:pt>
                <c:pt idx="7">
                  <c:v>2.1576714793079764E-13</c:v>
                </c:pt>
                <c:pt idx="8">
                  <c:v>2.1576714793079765E-12</c:v>
                </c:pt>
                <c:pt idx="9">
                  <c:v>2.1576714793079763E-11</c:v>
                </c:pt>
                <c:pt idx="10">
                  <c:v>2.1576714793079766E-10</c:v>
                </c:pt>
                <c:pt idx="11">
                  <c:v>2.1576714793079766E-9</c:v>
                </c:pt>
                <c:pt idx="12">
                  <c:v>2.1576714793079764E-8</c:v>
                </c:pt>
                <c:pt idx="13">
                  <c:v>2.1576714793079766E-7</c:v>
                </c:pt>
                <c:pt idx="14">
                  <c:v>2.1576714793079766E-6</c:v>
                </c:pt>
                <c:pt idx="15">
                  <c:v>2.1576714793079765E-5</c:v>
                </c:pt>
                <c:pt idx="16">
                  <c:v>2.1576714793079764E-4</c:v>
                </c:pt>
                <c:pt idx="17">
                  <c:v>2.1576714793079764E-3</c:v>
                </c:pt>
                <c:pt idx="18">
                  <c:v>2.1576714793079765E-2</c:v>
                </c:pt>
                <c:pt idx="19">
                  <c:v>0.21576714793079765</c:v>
                </c:pt>
                <c:pt idx="20">
                  <c:v>2.1576714793079765</c:v>
                </c:pt>
                <c:pt idx="21">
                  <c:v>21.576714793079763</c:v>
                </c:pt>
                <c:pt idx="22">
                  <c:v>215.76714793079765</c:v>
                </c:pt>
                <c:pt idx="23">
                  <c:v>2157.6714793079764</c:v>
                </c:pt>
                <c:pt idx="24">
                  <c:v>21576.714793079766</c:v>
                </c:pt>
                <c:pt idx="25">
                  <c:v>215767.14793079763</c:v>
                </c:pt>
                <c:pt idx="26">
                  <c:v>2157671.4793079766</c:v>
                </c:pt>
                <c:pt idx="27">
                  <c:v>21576714.793079764</c:v>
                </c:pt>
                <c:pt idx="28">
                  <c:v>215767147.93079764</c:v>
                </c:pt>
                <c:pt idx="29">
                  <c:v>2157671479.3079762</c:v>
                </c:pt>
                <c:pt idx="30">
                  <c:v>21576714793.079765</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2.6109427185763351E-7</c:v>
                </c:pt>
                <c:pt idx="1">
                  <c:v>2.6109427185763348E-6</c:v>
                </c:pt>
                <c:pt idx="2">
                  <c:v>2.6109427185763346E-5</c:v>
                </c:pt>
                <c:pt idx="3">
                  <c:v>2.6109427185763348E-4</c:v>
                </c:pt>
                <c:pt idx="4">
                  <c:v>2.6109427185763345E-3</c:v>
                </c:pt>
                <c:pt idx="5">
                  <c:v>2.6109427185763347E-2</c:v>
                </c:pt>
                <c:pt idx="6">
                  <c:v>0.26109427185763351</c:v>
                </c:pt>
                <c:pt idx="7">
                  <c:v>2.610942718576335</c:v>
                </c:pt>
                <c:pt idx="8">
                  <c:v>26.109427185763344</c:v>
                </c:pt>
                <c:pt idx="9">
                  <c:v>261.09427185763349</c:v>
                </c:pt>
                <c:pt idx="10">
                  <c:v>2610.9427185763348</c:v>
                </c:pt>
                <c:pt idx="11">
                  <c:v>26109.427185763347</c:v>
                </c:pt>
                <c:pt idx="12">
                  <c:v>261094.27185763349</c:v>
                </c:pt>
                <c:pt idx="13">
                  <c:v>2610942.7185763349</c:v>
                </c:pt>
                <c:pt idx="14">
                  <c:v>26109427.185763348</c:v>
                </c:pt>
                <c:pt idx="15">
                  <c:v>261094271.85763347</c:v>
                </c:pt>
                <c:pt idx="16">
                  <c:v>2610942718.5763345</c:v>
                </c:pt>
                <c:pt idx="17">
                  <c:v>26109427185.763348</c:v>
                </c:pt>
                <c:pt idx="18">
                  <c:v>261094271857.63348</c:v>
                </c:pt>
                <c:pt idx="19">
                  <c:v>2610942718576.3345</c:v>
                </c:pt>
                <c:pt idx="20">
                  <c:v>26109427185763.348</c:v>
                </c:pt>
                <c:pt idx="21">
                  <c:v>261094271857633.47</c:v>
                </c:pt>
                <c:pt idx="22">
                  <c:v>2610942718576334.5</c:v>
                </c:pt>
                <c:pt idx="23">
                  <c:v>2.6109427185763348E+16</c:v>
                </c:pt>
                <c:pt idx="24">
                  <c:v>2.6109427185763347E+17</c:v>
                </c:pt>
                <c:pt idx="25">
                  <c:v>2.6109427185763348E+18</c:v>
                </c:pt>
                <c:pt idx="26">
                  <c:v>2.6109427185763348E+19</c:v>
                </c:pt>
                <c:pt idx="27">
                  <c:v>2.6109427185763346E+20</c:v>
                </c:pt>
                <c:pt idx="28">
                  <c:v>2.6109427185763347E+21</c:v>
                </c:pt>
                <c:pt idx="29">
                  <c:v>2.6109427185763347E+22</c:v>
                </c:pt>
                <c:pt idx="30">
                  <c:v>2.6109427185763346E+23</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1.7449529394212134E-5</c:v>
                </c:pt>
                <c:pt idx="1">
                  <c:v>1.7449529394212134E-4</c:v>
                </c:pt>
                <c:pt idx="2">
                  <c:v>1.7449529394212135E-3</c:v>
                </c:pt>
                <c:pt idx="3">
                  <c:v>1.7449529394212134E-2</c:v>
                </c:pt>
                <c:pt idx="4">
                  <c:v>0.17449529394212132</c:v>
                </c:pt>
                <c:pt idx="5">
                  <c:v>1.7449529394212133</c:v>
                </c:pt>
                <c:pt idx="6">
                  <c:v>17.449529394212135</c:v>
                </c:pt>
                <c:pt idx="7">
                  <c:v>174.49529394212135</c:v>
                </c:pt>
                <c:pt idx="8">
                  <c:v>1744.9529394212132</c:v>
                </c:pt>
                <c:pt idx="9">
                  <c:v>17449.529394212132</c:v>
                </c:pt>
                <c:pt idx="10">
                  <c:v>174495.29394212135</c:v>
                </c:pt>
                <c:pt idx="11">
                  <c:v>1744952.9394212135</c:v>
                </c:pt>
                <c:pt idx="12">
                  <c:v>17449529.394212134</c:v>
                </c:pt>
                <c:pt idx="13">
                  <c:v>174495293.94212133</c:v>
                </c:pt>
                <c:pt idx="14">
                  <c:v>1744952939.4212134</c:v>
                </c:pt>
                <c:pt idx="15">
                  <c:v>17449529394.212132</c:v>
                </c:pt>
                <c:pt idx="16">
                  <c:v>174495293942.12134</c:v>
                </c:pt>
                <c:pt idx="17">
                  <c:v>1744952939421.2134</c:v>
                </c:pt>
                <c:pt idx="18">
                  <c:v>17449529394212.133</c:v>
                </c:pt>
                <c:pt idx="19">
                  <c:v>174495293942121.34</c:v>
                </c:pt>
                <c:pt idx="20">
                  <c:v>1744952939421213.2</c:v>
                </c:pt>
                <c:pt idx="21">
                  <c:v>1.7449529394212134E+16</c:v>
                </c:pt>
                <c:pt idx="22">
                  <c:v>1.7449529394212134E+17</c:v>
                </c:pt>
                <c:pt idx="23">
                  <c:v>1.7449529394212134E+18</c:v>
                </c:pt>
                <c:pt idx="24">
                  <c:v>1.7449529394212133E+19</c:v>
                </c:pt>
                <c:pt idx="25">
                  <c:v>1.7449529394212133E+20</c:v>
                </c:pt>
                <c:pt idx="26">
                  <c:v>1.7449529394212134E+21</c:v>
                </c:pt>
                <c:pt idx="27">
                  <c:v>1.7449529394212133E+22</c:v>
                </c:pt>
                <c:pt idx="28">
                  <c:v>1.7449529394212134E+23</c:v>
                </c:pt>
                <c:pt idx="29">
                  <c:v>1.7449529394212133E+24</c:v>
                </c:pt>
                <c:pt idx="30">
                  <c:v>1.7449529394212134E+25</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6574.1468688875048</c:v>
                </c:pt>
                <c:pt idx="1">
                  <c:v>6558.9585674632553</c:v>
                </c:pt>
                <c:pt idx="2">
                  <c:v>6558.9151023534432</c:v>
                </c:pt>
                <c:pt idx="3">
                  <c:v>6547.4961889702836</c:v>
                </c:pt>
                <c:pt idx="4">
                  <c:v>6546.1709508735885</c:v>
                </c:pt>
                <c:pt idx="5">
                  <c:v>6543.1587138865243</c:v>
                </c:pt>
                <c:pt idx="6">
                  <c:v>6470.7772690080064</c:v>
                </c:pt>
                <c:pt idx="7">
                  <c:v>6331.4551012377651</c:v>
                </c:pt>
                <c:pt idx="8">
                  <c:v>6174.7294466502135</c:v>
                </c:pt>
                <c:pt idx="9">
                  <c:v>5971.4158010074543</c:v>
                </c:pt>
                <c:pt idx="10">
                  <c:v>5634.4461459464674</c:v>
                </c:pt>
                <c:pt idx="11">
                  <c:v>5365.2947337719852</c:v>
                </c:pt>
                <c:pt idx="12">
                  <c:v>4996.4526547479045</c:v>
                </c:pt>
                <c:pt idx="13">
                  <c:v>4743.6453356927741</c:v>
                </c:pt>
                <c:pt idx="14">
                  <c:v>4342.341440966049</c:v>
                </c:pt>
                <c:pt idx="15">
                  <c:v>3950.8913979401623</c:v>
                </c:pt>
                <c:pt idx="16">
                  <c:v>3662.5886079597385</c:v>
                </c:pt>
                <c:pt idx="17">
                  <c:v>3039.7716426269371</c:v>
                </c:pt>
                <c:pt idx="18">
                  <c:v>2356.5178874385392</c:v>
                </c:pt>
                <c:pt idx="19">
                  <c:v>1729.8103814891606</c:v>
                </c:pt>
                <c:pt idx="20">
                  <c:v>1069.1787924563466</c:v>
                </c:pt>
                <c:pt idx="21">
                  <c:v>617.68193286887663</c:v>
                </c:pt>
                <c:pt idx="22">
                  <c:v>341.98844253042506</c:v>
                </c:pt>
                <c:pt idx="23">
                  <c:v>201.35693128210559</c:v>
                </c:pt>
                <c:pt idx="24">
                  <c:v>166.27507056602329</c:v>
                </c:pt>
                <c:pt idx="25">
                  <c:v>149.02505495043476</c:v>
                </c:pt>
                <c:pt idx="26">
                  <c:v>141.38060135639347</c:v>
                </c:pt>
                <c:pt idx="27">
                  <c:v>138.94038038843865</c:v>
                </c:pt>
                <c:pt idx="28">
                  <c:v>135.78869747626464</c:v>
                </c:pt>
                <c:pt idx="29">
                  <c:v>134.40767382480121</c:v>
                </c:pt>
                <c:pt idx="30">
                  <c:v>131.29432585165318</c:v>
                </c:pt>
              </c:numCache>
            </c:numRef>
          </c:yVal>
          <c:smooth val="1"/>
        </c:ser>
        <c:dLbls>
          <c:showLegendKey val="0"/>
          <c:showVal val="0"/>
          <c:showCatName val="0"/>
          <c:showSerName val="0"/>
          <c:showPercent val="0"/>
          <c:showBubbleSize val="0"/>
        </c:dLbls>
        <c:axId val="443677920"/>
        <c:axId val="443678312"/>
      </c:scatterChart>
      <c:valAx>
        <c:axId val="44367792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78312"/>
        <c:crosses val="autoZero"/>
        <c:crossBetween val="midCat"/>
      </c:valAx>
      <c:valAx>
        <c:axId val="443678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77920"/>
        <c:crossesAt val="1.0000000000000012E-22"/>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6574.1468688875048</c:v>
                </c:pt>
                <c:pt idx="1">
                  <c:v>6558.9585674632553</c:v>
                </c:pt>
                <c:pt idx="2">
                  <c:v>6558.9151023534432</c:v>
                </c:pt>
                <c:pt idx="3">
                  <c:v>6547.4961889702836</c:v>
                </c:pt>
                <c:pt idx="4">
                  <c:v>6546.1709508735885</c:v>
                </c:pt>
                <c:pt idx="5">
                  <c:v>6543.1587138865243</c:v>
                </c:pt>
                <c:pt idx="6">
                  <c:v>6470.7772690080064</c:v>
                </c:pt>
                <c:pt idx="7">
                  <c:v>6331.4551012377651</c:v>
                </c:pt>
                <c:pt idx="8">
                  <c:v>6174.7294466502135</c:v>
                </c:pt>
                <c:pt idx="9">
                  <c:v>5971.4158010074543</c:v>
                </c:pt>
                <c:pt idx="10">
                  <c:v>5634.4461459464674</c:v>
                </c:pt>
                <c:pt idx="11">
                  <c:v>5365.2947337719852</c:v>
                </c:pt>
                <c:pt idx="12">
                  <c:v>4996.4526547479045</c:v>
                </c:pt>
                <c:pt idx="13">
                  <c:v>4743.6453356927741</c:v>
                </c:pt>
                <c:pt idx="14">
                  <c:v>4342.341440966049</c:v>
                </c:pt>
                <c:pt idx="15">
                  <c:v>3950.8913979401623</c:v>
                </c:pt>
                <c:pt idx="16">
                  <c:v>3662.5886079597385</c:v>
                </c:pt>
                <c:pt idx="17">
                  <c:v>3039.7716426269371</c:v>
                </c:pt>
                <c:pt idx="18">
                  <c:v>2356.5178874385392</c:v>
                </c:pt>
                <c:pt idx="19">
                  <c:v>1729.8103814891606</c:v>
                </c:pt>
                <c:pt idx="20">
                  <c:v>1069.1787924563466</c:v>
                </c:pt>
                <c:pt idx="21">
                  <c:v>617.68193286887663</c:v>
                </c:pt>
                <c:pt idx="22">
                  <c:v>341.98844253042506</c:v>
                </c:pt>
                <c:pt idx="23">
                  <c:v>201.35693128210559</c:v>
                </c:pt>
                <c:pt idx="24">
                  <c:v>166.27507056602329</c:v>
                </c:pt>
                <c:pt idx="25">
                  <c:v>149.02505495043476</c:v>
                </c:pt>
                <c:pt idx="26">
                  <c:v>141.38060135639347</c:v>
                </c:pt>
                <c:pt idx="27">
                  <c:v>138.94038038843865</c:v>
                </c:pt>
                <c:pt idx="28">
                  <c:v>135.78869747626464</c:v>
                </c:pt>
                <c:pt idx="29">
                  <c:v>134.40767382480121</c:v>
                </c:pt>
                <c:pt idx="30">
                  <c:v>131.29432585165318</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6479.4173945203111</c:v>
                </c:pt>
                <c:pt idx="1">
                  <c:v>6479.4098224930394</c:v>
                </c:pt>
                <c:pt idx="2">
                  <c:v>6479.3341469977386</c:v>
                </c:pt>
                <c:pt idx="3">
                  <c:v>6478.5818432109809</c:v>
                </c:pt>
                <c:pt idx="4">
                  <c:v>6471.4785465571667</c:v>
                </c:pt>
                <c:pt idx="5">
                  <c:v>6425.6175200356038</c:v>
                </c:pt>
                <c:pt idx="6">
                  <c:v>6280.1208683889499</c:v>
                </c:pt>
                <c:pt idx="7">
                  <c:v>6130.6746241219416</c:v>
                </c:pt>
                <c:pt idx="8">
                  <c:v>5959.6523788731929</c:v>
                </c:pt>
                <c:pt idx="9">
                  <c:v>5758.2385072650131</c:v>
                </c:pt>
                <c:pt idx="10">
                  <c:v>5554.3841101126818</c:v>
                </c:pt>
                <c:pt idx="11">
                  <c:v>5295.2360373201445</c:v>
                </c:pt>
                <c:pt idx="12">
                  <c:v>5015.5630964993961</c:v>
                </c:pt>
                <c:pt idx="13">
                  <c:v>4736.4306946254346</c:v>
                </c:pt>
                <c:pt idx="14">
                  <c:v>4439.7769128197897</c:v>
                </c:pt>
                <c:pt idx="15">
                  <c:v>4114.4760224463907</c:v>
                </c:pt>
                <c:pt idx="16">
                  <c:v>3663.1765450388234</c:v>
                </c:pt>
                <c:pt idx="17">
                  <c:v>3039.432542847569</c:v>
                </c:pt>
                <c:pt idx="18">
                  <c:v>2356.6908091986825</c:v>
                </c:pt>
                <c:pt idx="19">
                  <c:v>1664.5297615424545</c:v>
                </c:pt>
                <c:pt idx="20">
                  <c:v>1039.9560035477971</c:v>
                </c:pt>
                <c:pt idx="21">
                  <c:v>595.87814759475407</c:v>
                </c:pt>
                <c:pt idx="22">
                  <c:v>331.73689354379809</c:v>
                </c:pt>
                <c:pt idx="23">
                  <c:v>192.69150907064895</c:v>
                </c:pt>
                <c:pt idx="24">
                  <c:v>148.94455539923553</c:v>
                </c:pt>
                <c:pt idx="25">
                  <c:v>134.05405221959603</c:v>
                </c:pt>
                <c:pt idx="26">
                  <c:v>124.98717582100117</c:v>
                </c:pt>
                <c:pt idx="27">
                  <c:v>124.52409237864396</c:v>
                </c:pt>
                <c:pt idx="28">
                  <c:v>124.05519369270712</c:v>
                </c:pt>
                <c:pt idx="29">
                  <c:v>123.71773904314418</c:v>
                </c:pt>
                <c:pt idx="30">
                  <c:v>123.55128956685287</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6524.0922323475133</c:v>
                </c:pt>
                <c:pt idx="1">
                  <c:v>6524.0916234780861</c:v>
                </c:pt>
                <c:pt idx="2">
                  <c:v>6524.0855350739894</c:v>
                </c:pt>
                <c:pt idx="3">
                  <c:v>6524.0246800369987</c:v>
                </c:pt>
                <c:pt idx="4">
                  <c:v>6523.4190147912504</c:v>
                </c:pt>
                <c:pt idx="5">
                  <c:v>6517.6362259405541</c:v>
                </c:pt>
                <c:pt idx="6">
                  <c:v>6477.1327981212235</c:v>
                </c:pt>
                <c:pt idx="7">
                  <c:v>6330.0349509043281</c:v>
                </c:pt>
                <c:pt idx="8">
                  <c:v>6176.7244290276321</c:v>
                </c:pt>
                <c:pt idx="9">
                  <c:v>5967.4721060386673</c:v>
                </c:pt>
                <c:pt idx="10">
                  <c:v>5641.1899718904151</c:v>
                </c:pt>
                <c:pt idx="11">
                  <c:v>5355.5453200109914</c:v>
                </c:pt>
                <c:pt idx="12">
                  <c:v>5008.4438556128198</c:v>
                </c:pt>
                <c:pt idx="13">
                  <c:v>4731.0584735645643</c:v>
                </c:pt>
                <c:pt idx="14">
                  <c:v>4353.6741083488732</c:v>
                </c:pt>
                <c:pt idx="15">
                  <c:v>3942.1741867089113</c:v>
                </c:pt>
                <c:pt idx="16">
                  <c:v>3668.3403643876386</c:v>
                </c:pt>
                <c:pt idx="17">
                  <c:v>3036.4627657355568</c:v>
                </c:pt>
                <c:pt idx="18">
                  <c:v>2358.143831140268</c:v>
                </c:pt>
                <c:pt idx="19">
                  <c:v>1729.1284041284368</c:v>
                </c:pt>
                <c:pt idx="20">
                  <c:v>1069.4155452364369</c:v>
                </c:pt>
                <c:pt idx="21">
                  <c:v>617.62660569844206</c:v>
                </c:pt>
                <c:pt idx="22">
                  <c:v>341.96101327397753</c:v>
                </c:pt>
                <c:pt idx="23">
                  <c:v>201.42504977440302</c:v>
                </c:pt>
                <c:pt idx="24">
                  <c:v>166.24143677995912</c:v>
                </c:pt>
                <c:pt idx="25">
                  <c:v>149.05831366448461</c:v>
                </c:pt>
                <c:pt idx="26">
                  <c:v>141.37639978875245</c:v>
                </c:pt>
                <c:pt idx="27">
                  <c:v>138.88788939164164</c:v>
                </c:pt>
                <c:pt idx="28">
                  <c:v>135.84152121292294</c:v>
                </c:pt>
                <c:pt idx="29">
                  <c:v>134.36848369788021</c:v>
                </c:pt>
                <c:pt idx="30">
                  <c:v>131.30076686895762</c:v>
                </c:pt>
              </c:numCache>
            </c:numRef>
          </c:yVal>
          <c:smooth val="1"/>
        </c:ser>
        <c:dLbls>
          <c:showLegendKey val="0"/>
          <c:showVal val="0"/>
          <c:showCatName val="0"/>
          <c:showSerName val="0"/>
          <c:showPercent val="0"/>
          <c:showBubbleSize val="0"/>
        </c:dLbls>
        <c:axId val="443679096"/>
        <c:axId val="444032296"/>
      </c:scatterChart>
      <c:valAx>
        <c:axId val="4436790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032296"/>
        <c:crosses val="autoZero"/>
        <c:crossBetween val="midCat"/>
      </c:valAx>
      <c:valAx>
        <c:axId val="444032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67909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7.6138604047435573E-3</c:v>
                </c:pt>
                <c:pt idx="1">
                  <c:v>5.3159268543229036E-3</c:v>
                </c:pt>
                <c:pt idx="2">
                  <c:v>5.310263471310436E-3</c:v>
                </c:pt>
                <c:pt idx="3">
                  <c:v>3.5848068110103364E-3</c:v>
                </c:pt>
                <c:pt idx="4">
                  <c:v>3.4756098264286514E-3</c:v>
                </c:pt>
                <c:pt idx="5">
                  <c:v>3.9006371482024236E-3</c:v>
                </c:pt>
                <c:pt idx="6">
                  <c:v>9.8218944170077151E-4</c:v>
                </c:pt>
                <c:pt idx="7">
                  <c:v>2.2430078247880465E-4</c:v>
                </c:pt>
                <c:pt idx="8">
                  <c:v>3.2308822510448835E-4</c:v>
                </c:pt>
                <c:pt idx="9">
                  <c:v>6.6042879950206006E-4</c:v>
                </c:pt>
                <c:pt idx="10">
                  <c:v>1.1968924308202648E-3</c:v>
                </c:pt>
                <c:pt idx="11">
                  <c:v>1.8171254786108655E-3</c:v>
                </c:pt>
                <c:pt idx="12">
                  <c:v>2.3999428581637015E-3</c:v>
                </c:pt>
                <c:pt idx="13">
                  <c:v>2.6534155143307192E-3</c:v>
                </c:pt>
                <c:pt idx="14">
                  <c:v>2.6098056859165325E-3</c:v>
                </c:pt>
                <c:pt idx="15">
                  <c:v>2.2063910022421251E-3</c:v>
                </c:pt>
                <c:pt idx="16">
                  <c:v>1.5704074477270141E-3</c:v>
                </c:pt>
                <c:pt idx="17">
                  <c:v>1.0885281134213277E-3</c:v>
                </c:pt>
                <c:pt idx="18">
                  <c:v>6.8997723734496186E-4</c:v>
                </c:pt>
                <c:pt idx="19">
                  <c:v>3.9424977906344169E-4</c:v>
                </c:pt>
                <c:pt idx="20">
                  <c:v>2.2143422761529793E-4</c:v>
                </c:pt>
                <c:pt idx="21">
                  <c:v>8.957226606514839E-5</c:v>
                </c:pt>
                <c:pt idx="22">
                  <c:v>8.0205214669185458E-5</c:v>
                </c:pt>
                <c:pt idx="23">
                  <c:v>3.3829723101011142E-4</c:v>
                </c:pt>
                <c:pt idx="24">
                  <c:v>2.0227798400372318E-4</c:v>
                </c:pt>
                <c:pt idx="25">
                  <c:v>2.2317531814306061E-4</c:v>
                </c:pt>
                <c:pt idx="26">
                  <c:v>2.9718133893258852E-5</c:v>
                </c:pt>
                <c:pt idx="27">
                  <c:v>3.7779511363268637E-4</c:v>
                </c:pt>
                <c:pt idx="28">
                  <c:v>3.8901423785680313E-4</c:v>
                </c:pt>
                <c:pt idx="29">
                  <c:v>2.9157655813672817E-4</c:v>
                </c:pt>
                <c:pt idx="30">
                  <c:v>4.905784970263629E-5</c:v>
                </c:pt>
              </c:numCache>
            </c:numRef>
          </c:yVal>
          <c:smooth val="1"/>
        </c:ser>
        <c:dLbls>
          <c:showLegendKey val="0"/>
          <c:showVal val="0"/>
          <c:showCatName val="0"/>
          <c:showSerName val="0"/>
          <c:showPercent val="0"/>
          <c:showBubbleSize val="0"/>
        </c:dLbls>
        <c:axId val="446836720"/>
        <c:axId val="446837112"/>
      </c:scatterChart>
      <c:valAx>
        <c:axId val="4468367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837112"/>
        <c:crossesAt val="-1.5000000000000005E-3"/>
        <c:crossBetween val="midCat"/>
      </c:valAx>
      <c:valAx>
        <c:axId val="44683711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83672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-24.635271452940994</c:v>
                </c:pt>
                <c:pt idx="1">
                  <c:v>-24.575044664280437</c:v>
                </c:pt>
                <c:pt idx="2">
                  <c:v>-24.514751189450408</c:v>
                </c:pt>
                <c:pt idx="3">
                  <c:v>-24.454324342281453</c:v>
                </c:pt>
                <c:pt idx="4">
                  <c:v>-24.3936974366041</c:v>
                </c:pt>
                <c:pt idx="5">
                  <c:v>-24.332803786248874</c:v>
                </c:pt>
                <c:pt idx="6">
                  <c:v>-24.271576705046321</c:v>
                </c:pt>
                <c:pt idx="7">
                  <c:v>-24.20994950682697</c:v>
                </c:pt>
                <c:pt idx="8">
                  <c:v>-24.147855505421354</c:v>
                </c:pt>
                <c:pt idx="9">
                  <c:v>-24.085228014660011</c:v>
                </c:pt>
                <c:pt idx="10">
                  <c:v>-24.022000348373467</c:v>
                </c:pt>
                <c:pt idx="11">
                  <c:v>-23.958105820392262</c:v>
                </c:pt>
                <c:pt idx="12">
                  <c:v>-23.893477744546928</c:v>
                </c:pt>
                <c:pt idx="13">
                  <c:v>-23.828049434667996</c:v>
                </c:pt>
                <c:pt idx="14">
                  <c:v>-23.761754204586005</c:v>
                </c:pt>
                <c:pt idx="15">
                  <c:v>-23.694525368131487</c:v>
                </c:pt>
                <c:pt idx="16">
                  <c:v>-23.626296239134973</c:v>
                </c:pt>
                <c:pt idx="17">
                  <c:v>-23.557000131426996</c:v>
                </c:pt>
                <c:pt idx="18">
                  <c:v>-23.486570358838094</c:v>
                </c:pt>
                <c:pt idx="19">
                  <c:v>-23.414940235198799</c:v>
                </c:pt>
                <c:pt idx="20">
                  <c:v>-23.342043074339642</c:v>
                </c:pt>
                <c:pt idx="21">
                  <c:v>-23.267812190091156</c:v>
                </c:pt>
                <c:pt idx="22">
                  <c:v>-23.192180896283887</c:v>
                </c:pt>
                <c:pt idx="23">
                  <c:v>-23.115082506748355</c:v>
                </c:pt>
                <c:pt idx="24">
                  <c:v>-23.036450335315095</c:v>
                </c:pt>
                <c:pt idx="25">
                  <c:v>-22.956217695814644</c:v>
                </c:pt>
                <c:pt idx="26">
                  <c:v>-22.874317902077539</c:v>
                </c:pt>
                <c:pt idx="27">
                  <c:v>-22.79068426793431</c:v>
                </c:pt>
                <c:pt idx="28">
                  <c:v>-22.705250107215491</c:v>
                </c:pt>
                <c:pt idx="29">
                  <c:v>-22.617948733751611</c:v>
                </c:pt>
                <c:pt idx="30">
                  <c:v>-22.528713461373215</c:v>
                </c:pt>
                <c:pt idx="31">
                  <c:v>-22.437477603910828</c:v>
                </c:pt>
                <c:pt idx="32">
                  <c:v>-22.344174475194983</c:v>
                </c:pt>
                <c:pt idx="33">
                  <c:v>-22.248737389056217</c:v>
                </c:pt>
                <c:pt idx="34">
                  <c:v>-22.151099659325062</c:v>
                </c:pt>
                <c:pt idx="35">
                  <c:v>-22.051194599832058</c:v>
                </c:pt>
                <c:pt idx="36">
                  <c:v>-21.948955524407729</c:v>
                </c:pt>
                <c:pt idx="37">
                  <c:v>-21.844315746882614</c:v>
                </c:pt>
                <c:pt idx="38">
                  <c:v>-21.737208581087252</c:v>
                </c:pt>
                <c:pt idx="39">
                  <c:v>-21.627567340852163</c:v>
                </c:pt>
                <c:pt idx="40">
                  <c:v>-21.515325340007887</c:v>
                </c:pt>
                <c:pt idx="41">
                  <c:v>-21.386141796204079</c:v>
                </c:pt>
                <c:pt idx="42">
                  <c:v>-21.254222529287631</c:v>
                </c:pt>
                <c:pt idx="43">
                  <c:v>-21.11949926292457</c:v>
                </c:pt>
                <c:pt idx="44">
                  <c:v>-20.981903720780913</c:v>
                </c:pt>
                <c:pt idx="45">
                  <c:v>-20.841367626522683</c:v>
                </c:pt>
                <c:pt idx="46">
                  <c:v>-20.697822703815895</c:v>
                </c:pt>
                <c:pt idx="47">
                  <c:v>-20.551200676326573</c:v>
                </c:pt>
                <c:pt idx="48">
                  <c:v>-20.401433267720726</c:v>
                </c:pt>
                <c:pt idx="49">
                  <c:v>-20.248452201664382</c:v>
                </c:pt>
                <c:pt idx="50">
                  <c:v>-20.092189201823558</c:v>
                </c:pt>
                <c:pt idx="51">
                  <c:v>-19.932575991864269</c:v>
                </c:pt>
                <c:pt idx="52">
                  <c:v>-19.76954429545254</c:v>
                </c:pt>
                <c:pt idx="53">
                  <c:v>-19.603025836254389</c:v>
                </c:pt>
                <c:pt idx="54">
                  <c:v>-19.432952337935831</c:v>
                </c:pt>
                <c:pt idx="55">
                  <c:v>-19.259255524162889</c:v>
                </c:pt>
                <c:pt idx="56">
                  <c:v>-19.081867118601579</c:v>
                </c:pt>
                <c:pt idx="57">
                  <c:v>-18.900718844917918</c:v>
                </c:pt>
                <c:pt idx="58">
                  <c:v>-18.715742426777933</c:v>
                </c:pt>
                <c:pt idx="59">
                  <c:v>-18.526869587847639</c:v>
                </c:pt>
                <c:pt idx="60">
                  <c:v>-18.334032051793052</c:v>
                </c:pt>
                <c:pt idx="61">
                  <c:v>-18.137161542280197</c:v>
                </c:pt>
                <c:pt idx="62">
                  <c:v>-17.936189782975088</c:v>
                </c:pt>
                <c:pt idx="63">
                  <c:v>-17.731048497543743</c:v>
                </c:pt>
                <c:pt idx="64">
                  <c:v>-17.521669409652187</c:v>
                </c:pt>
                <c:pt idx="65">
                  <c:v>-17.307984242966434</c:v>
                </c:pt>
                <c:pt idx="66">
                  <c:v>-17.089948863530282</c:v>
                </c:pt>
                <c:pt idx="67">
                  <c:v>-16.867615706898636</c:v>
                </c:pt>
                <c:pt idx="68">
                  <c:v>-16.641061351004193</c:v>
                </c:pt>
                <c:pt idx="69">
                  <c:v>-16.410362373779627</c:v>
                </c:pt>
                <c:pt idx="70">
                  <c:v>-16.175595353157632</c:v>
                </c:pt>
                <c:pt idx="71">
                  <c:v>-15.936836867070889</c:v>
                </c:pt>
                <c:pt idx="72">
                  <c:v>-15.694163493452084</c:v>
                </c:pt>
                <c:pt idx="73">
                  <c:v>-15.447651810233907</c:v>
                </c:pt>
                <c:pt idx="74">
                  <c:v>-15.197378395349039</c:v>
                </c:pt>
                <c:pt idx="75">
                  <c:v>-14.943419826730171</c:v>
                </c:pt>
                <c:pt idx="76">
                  <c:v>-14.685852682309987</c:v>
                </c:pt>
                <c:pt idx="77">
                  <c:v>-14.424753540021168</c:v>
                </c:pt>
                <c:pt idx="78">
                  <c:v>-14.160198977796409</c:v>
                </c:pt>
                <c:pt idx="79">
                  <c:v>-13.892265573568389</c:v>
                </c:pt>
                <c:pt idx="80">
                  <c:v>-13.621029905269797</c:v>
                </c:pt>
                <c:pt idx="81">
                  <c:v>-13.346568550833318</c:v>
                </c:pt>
                <c:pt idx="82">
                  <c:v>-13.068958088191639</c:v>
                </c:pt>
                <c:pt idx="83">
                  <c:v>-12.788275095277445</c:v>
                </c:pt>
                <c:pt idx="84">
                  <c:v>-12.504596150023424</c:v>
                </c:pt>
                <c:pt idx="85">
                  <c:v>-12.217997830362258</c:v>
                </c:pt>
                <c:pt idx="86">
                  <c:v>-11.928556714226634</c:v>
                </c:pt>
                <c:pt idx="87">
                  <c:v>-11.636349379549243</c:v>
                </c:pt>
                <c:pt idx="88">
                  <c:v>-11.341452404262764</c:v>
                </c:pt>
                <c:pt idx="89">
                  <c:v>-11.043942366299888</c:v>
                </c:pt>
                <c:pt idx="90">
                  <c:v>-10.7438958435933</c:v>
                </c:pt>
                <c:pt idx="91">
                  <c:v>-10.441354493286694</c:v>
                </c:pt>
                <c:pt idx="92">
                  <c:v>-10.136220289367817</c:v>
                </c:pt>
                <c:pt idx="93">
                  <c:v>-9.828360285035421</c:v>
                </c:pt>
                <c:pt idx="94">
                  <c:v>-9.5176415334882662</c:v>
                </c:pt>
                <c:pt idx="95">
                  <c:v>-9.2039310879250991</c:v>
                </c:pt>
                <c:pt idx="96">
                  <c:v>-8.8870960015446769</c:v>
                </c:pt>
                <c:pt idx="97">
                  <c:v>-8.5670033275457556</c:v>
                </c:pt>
                <c:pt idx="98">
                  <c:v>-8.2435201191270906</c:v>
                </c:pt>
                <c:pt idx="99">
                  <c:v>-7.9165134294874342</c:v>
                </c:pt>
                <c:pt idx="100">
                  <c:v>-7.5858503118255411</c:v>
                </c:pt>
                <c:pt idx="101">
                  <c:v>-7.2513978193401654</c:v>
                </c:pt>
                <c:pt idx="102">
                  <c:v>-6.9130230052300643</c:v>
                </c:pt>
                <c:pt idx="103">
                  <c:v>-6.5705929226939892</c:v>
                </c:pt>
                <c:pt idx="104">
                  <c:v>-6.2239746249306958</c:v>
                </c:pt>
                <c:pt idx="105">
                  <c:v>-5.8730351651389379</c:v>
                </c:pt>
                <c:pt idx="106">
                  <c:v>-5.517641596517473</c:v>
                </c:pt>
                <c:pt idx="107">
                  <c:v>-5.1576609722650524</c:v>
                </c:pt>
                <c:pt idx="108">
                  <c:v>-4.7929603455804308</c:v>
                </c:pt>
                <c:pt idx="109">
                  <c:v>-4.423406769662364</c:v>
                </c:pt>
                <c:pt idx="110">
                  <c:v>-4.0488672977096059</c:v>
                </c:pt>
                <c:pt idx="111">
                  <c:v>-3.6692089829209116</c:v>
                </c:pt>
                <c:pt idx="112">
                  <c:v>-3.2842988784950347</c:v>
                </c:pt>
                <c:pt idx="113">
                  <c:v>-2.8940040376307299</c:v>
                </c:pt>
                <c:pt idx="114">
                  <c:v>-2.4981915135267521</c:v>
                </c:pt>
                <c:pt idx="115">
                  <c:v>-2.0967283593818555</c:v>
                </c:pt>
                <c:pt idx="116">
                  <c:v>-1.6894816283947947</c:v>
                </c:pt>
                <c:pt idx="117">
                  <c:v>-1.2763183737643242</c:v>
                </c:pt>
                <c:pt idx="118">
                  <c:v>-0.8571056486891987</c:v>
                </c:pt>
                <c:pt idx="119">
                  <c:v>-0.43171050636817243</c:v>
                </c:pt>
                <c:pt idx="120">
                  <c:v>1.1102230246251565E-16</c:v>
                </c:pt>
                <c:pt idx="121">
                  <c:v>0.43806291911107564</c:v>
                </c:pt>
                <c:pt idx="122">
                  <c:v>0.88213170723885792</c:v>
                </c:pt>
                <c:pt idx="123">
                  <c:v>1.3317639225516622</c:v>
                </c:pt>
                <c:pt idx="124">
                  <c:v>1.7865171232178034</c:v>
                </c:pt>
                <c:pt idx="125">
                  <c:v>2.2459488674055965</c:v>
                </c:pt>
                <c:pt idx="126">
                  <c:v>2.7096167132833564</c:v>
                </c:pt>
                <c:pt idx="127">
                  <c:v>3.177078219019398</c:v>
                </c:pt>
                <c:pt idx="128">
                  <c:v>3.6478909427820367</c:v>
                </c:pt>
                <c:pt idx="129">
                  <c:v>4.1216124427395879</c:v>
                </c:pt>
                <c:pt idx="130">
                  <c:v>4.5978002770603661</c:v>
                </c:pt>
                <c:pt idx="131">
                  <c:v>5.0760120039126857</c:v>
                </c:pt>
                <c:pt idx="132">
                  <c:v>5.5558051814648639</c:v>
                </c:pt>
                <c:pt idx="133">
                  <c:v>6.0367373678852134</c:v>
                </c:pt>
                <c:pt idx="134">
                  <c:v>6.5183661213420505</c:v>
                </c:pt>
                <c:pt idx="135">
                  <c:v>7.0002490000036905</c:v>
                </c:pt>
                <c:pt idx="136">
                  <c:v>7.4819435620384471</c:v>
                </c:pt>
                <c:pt idx="137">
                  <c:v>7.9630073656146356</c:v>
                </c:pt>
                <c:pt idx="138">
                  <c:v>8.4429979689005741</c:v>
                </c:pt>
                <c:pt idx="139">
                  <c:v>8.9214729300645743</c:v>
                </c:pt>
                <c:pt idx="140">
                  <c:v>9.3979898072749499</c:v>
                </c:pt>
                <c:pt idx="141">
                  <c:v>9.872106158700019</c:v>
                </c:pt>
                <c:pt idx="142">
                  <c:v>10.343379542508098</c:v>
                </c:pt>
                <c:pt idx="143">
                  <c:v>10.811367516867499</c:v>
                </c:pt>
                <c:pt idx="144">
                  <c:v>11.275627639946537</c:v>
                </c:pt>
                <c:pt idx="145">
                  <c:v>11.735717469913528</c:v>
                </c:pt>
                <c:pt idx="146">
                  <c:v>12.191194564936787</c:v>
                </c:pt>
                <c:pt idx="147">
                  <c:v>12.641616483184631</c:v>
                </c:pt>
                <c:pt idx="148">
                  <c:v>13.08654078282537</c:v>
                </c:pt>
                <c:pt idx="149">
                  <c:v>13.525525022027322</c:v>
                </c:pt>
                <c:pt idx="150">
                  <c:v>13.958126758958805</c:v>
                </c:pt>
                <c:pt idx="151">
                  <c:v>14.38390355178813</c:v>
                </c:pt>
                <c:pt idx="152">
                  <c:v>14.802412958683613</c:v>
                </c:pt>
                <c:pt idx="153">
                  <c:v>15.213212537813568</c:v>
                </c:pt>
                <c:pt idx="154">
                  <c:v>15.615859847346311</c:v>
                </c:pt>
                <c:pt idx="155">
                  <c:v>16.009912445450162</c:v>
                </c:pt>
                <c:pt idx="156">
                  <c:v>16.394927890293427</c:v>
                </c:pt>
                <c:pt idx="157">
                  <c:v>16.770463740044427</c:v>
                </c:pt>
                <c:pt idx="158">
                  <c:v>17.13607755287148</c:v>
                </c:pt>
                <c:pt idx="159">
                  <c:v>17.49132688694289</c:v>
                </c:pt>
                <c:pt idx="160">
                  <c:v>17.835769300426982</c:v>
                </c:pt>
                <c:pt idx="161">
                  <c:v>18.168962351492063</c:v>
                </c:pt>
                <c:pt idx="162">
                  <c:v>18.490463598306455</c:v>
                </c:pt>
                <c:pt idx="163">
                  <c:v>18.799830599038479</c:v>
                </c:pt>
                <c:pt idx="164">
                  <c:v>19.096620911856434</c:v>
                </c:pt>
                <c:pt idx="165">
                  <c:v>19.380392094928641</c:v>
                </c:pt>
                <c:pt idx="166">
                  <c:v>19.650839549450499</c:v>
                </c:pt>
                <c:pt idx="167">
                  <c:v>19.908210048725707</c:v>
                </c:pt>
                <c:pt idx="168">
                  <c:v>20.152888209085052</c:v>
                </c:pt>
                <c:pt idx="169">
                  <c:v>20.38525864685932</c:v>
                </c:pt>
                <c:pt idx="170">
                  <c:v>20.605705978379291</c:v>
                </c:pt>
                <c:pt idx="171">
                  <c:v>20.814614819975752</c:v>
                </c:pt>
                <c:pt idx="172">
                  <c:v>21.012369787979484</c:v>
                </c:pt>
                <c:pt idx="173">
                  <c:v>21.199355498721268</c:v>
                </c:pt>
                <c:pt idx="174">
                  <c:v>21.37595656853189</c:v>
                </c:pt>
                <c:pt idx="175">
                  <c:v>21.542557613742137</c:v>
                </c:pt>
                <c:pt idx="176">
                  <c:v>21.699543250682787</c:v>
                </c:pt>
                <c:pt idx="177">
                  <c:v>21.847298095684636</c:v>
                </c:pt>
                <c:pt idx="178">
                  <c:v>21.98620676507845</c:v>
                </c:pt>
                <c:pt idx="179">
                  <c:v>22.116653875195027</c:v>
                </c:pt>
                <c:pt idx="180">
                  <c:v>22.239024042365145</c:v>
                </c:pt>
                <c:pt idx="181">
                  <c:v>22.353701882919584</c:v>
                </c:pt>
                <c:pt idx="182">
                  <c:v>22.461072013189131</c:v>
                </c:pt>
                <c:pt idx="183">
                  <c:v>22.561519049504575</c:v>
                </c:pt>
                <c:pt idx="184">
                  <c:v>22.655427608196696</c:v>
                </c:pt>
                <c:pt idx="185">
                  <c:v>22.743182305596275</c:v>
                </c:pt>
                <c:pt idx="186">
                  <c:v>22.825167758034098</c:v>
                </c:pt>
                <c:pt idx="187">
                  <c:v>22.901768581840948</c:v>
                </c:pt>
                <c:pt idx="188">
                  <c:v>22.97336939334761</c:v>
                </c:pt>
                <c:pt idx="189">
                  <c:v>23.040354808884867</c:v>
                </c:pt>
                <c:pt idx="190">
                  <c:v>23.103109444783506</c:v>
                </c:pt>
                <c:pt idx="191">
                  <c:v>23.1620179173743</c:v>
                </c:pt>
                <c:pt idx="192">
                  <c:v>23.217464842988051</c:v>
                </c:pt>
                <c:pt idx="193">
                  <c:v>23.269834837955525</c:v>
                </c:pt>
                <c:pt idx="194">
                  <c:v>23.319512518607514</c:v>
                </c:pt>
                <c:pt idx="195">
                  <c:v>23.366882501274802</c:v>
                </c:pt>
                <c:pt idx="196">
                  <c:v>23.412329402288165</c:v>
                </c:pt>
                <c:pt idx="197">
                  <c:v>23.456237837978399</c:v>
                </c:pt>
                <c:pt idx="198">
                  <c:v>23.498992424676281</c:v>
                </c:pt>
                <c:pt idx="199">
                  <c:v>23.540977778712595</c:v>
                </c:pt>
                <c:pt idx="200">
                  <c:v>23.582578516418124</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-24.635271452940994</c:v>
                </c:pt>
                <c:pt idx="1">
                  <c:v>-21.515325340007891</c:v>
                </c:pt>
                <c:pt idx="2">
                  <c:v>-17.30798424296643</c:v>
                </c:pt>
                <c:pt idx="3">
                  <c:v>-10.743895843593299</c:v>
                </c:pt>
                <c:pt idx="4">
                  <c:v>0</c:v>
                </c:pt>
                <c:pt idx="5">
                  <c:v>19.380392094928641</c:v>
                </c:pt>
                <c:pt idx="6">
                  <c:v>23.582578516418124</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-24.781083565296484</c:v>
                </c:pt>
                <c:pt idx="1">
                  <c:v>-24.669313635974646</c:v>
                </c:pt>
                <c:pt idx="2">
                  <c:v>-24.565577031627804</c:v>
                </c:pt>
                <c:pt idx="3">
                  <c:v>-24.469125864087339</c:v>
                </c:pt>
                <c:pt idx="4">
                  <c:v>-24.379239524411961</c:v>
                </c:pt>
                <c:pt idx="5">
                  <c:v>-24.295224719278703</c:v>
                </c:pt>
                <c:pt idx="6">
                  <c:v>-24.216415450744687</c:v>
                </c:pt>
                <c:pt idx="7">
                  <c:v>-24.142172941899169</c:v>
                </c:pt>
                <c:pt idx="8">
                  <c:v>-24.071885510887896</c:v>
                </c:pt>
                <c:pt idx="9">
                  <c:v>-24.004968395752066</c:v>
                </c:pt>
                <c:pt idx="10">
                  <c:v>-23.940863532485093</c:v>
                </c:pt>
                <c:pt idx="11">
                  <c:v>-23.879039288671994</c:v>
                </c:pt>
                <c:pt idx="12">
                  <c:v>-23.818990155036047</c:v>
                </c:pt>
                <c:pt idx="13">
                  <c:v>-23.760236397179941</c:v>
                </c:pt>
                <c:pt idx="14">
                  <c:v>-23.702323669767701</c:v>
                </c:pt>
                <c:pt idx="15">
                  <c:v>-23.644822595356633</c:v>
                </c:pt>
                <c:pt idx="16">
                  <c:v>-23.587328310047528</c:v>
                </c:pt>
                <c:pt idx="17">
                  <c:v>-23.52945997808423</c:v>
                </c:pt>
                <c:pt idx="18">
                  <c:v>-23.470860277492925</c:v>
                </c:pt>
                <c:pt idx="19">
                  <c:v>-23.411194858813872</c:v>
                </c:pt>
                <c:pt idx="20">
                  <c:v>-23.350151778938347</c:v>
                </c:pt>
                <c:pt idx="21">
                  <c:v>-23.287440912025062</c:v>
                </c:pt>
                <c:pt idx="22">
                  <c:v>-23.222793339430748</c:v>
                </c:pt>
                <c:pt idx="23">
                  <c:v>-23.155960720551491</c:v>
                </c:pt>
                <c:pt idx="24">
                  <c:v>-23.086714646431126</c:v>
                </c:pt>
                <c:pt idx="25">
                  <c:v>-23.014845977955176</c:v>
                </c:pt>
                <c:pt idx="26">
                  <c:v>-22.940164170408906</c:v>
                </c:pt>
                <c:pt idx="27">
                  <c:v>-22.862496586139549</c:v>
                </c:pt>
                <c:pt idx="28">
                  <c:v>-22.781687797023523</c:v>
                </c:pt>
                <c:pt idx="29">
                  <c:v>-22.697598878400299</c:v>
                </c:pt>
                <c:pt idx="30">
                  <c:v>-22.610106696096032</c:v>
                </c:pt>
                <c:pt idx="31">
                  <c:v>-22.519103188120393</c:v>
                </c:pt>
                <c:pt idx="32">
                  <c:v>-22.424494642581532</c:v>
                </c:pt>
                <c:pt idx="33">
                  <c:v>-22.326200973324696</c:v>
                </c:pt>
                <c:pt idx="34">
                  <c:v>-22.224154994761442</c:v>
                </c:pt>
                <c:pt idx="35">
                  <c:v>-22.118301697316756</c:v>
                </c:pt>
                <c:pt idx="36">
                  <c:v>-22.008597524882891</c:v>
                </c:pt>
                <c:pt idx="37">
                  <c:v>-21.895009655629451</c:v>
                </c:pt>
                <c:pt idx="38">
                  <c:v>-21.777515287480291</c:v>
                </c:pt>
                <c:pt idx="39">
                  <c:v>-21.656100929528616</c:v>
                </c:pt>
                <c:pt idx="40">
                  <c:v>-21.530761700622957</c:v>
                </c:pt>
                <c:pt idx="41">
                  <c:v>-21.401500636317333</c:v>
                </c:pt>
                <c:pt idx="42">
                  <c:v>-21.268328005340049</c:v>
                </c:pt>
                <c:pt idx="43">
                  <c:v>-21.131260636696588</c:v>
                </c:pt>
                <c:pt idx="44">
                  <c:v>-20.990321258482798</c:v>
                </c:pt>
                <c:pt idx="45">
                  <c:v>-20.845537849446007</c:v>
                </c:pt>
                <c:pt idx="46">
                  <c:v>-20.69694300429191</c:v>
                </c:pt>
                <c:pt idx="47">
                  <c:v>-20.54457331369699</c:v>
                </c:pt>
                <c:pt idx="48">
                  <c:v>-20.388468759946289</c:v>
                </c:pt>
                <c:pt idx="49">
                  <c:v>-20.228672129078049</c:v>
                </c:pt>
                <c:pt idx="50">
                  <c:v>-20.065228440377197</c:v>
                </c:pt>
                <c:pt idx="51">
                  <c:v>-19.898184394020912</c:v>
                </c:pt>
                <c:pt idx="52">
                  <c:v>-19.727587837640385</c:v>
                </c:pt>
                <c:pt idx="53">
                  <c:v>-19.553487252523809</c:v>
                </c:pt>
                <c:pt idx="54">
                  <c:v>-19.375931260146704</c:v>
                </c:pt>
                <c:pt idx="55">
                  <c:v>-19.194968149676544</c:v>
                </c:pt>
                <c:pt idx="56">
                  <c:v>-19.010645427059785</c:v>
                </c:pt>
                <c:pt idx="57">
                  <c:v>-18.8230093862601</c:v>
                </c:pt>
                <c:pt idx="58">
                  <c:v>-18.632104703177863</c:v>
                </c:pt>
                <c:pt idx="59">
                  <c:v>-18.437974052741794</c:v>
                </c:pt>
                <c:pt idx="60">
                  <c:v>-18.240657749624518</c:v>
                </c:pt>
                <c:pt idx="61">
                  <c:v>-18.040193412995023</c:v>
                </c:pt>
                <c:pt idx="62">
                  <c:v>-17.836615655681694</c:v>
                </c:pt>
                <c:pt idx="63">
                  <c:v>-17.6299557980808</c:v>
                </c:pt>
                <c:pt idx="64">
                  <c:v>-17.42024160710616</c:v>
                </c:pt>
                <c:pt idx="65">
                  <c:v>-17.207497060436577</c:v>
                </c:pt>
                <c:pt idx="66">
                  <c:v>-16.991742136278994</c:v>
                </c:pt>
                <c:pt idx="67">
                  <c:v>-16.772992628825737</c:v>
                </c:pt>
                <c:pt idx="68">
                  <c:v>-16.551259989545642</c:v>
                </c:pt>
                <c:pt idx="69">
                  <c:v>-16.326551194409642</c:v>
                </c:pt>
                <c:pt idx="70">
                  <c:v>-16.098868637112314</c:v>
                </c:pt>
                <c:pt idx="71">
                  <c:v>-15.86821004831196</c:v>
                </c:pt>
                <c:pt idx="72">
                  <c:v>-15.634568440872743</c:v>
                </c:pt>
                <c:pt idx="73">
                  <c:v>-15.397932081053293</c:v>
                </c:pt>
                <c:pt idx="74">
                  <c:v>-15.158284485547281</c:v>
                </c:pt>
                <c:pt idx="75">
                  <c:v>-14.915604444242314</c:v>
                </c:pt>
                <c:pt idx="76">
                  <c:v>-14.669866068524609</c:v>
                </c:pt>
                <c:pt idx="77">
                  <c:v>-14.421038864917676</c:v>
                </c:pt>
                <c:pt idx="78">
                  <c:v>-14.169087833804472</c:v>
                </c:pt>
                <c:pt idx="79">
                  <c:v>-13.913973592943172</c:v>
                </c:pt>
                <c:pt idx="80">
                  <c:v>-13.655652525447927</c:v>
                </c:pt>
                <c:pt idx="81">
                  <c:v>-13.394076951866765</c:v>
                </c:pt>
                <c:pt idx="82">
                  <c:v>-13.129195325949844</c:v>
                </c:pt>
                <c:pt idx="83">
                  <c:v>-12.860952453662257</c:v>
                </c:pt>
                <c:pt idx="84">
                  <c:v>-12.589289734956473</c:v>
                </c:pt>
                <c:pt idx="85">
                  <c:v>-12.314145427780536</c:v>
                </c:pt>
                <c:pt idx="86">
                  <c:v>-12.035454933759118</c:v>
                </c:pt>
                <c:pt idx="87">
                  <c:v>-11.753151104945426</c:v>
                </c:pt>
                <c:pt idx="88">
                  <c:v>-11.467164571003011</c:v>
                </c:pt>
                <c:pt idx="89">
                  <c:v>-11.177424086137435</c:v>
                </c:pt>
                <c:pt idx="90">
                  <c:v>-10.883856895058761</c:v>
                </c:pt>
                <c:pt idx="91">
                  <c:v>-10.586389117216761</c:v>
                </c:pt>
                <c:pt idx="92">
                  <c:v>-10.284946148511779</c:v>
                </c:pt>
                <c:pt idx="93">
                  <c:v>-9.9794530796450456</c:v>
                </c:pt>
                <c:pt idx="94">
                  <c:v>-9.6698351302333219</c:v>
                </c:pt>
                <c:pt idx="95">
                  <c:v>-9.3560180977736476</c:v>
                </c:pt>
                <c:pt idx="96">
                  <c:v>-9.0379288205049377</c:v>
                </c:pt>
                <c:pt idx="97">
                  <c:v>-8.7154956531742211</c:v>
                </c:pt>
                <c:pt idx="98">
                  <c:v>-8.3886489546761673</c:v>
                </c:pt>
                <c:pt idx="99">
                  <c:v>-8.0573215864955969</c:v>
                </c:pt>
                <c:pt idx="100">
                  <c:v>-7.7214494208436415</c:v>
                </c:pt>
                <c:pt idx="101">
                  <c:v>-7.380971857339131</c:v>
                </c:pt>
                <c:pt idx="102">
                  <c:v>-7.0358323470477888</c:v>
                </c:pt>
                <c:pt idx="103">
                  <c:v>-6.6859789226528417</c:v>
                </c:pt>
                <c:pt idx="104">
                  <c:v>-6.3313647334914833</c:v>
                </c:pt>
                <c:pt idx="105">
                  <c:v>-5.9719485841527433</c:v>
                </c:pt>
                <c:pt idx="106">
                  <c:v>-5.6076954752932124</c:v>
                </c:pt>
                <c:pt idx="107">
                  <c:v>-5.2385771452880112</c:v>
                </c:pt>
                <c:pt idx="108">
                  <c:v>-4.8645726112954542</c:v>
                </c:pt>
                <c:pt idx="109">
                  <c:v>-4.4856687082747451</c:v>
                </c:pt>
                <c:pt idx="110">
                  <c:v>-4.1018606244570464</c:v>
                </c:pt>
                <c:pt idx="111">
                  <c:v>-3.7131524317312365</c:v>
                </c:pt>
                <c:pt idx="112">
                  <c:v>-3.319557609366611</c:v>
                </c:pt>
                <c:pt idx="113">
                  <c:v>-2.9210995594558065</c:v>
                </c:pt>
                <c:pt idx="114">
                  <c:v>-2.5178121124221184</c:v>
                </c:pt>
                <c:pt idx="115">
                  <c:v>-2.1097400208964383</c:v>
                </c:pt>
                <c:pt idx="116">
                  <c:v>-1.6969394402299254</c:v>
                </c:pt>
                <c:pt idx="117">
                  <c:v>-1.2794783938695733</c:v>
                </c:pt>
                <c:pt idx="118">
                  <c:v>-0.85743722178472281</c:v>
                </c:pt>
                <c:pt idx="119">
                  <c:v>-0.4309090100936156</c:v>
                </c:pt>
                <c:pt idx="120">
                  <c:v>0</c:v>
                </c:pt>
                <c:pt idx="121">
                  <c:v>0.4351700258892045</c:v>
                </c:pt>
                <c:pt idx="122">
                  <c:v>0.87446738183321804</c:v>
                </c:pt>
                <c:pt idx="123">
                  <c:v>1.3177441438207451</c:v>
                </c:pt>
                <c:pt idx="124">
                  <c:v>1.7648378430734497</c:v>
                </c:pt>
                <c:pt idx="125">
                  <c:v>2.2155711902746771</c:v>
                </c:pt>
                <c:pt idx="126">
                  <c:v>2.6697518326475875</c:v>
                </c:pt>
                <c:pt idx="127">
                  <c:v>3.127172146045869</c:v>
                </c:pt>
                <c:pt idx="128">
                  <c:v>3.5876090642592668</c:v>
                </c:pt>
                <c:pt idx="129">
                  <c:v>4.0508239477751466</c:v>
                </c:pt>
                <c:pt idx="130">
                  <c:v>4.5165624942764016</c:v>
                </c:pt>
                <c:pt idx="131">
                  <c:v>4.98455469319497</c:v>
                </c:pt>
                <c:pt idx="132">
                  <c:v>5.4545148266793539</c:v>
                </c:pt>
                <c:pt idx="133">
                  <c:v>5.9261415193734441</c:v>
                </c:pt>
                <c:pt idx="134">
                  <c:v>6.3991178394431003</c:v>
                </c:pt>
                <c:pt idx="135">
                  <c:v>6.8731114533258939</c:v>
                </c:pt>
                <c:pt idx="136">
                  <c:v>7.3477748367184876</c:v>
                </c:pt>
                <c:pt idx="137">
                  <c:v>7.8227455443551079</c:v>
                </c:pt>
                <c:pt idx="138">
                  <c:v>8.297646541169696</c:v>
                </c:pt>
                <c:pt idx="139">
                  <c:v>8.7720865974731979</c:v>
                </c:pt>
                <c:pt idx="140">
                  <c:v>9.2456607508166861</c:v>
                </c:pt>
                <c:pt idx="141">
                  <c:v>9.7179508372498233</c:v>
                </c:pt>
                <c:pt idx="142">
                  <c:v>10.188526094723397</c:v>
                </c:pt>
                <c:pt idx="143">
                  <c:v>10.656943841423503</c:v>
                </c:pt>
                <c:pt idx="144">
                  <c:v>11.122750231864224</c:v>
                </c:pt>
                <c:pt idx="145">
                  <c:v>11.58548109360437</c:v>
                </c:pt>
                <c:pt idx="146">
                  <c:v>12.044662847493198</c:v>
                </c:pt>
                <c:pt idx="147">
                  <c:v>12.49981351438881</c:v>
                </c:pt>
                <c:pt idx="148">
                  <c:v>12.950443811332107</c:v>
                </c:pt>
                <c:pt idx="149">
                  <c:v>13.39605834019812</c:v>
                </c:pt>
                <c:pt idx="150">
                  <c:v>13.836156871885658</c:v>
                </c:pt>
                <c:pt idx="151">
                  <c:v>14.270235729145149</c:v>
                </c:pt>
                <c:pt idx="152">
                  <c:v>14.697789271183639</c:v>
                </c:pt>
                <c:pt idx="153">
                  <c:v>15.118311483224923</c:v>
                </c:pt>
                <c:pt idx="154">
                  <c:v>15.531297674241856</c:v>
                </c:pt>
                <c:pt idx="155">
                  <c:v>15.936246286116821</c:v>
                </c:pt>
                <c:pt idx="156">
                  <c:v>16.332660817525497</c:v>
                </c:pt>
                <c:pt idx="157">
                  <c:v>16.720051865877966</c:v>
                </c:pt>
                <c:pt idx="158">
                  <c:v>17.097939290690388</c:v>
                </c:pt>
                <c:pt idx="159">
                  <c:v>17.465854501799239</c:v>
                </c:pt>
                <c:pt idx="160">
                  <c:v>17.823342875869525</c:v>
                </c:pt>
                <c:pt idx="161">
                  <c:v>18.169966304687048</c:v>
                </c:pt>
                <c:pt idx="162">
                  <c:v>18.505305878763988</c:v>
                </c:pt>
                <c:pt idx="163">
                  <c:v>18.82896470982617</c:v>
                </c:pt>
                <c:pt idx="164">
                  <c:v>19.140570895789295</c:v>
                </c:pt>
                <c:pt idx="165">
                  <c:v>19.439780631870413</c:v>
                </c:pt>
                <c:pt idx="166">
                  <c:v>19.726281471520132</c:v>
                </c:pt>
                <c:pt idx="167">
                  <c:v>19.999795740899959</c:v>
                </c:pt>
                <c:pt idx="168">
                  <c:v>20.260084110668064</c:v>
                </c:pt>
                <c:pt idx="169">
                  <c:v>20.506949328876164</c:v>
                </c:pt>
                <c:pt idx="170">
                  <c:v>20.740240118818864</c:v>
                </c:pt>
                <c:pt idx="171">
                  <c:v>20.959855245716046</c:v>
                </c:pt>
                <c:pt idx="172">
                  <c:v>21.165747756147894</c:v>
                </c:pt>
                <c:pt idx="173">
                  <c:v>21.357929394201054</c:v>
                </c:pt>
                <c:pt idx="174">
                  <c:v>21.536475198323714</c:v>
                </c:pt>
                <c:pt idx="175">
                  <c:v>21.701528282926102</c:v>
                </c:pt>
                <c:pt idx="176">
                  <c:v>21.853304808802154</c:v>
                </c:pt>
                <c:pt idx="177">
                  <c:v>21.992099146487085</c:v>
                </c:pt>
                <c:pt idx="178">
                  <c:v>22.118289236704612</c:v>
                </c:pt>
                <c:pt idx="179">
                  <c:v>22.232342152096546</c:v>
                </c:pt>
                <c:pt idx="180">
                  <c:v>22.334819864466624</c:v>
                </c:pt>
                <c:pt idx="181">
                  <c:v>22.426385221809422</c:v>
                </c:pt>
                <c:pt idx="182">
                  <c:v>22.507808139434136</c:v>
                </c:pt>
                <c:pt idx="183">
                  <c:v>22.579972009532291</c:v>
                </c:pt>
                <c:pt idx="184">
                  <c:v>22.643880333577098</c:v>
                </c:pt>
                <c:pt idx="185">
                  <c:v>22.700663581981626</c:v>
                </c:pt>
                <c:pt idx="186">
                  <c:v>22.751586285481654</c:v>
                </c:pt>
                <c:pt idx="187">
                  <c:v>22.79805436274826</c:v>
                </c:pt>
                <c:pt idx="188">
                  <c:v>22.841622688774216</c:v>
                </c:pt>
                <c:pt idx="189">
                  <c:v>22.884002908617237</c:v>
                </c:pt>
                <c:pt idx="190">
                  <c:v>22.927071501122278</c:v>
                </c:pt>
                <c:pt idx="191">
                  <c:v>22.972878097283925</c:v>
                </c:pt>
                <c:pt idx="192">
                  <c:v>23.023654057949084</c:v>
                </c:pt>
                <c:pt idx="193">
                  <c:v>23.081821315599282</c:v>
                </c:pt>
                <c:pt idx="194">
                  <c:v>23.150001484990653</c:v>
                </c:pt>
                <c:pt idx="195">
                  <c:v>23.231025247468942</c:v>
                </c:pt>
                <c:pt idx="196">
                  <c:v>23.327942013815925</c:v>
                </c:pt>
                <c:pt idx="197">
                  <c:v>23.44402987052241</c:v>
                </c:pt>
                <c:pt idx="198">
                  <c:v>23.582805814422276</c:v>
                </c:pt>
                <c:pt idx="199">
                  <c:v>23.748036280661001</c:v>
                </c:pt>
                <c:pt idx="200">
                  <c:v>23.943747969010875</c:v>
                </c:pt>
              </c:numCache>
            </c:numRef>
          </c:yVal>
          <c:smooth val="1"/>
        </c:ser>
        <c:dLbls>
          <c:showLegendKey val="0"/>
          <c:showVal val="0"/>
          <c:showCatName val="0"/>
          <c:showSerName val="0"/>
          <c:showPercent val="0"/>
          <c:showBubbleSize val="0"/>
        </c:dLbls>
        <c:axId val="446836328"/>
        <c:axId val="446834368"/>
      </c:scatterChart>
      <c:valAx>
        <c:axId val="44683632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834368"/>
        <c:crossesAt val="-1000"/>
        <c:crossBetween val="midCat"/>
      </c:valAx>
      <c:valAx>
        <c:axId val="446834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83632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24" t="s">
        <v>107</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2.5270250571428573E-5</v>
      </c>
    </row>
    <row r="26" spans="1:2" s="11" customFormat="1" x14ac:dyDescent="0.25">
      <c r="A26" s="61" t="s">
        <v>148</v>
      </c>
      <c r="B26" s="53">
        <f>CTE!O6</f>
        <v>2.7904964857142861E-5</v>
      </c>
    </row>
    <row r="27" spans="1:2" s="11" customFormat="1" x14ac:dyDescent="0.25">
      <c r="A27" s="61" t="s">
        <v>149</v>
      </c>
      <c r="B27" s="53">
        <f>CTE!O8</f>
        <v>7.0197717142857148E-5</v>
      </c>
    </row>
    <row r="28" spans="1:2" s="11" customFormat="1" x14ac:dyDescent="0.25">
      <c r="A28" s="61" t="s">
        <v>150</v>
      </c>
      <c r="B28" s="53">
        <f>CTE!O9</f>
        <v>6.9821937142857152E-5</v>
      </c>
    </row>
    <row r="29" spans="1:2" s="11" customFormat="1" x14ac:dyDescent="0.25">
      <c r="A29" s="61"/>
    </row>
    <row r="30" spans="1:2" s="11" customFormat="1" x14ac:dyDescent="0.25">
      <c r="A30" s="61" t="s">
        <v>151</v>
      </c>
      <c r="B30" s="52">
        <f>CTE!P5</f>
        <v>2.2752914736842108E-5</v>
      </c>
    </row>
    <row r="31" spans="1:2" s="11" customFormat="1" x14ac:dyDescent="0.25">
      <c r="A31" s="61" t="s">
        <v>152</v>
      </c>
      <c r="B31" s="52">
        <f>CTE!P6</f>
        <v>2.4298146315789474E-5</v>
      </c>
    </row>
    <row r="32" spans="1:2" s="11" customFormat="1" x14ac:dyDescent="0.25">
      <c r="A32" s="61" t="s">
        <v>153</v>
      </c>
      <c r="B32" s="52">
        <f>CTE!P8</f>
        <v>4.5848989473684213E-5</v>
      </c>
    </row>
    <row r="33" spans="1:2" s="11" customFormat="1" x14ac:dyDescent="0.25">
      <c r="A33" s="61" t="s">
        <v>154</v>
      </c>
      <c r="B33" s="52">
        <f>CTE!P9</f>
        <v>4.720299789473684E-5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0.43306062872478701</v>
      </c>
      <c r="D59" s="55">
        <v>1</v>
      </c>
    </row>
    <row r="60" spans="1:4" s="11" customFormat="1" x14ac:dyDescent="0.25">
      <c r="A60" s="54">
        <v>2</v>
      </c>
      <c r="B60" s="56">
        <f>'Shiftfunktion bestimmen'!N2</f>
        <v>2.1310873427484978E-3</v>
      </c>
      <c r="D60" s="55">
        <v>2</v>
      </c>
    </row>
    <row r="61" spans="1:4" s="11" customFormat="1" x14ac:dyDescent="0.25">
      <c r="A61" s="54">
        <v>3</v>
      </c>
      <c r="B61" s="56">
        <f>'Shiftfunktion bestimmen'!N3</f>
        <v>-2.1107824535769515E-5</v>
      </c>
      <c r="D61" s="55">
        <v>3</v>
      </c>
    </row>
    <row r="62" spans="1:4" s="11" customFormat="1" x14ac:dyDescent="0.25">
      <c r="A62" s="54">
        <v>4</v>
      </c>
      <c r="B62" s="56">
        <f>'Shiftfunktion bestimmen'!N4</f>
        <v>-5.7948187756999232E-7</v>
      </c>
      <c r="D62" s="55">
        <v>4</v>
      </c>
    </row>
    <row r="63" spans="1:4" s="11" customFormat="1" x14ac:dyDescent="0.25">
      <c r="A63" s="54">
        <v>5</v>
      </c>
      <c r="B63" s="56">
        <f>'Shiftfunktion bestimmen'!N5</f>
        <v>-2.9092433155025724E-9</v>
      </c>
      <c r="D63" s="55">
        <v>5</v>
      </c>
    </row>
    <row r="64" spans="1:4" s="11" customFormat="1" x14ac:dyDescent="0.25">
      <c r="A64" s="54">
        <v>6</v>
      </c>
      <c r="B64" s="56">
        <f>'Shiftfunktion bestimmen'!N6</f>
        <v>3.6922608315251456E-11</v>
      </c>
      <c r="D64" s="55">
        <v>6</v>
      </c>
    </row>
    <row r="65" spans="1:5" s="11" customFormat="1" x14ac:dyDescent="0.25">
      <c r="A65" s="54">
        <v>7</v>
      </c>
      <c r="B65" s="56">
        <f>'Shiftfunktion bestimmen'!N7</f>
        <v>4.0209861733373531E-13</v>
      </c>
      <c r="D65" s="55">
        <v>7</v>
      </c>
    </row>
    <row r="66" spans="1:5" x14ac:dyDescent="0.25">
      <c r="A66" s="54">
        <v>8</v>
      </c>
      <c r="B66" s="56">
        <f>'Shiftfunktion bestimmen'!N8</f>
        <v>9.6802211503814371E-16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0</v>
      </c>
      <c r="D74" s="51">
        <v>1</v>
      </c>
      <c r="E74" s="56">
        <f>'Universal Mastercurve'!A111</f>
        <v>1.0000000000000001E-20</v>
      </c>
    </row>
    <row r="75" spans="1:5" x14ac:dyDescent="0.25">
      <c r="A75" s="50">
        <f>A74+1</f>
        <v>2</v>
      </c>
      <c r="B75" s="56">
        <f>'Universal Mastercurve'!C112</f>
        <v>0</v>
      </c>
      <c r="D75" s="51">
        <v>2</v>
      </c>
      <c r="E75" s="56">
        <f>'Universal Mastercurve'!A112</f>
        <v>3.9038946506297401E-14</v>
      </c>
    </row>
    <row r="76" spans="1:5" x14ac:dyDescent="0.25">
      <c r="A76" s="50">
        <f t="shared" ref="A76:A104" si="0">A75+1</f>
        <v>3</v>
      </c>
      <c r="B76" s="56">
        <f>'Universal Mastercurve'!C113</f>
        <v>0</v>
      </c>
      <c r="D76" s="51">
        <v>3</v>
      </c>
      <c r="E76" s="56">
        <f>'Universal Mastercurve'!A113</f>
        <v>4.3276437088188502E-13</v>
      </c>
    </row>
    <row r="77" spans="1:5" x14ac:dyDescent="0.25">
      <c r="A77" s="50">
        <f t="shared" si="0"/>
        <v>4</v>
      </c>
      <c r="B77" s="56">
        <f>'Universal Mastercurve'!C114</f>
        <v>0</v>
      </c>
      <c r="D77" s="51">
        <v>4</v>
      </c>
      <c r="E77" s="56">
        <f>'Universal Mastercurve'!A114</f>
        <v>4.7973886968128502E-12</v>
      </c>
    </row>
    <row r="78" spans="1:5" x14ac:dyDescent="0.25">
      <c r="A78" s="50">
        <f t="shared" si="0"/>
        <v>5</v>
      </c>
      <c r="B78" s="56">
        <f>'Universal Mastercurve'!C115</f>
        <v>0</v>
      </c>
      <c r="D78" s="51">
        <v>5</v>
      </c>
      <c r="E78" s="56">
        <f>'Universal Mastercurve'!A115</f>
        <v>5.31812225239524E-11</v>
      </c>
    </row>
    <row r="79" spans="1:5" x14ac:dyDescent="0.25">
      <c r="A79" s="50">
        <f t="shared" si="0"/>
        <v>6</v>
      </c>
      <c r="B79" s="56">
        <f>'Universal Mastercurve'!C116</f>
        <v>3.2263010182368981E-3</v>
      </c>
      <c r="D79" s="51">
        <v>6</v>
      </c>
      <c r="E79" s="56">
        <f>'Universal Mastercurve'!A116</f>
        <v>5.8953789402578301E-10</v>
      </c>
    </row>
    <row r="80" spans="1:5" x14ac:dyDescent="0.25">
      <c r="A80" s="50">
        <f t="shared" si="0"/>
        <v>7</v>
      </c>
      <c r="B80" s="56">
        <f>'Universal Mastercurve'!C117</f>
        <v>2.9815293578547581E-2</v>
      </c>
      <c r="D80" s="51">
        <v>7</v>
      </c>
      <c r="E80" s="56">
        <f>'Universal Mastercurve'!A117</f>
        <v>6.5352940755699598E-9</v>
      </c>
    </row>
    <row r="81" spans="1:5" x14ac:dyDescent="0.25">
      <c r="A81" s="50">
        <f t="shared" si="0"/>
        <v>8</v>
      </c>
      <c r="B81" s="56">
        <f>'Universal Mastercurve'!C118</f>
        <v>2.0613871634024932E-2</v>
      </c>
      <c r="D81" s="51">
        <v>8</v>
      </c>
      <c r="E81" s="56">
        <f>'Universal Mastercurve'!A118</f>
        <v>7.2446689325643296E-8</v>
      </c>
    </row>
    <row r="82" spans="1:5" x14ac:dyDescent="0.25">
      <c r="A82" s="50">
        <f t="shared" si="0"/>
        <v>9</v>
      </c>
      <c r="B82" s="56">
        <f>'Universal Mastercurve'!C119</f>
        <v>3.4252159828546111E-2</v>
      </c>
      <c r="D82" s="51">
        <f>A82</f>
        <v>9</v>
      </c>
      <c r="E82" s="56">
        <f>'Universal Mastercurve'!A119</f>
        <v>8.03104303120212E-7</v>
      </c>
    </row>
    <row r="83" spans="1:5" x14ac:dyDescent="0.25">
      <c r="A83" s="50">
        <f t="shared" si="0"/>
        <v>10</v>
      </c>
      <c r="B83" s="56">
        <f>'Universal Mastercurve'!C120</f>
        <v>6.4874540033614508E-2</v>
      </c>
      <c r="C83" s="11"/>
      <c r="D83" s="51">
        <f t="shared" ref="D83:D104" si="1">A83</f>
        <v>10</v>
      </c>
      <c r="E83" s="56">
        <f>'Universal Mastercurve'!A120</f>
        <v>8.9027742702096099E-6</v>
      </c>
    </row>
    <row r="84" spans="1:5" x14ac:dyDescent="0.25">
      <c r="A84" s="50">
        <f t="shared" si="0"/>
        <v>11</v>
      </c>
      <c r="B84" s="56">
        <f>'Universal Mastercurve'!C121</f>
        <v>3.0118417144868331E-2</v>
      </c>
      <c r="C84" s="11"/>
      <c r="D84" s="51">
        <f t="shared" si="1"/>
        <v>11</v>
      </c>
      <c r="E84" s="56">
        <f>'Universal Mastercurve'!A121</f>
        <v>9.86912775817142E-5</v>
      </c>
    </row>
    <row r="85" spans="1:5" x14ac:dyDescent="0.25">
      <c r="A85" s="50">
        <f t="shared" si="0"/>
        <v>12</v>
      </c>
      <c r="B85" s="56">
        <f>'Universal Mastercurve'!C122</f>
        <v>8.0294327144796299E-2</v>
      </c>
      <c r="C85" s="11"/>
      <c r="D85" s="51">
        <f t="shared" si="1"/>
        <v>12</v>
      </c>
      <c r="E85" s="56">
        <f>'Universal Mastercurve'!A122</f>
        <v>1.0940374286813801E-3</v>
      </c>
    </row>
    <row r="86" spans="1:5" x14ac:dyDescent="0.25">
      <c r="A86" s="50">
        <f t="shared" si="0"/>
        <v>13</v>
      </c>
      <c r="B86" s="56">
        <f>'Universal Mastercurve'!C123</f>
        <v>5.1212093052202439E-3</v>
      </c>
      <c r="C86" s="11"/>
      <c r="D86" s="51">
        <f t="shared" si="1"/>
        <v>13</v>
      </c>
      <c r="E86" s="56">
        <f>'Universal Mastercurve'!A123</f>
        <v>1.2127899493091E-2</v>
      </c>
    </row>
    <row r="87" spans="1:5" x14ac:dyDescent="0.25">
      <c r="A87" s="50">
        <f t="shared" si="0"/>
        <v>14</v>
      </c>
      <c r="B87" s="56">
        <f>'Universal Mastercurve'!C124</f>
        <v>0.12149103003555009</v>
      </c>
      <c r="C87" s="11"/>
      <c r="D87" s="51">
        <f t="shared" si="1"/>
        <v>14</v>
      </c>
      <c r="E87" s="56">
        <f>'Universal Mastercurve'!A124</f>
        <v>0.13444324870292301</v>
      </c>
    </row>
    <row r="88" spans="1:5" x14ac:dyDescent="0.25">
      <c r="A88" s="50">
        <f t="shared" si="0"/>
        <v>15</v>
      </c>
      <c r="B88" s="56">
        <f>'Universal Mastercurve'!C125</f>
        <v>0</v>
      </c>
      <c r="C88" s="11"/>
      <c r="D88" s="51">
        <f t="shared" si="1"/>
        <v>15</v>
      </c>
      <c r="E88" s="56">
        <f>'Universal Mastercurve'!A125</f>
        <v>1.49036419143257</v>
      </c>
    </row>
    <row r="89" spans="1:5" x14ac:dyDescent="0.25">
      <c r="A89" s="50">
        <f t="shared" si="0"/>
        <v>16</v>
      </c>
      <c r="B89" s="56">
        <f>'Universal Mastercurve'!C126</f>
        <v>9.0693498550075996E-2</v>
      </c>
      <c r="C89" s="11"/>
      <c r="D89" s="51">
        <f t="shared" si="1"/>
        <v>16</v>
      </c>
      <c r="E89" s="56">
        <f>'Universal Mastercurve'!A126</f>
        <v>16.521360830937301</v>
      </c>
    </row>
    <row r="90" spans="1:5" x14ac:dyDescent="0.25">
      <c r="A90" s="50">
        <f t="shared" si="0"/>
        <v>17</v>
      </c>
      <c r="B90" s="56">
        <f>'Universal Mastercurve'!C127</f>
        <v>0.1171576104255016</v>
      </c>
      <c r="C90" s="11"/>
      <c r="D90" s="51">
        <f t="shared" si="1"/>
        <v>17</v>
      </c>
      <c r="E90" s="56">
        <f>'Universal Mastercurve'!A127</f>
        <v>183.146753843879</v>
      </c>
    </row>
    <row r="91" spans="1:5" x14ac:dyDescent="0.25">
      <c r="A91" s="50">
        <f t="shared" si="0"/>
        <v>18</v>
      </c>
      <c r="B91" s="56">
        <f>'Universal Mastercurve'!C128</f>
        <v>9.2398165646956465E-2</v>
      </c>
      <c r="C91" s="11"/>
      <c r="D91" s="51">
        <f t="shared" si="1"/>
        <v>18</v>
      </c>
      <c r="E91" s="56">
        <f>'Universal Mastercurve'!A128</f>
        <v>2030.26456396616</v>
      </c>
    </row>
    <row r="92" spans="1:5" x14ac:dyDescent="0.25">
      <c r="A92" s="50">
        <f t="shared" si="0"/>
        <v>19</v>
      </c>
      <c r="B92" s="56">
        <f>'Universal Mastercurve'!C129</f>
        <v>0.11704760278071707</v>
      </c>
      <c r="C92" s="11"/>
      <c r="D92" s="51">
        <f t="shared" si="1"/>
        <v>19</v>
      </c>
      <c r="E92" s="56">
        <f>'Universal Mastercurve'!A129</f>
        <v>22506.400540467101</v>
      </c>
    </row>
    <row r="93" spans="1:5" x14ac:dyDescent="0.25">
      <c r="A93" s="50">
        <f t="shared" si="0"/>
        <v>20</v>
      </c>
      <c r="B93" s="56">
        <f>'Universal Mastercurve'!C130</f>
        <v>8.782051980314344E-2</v>
      </c>
      <c r="C93" s="11"/>
      <c r="D93" s="51">
        <f t="shared" si="1"/>
        <v>20</v>
      </c>
      <c r="E93" s="56">
        <f>'Universal Mastercurve'!A130</f>
        <v>249493.62476110301</v>
      </c>
    </row>
    <row r="94" spans="1:5" x14ac:dyDescent="0.25">
      <c r="A94" s="50">
        <f t="shared" si="0"/>
        <v>21</v>
      </c>
      <c r="B94" s="56">
        <f>'Universal Mastercurve'!C131</f>
        <v>2.6254709938972984E-2</v>
      </c>
      <c r="C94" s="11"/>
      <c r="D94" s="51">
        <f t="shared" si="1"/>
        <v>21</v>
      </c>
      <c r="E94" s="56">
        <f>'Universal Mastercurve'!A131</f>
        <v>2765749.6224023802</v>
      </c>
    </row>
    <row r="95" spans="1:5" x14ac:dyDescent="0.25">
      <c r="A95" s="50">
        <f t="shared" si="0"/>
        <v>22</v>
      </c>
      <c r="B95" s="56">
        <f>'Universal Mastercurve'!C132</f>
        <v>4.1336797974784102E-2</v>
      </c>
      <c r="C95" s="11"/>
      <c r="D95" s="51">
        <f t="shared" si="1"/>
        <v>22</v>
      </c>
      <c r="E95" s="56">
        <f>'Universal Mastercurve'!A132</f>
        <v>10000000</v>
      </c>
    </row>
    <row r="96" spans="1:5" x14ac:dyDescent="0.25">
      <c r="A96" s="50">
        <f t="shared" si="0"/>
        <v>23</v>
      </c>
      <c r="B96" s="56">
        <f>'Universal Mastercurve'!C133</f>
        <v>1.0004877262546067E-2</v>
      </c>
      <c r="C96" s="11"/>
      <c r="D96" s="51">
        <f t="shared" si="1"/>
        <v>23</v>
      </c>
      <c r="E96" s="56">
        <f>'Universal Mastercurve'!A133</f>
        <v>100000000</v>
      </c>
    </row>
    <row r="97" spans="1:5" x14ac:dyDescent="0.25">
      <c r="A97" s="50">
        <f t="shared" si="0"/>
        <v>24</v>
      </c>
      <c r="B97" s="56">
        <f>'Universal Mastercurve'!C134</f>
        <v>2.702392331178867E-3</v>
      </c>
      <c r="C97" s="11"/>
      <c r="D97" s="51">
        <f t="shared" si="1"/>
        <v>24</v>
      </c>
      <c r="E97" s="56">
        <f>'Universal Mastercurve'!A134</f>
        <v>1000000000</v>
      </c>
    </row>
    <row r="98" spans="1:5" x14ac:dyDescent="0.25">
      <c r="A98" s="50">
        <f t="shared" si="0"/>
        <v>25</v>
      </c>
      <c r="B98" s="56">
        <f>'Universal Mastercurve'!C135</f>
        <v>3.0415313287275409E-3</v>
      </c>
      <c r="C98" s="11"/>
      <c r="D98" s="51">
        <f t="shared" si="1"/>
        <v>25</v>
      </c>
      <c r="E98" s="56">
        <f>'Universal Mastercurve'!A135</f>
        <v>10000000000</v>
      </c>
    </row>
    <row r="99" spans="1:5" x14ac:dyDescent="0.25">
      <c r="A99" s="50">
        <f t="shared" si="0"/>
        <v>26</v>
      </c>
      <c r="B99" s="56">
        <f>'Universal Mastercurve'!C136</f>
        <v>0</v>
      </c>
      <c r="C99" s="11"/>
      <c r="D99" s="51">
        <f t="shared" si="1"/>
        <v>26</v>
      </c>
      <c r="E99" s="56">
        <f>'Universal Mastercurve'!A136</f>
        <v>100000000000</v>
      </c>
    </row>
    <row r="100" spans="1:5" x14ac:dyDescent="0.25">
      <c r="A100" s="50">
        <f t="shared" si="0"/>
        <v>27</v>
      </c>
      <c r="B100" s="56">
        <f>'Universal Mastercurve'!C137</f>
        <v>6.4281427724776361E-4</v>
      </c>
      <c r="C100" s="11"/>
      <c r="D100" s="51">
        <f t="shared" si="1"/>
        <v>27</v>
      </c>
      <c r="E100" s="56">
        <f>'Universal Mastercurve'!A137</f>
        <v>1000000000000</v>
      </c>
    </row>
    <row r="101" spans="1:5" x14ac:dyDescent="0.25">
      <c r="A101" s="50">
        <f t="shared" si="0"/>
        <v>28</v>
      </c>
      <c r="B101" s="56">
        <f>'Universal Mastercurve'!C138</f>
        <v>4.1497865315913272E-4</v>
      </c>
      <c r="C101" s="11"/>
      <c r="D101" s="51">
        <f t="shared" si="1"/>
        <v>28</v>
      </c>
      <c r="E101" s="56">
        <f>'Universal Mastercurve'!A138</f>
        <v>10000000000000</v>
      </c>
    </row>
    <row r="102" spans="1:5" x14ac:dyDescent="0.25">
      <c r="A102" s="50">
        <f t="shared" si="0"/>
        <v>29</v>
      </c>
      <c r="B102" s="56">
        <f>'Universal Mastercurve'!C139</f>
        <v>0</v>
      </c>
      <c r="C102" s="11"/>
      <c r="D102" s="51">
        <f t="shared" si="1"/>
        <v>29</v>
      </c>
      <c r="E102" s="56">
        <f>'Universal Mastercurve'!A139</f>
        <v>100000000000000</v>
      </c>
    </row>
    <row r="103" spans="1:5" x14ac:dyDescent="0.25">
      <c r="A103" s="50">
        <f t="shared" si="0"/>
        <v>30</v>
      </c>
      <c r="B103" s="56">
        <f>'Universal Mastercurve'!C140</f>
        <v>8.2340497538166163E-4</v>
      </c>
      <c r="C103" s="11"/>
      <c r="D103" s="51">
        <f t="shared" si="1"/>
        <v>30</v>
      </c>
      <c r="E103" s="56">
        <f>'Universal Mastercurve'!A140</f>
        <v>1000000000000000</v>
      </c>
    </row>
    <row r="104" spans="1:5" x14ac:dyDescent="0.25">
      <c r="A104" s="50">
        <f t="shared" si="0"/>
        <v>31</v>
      </c>
      <c r="B104" s="56">
        <f>'Universal Mastercurve'!C141</f>
        <v>3.293050078622123E-4</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17746.768</v>
      </c>
    </row>
    <row r="108" spans="1:5" s="11" customFormat="1" x14ac:dyDescent="0.25">
      <c r="A108" s="61" t="str">
        <f>STUTT!B3</f>
        <v>mp,PRXY,MatID,</v>
      </c>
      <c r="B108" s="52">
        <f>STUTT!C3</f>
        <v>0.29104294000000003</v>
      </c>
    </row>
    <row r="109" spans="1:5" s="11" customFormat="1" x14ac:dyDescent="0.25">
      <c r="A109" s="61" t="str">
        <f>STUTT!B4</f>
        <v>mp,ey,MatID,</v>
      </c>
      <c r="B109" s="52">
        <f>STUTT!C4</f>
        <v>21858.703000000001</v>
      </c>
    </row>
    <row r="110" spans="1:5" s="11" customFormat="1" x14ac:dyDescent="0.25">
      <c r="A110" s="61" t="str">
        <f>STUTT!B5</f>
        <v>mp,PRYZ,MatID,</v>
      </c>
      <c r="B110" s="52">
        <f>STUTT!C5</f>
        <v>0.35853411000000002</v>
      </c>
    </row>
    <row r="111" spans="1:5" s="11" customFormat="1" x14ac:dyDescent="0.25">
      <c r="A111" s="61" t="str">
        <f>STUTT!B6</f>
        <v>mp,ez,MatID,</v>
      </c>
      <c r="B111" s="52">
        <f>STUTT!C6</f>
        <v>17746.768</v>
      </c>
    </row>
    <row r="112" spans="1:5" s="11" customFormat="1" x14ac:dyDescent="0.25">
      <c r="A112" s="61" t="str">
        <f>STUTT!B7</f>
        <v>mp,PRXZ,MatID,</v>
      </c>
      <c r="B112" s="52">
        <f>STUTT!C7</f>
        <v>0.36009481999999998</v>
      </c>
    </row>
    <row r="113" spans="1:4" s="11" customFormat="1" x14ac:dyDescent="0.25">
      <c r="A113" s="61" t="str">
        <f>STUTT!B8</f>
        <v>MP,GXZ,</v>
      </c>
      <c r="B113" s="52" t="str">
        <f>STUTT!C8</f>
        <v>MatID,</v>
      </c>
      <c r="C113" s="125">
        <f>STUTT!D8</f>
        <v>6524.0923000000003</v>
      </c>
      <c r="D113" s="125"/>
    </row>
    <row r="114" spans="1:4" s="11" customFormat="1" x14ac:dyDescent="0.25">
      <c r="A114" s="61" t="str">
        <f>STUTT!B9</f>
        <v>MP,GXY,</v>
      </c>
      <c r="B114" s="52" t="str">
        <f>STUTT!C9</f>
        <v>MatID,</v>
      </c>
      <c r="C114" s="125">
        <f>STUTT!D9</f>
        <v>8117.2861999999996</v>
      </c>
      <c r="D114" s="125"/>
    </row>
    <row r="115" spans="1:4" x14ac:dyDescent="0.25">
      <c r="A115" s="61" t="str">
        <f>STUTT!B10</f>
        <v>MP,GYZ,</v>
      </c>
      <c r="B115" s="52" t="str">
        <f>STUTT!C10</f>
        <v>MatID,</v>
      </c>
      <c r="C115" s="125">
        <f>STUTT!D10</f>
        <v>8117.2861999999996</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-2.206E-7</v>
      </c>
      <c r="C3" s="3">
        <v>2.537E-6</v>
      </c>
      <c r="D3" s="3">
        <v>-2.206E-7</v>
      </c>
      <c r="E3" s="3">
        <v>-1.415E-5</v>
      </c>
      <c r="F3" s="3">
        <v>-1.415E-5</v>
      </c>
      <c r="G3" s="3">
        <v>-1.415E-5</v>
      </c>
      <c r="H3" s="3">
        <v>-4.4272276999999998E-6</v>
      </c>
      <c r="I3" s="3">
        <v>-1.0771048000000001E-6</v>
      </c>
      <c r="J3" s="3">
        <v>-4.4272276999999998E-6</v>
      </c>
      <c r="L3" s="48">
        <f>ABS(H3/(-0.5)/$L$1)</f>
        <v>2.5298444000000002E-5</v>
      </c>
      <c r="R3">
        <f>ABS(I3/(-0.5)/$R$1)</f>
        <v>2.2675890526315791E-5</v>
      </c>
    </row>
    <row r="4" spans="1:18" x14ac:dyDescent="0.25">
      <c r="A4">
        <v>-39</v>
      </c>
      <c r="B4" s="3">
        <v>2.2030000000000001E-7</v>
      </c>
      <c r="C4" s="3">
        <v>-2.5359999999999999E-6</v>
      </c>
      <c r="D4" s="3">
        <v>2.2030000000000001E-7</v>
      </c>
      <c r="E4" s="3">
        <v>1.415E-5</v>
      </c>
      <c r="F4" s="3">
        <v>1.415E-5</v>
      </c>
      <c r="G4" s="3">
        <v>1.415E-5</v>
      </c>
      <c r="H4" s="3">
        <v>4.4271084000000003E-6</v>
      </c>
      <c r="I4" s="3">
        <v>1.0771928999999999E-6</v>
      </c>
      <c r="J4" s="3">
        <v>4.4271084000000003E-6</v>
      </c>
      <c r="L4" s="48">
        <f t="shared" ref="L4:L14" si="0">ABS(H4/(-0.5)/$L$1)</f>
        <v>2.5297762285714289E-5</v>
      </c>
      <c r="N4" s="39" t="s">
        <v>27</v>
      </c>
      <c r="O4" s="39" t="s">
        <v>131</v>
      </c>
      <c r="P4" s="85" t="s">
        <v>132</v>
      </c>
      <c r="R4" s="11">
        <f t="shared" ref="R4:R14" si="1">ABS(I4/(-0.5)/$R$1)</f>
        <v>2.2677745263157891E-5</v>
      </c>
    </row>
    <row r="5" spans="1:18" x14ac:dyDescent="0.25">
      <c r="A5">
        <v>0</v>
      </c>
      <c r="B5" s="3">
        <v>-2.0980000000000001E-7</v>
      </c>
      <c r="C5" s="3">
        <v>2.5040000000000001E-6</v>
      </c>
      <c r="D5" s="3">
        <v>-2.0980000000000001E-7</v>
      </c>
      <c r="E5" s="3">
        <v>-1.415E-5</v>
      </c>
      <c r="F5" s="3">
        <v>-1.415E-5</v>
      </c>
      <c r="G5" s="3">
        <v>-1.415E-5</v>
      </c>
      <c r="H5" s="3">
        <v>-4.4223560999999998E-6</v>
      </c>
      <c r="I5" s="3">
        <v>-1.0807171000000001E-6</v>
      </c>
      <c r="J5" s="3">
        <v>-4.4223560999999998E-6</v>
      </c>
      <c r="L5" s="48">
        <f t="shared" si="0"/>
        <v>2.5270606285714287E-5</v>
      </c>
      <c r="M5" s="48"/>
      <c r="N5" s="10">
        <f>(INDEX(A:A,ROW(A2)*2+1)+INDEX(A:A,ROW(A2)*2+2))/2</f>
        <v>0.5</v>
      </c>
      <c r="O5" s="89">
        <f>(INDEX(L:L,ROW(L2)*2+1)+INDEX(L:L,ROW(L2)*2+2))/2</f>
        <v>2.5270250571428573E-5</v>
      </c>
      <c r="P5" s="89">
        <f>(INDEX(R:R,ROW(M2)*2+1)+INDEX(R:R,ROW(R2)*2+2))/2</f>
        <v>2.2752914736842108E-5</v>
      </c>
      <c r="R5" s="11">
        <f t="shared" si="1"/>
        <v>2.2751938947368423E-5</v>
      </c>
    </row>
    <row r="6" spans="1:18" x14ac:dyDescent="0.25">
      <c r="A6">
        <v>1</v>
      </c>
      <c r="B6" s="3">
        <v>2.0949999999999999E-7</v>
      </c>
      <c r="C6" s="3">
        <v>-2.503E-6</v>
      </c>
      <c r="D6" s="3">
        <v>2.0949999999999999E-7</v>
      </c>
      <c r="E6" s="3">
        <v>1.415E-5</v>
      </c>
      <c r="F6" s="3">
        <v>1.415E-5</v>
      </c>
      <c r="G6" s="3">
        <v>1.415E-5</v>
      </c>
      <c r="H6" s="3">
        <v>4.4222316000000001E-6</v>
      </c>
      <c r="I6" s="3">
        <v>1.0808098000000001E-6</v>
      </c>
      <c r="J6" s="3">
        <v>4.4222316000000001E-6</v>
      </c>
      <c r="L6" s="48">
        <f t="shared" si="0"/>
        <v>2.5269894857142858E-5</v>
      </c>
      <c r="M6" s="49"/>
      <c r="N6" s="10">
        <f>(INDEX(A:A,ROW(A3)*2+1)+INDEX(A:A,ROW(A3)*2+2))/2</f>
        <v>85.5</v>
      </c>
      <c r="O6" s="89">
        <f t="shared" ref="O6:O7" si="2">(INDEX(L:L,ROW(L3)*2+1)+INDEX(L:L,ROW(L3)*2+2))/2</f>
        <v>2.7904964857142861E-5</v>
      </c>
      <c r="P6" s="89">
        <f t="shared" ref="P6:P9" si="3">(INDEX(R:R,ROW(M3)*2+1)+INDEX(R:R,ROW(R3)*2+2))/2</f>
        <v>2.4298146315789474E-5</v>
      </c>
      <c r="R6" s="11">
        <f t="shared" si="1"/>
        <v>2.2753890526315792E-5</v>
      </c>
    </row>
    <row r="7" spans="1:18" x14ac:dyDescent="0.25">
      <c r="A7">
        <v>85</v>
      </c>
      <c r="B7" s="3">
        <v>-2.7080000000000002E-7</v>
      </c>
      <c r="C7" s="3">
        <v>3.083E-6</v>
      </c>
      <c r="D7" s="3">
        <v>-2.7080000000000002E-7</v>
      </c>
      <c r="E7" s="3">
        <v>-1.525E-5</v>
      </c>
      <c r="F7" s="3">
        <v>-1.525E-5</v>
      </c>
      <c r="G7" s="3">
        <v>-1.525E-5</v>
      </c>
      <c r="H7" s="3">
        <v>-4.6867119999999999E-6</v>
      </c>
      <c r="I7" s="3">
        <v>-1.1269766E-6</v>
      </c>
      <c r="J7" s="3">
        <v>-4.6867119999999999E-6</v>
      </c>
      <c r="L7" s="48">
        <f t="shared" si="0"/>
        <v>2.6781211428571431E-5</v>
      </c>
      <c r="M7" s="48"/>
      <c r="N7" s="10">
        <f>(INDEX(A:A,ROW(A4)*2+1)+INDEX(A:A,ROW(A4)*2+2))/2</f>
        <v>90.5</v>
      </c>
      <c r="O7" s="89">
        <f t="shared" si="2"/>
        <v>5.0383506285714289E-5</v>
      </c>
      <c r="P7" s="89">
        <f t="shared" si="3"/>
        <v>3.5754844210526318E-5</v>
      </c>
      <c r="R7" s="11">
        <f t="shared" si="1"/>
        <v>2.3725823157894736E-5</v>
      </c>
    </row>
    <row r="8" spans="1:18" x14ac:dyDescent="0.25">
      <c r="A8">
        <v>86</v>
      </c>
      <c r="B8" s="3">
        <v>3.9289999999999998E-7</v>
      </c>
      <c r="C8" s="3">
        <v>-4.0199999999999996E-6</v>
      </c>
      <c r="D8" s="3">
        <v>3.9289999999999998E-7</v>
      </c>
      <c r="E8" s="3">
        <v>1.681E-5</v>
      </c>
      <c r="F8" s="3">
        <v>1.681E-5</v>
      </c>
      <c r="G8" s="3">
        <v>1.681E-5</v>
      </c>
      <c r="H8" s="3">
        <v>5.0800257000000001E-6</v>
      </c>
      <c r="I8" s="3">
        <v>1.1813473000000001E-6</v>
      </c>
      <c r="J8" s="3">
        <v>5.0800257000000001E-6</v>
      </c>
      <c r="L8" s="48">
        <f t="shared" si="0"/>
        <v>2.9028718285714287E-5</v>
      </c>
      <c r="M8" s="49"/>
      <c r="N8" s="10">
        <f>(INDEX(A:A,ROW(A5)*2+1)+INDEX(A:A,ROW(A5)*2+2))/2</f>
        <v>95.5</v>
      </c>
      <c r="O8" s="89">
        <f t="shared" ref="O8:O9" si="4">(INDEX(L:L,ROW(L5)*2+1)+INDEX(L:L,ROW(L5)*2+2))/2</f>
        <v>7.0197717142857148E-5</v>
      </c>
      <c r="P8" s="89">
        <f t="shared" si="3"/>
        <v>4.5848989473684213E-5</v>
      </c>
      <c r="R8" s="11">
        <f t="shared" si="1"/>
        <v>2.4870469473684213E-5</v>
      </c>
    </row>
    <row r="9" spans="1:18" x14ac:dyDescent="0.25">
      <c r="A9">
        <v>90</v>
      </c>
      <c r="B9" s="3">
        <v>-1.4899999999999999E-6</v>
      </c>
      <c r="C9" s="3">
        <v>1.2449999999999999E-5</v>
      </c>
      <c r="D9" s="3">
        <v>-1.4899999999999999E-6</v>
      </c>
      <c r="E9" s="3">
        <v>-3.0899999999999999E-5</v>
      </c>
      <c r="F9" s="3">
        <v>-3.0899999999999999E-5</v>
      </c>
      <c r="G9" s="3">
        <v>-3.0899999999999999E-5</v>
      </c>
      <c r="H9" s="3">
        <v>-8.6203071000000002E-6</v>
      </c>
      <c r="I9" s="3">
        <v>-1.6710444000000001E-6</v>
      </c>
      <c r="J9" s="3">
        <v>-8.6203071000000002E-6</v>
      </c>
      <c r="L9" s="48">
        <f t="shared" si="0"/>
        <v>4.9258897714285715E-5</v>
      </c>
      <c r="M9" s="48"/>
      <c r="N9" s="10">
        <f>(INDEX(A:A,ROW(A6)*2+1)+INDEX(A:A,ROW(A6)*2+2))/2</f>
        <v>180.5</v>
      </c>
      <c r="O9" s="89">
        <f t="shared" si="4"/>
        <v>6.9821937142857152E-5</v>
      </c>
      <c r="P9" s="89">
        <f t="shared" si="3"/>
        <v>4.720299789473684E-5</v>
      </c>
      <c r="R9" s="11">
        <f t="shared" si="1"/>
        <v>3.5179882105263159E-5</v>
      </c>
    </row>
    <row r="10" spans="1:18" x14ac:dyDescent="0.25">
      <c r="A10">
        <v>91</v>
      </c>
      <c r="B10" s="3">
        <v>1.612E-6</v>
      </c>
      <c r="C10" s="3">
        <v>-1.3380000000000001E-5</v>
      </c>
      <c r="D10" s="3">
        <v>1.612E-6</v>
      </c>
      <c r="E10" s="3">
        <v>3.2459999999999998E-5</v>
      </c>
      <c r="F10" s="3">
        <v>3.2459999999999998E-5</v>
      </c>
      <c r="G10" s="3">
        <v>3.2459999999999998E-5</v>
      </c>
      <c r="H10" s="3">
        <v>9.0139200999999999E-6</v>
      </c>
      <c r="I10" s="3">
        <v>1.7256658000000001E-6</v>
      </c>
      <c r="J10" s="3">
        <v>9.0139200999999999E-6</v>
      </c>
      <c r="L10" s="48">
        <f t="shared" si="0"/>
        <v>5.1508114857142862E-5</v>
      </c>
      <c r="M10" s="49"/>
      <c r="N10" s="10"/>
      <c r="O10" s="3"/>
      <c r="R10" s="11">
        <f t="shared" si="1"/>
        <v>3.6329806315789477E-5</v>
      </c>
    </row>
    <row r="11" spans="1:18" x14ac:dyDescent="0.25">
      <c r="A11">
        <v>95</v>
      </c>
      <c r="B11" s="3">
        <v>-2.6340000000000001E-6</v>
      </c>
      <c r="C11" s="3">
        <v>2.1149999999999999E-5</v>
      </c>
      <c r="D11" s="3">
        <v>-2.6340000000000001E-6</v>
      </c>
      <c r="E11" s="3">
        <v>-4.545E-5</v>
      </c>
      <c r="F11" s="3">
        <v>-4.545E-5</v>
      </c>
      <c r="G11" s="3">
        <v>-4.545E-5</v>
      </c>
      <c r="H11" s="3">
        <v>-1.2284985000000001E-5</v>
      </c>
      <c r="I11" s="3">
        <v>-2.1774679999999999E-6</v>
      </c>
      <c r="J11" s="3">
        <v>-1.2284985000000001E-5</v>
      </c>
      <c r="L11" s="48">
        <f t="shared" si="0"/>
        <v>7.01999142857143E-5</v>
      </c>
      <c r="M11" s="48"/>
      <c r="N11" s="10"/>
      <c r="O11" s="3"/>
      <c r="R11" s="11">
        <f t="shared" si="1"/>
        <v>4.5841431578947368E-5</v>
      </c>
    </row>
    <row r="12" spans="1:18" x14ac:dyDescent="0.25">
      <c r="A12">
        <v>96</v>
      </c>
      <c r="B12" s="3">
        <v>2.632E-6</v>
      </c>
      <c r="C12" s="3">
        <v>-2.1149999999999999E-5</v>
      </c>
      <c r="D12" s="3">
        <v>2.632E-6</v>
      </c>
      <c r="E12" s="3">
        <v>4.545E-5</v>
      </c>
      <c r="F12" s="3">
        <v>4.545E-5</v>
      </c>
      <c r="G12" s="3">
        <v>4.545E-5</v>
      </c>
      <c r="H12" s="3">
        <v>1.2284216E-5</v>
      </c>
      <c r="I12" s="3">
        <v>2.1781860000000002E-6</v>
      </c>
      <c r="J12" s="3">
        <v>1.2284216E-5</v>
      </c>
      <c r="L12" s="48">
        <f t="shared" si="0"/>
        <v>7.0195520000000011E-5</v>
      </c>
      <c r="M12" s="49"/>
      <c r="N12" s="10"/>
      <c r="O12" s="3"/>
      <c r="R12" s="11">
        <f t="shared" si="1"/>
        <v>4.5856547368421059E-5</v>
      </c>
    </row>
    <row r="13" spans="1:18" x14ac:dyDescent="0.25">
      <c r="A13">
        <v>180</v>
      </c>
      <c r="B13" s="3">
        <v>-2.4600000000000002E-6</v>
      </c>
      <c r="C13" s="3">
        <v>2.056E-5</v>
      </c>
      <c r="D13" s="3">
        <v>-2.4600000000000002E-6</v>
      </c>
      <c r="E13" s="3">
        <v>-4.545E-5</v>
      </c>
      <c r="F13" s="3">
        <v>-4.545E-5</v>
      </c>
      <c r="G13" s="3">
        <v>-4.545E-5</v>
      </c>
      <c r="H13" s="3">
        <v>-1.2219225999999999E-5</v>
      </c>
      <c r="I13" s="3">
        <v>-2.2417489999999999E-6</v>
      </c>
      <c r="J13" s="3">
        <v>-1.2219225999999999E-5</v>
      </c>
      <c r="L13" s="48">
        <f t="shared" si="0"/>
        <v>6.9824148571428571E-5</v>
      </c>
      <c r="M13" s="48"/>
      <c r="N13" s="10"/>
      <c r="O13" s="3"/>
      <c r="R13" s="11">
        <f t="shared" si="1"/>
        <v>4.7194715789473682E-5</v>
      </c>
    </row>
    <row r="14" spans="1:18" x14ac:dyDescent="0.25">
      <c r="A14" s="11">
        <v>181</v>
      </c>
      <c r="B14" s="3">
        <v>2.458E-6</v>
      </c>
      <c r="C14" s="3">
        <v>-2.0550000000000001E-5</v>
      </c>
      <c r="D14" s="3">
        <v>2.458E-6</v>
      </c>
      <c r="E14" s="3">
        <v>4.545E-5</v>
      </c>
      <c r="F14" s="3">
        <v>4.545E-5</v>
      </c>
      <c r="G14" s="3">
        <v>4.545E-5</v>
      </c>
      <c r="H14" s="3">
        <v>1.2218452E-5</v>
      </c>
      <c r="I14" s="3">
        <v>2.2425358E-6</v>
      </c>
      <c r="J14" s="3">
        <v>1.2218452E-5</v>
      </c>
      <c r="L14" s="48">
        <f t="shared" si="0"/>
        <v>6.981972571428572E-5</v>
      </c>
      <c r="M14" s="49"/>
      <c r="N14" s="10"/>
      <c r="O14" s="3"/>
      <c r="R14" s="11">
        <f t="shared" si="1"/>
        <v>4.7211279999999998E-5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17746.768</v>
      </c>
    </row>
    <row r="3" spans="2:4" x14ac:dyDescent="0.25">
      <c r="B3" t="s">
        <v>119</v>
      </c>
      <c r="C3" s="3">
        <v>0.29104294000000003</v>
      </c>
    </row>
    <row r="4" spans="2:4" x14ac:dyDescent="0.25">
      <c r="B4" t="s">
        <v>120</v>
      </c>
      <c r="C4" s="3">
        <v>21858.703000000001</v>
      </c>
    </row>
    <row r="5" spans="2:4" x14ac:dyDescent="0.25">
      <c r="B5" t="s">
        <v>121</v>
      </c>
      <c r="C5" s="3">
        <v>0.35853411000000002</v>
      </c>
    </row>
    <row r="6" spans="2:4" x14ac:dyDescent="0.25">
      <c r="B6" t="s">
        <v>122</v>
      </c>
      <c r="C6" s="3">
        <v>17746.768</v>
      </c>
    </row>
    <row r="7" spans="2:4" x14ac:dyDescent="0.25">
      <c r="B7" t="s">
        <v>123</v>
      </c>
      <c r="C7" s="3">
        <v>0.36009481999999998</v>
      </c>
    </row>
    <row r="8" spans="2:4" x14ac:dyDescent="0.25">
      <c r="B8" t="s">
        <v>124</v>
      </c>
      <c r="C8" t="s">
        <v>125</v>
      </c>
      <c r="D8" s="3">
        <v>6524.0923000000003</v>
      </c>
    </row>
    <row r="9" spans="2:4" x14ac:dyDescent="0.25">
      <c r="B9" t="s">
        <v>126</v>
      </c>
      <c r="C9" t="s">
        <v>125</v>
      </c>
      <c r="D9" s="3">
        <v>8117.2861999999996</v>
      </c>
    </row>
    <row r="10" spans="2:4" x14ac:dyDescent="0.25">
      <c r="B10" t="s">
        <v>127</v>
      </c>
      <c r="C10" t="s">
        <v>125</v>
      </c>
      <c r="D10" s="3">
        <v>8117.2861999999996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Y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-5.5892037142857146E-4</v>
      </c>
      <c r="C3" s="2">
        <f>IF('Modell einstellen'!$B$2="Ja",creep_res0!O3,creep_res0!C3)</f>
        <v>-5.6168965714285715E-4</v>
      </c>
      <c r="D3" s="2">
        <f>IF('Modell einstellen'!$B$2="Ja",creep_res25!O3,creep_res25!C3)</f>
        <v>-5.6348934285714288E-4</v>
      </c>
      <c r="E3" s="2">
        <f>IF('Modell einstellen'!$B$2="Ja",creep_res50!O3,creep_res50!C3)</f>
        <v>-5.6534522857142858E-4</v>
      </c>
      <c r="F3" s="2">
        <f>IF('Modell einstellen'!$B$2="Ja",creep_res80!O3,creep_res80!C3)</f>
        <v>-5.6765062857142858E-4</v>
      </c>
      <c r="G3" s="2">
        <f>IF('Modell einstellen'!$B$2="Ja",creep_res125!O3,creep_res125!C3)</f>
        <v>-6.1840197142857146E-4</v>
      </c>
      <c r="H3" s="2">
        <f>IF('Modell einstellen'!$B$2="Ja",creep_res160!O3,creep_res160!C3)</f>
        <v>-6.5662397142857143E-4</v>
      </c>
      <c r="M3" s="9">
        <v>-10</v>
      </c>
      <c r="N3" s="2">
        <f t="shared" ref="N3:N33" si="4">A3</f>
        <v>1.0000000000000001E-15</v>
      </c>
      <c r="O3" s="2">
        <f t="shared" ref="O3:O33" si="5">$M$3/B3</f>
        <v>17891.636288798203</v>
      </c>
      <c r="P3" s="2">
        <f t="shared" ref="P3:P33" si="6">$M$3/C3</f>
        <v>17803.425562199114</v>
      </c>
      <c r="Q3" s="2">
        <f t="shared" ref="Q3:Q33" si="7">$M$3/D3</f>
        <v>17746.564556652535</v>
      </c>
      <c r="R3" s="2">
        <f t="shared" ref="R3:R33" si="8">$M$3/E3</f>
        <v>17688.307063754673</v>
      </c>
      <c r="S3" s="2">
        <f t="shared" ref="S3:S33" si="9">$M$3/F3</f>
        <v>17616.469526628349</v>
      </c>
      <c r="T3" s="2">
        <f t="shared" ref="T3:T33" si="10">$M$3/G3</f>
        <v>16170.711708597861</v>
      </c>
      <c r="U3" s="2">
        <f t="shared" ref="U3:U33" si="11">$M$3/H3</f>
        <v>15229.41658411235</v>
      </c>
      <c r="Z3" s="2">
        <v>1.0000000000000001E-15</v>
      </c>
      <c r="AA3" s="3">
        <f>IF('Modell einstellen'!$B$2="Ja",'creep_res-40'!P3,'creep_res-40'!L3)</f>
        <v>0.36075821278502584</v>
      </c>
      <c r="AB3" s="2">
        <f>IF('Modell einstellen'!$B$2="Ja",creep_res0!P3,creep_res0!L3)</f>
        <v>0.36034330192910802</v>
      </c>
      <c r="AC3" s="2">
        <f>IF('Modell einstellen'!$B$2="Ja",creep_res25!P3,creep_res25!L3)</f>
        <v>0.36007959993361766</v>
      </c>
      <c r="AD3" s="2">
        <f>IF('Modell einstellen'!$B$2="Ja",creep_res50!P3,creep_res50!L3)</f>
        <v>0.35981245441786447</v>
      </c>
      <c r="AE3" s="2">
        <f>IF('Modell einstellen'!$B$2="Ja",creep_res80!P3,creep_res80!L3)</f>
        <v>0.35948725403130255</v>
      </c>
      <c r="AF3" s="2">
        <f>IF('Modell einstellen'!$B$2="Ja",creep_res125!P3,creep_res125!L3)</f>
        <v>0.37888694126783645</v>
      </c>
      <c r="AG3" s="2">
        <f>IF('Modell einstellen'!$B$2="Ja",creep_res160!P3,creep_res160!L3)</f>
        <v>0.39233060069735937</v>
      </c>
      <c r="AL3" s="2">
        <f t="shared" ref="AL3:AL33" si="12">Z3</f>
        <v>1.0000000000000001E-15</v>
      </c>
      <c r="AM3" s="2">
        <f t="shared" ref="AM3:AM33" si="13">O3/(2*(1+AA3))</f>
        <v>6574.1423129756067</v>
      </c>
      <c r="AN3" s="2">
        <f t="shared" ref="AN3:AN33" si="14">P3/(2*(1+AB3))</f>
        <v>6543.7252261807771</v>
      </c>
      <c r="AO3" s="2">
        <f t="shared" ref="AO3:AO33" si="15">Q3/(2*(1+AC3))</f>
        <v>6524.0904126194901</v>
      </c>
      <c r="AP3" s="2">
        <f t="shared" ref="AP3:AP33" si="16">R3/(2*(1+AD3))</f>
        <v>6503.9509699618966</v>
      </c>
      <c r="AQ3" s="2">
        <f t="shared" ref="AQ3:AQ33" si="17">S3/(2*(1+AE3))</f>
        <v>6479.0859474371819</v>
      </c>
      <c r="AR3" s="2">
        <f t="shared" ref="AR3:AR33" si="18">T3/(2*(1+AF3))</f>
        <v>5863.6829549380891</v>
      </c>
      <c r="AS3" s="2">
        <f t="shared" ref="AS3:AS33" si="19">U3/(2*(1+AG3))</f>
        <v>5469.0375175567433</v>
      </c>
      <c r="AX3" s="2">
        <f>AL3</f>
        <v>1.0000000000000001E-15</v>
      </c>
      <c r="AY3" s="37">
        <f t="shared" ref="AY3:AY33" si="20">O3/(3*(1-(2*AA3)))</f>
        <v>21415.549463341617</v>
      </c>
      <c r="AZ3" s="37">
        <f t="shared" ref="AZ3:AZ33" si="21">P3/(3*(1-(2*AB3)))</f>
        <v>21246.654365218023</v>
      </c>
      <c r="BA3" s="37">
        <f t="shared" ref="BA3:BA33" si="22">Q3/(3*(1-(2*AC3)))</f>
        <v>21138.881521485364</v>
      </c>
      <c r="BB3" s="37">
        <f t="shared" ref="BB3:BB33" si="23">R3/(3*(1-(2*AD3)))</f>
        <v>21029.337271371158</v>
      </c>
      <c r="BC3" s="37">
        <f t="shared" ref="BC3:BC33" si="24">S3/(3*(1-(2*AE3)))</f>
        <v>20895.458516568593</v>
      </c>
      <c r="BD3" s="37">
        <f t="shared" ref="BD3:BD33" si="25">T3/(3*(1-(2*AF3)))</f>
        <v>22252.915138241082</v>
      </c>
      <c r="BE3" s="37">
        <f t="shared" ref="BE3:BE33" si="26">U3/(3*(1-(2*AG3)))</f>
        <v>23574.349943362293</v>
      </c>
    </row>
    <row r="4" spans="1:308" x14ac:dyDescent="0.25">
      <c r="A4" s="2">
        <f>'creep_res-40'!A4</f>
        <v>1E-14</v>
      </c>
      <c r="B4" s="3">
        <f>'creep_res-40'!O4</f>
        <v>-5.5890980000000007E-4</v>
      </c>
      <c r="C4" s="2">
        <f>IF('Modell einstellen'!$B$2="Ja",creep_res0!O4,creep_res0!C4)</f>
        <v>-5.6167891428571433E-4</v>
      </c>
      <c r="D4" s="2">
        <f>IF('Modell einstellen'!$B$2="Ja",creep_res25!O4,creep_res25!C4)</f>
        <v>-5.6347848571428581E-4</v>
      </c>
      <c r="E4" s="2">
        <f>IF('Modell einstellen'!$B$2="Ja",creep_res50!O4,creep_res50!C4)</f>
        <v>-5.6533422857142862E-4</v>
      </c>
      <c r="F4" s="2">
        <f>IF('Modell einstellen'!$B$2="Ja",creep_res80!O4,creep_res80!C4)</f>
        <v>-5.6763991428571429E-4</v>
      </c>
      <c r="G4" s="2">
        <f>IF('Modell einstellen'!$B$2="Ja",creep_res125!O4,creep_res125!C4)</f>
        <v>-6.4192477142857151E-4</v>
      </c>
      <c r="H4" s="2">
        <f>IF('Modell einstellen'!$B$2="Ja",creep_res160!O4,creep_res160!C4)</f>
        <v>-6.9128320000000007E-4</v>
      </c>
      <c r="M4" s="9">
        <f t="shared" ref="M4:M31" si="27">M3</f>
        <v>-10</v>
      </c>
      <c r="N4" s="2">
        <f t="shared" si="4"/>
        <v>1E-14</v>
      </c>
      <c r="O4" s="2">
        <f t="shared" si="5"/>
        <v>17891.97469788506</v>
      </c>
      <c r="P4" s="2">
        <f t="shared" si="6"/>
        <v>17803.766076419255</v>
      </c>
      <c r="Q4" s="2">
        <f t="shared" si="7"/>
        <v>17746.906498699122</v>
      </c>
      <c r="R4" s="2">
        <f t="shared" si="8"/>
        <v>17688.651234278703</v>
      </c>
      <c r="S4" s="2">
        <f t="shared" si="9"/>
        <v>17616.802040045808</v>
      </c>
      <c r="T4" s="2">
        <f t="shared" si="10"/>
        <v>15578.149411099215</v>
      </c>
      <c r="U4" s="2">
        <f t="shared" si="11"/>
        <v>14465.85133270995</v>
      </c>
      <c r="Z4" s="2">
        <v>1E-14</v>
      </c>
      <c r="AA4" s="3">
        <f>IF('Modell einstellen'!$B$2="Ja",'creep_res-40'!P4,'creep_res-40'!L4)</f>
        <v>0.36077235156217125</v>
      </c>
      <c r="AB4" s="2">
        <f>IF('Modell einstellen'!$B$2="Ja",creep_res0!P4,creep_res0!L4)</f>
        <v>0.36035794624300349</v>
      </c>
      <c r="AC4" s="2">
        <f>IF('Modell einstellen'!$B$2="Ja",creep_res25!P4,creep_res25!L4)</f>
        <v>0.36009455957426084</v>
      </c>
      <c r="AD4" s="2">
        <f>IF('Modell einstellen'!$B$2="Ja",creep_res50!P4,creep_res50!L4)</f>
        <v>0.35982775903286135</v>
      </c>
      <c r="AE4" s="2">
        <f>IF('Modell einstellen'!$B$2="Ja",creep_res80!P4,creep_res80!L4)</f>
        <v>0.35950314980870418</v>
      </c>
      <c r="AF4" s="2">
        <f>IF('Modell einstellen'!$B$2="Ja",creep_res125!P4,creep_res125!L4)</f>
        <v>0.38862667797254569</v>
      </c>
      <c r="AG4" s="2">
        <f>IF('Modell einstellen'!$B$2="Ja",creep_res160!P4,creep_res160!L4)</f>
        <v>0.40597346665282347</v>
      </c>
      <c r="AL4" s="2">
        <f t="shared" si="12"/>
        <v>1E-14</v>
      </c>
      <c r="AM4" s="2">
        <f t="shared" si="13"/>
        <v>6574.1983504239388</v>
      </c>
      <c r="AN4" s="2">
        <f t="shared" si="14"/>
        <v>6543.7799387981568</v>
      </c>
      <c r="AO4" s="2">
        <f t="shared" si="15"/>
        <v>6524.1443595856636</v>
      </c>
      <c r="AP4" s="2">
        <f t="shared" si="16"/>
        <v>6504.0043184804708</v>
      </c>
      <c r="AQ4" s="2">
        <f t="shared" si="17"/>
        <v>6479.1324839978006</v>
      </c>
      <c r="AR4" s="2">
        <f t="shared" si="18"/>
        <v>5609.1927579282792</v>
      </c>
      <c r="AS4" s="2">
        <f t="shared" si="19"/>
        <v>5144.4254375399241</v>
      </c>
      <c r="AX4" s="2">
        <f t="shared" ref="AX4:AX32" si="28">AL4</f>
        <v>1E-14</v>
      </c>
      <c r="AY4" s="37">
        <f t="shared" si="20"/>
        <v>21418.129347436585</v>
      </c>
      <c r="AZ4" s="37">
        <f t="shared" si="21"/>
        <v>21249.288922902317</v>
      </c>
      <c r="BA4" s="37">
        <f t="shared" si="22"/>
        <v>21141.54918337987</v>
      </c>
      <c r="BB4" s="37">
        <f t="shared" si="23"/>
        <v>21032.04256923874</v>
      </c>
      <c r="BC4" s="37">
        <f t="shared" si="24"/>
        <v>20898.217072790078</v>
      </c>
      <c r="BD4" s="37">
        <f t="shared" si="25"/>
        <v>23312.20967390361</v>
      </c>
      <c r="BE4" s="37">
        <f t="shared" si="26"/>
        <v>25641.434776886017</v>
      </c>
      <c r="BF4" s="5"/>
      <c r="BG4" s="5"/>
    </row>
    <row r="5" spans="1:308" x14ac:dyDescent="0.25">
      <c r="A5" s="2">
        <f>'creep_res-40'!A5</f>
        <v>1E-13</v>
      </c>
      <c r="B5" s="3">
        <f>'creep_res-40'!O5</f>
        <v>-5.5891268571428576E-4</v>
      </c>
      <c r="C5" s="2">
        <f>IF('Modell einstellen'!$B$2="Ja",creep_res0!O5,creep_res0!C5)</f>
        <v>-5.6168177142857149E-4</v>
      </c>
      <c r="D5" s="2">
        <f>IF('Modell einstellen'!$B$2="Ja",creep_res25!O5,creep_res25!C5)</f>
        <v>-5.6348131428571432E-4</v>
      </c>
      <c r="E5" s="2">
        <f>IF('Modell einstellen'!$B$2="Ja",creep_res50!O5,creep_res50!C5)</f>
        <v>-5.6533705714285724E-4</v>
      </c>
      <c r="F5" s="2">
        <f>IF('Modell einstellen'!$B$2="Ja",creep_res80!O5,creep_res80!C5)</f>
        <v>-5.6764697142857147E-4</v>
      </c>
      <c r="G5" s="2">
        <f>IF('Modell einstellen'!$B$2="Ja",creep_res125!O5,creep_res125!C5)</f>
        <v>-6.6578565714285718E-4</v>
      </c>
      <c r="H5" s="2">
        <f>IF('Modell einstellen'!$B$2="Ja",creep_res160!O5,creep_res160!C5)</f>
        <v>-7.2510685714285712E-4</v>
      </c>
      <c r="M5" s="9">
        <f t="shared" si="27"/>
        <v>-10</v>
      </c>
      <c r="N5" s="2">
        <f t="shared" si="4"/>
        <v>1E-13</v>
      </c>
      <c r="O5" s="2">
        <f t="shared" si="5"/>
        <v>17891.882320080251</v>
      </c>
      <c r="P5" s="2">
        <f t="shared" si="6"/>
        <v>17803.675512855218</v>
      </c>
      <c r="Q5" s="2">
        <f t="shared" si="7"/>
        <v>17746.817412528217</v>
      </c>
      <c r="R5" s="2">
        <f t="shared" si="8"/>
        <v>17688.562732007609</v>
      </c>
      <c r="S5" s="2">
        <f t="shared" si="9"/>
        <v>17616.583023130472</v>
      </c>
      <c r="T5" s="2">
        <f t="shared" si="10"/>
        <v>15019.848944950021</v>
      </c>
      <c r="U5" s="2">
        <f t="shared" si="11"/>
        <v>13791.070793900722</v>
      </c>
      <c r="Z5" s="2">
        <v>1E-13</v>
      </c>
      <c r="AA5" s="3">
        <f>IF('Modell einstellen'!$B$2="Ja",'creep_res-40'!P5,'creep_res-40'!L5)</f>
        <v>0.3607724109628368</v>
      </c>
      <c r="AB5" s="2">
        <f>IF('Modell einstellen'!$B$2="Ja",creep_res0!P5,creep_res0!L5)</f>
        <v>0.36035802072368178</v>
      </c>
      <c r="AC5" s="2">
        <f>IF('Modell einstellen'!$B$2="Ja",creep_res25!P5,creep_res25!L5)</f>
        <v>0.36009465848176681</v>
      </c>
      <c r="AD5" s="2">
        <f>IF('Modell einstellen'!$B$2="Ja",creep_res50!P5,creep_res50!L5)</f>
        <v>0.35982785389671706</v>
      </c>
      <c r="AE5" s="2">
        <f>IF('Modell einstellen'!$B$2="Ja",creep_res80!P5,creep_res80!L5)</f>
        <v>0.35950523876912627</v>
      </c>
      <c r="AF5" s="2">
        <f>IF('Modell einstellen'!$B$2="Ja",creep_res125!P5,creep_res125!L5)</f>
        <v>0.39830491134469787</v>
      </c>
      <c r="AG5" s="2">
        <f>IF('Modell einstellen'!$B$2="Ja",creep_res160!P5,creep_res160!L5)</f>
        <v>0.41898636417726026</v>
      </c>
      <c r="AL5" s="2">
        <f t="shared" si="12"/>
        <v>1E-13</v>
      </c>
      <c r="AM5" s="2">
        <f t="shared" si="13"/>
        <v>6574.1641202956771</v>
      </c>
      <c r="AN5" s="2">
        <f t="shared" si="14"/>
        <v>6543.7462938558028</v>
      </c>
      <c r="AO5" s="2">
        <f t="shared" si="15"/>
        <v>6524.1111351538066</v>
      </c>
      <c r="AP5" s="2">
        <f t="shared" si="16"/>
        <v>6503.9713230315656</v>
      </c>
      <c r="AQ5" s="2">
        <f t="shared" si="17"/>
        <v>6479.041978197979</v>
      </c>
      <c r="AR5" s="2">
        <f t="shared" si="18"/>
        <v>5370.7345311781783</v>
      </c>
      <c r="AS5" s="2">
        <f t="shared" si="19"/>
        <v>4859.4796757955091</v>
      </c>
      <c r="AX5" s="2">
        <f t="shared" si="28"/>
        <v>1E-13</v>
      </c>
      <c r="AY5" s="37">
        <f t="shared" si="20"/>
        <v>21418.027901668822</v>
      </c>
      <c r="AZ5" s="37">
        <f t="shared" si="21"/>
        <v>21249.192166425808</v>
      </c>
      <c r="BA5" s="37">
        <f t="shared" si="22"/>
        <v>21141.458002892334</v>
      </c>
      <c r="BB5" s="37">
        <f t="shared" si="23"/>
        <v>21031.951572573435</v>
      </c>
      <c r="BC5" s="37">
        <f t="shared" si="24"/>
        <v>20898.267983792535</v>
      </c>
      <c r="BD5" s="37">
        <f t="shared" si="25"/>
        <v>24615.821575972968</v>
      </c>
      <c r="BE5" s="37">
        <f t="shared" si="26"/>
        <v>28371.912649528116</v>
      </c>
    </row>
    <row r="6" spans="1:308" x14ac:dyDescent="0.25">
      <c r="A6" s="2">
        <f>'creep_res-40'!A6</f>
        <v>9.9999999999999998E-13</v>
      </c>
      <c r="B6" s="3">
        <f>'creep_res-40'!O6</f>
        <v>-5.5891354285714288E-4</v>
      </c>
      <c r="C6" s="2">
        <f>IF('Modell einstellen'!$B$2="Ja",creep_res0!O6,creep_res0!C6)</f>
        <v>-5.6168260000000008E-4</v>
      </c>
      <c r="D6" s="2">
        <f>IF('Modell einstellen'!$B$2="Ja",creep_res25!O6,creep_res25!C6)</f>
        <v>-5.6348214285714291E-4</v>
      </c>
      <c r="E6" s="2">
        <f>IF('Modell einstellen'!$B$2="Ja",creep_res50!O6,creep_res50!C6)</f>
        <v>-5.6533788571428573E-4</v>
      </c>
      <c r="F6" s="2">
        <f>IF('Modell einstellen'!$B$2="Ja",creep_res80!O6,creep_res80!C6)</f>
        <v>-5.6769022857142864E-4</v>
      </c>
      <c r="G6" s="2">
        <f>IF('Modell einstellen'!$B$2="Ja",creep_res125!O6,creep_res125!C6)</f>
        <v>-6.9553491428571434E-4</v>
      </c>
      <c r="H6" s="2">
        <f>IF('Modell einstellen'!$B$2="Ja",creep_res160!O6,creep_res160!C6)</f>
        <v>-7.6208288571428585E-4</v>
      </c>
      <c r="M6" s="9">
        <f t="shared" si="27"/>
        <v>-10</v>
      </c>
      <c r="N6" s="2">
        <f t="shared" si="4"/>
        <v>9.9999999999999998E-13</v>
      </c>
      <c r="O6" s="2">
        <f t="shared" si="5"/>
        <v>17891.85488131208</v>
      </c>
      <c r="P6" s="2">
        <f t="shared" si="6"/>
        <v>17803.649249593986</v>
      </c>
      <c r="Q6" s="2">
        <f t="shared" si="7"/>
        <v>17746.791316748531</v>
      </c>
      <c r="R6" s="2">
        <f t="shared" si="8"/>
        <v>17688.536807267625</v>
      </c>
      <c r="S6" s="2">
        <f t="shared" si="9"/>
        <v>17615.24066596078</v>
      </c>
      <c r="T6" s="2">
        <f t="shared" si="10"/>
        <v>14377.423468769482</v>
      </c>
      <c r="U6" s="2">
        <f t="shared" si="11"/>
        <v>13121.932256262637</v>
      </c>
      <c r="Z6" s="2">
        <v>9.9999999999999998E-13</v>
      </c>
      <c r="AA6" s="3">
        <f>IF('Modell einstellen'!$B$2="Ja",'creep_res-40'!P6,'creep_res-40'!L6)</f>
        <v>0.36077245067394526</v>
      </c>
      <c r="AB6" s="2">
        <f>IF('Modell einstellen'!$B$2="Ja",creep_res0!P6,creep_res0!L6)</f>
        <v>0.36035808428868132</v>
      </c>
      <c r="AC6" s="2">
        <f>IF('Modell einstellen'!$B$2="Ja",creep_res25!P6,creep_res25!L6)</f>
        <v>0.36009471716051339</v>
      </c>
      <c r="AD6" s="2">
        <f>IF('Modell einstellen'!$B$2="Ja",creep_res50!P6,creep_res50!L6)</f>
        <v>0.35982791277388299</v>
      </c>
      <c r="AE6" s="2">
        <f>IF('Modell einstellen'!$B$2="Ja",creep_res80!P6,creep_res80!L6)</f>
        <v>0.35952503372311995</v>
      </c>
      <c r="AF6" s="2">
        <f>IF('Modell einstellen'!$B$2="Ja",creep_res125!P6,creep_res125!L6)</f>
        <v>0.41011716696403283</v>
      </c>
      <c r="AG6" s="2">
        <f>IF('Modell einstellen'!$B$2="Ja",creep_res160!P6,creep_res160!L6)</f>
        <v>0.43281088922423544</v>
      </c>
      <c r="AL6" s="2">
        <f t="shared" si="12"/>
        <v>9.9999999999999998E-13</v>
      </c>
      <c r="AM6" s="2">
        <f t="shared" si="13"/>
        <v>6574.1538463873376</v>
      </c>
      <c r="AN6" s="2">
        <f t="shared" si="14"/>
        <v>6543.7363350192272</v>
      </c>
      <c r="AO6" s="2">
        <f t="shared" si="15"/>
        <v>6524.1012603146964</v>
      </c>
      <c r="AP6" s="2">
        <f t="shared" si="16"/>
        <v>6503.9615090652051</v>
      </c>
      <c r="AQ6" s="2">
        <f t="shared" si="17"/>
        <v>6478.4539559822069</v>
      </c>
      <c r="AR6" s="2">
        <f t="shared" si="18"/>
        <v>5097.9534912421213</v>
      </c>
      <c r="AS6" s="2">
        <f t="shared" si="19"/>
        <v>4579.0872874253573</v>
      </c>
      <c r="AX6" s="2">
        <f t="shared" si="28"/>
        <v>9.9999999999999998E-13</v>
      </c>
      <c r="AY6" s="37">
        <f t="shared" si="20"/>
        <v>21418.001164184629</v>
      </c>
      <c r="AZ6" s="37">
        <f t="shared" si="21"/>
        <v>21249.170493095851</v>
      </c>
      <c r="BA6" s="37">
        <f t="shared" si="22"/>
        <v>21141.435782556586</v>
      </c>
      <c r="BB6" s="37">
        <f t="shared" si="23"/>
        <v>21031.929581830798</v>
      </c>
      <c r="BC6" s="37">
        <f t="shared" si="24"/>
        <v>20899.620210907251</v>
      </c>
      <c r="BD6" s="37">
        <f t="shared" si="25"/>
        <v>26659.565167867426</v>
      </c>
      <c r="BE6" s="37">
        <f t="shared" si="26"/>
        <v>32549.74926928135</v>
      </c>
    </row>
    <row r="7" spans="1:308" x14ac:dyDescent="0.25">
      <c r="A7" s="2">
        <f>'creep_res-40'!A7</f>
        <v>9.9999999999999994E-12</v>
      </c>
      <c r="B7" s="3">
        <f>'creep_res-40'!O7</f>
        <v>-5.5891380000000002E-4</v>
      </c>
      <c r="C7" s="2">
        <f>IF('Modell einstellen'!$B$2="Ja",creep_res0!O7,creep_res0!C7)</f>
        <v>-5.6168285714285721E-4</v>
      </c>
      <c r="D7" s="2">
        <f>IF('Modell einstellen'!$B$2="Ja",creep_res25!O7,creep_res25!C7)</f>
        <v>-5.6348240000000005E-4</v>
      </c>
      <c r="E7" s="2">
        <f>IF('Modell einstellen'!$B$2="Ja",creep_res50!O7,creep_res50!C7)</f>
        <v>-5.6533814285714286E-4</v>
      </c>
      <c r="F7" s="2">
        <f>IF('Modell einstellen'!$B$2="Ja",creep_res80!O7,creep_res80!C7)</f>
        <v>-5.6810754285714291E-4</v>
      </c>
      <c r="G7" s="2">
        <f>IF('Modell einstellen'!$B$2="Ja",creep_res125!O7,creep_res125!C7)</f>
        <v>-7.2880822857142866E-4</v>
      </c>
      <c r="H7" s="2">
        <f>IF('Modell einstellen'!$B$2="Ja",creep_res160!O7,creep_res160!C7)</f>
        <v>-8.0717060000000005E-4</v>
      </c>
      <c r="M7" s="9">
        <f t="shared" si="27"/>
        <v>-10</v>
      </c>
      <c r="N7" s="2">
        <f t="shared" si="4"/>
        <v>9.9999999999999994E-12</v>
      </c>
      <c r="O7" s="2">
        <f t="shared" si="5"/>
        <v>17891.84664969804</v>
      </c>
      <c r="P7" s="2">
        <f t="shared" si="6"/>
        <v>17803.641098942462</v>
      </c>
      <c r="Q7" s="2">
        <f t="shared" si="7"/>
        <v>17746.783218073891</v>
      </c>
      <c r="R7" s="2">
        <f t="shared" si="8"/>
        <v>17688.528761674112</v>
      </c>
      <c r="S7" s="2">
        <f t="shared" si="9"/>
        <v>17602.301053261344</v>
      </c>
      <c r="T7" s="2">
        <f t="shared" si="10"/>
        <v>13721.030592096184</v>
      </c>
      <c r="U7" s="2">
        <f t="shared" si="11"/>
        <v>12388.954701769366</v>
      </c>
      <c r="Z7" s="2">
        <v>9.9999999999999994E-12</v>
      </c>
      <c r="AA7" s="3">
        <f>IF('Modell einstellen'!$B$2="Ja",'creep_res-40'!P7,'creep_res-40'!L7)</f>
        <v>0.36077248405747009</v>
      </c>
      <c r="AB7" s="2">
        <f>IF('Modell einstellen'!$B$2="Ja",creep_res0!P7,creep_res0!L7)</f>
        <v>0.36035811261057327</v>
      </c>
      <c r="AC7" s="2">
        <f>IF('Modell einstellen'!$B$2="Ja",creep_res25!P7,creep_res25!L7)</f>
        <v>0.36009474551214277</v>
      </c>
      <c r="AD7" s="2">
        <f>IF('Modell einstellen'!$B$2="Ja",creep_res50!P7,creep_res50!L7)</f>
        <v>0.35982794115380251</v>
      </c>
      <c r="AE7" s="2">
        <f>IF('Modell einstellen'!$B$2="Ja",creep_res80!P7,creep_res80!L7)</f>
        <v>0.35971877859745266</v>
      </c>
      <c r="AF7" s="2">
        <f>IF('Modell einstellen'!$B$2="Ja",creep_res125!P7,creep_res125!L7)</f>
        <v>0.42303450549092125</v>
      </c>
      <c r="AG7" s="2">
        <f>IF('Modell einstellen'!$B$2="Ja",creep_res160!P7,creep_res160!L7)</f>
        <v>0.44912640347830879</v>
      </c>
      <c r="AL7" s="2">
        <f t="shared" si="12"/>
        <v>9.9999999999999994E-12</v>
      </c>
      <c r="AM7" s="2">
        <f t="shared" si="13"/>
        <v>6574.1506604943988</v>
      </c>
      <c r="AN7" s="2">
        <f t="shared" si="14"/>
        <v>6543.7332030080934</v>
      </c>
      <c r="AO7" s="2">
        <f t="shared" si="15"/>
        <v>6524.0981470711258</v>
      </c>
      <c r="AP7" s="2">
        <f t="shared" si="16"/>
        <v>6503.9584150129849</v>
      </c>
      <c r="AQ7" s="2">
        <f t="shared" si="17"/>
        <v>6472.7726535549082</v>
      </c>
      <c r="AR7" s="2">
        <f t="shared" si="18"/>
        <v>4821.046341164677</v>
      </c>
      <c r="AS7" s="2">
        <f t="shared" si="19"/>
        <v>4274.6287252900811</v>
      </c>
      <c r="AX7" s="2">
        <f t="shared" si="28"/>
        <v>9.9999999999999994E-12</v>
      </c>
      <c r="AY7" s="37">
        <f t="shared" si="20"/>
        <v>21417.996445812005</v>
      </c>
      <c r="AZ7" s="37">
        <f t="shared" si="21"/>
        <v>21249.165074770277</v>
      </c>
      <c r="BA7" s="37">
        <f t="shared" si="22"/>
        <v>21141.430419034266</v>
      </c>
      <c r="BB7" s="37">
        <f t="shared" si="23"/>
        <v>21031.924273727393</v>
      </c>
      <c r="BC7" s="37">
        <f t="shared" si="24"/>
        <v>20913.111625908266</v>
      </c>
      <c r="BD7" s="37">
        <f t="shared" si="25"/>
        <v>29712.515284966801</v>
      </c>
      <c r="BE7" s="37">
        <f t="shared" si="26"/>
        <v>40587.375864960486</v>
      </c>
    </row>
    <row r="8" spans="1:308" x14ac:dyDescent="0.25">
      <c r="A8" s="2">
        <f>'creep_res-40'!A8</f>
        <v>1E-10</v>
      </c>
      <c r="B8" s="3">
        <f>'creep_res-40'!O8</f>
        <v>-5.5891388571428573E-4</v>
      </c>
      <c r="C8" s="2">
        <f>IF('Modell einstellen'!$B$2="Ja",creep_res0!O8,creep_res0!C8)</f>
        <v>-5.6168294285714293E-4</v>
      </c>
      <c r="D8" s="2">
        <f>IF('Modell einstellen'!$B$2="Ja",creep_res25!O8,creep_res25!C8)</f>
        <v>-5.6348248571428576E-4</v>
      </c>
      <c r="E8" s="2">
        <f>IF('Modell einstellen'!$B$2="Ja",creep_res50!O8,creep_res50!C8)</f>
        <v>-5.6533822857142858E-4</v>
      </c>
      <c r="F8" s="2">
        <f>IF('Modell einstellen'!$B$2="Ja",creep_res80!O8,creep_res80!C8)</f>
        <v>-5.7162008571428572E-4</v>
      </c>
      <c r="G8" s="2">
        <f>IF('Modell einstellen'!$B$2="Ja",creep_res125!O8,creep_res125!C8)</f>
        <v>-7.6696551428571426E-4</v>
      </c>
      <c r="H8" s="2">
        <f>IF('Modell einstellen'!$B$2="Ja",creep_res160!O8,creep_res160!C8)</f>
        <v>-8.6432000000000013E-4</v>
      </c>
      <c r="M8" s="9">
        <f t="shared" si="27"/>
        <v>-10</v>
      </c>
      <c r="N8" s="2">
        <f t="shared" si="4"/>
        <v>1E-10</v>
      </c>
      <c r="O8" s="2">
        <f t="shared" si="5"/>
        <v>17891.843905828377</v>
      </c>
      <c r="P8" s="2">
        <f t="shared" si="6"/>
        <v>17803.638382060279</v>
      </c>
      <c r="Q8" s="2">
        <f t="shared" si="7"/>
        <v>17746.78051851732</v>
      </c>
      <c r="R8" s="2">
        <f t="shared" si="8"/>
        <v>17688.526079811236</v>
      </c>
      <c r="S8" s="2">
        <f t="shared" si="9"/>
        <v>17494.13684003806</v>
      </c>
      <c r="T8" s="2">
        <f t="shared" si="10"/>
        <v>13038.395877959572</v>
      </c>
      <c r="U8" s="2">
        <f t="shared" si="11"/>
        <v>11569.788967049239</v>
      </c>
      <c r="Z8" s="2">
        <v>1E-10</v>
      </c>
      <c r="AA8" s="3">
        <f>IF('Modell einstellen'!$B$2="Ja",'creep_res-40'!P8,'creep_res-40'!L8)</f>
        <v>0.36077249518530485</v>
      </c>
      <c r="AB8" s="2">
        <f>IF('Modell einstellen'!$B$2="Ja",creep_res0!P8,creep_res0!L8)</f>
        <v>0.36035812374678278</v>
      </c>
      <c r="AC8" s="2">
        <f>IF('Modell einstellen'!$B$2="Ja",creep_res25!P8,creep_res25!L8)</f>
        <v>0.36009475665284973</v>
      </c>
      <c r="AD8" s="2">
        <f>IF('Modell einstellen'!$B$2="Ja",creep_res50!P8,creep_res50!L8)</f>
        <v>0.3598279674599853</v>
      </c>
      <c r="AE8" s="2">
        <f>IF('Modell einstellen'!$B$2="Ja",creep_res80!P8,creep_res80!L8)</f>
        <v>0.36134311585472129</v>
      </c>
      <c r="AF8" s="2">
        <f>IF('Modell einstellen'!$B$2="Ja",creep_res125!P8,creep_res125!L8)</f>
        <v>0.4374204494871497</v>
      </c>
      <c r="AG8" s="2">
        <f>IF('Modell einstellen'!$B$2="Ja",creep_res160!P8,creep_res160!L8)</f>
        <v>0.4689348191146136</v>
      </c>
      <c r="AL8" s="2">
        <f t="shared" si="12"/>
        <v>1E-10</v>
      </c>
      <c r="AM8" s="2">
        <f t="shared" si="13"/>
        <v>6574.149598530772</v>
      </c>
      <c r="AN8" s="2">
        <f t="shared" si="14"/>
        <v>6543.7321508487757</v>
      </c>
      <c r="AO8" s="2">
        <f t="shared" si="15"/>
        <v>6524.0971012165301</v>
      </c>
      <c r="AP8" s="2">
        <f t="shared" si="16"/>
        <v>6503.9573030886877</v>
      </c>
      <c r="AQ8" s="2">
        <f t="shared" si="17"/>
        <v>6425.3224026678754</v>
      </c>
      <c r="AR8" s="2">
        <f t="shared" si="18"/>
        <v>4535.3452020984814</v>
      </c>
      <c r="AS8" s="2">
        <f t="shared" si="19"/>
        <v>3938.1560081824523</v>
      </c>
      <c r="AX8" s="2">
        <f t="shared" si="28"/>
        <v>1E-10</v>
      </c>
      <c r="AY8" s="37">
        <f t="shared" si="20"/>
        <v>21417.994873021591</v>
      </c>
      <c r="AZ8" s="37">
        <f t="shared" si="21"/>
        <v>21249.163526677763</v>
      </c>
      <c r="BA8" s="37">
        <f t="shared" si="22"/>
        <v>21141.428886599821</v>
      </c>
      <c r="BB8" s="37">
        <f t="shared" si="23"/>
        <v>21031.925032027721</v>
      </c>
      <c r="BC8" s="37">
        <f t="shared" si="24"/>
        <v>21028.090248189499</v>
      </c>
      <c r="BD8" s="37">
        <f t="shared" si="25"/>
        <v>34724.857590878732</v>
      </c>
      <c r="BE8" s="37">
        <f t="shared" si="26"/>
        <v>62072.651960059178</v>
      </c>
    </row>
    <row r="9" spans="1:308" x14ac:dyDescent="0.25">
      <c r="A9" s="2">
        <f>'creep_res-40'!A9</f>
        <v>1.0000000000000001E-9</v>
      </c>
      <c r="B9" s="3">
        <f>'creep_res-40'!O9</f>
        <v>-5.5891391428571438E-4</v>
      </c>
      <c r="C9" s="2">
        <f>IF('Modell einstellen'!$B$2="Ja",creep_res0!O9,creep_res0!C9)</f>
        <v>-5.6168297142857146E-4</v>
      </c>
      <c r="D9" s="2">
        <f>IF('Modell einstellen'!$B$2="Ja",creep_res25!O9,creep_res25!C9)</f>
        <v>-5.634825142857143E-4</v>
      </c>
      <c r="E9" s="2">
        <f>IF('Modell einstellen'!$B$2="Ja",creep_res50!O9,creep_res50!C9)</f>
        <v>-5.6533842857142854E-4</v>
      </c>
      <c r="F9" s="2">
        <f>IF('Modell einstellen'!$B$2="Ja",creep_res80!O9,creep_res80!C9)</f>
        <v>-5.8276582857142865E-4</v>
      </c>
      <c r="G9" s="2">
        <f>IF('Modell einstellen'!$B$2="Ja",creep_res125!O9,creep_res125!C9)</f>
        <v>-8.1310145714285709E-4</v>
      </c>
      <c r="H9" s="2">
        <f>IF('Modell einstellen'!$B$2="Ja",creep_res160!O9,creep_res160!C9)</f>
        <v>-9.5559037142857147E-4</v>
      </c>
      <c r="M9" s="9">
        <f t="shared" si="27"/>
        <v>-10</v>
      </c>
      <c r="N9" s="2">
        <f t="shared" si="4"/>
        <v>1.0000000000000001E-9</v>
      </c>
      <c r="O9" s="2">
        <f t="shared" si="5"/>
        <v>17891.84299120534</v>
      </c>
      <c r="P9" s="2">
        <f t="shared" si="6"/>
        <v>17803.637476433069</v>
      </c>
      <c r="Q9" s="2">
        <f t="shared" si="7"/>
        <v>17746.77961866531</v>
      </c>
      <c r="R9" s="2">
        <f t="shared" si="8"/>
        <v>17688.519822134353</v>
      </c>
      <c r="S9" s="2">
        <f t="shared" si="9"/>
        <v>17159.551074766416</v>
      </c>
      <c r="T9" s="2">
        <f t="shared" si="10"/>
        <v>12298.588216947519</v>
      </c>
      <c r="U9" s="2">
        <f t="shared" si="11"/>
        <v>10464.734994190427</v>
      </c>
      <c r="Z9" s="2">
        <v>1.0000000000000001E-9</v>
      </c>
      <c r="AA9" s="3">
        <f>IF('Modell einstellen'!$B$2="Ja",'creep_res-40'!P9,'creep_res-40'!L9)</f>
        <v>0.36077249719059723</v>
      </c>
      <c r="AB9" s="2">
        <f>IF('Modell einstellen'!$B$2="Ja",creep_res0!P9,creep_res0!L9)</f>
        <v>0.36035812576326737</v>
      </c>
      <c r="AC9" s="2">
        <f>IF('Modell einstellen'!$B$2="Ja",creep_res25!P9,creep_res25!L9)</f>
        <v>0.36009475867624846</v>
      </c>
      <c r="AD9" s="2">
        <f>IF('Modell einstellen'!$B$2="Ja",creep_res50!P9,creep_res50!L9)</f>
        <v>0.35982804231801491</v>
      </c>
      <c r="AE9" s="2">
        <f>IF('Modell einstellen'!$B$2="Ja",creep_res80!P9,creep_res80!L9)</f>
        <v>0.3661764362691331</v>
      </c>
      <c r="AF9" s="2">
        <f>IF('Modell einstellen'!$B$2="Ja",creep_res125!P9,creep_res125!L9)</f>
        <v>0.45425193995295127</v>
      </c>
      <c r="AG9" s="2">
        <f>IF('Modell einstellen'!$B$2="Ja",creep_res160!P9,creep_res160!L9)</f>
        <v>0.49856189126823414</v>
      </c>
      <c r="AL9" s="2">
        <f t="shared" si="12"/>
        <v>1.0000000000000001E-9</v>
      </c>
      <c r="AM9" s="2">
        <f t="shared" si="13"/>
        <v>6574.1492527752453</v>
      </c>
      <c r="AN9" s="2">
        <f t="shared" si="14"/>
        <v>6543.7318082853499</v>
      </c>
      <c r="AO9" s="2">
        <f t="shared" si="15"/>
        <v>6524.0967607058046</v>
      </c>
      <c r="AP9" s="2">
        <f t="shared" si="16"/>
        <v>6503.9546441408229</v>
      </c>
      <c r="AQ9" s="2">
        <f t="shared" si="17"/>
        <v>6280.1372572444334</v>
      </c>
      <c r="AR9" s="2">
        <f t="shared" si="18"/>
        <v>4228.4929725950406</v>
      </c>
      <c r="AS9" s="2">
        <f t="shared" si="19"/>
        <v>3491.5925245283374</v>
      </c>
      <c r="AX9" s="2">
        <f t="shared" si="28"/>
        <v>1.0000000000000001E-9</v>
      </c>
      <c r="AY9" s="37">
        <f t="shared" si="20"/>
        <v>21417.994086626455</v>
      </c>
      <c r="AZ9" s="37">
        <f t="shared" si="21"/>
        <v>21249.162752631597</v>
      </c>
      <c r="BA9" s="37">
        <f t="shared" si="22"/>
        <v>21141.428120382676</v>
      </c>
      <c r="BB9" s="37">
        <f t="shared" si="23"/>
        <v>21031.928823530161</v>
      </c>
      <c r="BC9" s="37">
        <f t="shared" si="24"/>
        <v>21370.863989837715</v>
      </c>
      <c r="BD9" s="37">
        <f t="shared" si="25"/>
        <v>44805.499964731716</v>
      </c>
      <c r="BE9" s="37">
        <f t="shared" si="26"/>
        <v>1212789.0336150853</v>
      </c>
    </row>
    <row r="10" spans="1:308" x14ac:dyDescent="0.25">
      <c r="A10" s="2">
        <f>'creep_res-40'!A10</f>
        <v>1E-8</v>
      </c>
      <c r="B10" s="3">
        <f>'creep_res-40'!O10</f>
        <v>-5.5891391428571438E-4</v>
      </c>
      <c r="C10" s="2">
        <f>IF('Modell einstellen'!$B$2="Ja",creep_res0!O10,creep_res0!C10)</f>
        <v>-5.6168297142857146E-4</v>
      </c>
      <c r="D10" s="2">
        <f>IF('Modell einstellen'!$B$2="Ja",creep_res25!O10,creep_res25!C10)</f>
        <v>-5.634825142857143E-4</v>
      </c>
      <c r="E10" s="2">
        <f>IF('Modell einstellen'!$B$2="Ja",creep_res50!O10,creep_res50!C10)</f>
        <v>-5.6534002857142865E-4</v>
      </c>
      <c r="F10" s="2">
        <f>IF('Modell einstellen'!$B$2="Ja",creep_res80!O10,creep_res80!C10)</f>
        <v>-5.9470314285714281E-4</v>
      </c>
      <c r="G10" s="2">
        <f>IF('Modell einstellen'!$B$2="Ja",creep_res125!O10,creep_res125!C10)</f>
        <v>-8.7520179999999999E-4</v>
      </c>
      <c r="H10" s="2">
        <f>IF('Modell einstellen'!$B$2="Ja",creep_res160!O10,creep_res160!C10)</f>
        <v>-1.1032781142857142E-3</v>
      </c>
      <c r="M10" s="9">
        <f t="shared" si="27"/>
        <v>-10</v>
      </c>
      <c r="N10" s="2">
        <f t="shared" si="4"/>
        <v>1E-8</v>
      </c>
      <c r="O10" s="2">
        <f t="shared" si="5"/>
        <v>17891.84299120534</v>
      </c>
      <c r="P10" s="2">
        <f t="shared" si="6"/>
        <v>17803.637476433069</v>
      </c>
      <c r="Q10" s="2">
        <f t="shared" si="7"/>
        <v>17746.77961866531</v>
      </c>
      <c r="R10" s="2">
        <f t="shared" si="8"/>
        <v>17688.46976087867</v>
      </c>
      <c r="S10" s="2">
        <f t="shared" si="9"/>
        <v>16815.112077526315</v>
      </c>
      <c r="T10" s="2">
        <f t="shared" si="10"/>
        <v>11425.936281209659</v>
      </c>
      <c r="U10" s="2">
        <f t="shared" si="11"/>
        <v>9063.8977339582361</v>
      </c>
      <c r="Z10" s="2">
        <v>1E-8</v>
      </c>
      <c r="AA10" s="3">
        <f>IF('Modell einstellen'!$B$2="Ja",'creep_res-40'!P10,'creep_res-40'!L10)</f>
        <v>0.36077250741450745</v>
      </c>
      <c r="AB10" s="2">
        <f>IF('Modell einstellen'!$B$2="Ja",creep_res0!P10,creep_res0!L10)</f>
        <v>0.36035813593677452</v>
      </c>
      <c r="AC10" s="2">
        <f>IF('Modell einstellen'!$B$2="Ja",creep_res25!P10,creep_res25!L10)</f>
        <v>0.36009476881726538</v>
      </c>
      <c r="AD10" s="2">
        <f>IF('Modell einstellen'!$B$2="Ja",creep_res50!P10,creep_res50!L10)</f>
        <v>0.3598287927957996</v>
      </c>
      <c r="AE10" s="2">
        <f>IF('Modell einstellen'!$B$2="Ja",creep_res80!P10,creep_res80!L10)</f>
        <v>0.37137588933926702</v>
      </c>
      <c r="AF10" s="2">
        <f>IF('Modell einstellen'!$B$2="Ja",creep_res125!P10,creep_res125!L10)</f>
        <v>0.47583559749142595</v>
      </c>
      <c r="AG10" s="2">
        <f>IF('Modell einstellen'!$B$2="Ja",creep_res160!P10,creep_res160!L10)</f>
        <v>0.54171656342369212</v>
      </c>
      <c r="AL10" s="2">
        <f t="shared" si="12"/>
        <v>1E-8</v>
      </c>
      <c r="AM10" s="2">
        <f t="shared" si="13"/>
        <v>6574.149203381603</v>
      </c>
      <c r="AN10" s="2">
        <f t="shared" si="14"/>
        <v>6543.7317593477201</v>
      </c>
      <c r="AO10" s="2">
        <f t="shared" si="15"/>
        <v>6524.0967120614177</v>
      </c>
      <c r="AP10" s="2">
        <f t="shared" si="16"/>
        <v>6503.932647473689</v>
      </c>
      <c r="AQ10" s="2">
        <f t="shared" si="17"/>
        <v>6130.7451181848783</v>
      </c>
      <c r="AR10" s="2">
        <f t="shared" si="18"/>
        <v>3871.0057883923755</v>
      </c>
      <c r="AS10" s="2">
        <f t="shared" si="19"/>
        <v>2939.5473684961994</v>
      </c>
      <c r="AX10" s="2">
        <f t="shared" si="28"/>
        <v>1E-8</v>
      </c>
      <c r="AY10" s="37">
        <f t="shared" si="20"/>
        <v>21417.995659416745</v>
      </c>
      <c r="AZ10" s="37">
        <f t="shared" si="21"/>
        <v>21249.164300724002</v>
      </c>
      <c r="BA10" s="37">
        <f t="shared" si="22"/>
        <v>21141.429652817013</v>
      </c>
      <c r="BB10" s="37">
        <f t="shared" si="23"/>
        <v>21031.981904707714</v>
      </c>
      <c r="BC10" s="37">
        <f t="shared" si="24"/>
        <v>21788.439703811193</v>
      </c>
      <c r="BD10" s="37">
        <f t="shared" si="25"/>
        <v>78806.943927508604</v>
      </c>
      <c r="BE10" s="37">
        <f t="shared" si="26"/>
        <v>-36212.225992432257</v>
      </c>
    </row>
    <row r="11" spans="1:308" x14ac:dyDescent="0.25">
      <c r="A11" s="2">
        <f>'creep_res-40'!A11</f>
        <v>9.9999999999999995E-8</v>
      </c>
      <c r="B11" s="3">
        <f>'creep_res-40'!O11</f>
        <v>-5.5891391428571438E-4</v>
      </c>
      <c r="C11" s="2">
        <f>IF('Modell einstellen'!$B$2="Ja",creep_res0!O11,creep_res0!C11)</f>
        <v>-5.61683E-4</v>
      </c>
      <c r="D11" s="2">
        <f>IF('Modell einstellen'!$B$2="Ja",creep_res25!O11,creep_res25!C11)</f>
        <v>-5.6348254285714294E-4</v>
      </c>
      <c r="E11" s="2">
        <f>IF('Modell einstellen'!$B$2="Ja",creep_res50!O11,creep_res50!C11)</f>
        <v>-5.6535597142857151E-4</v>
      </c>
      <c r="F11" s="2">
        <f>IF('Modell einstellen'!$B$2="Ja",creep_res80!O11,creep_res80!C11)</f>
        <v>-6.0905660000000006E-4</v>
      </c>
      <c r="G11" s="2">
        <f>IF('Modell einstellen'!$B$2="Ja",creep_res125!O11,creep_res125!C11)</f>
        <v>-9.7467042857142863E-4</v>
      </c>
      <c r="H11" s="2">
        <f>IF('Modell einstellen'!$B$2="Ja",creep_res160!O11,creep_res160!C11)</f>
        <v>-1.3608547142857144E-3</v>
      </c>
      <c r="M11" s="9">
        <f t="shared" si="27"/>
        <v>-10</v>
      </c>
      <c r="N11" s="2">
        <f t="shared" si="4"/>
        <v>9.9999999999999995E-8</v>
      </c>
      <c r="O11" s="2">
        <f t="shared" si="5"/>
        <v>17891.84299120534</v>
      </c>
      <c r="P11" s="2">
        <f t="shared" si="6"/>
        <v>17803.636570805953</v>
      </c>
      <c r="Q11" s="2">
        <f t="shared" si="7"/>
        <v>17746.778718813392</v>
      </c>
      <c r="R11" s="2">
        <f t="shared" si="8"/>
        <v>17687.970951702286</v>
      </c>
      <c r="S11" s="2">
        <f t="shared" si="9"/>
        <v>16418.835293796994</v>
      </c>
      <c r="T11" s="2">
        <f t="shared" si="10"/>
        <v>10259.878320774509</v>
      </c>
      <c r="U11" s="2">
        <f t="shared" si="11"/>
        <v>7348.3230024659915</v>
      </c>
      <c r="Z11" s="2">
        <v>9.9999999999999995E-8</v>
      </c>
      <c r="AA11" s="3">
        <f>IF('Modell einstellen'!$B$2="Ja",'creep_res-40'!P11,'creep_res-40'!L11)</f>
        <v>0.36077250741450745</v>
      </c>
      <c r="AB11" s="2">
        <f>IF('Modell einstellen'!$B$2="Ja",creep_res0!P11,creep_res0!L11)</f>
        <v>0.36035811760624514</v>
      </c>
      <c r="AC11" s="2">
        <f>IF('Modell einstellen'!$B$2="Ja",creep_res25!P11,creep_res25!L11)</f>
        <v>0.36009477084066338</v>
      </c>
      <c r="AD11" s="2">
        <f>IF('Modell einstellen'!$B$2="Ja",creep_res50!P11,creep_res50!L11)</f>
        <v>0.35983629328050659</v>
      </c>
      <c r="AE11" s="2">
        <f>IF('Modell einstellen'!$B$2="Ja",creep_res80!P11,creep_res80!L11)</f>
        <v>0.37754390267552423</v>
      </c>
      <c r="AF11" s="2">
        <f>IF('Modell einstellen'!$B$2="Ja",creep_res125!P11,creep_res125!L11)</f>
        <v>0.50802672786244374</v>
      </c>
      <c r="AG11" s="2">
        <f>IF('Modell einstellen'!$B$2="Ja",creep_res160!P11,creep_res160!L11)</f>
        <v>0.60421243665876778</v>
      </c>
      <c r="AL11" s="2">
        <f t="shared" si="12"/>
        <v>9.9999999999999995E-8</v>
      </c>
      <c r="AM11" s="2">
        <f t="shared" si="13"/>
        <v>6574.149203381603</v>
      </c>
      <c r="AN11" s="2">
        <f t="shared" si="14"/>
        <v>6543.7315146595847</v>
      </c>
      <c r="AO11" s="2">
        <f t="shared" si="15"/>
        <v>6524.0963715507314</v>
      </c>
      <c r="AP11" s="2">
        <f t="shared" si="16"/>
        <v>6503.7133657579243</v>
      </c>
      <c r="AQ11" s="2">
        <f t="shared" si="17"/>
        <v>5959.459898848826</v>
      </c>
      <c r="AR11" s="2">
        <f t="shared" si="18"/>
        <v>3401.7561264704505</v>
      </c>
      <c r="AS11" s="2">
        <f t="shared" si="19"/>
        <v>2290.3210430692648</v>
      </c>
      <c r="AX11" s="2">
        <f t="shared" si="28"/>
        <v>9.9999999999999995E-8</v>
      </c>
      <c r="AY11" s="37">
        <f t="shared" si="20"/>
        <v>21417.995659416745</v>
      </c>
      <c r="AZ11" s="37">
        <f t="shared" si="21"/>
        <v>21249.160430493426</v>
      </c>
      <c r="BA11" s="37">
        <f t="shared" si="22"/>
        <v>21141.42888659981</v>
      </c>
      <c r="BB11" s="37">
        <f t="shared" si="23"/>
        <v>21032.514247905889</v>
      </c>
      <c r="BC11" s="37">
        <f t="shared" si="24"/>
        <v>22346.560185690454</v>
      </c>
      <c r="BD11" s="37">
        <f t="shared" si="25"/>
        <v>-213035.71635085696</v>
      </c>
      <c r="BE11" s="37">
        <f t="shared" si="26"/>
        <v>-11752.153002824527</v>
      </c>
    </row>
    <row r="12" spans="1:308" x14ac:dyDescent="0.25">
      <c r="A12" s="2">
        <f>'creep_res-40'!A12</f>
        <v>9.9999999999999995E-7</v>
      </c>
      <c r="B12" s="3">
        <f>'creep_res-40'!O12</f>
        <v>-5.5891391428571438E-4</v>
      </c>
      <c r="C12" s="2">
        <f>IF('Modell einstellen'!$B$2="Ja",creep_res0!O12,creep_res0!C12)</f>
        <v>-5.61683E-4</v>
      </c>
      <c r="D12" s="2">
        <f>IF('Modell einstellen'!$B$2="Ja",creep_res25!O12,creep_res25!C12)</f>
        <v>-5.6348271428571437E-4</v>
      </c>
      <c r="E12" s="2">
        <f>IF('Modell einstellen'!$B$2="Ja",creep_res50!O12,creep_res50!C12)</f>
        <v>-5.6551417142857146E-4</v>
      </c>
      <c r="F12" s="2">
        <f>IF('Modell einstellen'!$B$2="Ja",creep_res80!O12,creep_res80!C12)</f>
        <v>-6.2686451428571436E-4</v>
      </c>
      <c r="G12" s="2">
        <f>IF('Modell einstellen'!$B$2="Ja",creep_res125!O12,creep_res125!C12)</f>
        <v>-1.1375140571428571E-3</v>
      </c>
      <c r="H12" s="2">
        <f>IF('Modell einstellen'!$B$2="Ja",creep_res160!O12,creep_res160!C12)</f>
        <v>-1.8943430571428572E-3</v>
      </c>
      <c r="M12" s="9">
        <f t="shared" si="27"/>
        <v>-10</v>
      </c>
      <c r="N12" s="2">
        <f t="shared" si="4"/>
        <v>9.9999999999999995E-7</v>
      </c>
      <c r="O12" s="2">
        <f t="shared" si="5"/>
        <v>17891.84299120534</v>
      </c>
      <c r="P12" s="2">
        <f t="shared" si="6"/>
        <v>17803.636570805953</v>
      </c>
      <c r="Q12" s="2">
        <f t="shared" si="7"/>
        <v>17746.773319703811</v>
      </c>
      <c r="R12" s="2">
        <f t="shared" si="8"/>
        <v>17683.02282282076</v>
      </c>
      <c r="S12" s="2">
        <f t="shared" si="9"/>
        <v>15952.410404654309</v>
      </c>
      <c r="T12" s="2">
        <f t="shared" si="10"/>
        <v>8791.100151427956</v>
      </c>
      <c r="U12" s="2">
        <f t="shared" si="11"/>
        <v>5278.8748913739519</v>
      </c>
      <c r="Z12" s="2">
        <v>9.9999999999999995E-7</v>
      </c>
      <c r="AA12" s="3">
        <f>IF('Modell einstellen'!$B$2="Ja",'creep_res-40'!P12,'creep_res-40'!L12)</f>
        <v>0.36077250741450745</v>
      </c>
      <c r="AB12" s="2">
        <f>IF('Modell einstellen'!$B$2="Ja",creep_res0!P12,creep_res0!L12)</f>
        <v>0.36035812269299844</v>
      </c>
      <c r="AC12" s="2">
        <f>IF('Modell einstellen'!$B$2="Ja",creep_res25!P12,creep_res25!L12)</f>
        <v>0.36009486410915376</v>
      </c>
      <c r="AD12" s="2">
        <f>IF('Modell einstellen'!$B$2="Ja",creep_res50!P12,creep_res50!L12)</f>
        <v>0.35991086948130546</v>
      </c>
      <c r="AE12" s="2">
        <f>IF('Modell einstellen'!$B$2="Ja",creep_res80!P12,creep_res80!L12)</f>
        <v>0.38508679341874646</v>
      </c>
      <c r="AF12" s="2">
        <f>IF('Modell einstellen'!$B$2="Ja",creep_res125!P12,creep_res125!L12)</f>
        <v>0.55481705569880313</v>
      </c>
      <c r="AG12" s="2">
        <f>IF('Modell einstellen'!$B$2="Ja",creep_res160!P12,creep_res160!L12)</f>
        <v>0.69534610015651555</v>
      </c>
      <c r="AL12" s="2">
        <f t="shared" si="12"/>
        <v>9.9999999999999995E-7</v>
      </c>
      <c r="AM12" s="2">
        <f t="shared" si="13"/>
        <v>6574.149203381603</v>
      </c>
      <c r="AN12" s="2">
        <f t="shared" si="14"/>
        <v>6543.731490190773</v>
      </c>
      <c r="AO12" s="2">
        <f t="shared" si="15"/>
        <v>6524.0939393325853</v>
      </c>
      <c r="AP12" s="2">
        <f t="shared" si="16"/>
        <v>6501.5374241274303</v>
      </c>
      <c r="AQ12" s="2">
        <f t="shared" si="17"/>
        <v>5758.6320512376351</v>
      </c>
      <c r="AR12" s="2">
        <f t="shared" si="18"/>
        <v>2827.0529060658037</v>
      </c>
      <c r="AS12" s="2">
        <f t="shared" si="19"/>
        <v>1556.8723374202477</v>
      </c>
      <c r="AX12" s="2">
        <f t="shared" si="28"/>
        <v>9.9999999999999995E-7</v>
      </c>
      <c r="AY12" s="37">
        <f t="shared" si="20"/>
        <v>21417.995659416745</v>
      </c>
      <c r="AZ12" s="37">
        <f t="shared" si="21"/>
        <v>21249.161204539429</v>
      </c>
      <c r="BA12" s="37">
        <f t="shared" si="22"/>
        <v>21141.436548774276</v>
      </c>
      <c r="BB12" s="37">
        <f t="shared" si="23"/>
        <v>21037.823987899148</v>
      </c>
      <c r="BC12" s="37">
        <f t="shared" si="24"/>
        <v>23136.897372735224</v>
      </c>
      <c r="BD12" s="37">
        <f t="shared" si="25"/>
        <v>-26728.603714542747</v>
      </c>
      <c r="BE12" s="37">
        <f t="shared" si="26"/>
        <v>-4503.8650947765718</v>
      </c>
    </row>
    <row r="13" spans="1:308" x14ac:dyDescent="0.25">
      <c r="A13" s="2">
        <f>'creep_res-40'!A13</f>
        <v>1.0000000000000001E-5</v>
      </c>
      <c r="B13" s="3">
        <f>'creep_res-40'!O13</f>
        <v>-5.5891391428571438E-4</v>
      </c>
      <c r="C13" s="2">
        <f>IF('Modell einstellen'!$B$2="Ja",creep_res0!O13,creep_res0!C13)</f>
        <v>-5.61683E-4</v>
      </c>
      <c r="D13" s="2">
        <f>IF('Modell einstellen'!$B$2="Ja",creep_res25!O13,creep_res25!C13)</f>
        <v>-5.6348448571428569E-4</v>
      </c>
      <c r="E13" s="2">
        <f>IF('Modell einstellen'!$B$2="Ja",creep_res50!O13,creep_res50!C13)</f>
        <v>-5.6699531428571425E-4</v>
      </c>
      <c r="F13" s="2">
        <f>IF('Modell einstellen'!$B$2="Ja",creep_res80!O13,creep_res80!C13)</f>
        <v>-6.4622380000000008E-4</v>
      </c>
      <c r="G13" s="2">
        <f>IF('Modell einstellen'!$B$2="Ja",creep_res125!O13,creep_res125!C13)</f>
        <v>-1.4322549714285717E-3</v>
      </c>
      <c r="H13" s="2">
        <f>IF('Modell einstellen'!$B$2="Ja",creep_res160!O13,creep_res160!C13)</f>
        <v>-2.9633485714285718E-3</v>
      </c>
      <c r="M13" s="9">
        <f t="shared" si="27"/>
        <v>-10</v>
      </c>
      <c r="N13" s="2">
        <f t="shared" si="4"/>
        <v>1.0000000000000001E-5</v>
      </c>
      <c r="O13" s="2">
        <f t="shared" si="5"/>
        <v>17891.84299120534</v>
      </c>
      <c r="P13" s="2">
        <f t="shared" si="6"/>
        <v>17803.636570805953</v>
      </c>
      <c r="Q13" s="2">
        <f t="shared" si="7"/>
        <v>17746.717529097139</v>
      </c>
      <c r="R13" s="2">
        <f t="shared" si="8"/>
        <v>17636.830054932176</v>
      </c>
      <c r="S13" s="2">
        <f t="shared" si="9"/>
        <v>15474.515175702285</v>
      </c>
      <c r="T13" s="2">
        <f t="shared" si="10"/>
        <v>6981.997060220162</v>
      </c>
      <c r="U13" s="2">
        <f t="shared" si="11"/>
        <v>3374.5608250126302</v>
      </c>
      <c r="Z13" s="2">
        <v>1.0000000000000001E-5</v>
      </c>
      <c r="AA13" s="3">
        <f>IF('Modell einstellen'!$B$2="Ja",'creep_res-40'!P13,'creep_res-40'!L13)</f>
        <v>0.3607725125264627</v>
      </c>
      <c r="AB13" s="2">
        <f>IF('Modell einstellen'!$B$2="Ja",creep_res0!P13,creep_res0!L13)</f>
        <v>0.36035814304001162</v>
      </c>
      <c r="AC13" s="2">
        <f>IF('Modell einstellen'!$B$2="Ja",creep_res25!P13,creep_res25!L13)</f>
        <v>0.36009570449829092</v>
      </c>
      <c r="AD13" s="2">
        <f>IF('Modell einstellen'!$B$2="Ja",creep_res50!P13,creep_res50!L13)</f>
        <v>0.36060759081103017</v>
      </c>
      <c r="AE13" s="2">
        <f>IF('Modell einstellen'!$B$2="Ja",creep_res80!P13,creep_res80!L13)</f>
        <v>0.39316898307631853</v>
      </c>
      <c r="AF13" s="2">
        <f>IF('Modell einstellen'!$B$2="Ja",creep_res125!P13,creep_res125!L13)</f>
        <v>0.62311995765159445</v>
      </c>
      <c r="AG13" s="2">
        <f>IF('Modell einstellen'!$B$2="Ja",creep_res160!P13,creep_res160!L13)</f>
        <v>0.79570910128696104</v>
      </c>
      <c r="AL13" s="2">
        <f t="shared" si="12"/>
        <v>1.0000000000000001E-5</v>
      </c>
      <c r="AM13" s="2">
        <f t="shared" si="13"/>
        <v>6574.1491786847801</v>
      </c>
      <c r="AN13" s="2">
        <f t="shared" si="14"/>
        <v>6543.7313923155243</v>
      </c>
      <c r="AO13" s="2">
        <f t="shared" si="15"/>
        <v>6524.06939835293</v>
      </c>
      <c r="AP13" s="2">
        <f t="shared" si="16"/>
        <v>6481.233154233405</v>
      </c>
      <c r="AQ13" s="2">
        <f t="shared" si="17"/>
        <v>5553.7107715147085</v>
      </c>
      <c r="AR13" s="2">
        <f t="shared" si="18"/>
        <v>2150.7951483518323</v>
      </c>
      <c r="AS13" s="2">
        <f t="shared" si="19"/>
        <v>939.61789874376836</v>
      </c>
      <c r="AX13" s="2">
        <f t="shared" si="28"/>
        <v>1.0000000000000001E-5</v>
      </c>
      <c r="AY13" s="37">
        <f t="shared" si="20"/>
        <v>21417.996445811998</v>
      </c>
      <c r="AZ13" s="37">
        <f t="shared" si="21"/>
        <v>21249.164300723998</v>
      </c>
      <c r="BA13" s="37">
        <f t="shared" si="22"/>
        <v>21141.497080147841</v>
      </c>
      <c r="BB13" s="37">
        <f t="shared" si="23"/>
        <v>21087.745688053081</v>
      </c>
      <c r="BC13" s="37">
        <f t="shared" si="24"/>
        <v>24141.732774663273</v>
      </c>
      <c r="BD13" s="37">
        <f t="shared" si="25"/>
        <v>-9451.4829187669911</v>
      </c>
      <c r="BE13" s="37">
        <f t="shared" si="26"/>
        <v>-1901.9597358384426</v>
      </c>
    </row>
    <row r="14" spans="1:308" x14ac:dyDescent="0.25">
      <c r="A14" s="2">
        <f>'creep_res-40'!A14</f>
        <v>1E-4</v>
      </c>
      <c r="B14" s="3">
        <f>'creep_res-40'!O14</f>
        <v>-5.5891394285714291E-4</v>
      </c>
      <c r="C14" s="2">
        <f>IF('Modell einstellen'!$B$2="Ja",creep_res0!O14,creep_res0!C14)</f>
        <v>-5.6168320000000006E-4</v>
      </c>
      <c r="D14" s="2">
        <f>IF('Modell einstellen'!$B$2="Ja",creep_res25!O14,creep_res25!C14)</f>
        <v>-5.6350217142857144E-4</v>
      </c>
      <c r="E14" s="2">
        <f>IF('Modell einstellen'!$B$2="Ja",creep_res50!O14,creep_res50!C14)</f>
        <v>-5.7573442857142862E-4</v>
      </c>
      <c r="F14" s="2">
        <f>IF('Modell einstellen'!$B$2="Ja",creep_res80!O14,creep_res80!C14)</f>
        <v>-6.724639142857144E-4</v>
      </c>
      <c r="G14" s="2">
        <f>IF('Modell einstellen'!$B$2="Ja",creep_res125!O14,creep_res125!C14)</f>
        <v>-2.0606296285714289E-3</v>
      </c>
      <c r="H14" s="2">
        <f>IF('Modell einstellen'!$B$2="Ja",creep_res160!O14,creep_res160!C14)</f>
        <v>-5.0025814285714291E-3</v>
      </c>
      <c r="M14" s="9">
        <f t="shared" si="27"/>
        <v>-10</v>
      </c>
      <c r="N14" s="2">
        <f t="shared" si="4"/>
        <v>1E-4</v>
      </c>
      <c r="O14" s="2">
        <f t="shared" si="5"/>
        <v>17891.842076582398</v>
      </c>
      <c r="P14" s="2">
        <f t="shared" si="6"/>
        <v>17803.630231418705</v>
      </c>
      <c r="Q14" s="2">
        <f t="shared" si="7"/>
        <v>17746.160542111738</v>
      </c>
      <c r="R14" s="2">
        <f t="shared" si="8"/>
        <v>17369.119343467137</v>
      </c>
      <c r="S14" s="2">
        <f t="shared" si="9"/>
        <v>14870.686422812616</v>
      </c>
      <c r="T14" s="2">
        <f t="shared" si="10"/>
        <v>4852.8856721004695</v>
      </c>
      <c r="U14" s="2">
        <f t="shared" si="11"/>
        <v>1998.967961398215</v>
      </c>
      <c r="Z14" s="2">
        <v>1E-4</v>
      </c>
      <c r="AA14" s="3">
        <f>IF('Modell einstellen'!$B$2="Ja",'creep_res-40'!P14,'creep_res-40'!L14)</f>
        <v>0.36077249919588944</v>
      </c>
      <c r="AB14" s="2">
        <f>IF('Modell einstellen'!$B$2="Ja",creep_res0!P14,creep_res0!L14)</f>
        <v>0.36035822836991183</v>
      </c>
      <c r="AC14" s="2">
        <f>IF('Modell einstellen'!$B$2="Ja",creep_res25!P14,creep_res25!L14)</f>
        <v>0.36010412635753059</v>
      </c>
      <c r="AD14" s="2">
        <f>IF('Modell einstellen'!$B$2="Ja",creep_res50!P14,creep_res50!L14)</f>
        <v>0.36448830450349007</v>
      </c>
      <c r="AE14" s="2">
        <f>IF('Modell einstellen'!$B$2="Ja",creep_res80!P14,creep_res80!L14)</f>
        <v>0.40389726276124766</v>
      </c>
      <c r="AF14" s="2">
        <f>IF('Modell einstellen'!$B$2="Ja",creep_res125!P14,creep_res125!L14)</f>
        <v>0.72024714166073811</v>
      </c>
      <c r="AG14" s="2">
        <f>IF('Modell einstellen'!$B$2="Ja",creep_res160!P14,creep_res160!L14)</f>
        <v>0.87793610555921553</v>
      </c>
      <c r="AL14" s="2">
        <f t="shared" si="12"/>
        <v>1E-4</v>
      </c>
      <c r="AM14" s="2">
        <f t="shared" si="13"/>
        <v>6574.1489070197567</v>
      </c>
      <c r="AN14" s="2">
        <f t="shared" si="14"/>
        <v>6543.7286518097571</v>
      </c>
      <c r="AO14" s="2">
        <f t="shared" si="15"/>
        <v>6523.8242419120506</v>
      </c>
      <c r="AP14" s="2">
        <f t="shared" si="16"/>
        <v>6364.7007036045688</v>
      </c>
      <c r="AQ14" s="2">
        <f t="shared" si="17"/>
        <v>5296.2160470219478</v>
      </c>
      <c r="AR14" s="2">
        <f t="shared" si="18"/>
        <v>1410.5199057082755</v>
      </c>
      <c r="AS14" s="2">
        <f t="shared" si="19"/>
        <v>532.22470015904992</v>
      </c>
      <c r="AX14" s="2">
        <f t="shared" si="28"/>
        <v>1E-4</v>
      </c>
      <c r="AY14" s="37">
        <f t="shared" si="20"/>
        <v>21417.993300231385</v>
      </c>
      <c r="AZ14" s="37">
        <f t="shared" si="21"/>
        <v>21249.169719049183</v>
      </c>
      <c r="BA14" s="37">
        <f t="shared" si="22"/>
        <v>21142.106244278795</v>
      </c>
      <c r="BB14" s="37">
        <f t="shared" si="23"/>
        <v>21362.386569694612</v>
      </c>
      <c r="BC14" s="37">
        <f t="shared" si="24"/>
        <v>25789.564463477425</v>
      </c>
      <c r="BD14" s="37">
        <f t="shared" si="25"/>
        <v>-3672.303179894539</v>
      </c>
      <c r="BE14" s="37">
        <f t="shared" si="26"/>
        <v>-881.52817896754868</v>
      </c>
    </row>
    <row r="15" spans="1:308" x14ac:dyDescent="0.25">
      <c r="A15" s="2">
        <f>'creep_res-40'!A15</f>
        <v>1E-3</v>
      </c>
      <c r="B15" s="3">
        <f>'creep_res-40'!O15</f>
        <v>-5.5891397142857145E-4</v>
      </c>
      <c r="C15" s="2">
        <f>IF('Modell einstellen'!$B$2="Ja",creep_res0!O15,creep_res0!C15)</f>
        <v>-5.6168508571428574E-4</v>
      </c>
      <c r="D15" s="2">
        <f>IF('Modell einstellen'!$B$2="Ja",creep_res25!O15,creep_res25!C15)</f>
        <v>-5.6367762857142858E-4</v>
      </c>
      <c r="E15" s="2">
        <f>IF('Modell einstellen'!$B$2="Ja",creep_res50!O15,creep_res50!C15)</f>
        <v>-5.8701614285714288E-4</v>
      </c>
      <c r="F15" s="2">
        <f>IF('Modell einstellen'!$B$2="Ja",creep_res80!O15,creep_res80!C15)</f>
        <v>-7.0394182857142862E-4</v>
      </c>
      <c r="G15" s="2">
        <f>IF('Modell einstellen'!$B$2="Ja",creep_res125!O15,creep_res125!C15)</f>
        <v>-3.3242445714285712E-3</v>
      </c>
      <c r="H15" s="2">
        <f>IF('Modell einstellen'!$B$2="Ja",creep_res160!O15,creep_res160!C15)</f>
        <v>-8.7717962857142857E-3</v>
      </c>
      <c r="M15" s="9">
        <f t="shared" si="27"/>
        <v>-10</v>
      </c>
      <c r="N15" s="2">
        <f t="shared" si="4"/>
        <v>1E-3</v>
      </c>
      <c r="O15" s="2">
        <f t="shared" si="5"/>
        <v>17891.841161959554</v>
      </c>
      <c r="P15" s="2">
        <f t="shared" si="6"/>
        <v>17803.570460275198</v>
      </c>
      <c r="Q15" s="2">
        <f t="shared" si="7"/>
        <v>17740.636656707073</v>
      </c>
      <c r="R15" s="2">
        <f t="shared" si="8"/>
        <v>17035.306646470905</v>
      </c>
      <c r="S15" s="2">
        <f t="shared" si="9"/>
        <v>14205.719271283941</v>
      </c>
      <c r="T15" s="2">
        <f t="shared" si="10"/>
        <v>3008.2022502040422</v>
      </c>
      <c r="U15" s="2">
        <f t="shared" si="11"/>
        <v>1140.0173549727735</v>
      </c>
      <c r="Z15" s="2">
        <v>1E-3</v>
      </c>
      <c r="AA15" s="3">
        <f>IF('Modell einstellen'!$B$2="Ja",'creep_res-40'!P15,'creep_res-40'!L15)</f>
        <v>0.36077253698486383</v>
      </c>
      <c r="AB15" s="2">
        <f>IF('Modell einstellen'!$B$2="Ja",creep_res0!P15,creep_res0!L15)</f>
        <v>0.36035913464067154</v>
      </c>
      <c r="AC15" s="2">
        <f>IF('Modell einstellen'!$B$2="Ja",creep_res25!P15,creep_res25!L15)</f>
        <v>0.36018776081587062</v>
      </c>
      <c r="AD15" s="2">
        <f>IF('Modell einstellen'!$B$2="Ja",creep_res50!P15,creep_res50!L15)</f>
        <v>0.36949596178055943</v>
      </c>
      <c r="AE15" s="2">
        <f>IF('Modell einstellen'!$B$2="Ja",creep_res80!P15,creep_res80!L15)</f>
        <v>0.4165064126240301</v>
      </c>
      <c r="AF15" s="2">
        <f>IF('Modell einstellen'!$B$2="Ja",creep_res125!P15,creep_res125!L15)</f>
        <v>0.81944840572156641</v>
      </c>
      <c r="AG15" s="2">
        <f>IF('Modell einstellen'!$B$2="Ja",creep_res160!P15,creep_res160!L15)</f>
        <v>0.93476335373171815</v>
      </c>
      <c r="AL15" s="2">
        <f t="shared" si="12"/>
        <v>1E-3</v>
      </c>
      <c r="AM15" s="2">
        <f t="shared" si="13"/>
        <v>6574.1483883865922</v>
      </c>
      <c r="AN15" s="2">
        <f t="shared" si="14"/>
        <v>6543.7023234963144</v>
      </c>
      <c r="AO15" s="2">
        <f t="shared" si="15"/>
        <v>6521.3925487999713</v>
      </c>
      <c r="AP15" s="2">
        <f t="shared" si="16"/>
        <v>6219.55344224686</v>
      </c>
      <c r="AQ15" s="2">
        <f t="shared" si="17"/>
        <v>5014.3504980568096</v>
      </c>
      <c r="AR15" s="2">
        <f t="shared" si="18"/>
        <v>826.67973456797017</v>
      </c>
      <c r="AS15" s="2">
        <f t="shared" si="19"/>
        <v>294.61415856723238</v>
      </c>
      <c r="AX15" s="2">
        <f t="shared" si="28"/>
        <v>1E-3</v>
      </c>
      <c r="AY15" s="37">
        <f t="shared" si="20"/>
        <v>21417.998018602641</v>
      </c>
      <c r="AZ15" s="37">
        <f t="shared" si="21"/>
        <v>21249.236287269807</v>
      </c>
      <c r="BA15" s="37">
        <f t="shared" si="22"/>
        <v>21148.168381910014</v>
      </c>
      <c r="BB15" s="37">
        <f t="shared" si="23"/>
        <v>21755.784825889568</v>
      </c>
      <c r="BC15" s="37">
        <f t="shared" si="24"/>
        <v>28356.906835083992</v>
      </c>
      <c r="BD15" s="37">
        <f t="shared" si="25"/>
        <v>-1569.4773638584659</v>
      </c>
      <c r="BE15" s="37">
        <f t="shared" si="26"/>
        <v>-437.02600705557256</v>
      </c>
    </row>
    <row r="16" spans="1:308" x14ac:dyDescent="0.25">
      <c r="A16" s="2">
        <f>'creep_res-40'!A16</f>
        <v>0.01</v>
      </c>
      <c r="B16" s="3">
        <f>'creep_res-40'!O16</f>
        <v>-5.5891448571428572E-4</v>
      </c>
      <c r="C16" s="2">
        <f>IF('Modell einstellen'!$B$2="Ja",creep_res0!O16,creep_res0!C16)</f>
        <v>-5.617039142857144E-4</v>
      </c>
      <c r="D16" s="2">
        <f>IF('Modell einstellen'!$B$2="Ja",creep_res25!O16,creep_res25!C16)</f>
        <v>-5.6530822857142854E-4</v>
      </c>
      <c r="E16" s="2">
        <f>IF('Modell einstellen'!$B$2="Ja",creep_res50!O16,creep_res50!C16)</f>
        <v>-5.9998348571428575E-4</v>
      </c>
      <c r="F16" s="2">
        <f>IF('Modell einstellen'!$B$2="Ja",creep_res80!O16,creep_res80!C16)</f>
        <v>-7.3808877142857144E-4</v>
      </c>
      <c r="G16" s="2">
        <f>IF('Modell einstellen'!$B$2="Ja",creep_res125!O16,creep_res125!C16)</f>
        <v>-5.6982420000000001E-3</v>
      </c>
      <c r="H16" s="2">
        <f>IF('Modell einstellen'!$B$2="Ja",creep_res160!O16,creep_res160!C16)</f>
        <v>-1.3274090285714286E-2</v>
      </c>
      <c r="M16" s="9">
        <f t="shared" si="27"/>
        <v>-10</v>
      </c>
      <c r="N16" s="2">
        <f t="shared" si="4"/>
        <v>0.01</v>
      </c>
      <c r="O16" s="2">
        <f t="shared" si="5"/>
        <v>17891.824698764292</v>
      </c>
      <c r="P16" s="2">
        <f t="shared" si="6"/>
        <v>17802.973676472251</v>
      </c>
      <c r="Q16" s="2">
        <f t="shared" si="7"/>
        <v>17689.464781488612</v>
      </c>
      <c r="R16" s="2">
        <f t="shared" si="8"/>
        <v>16667.125409451746</v>
      </c>
      <c r="S16" s="2">
        <f t="shared" si="9"/>
        <v>13548.505799166936</v>
      </c>
      <c r="T16" s="2">
        <f t="shared" si="10"/>
        <v>1754.9272214132006</v>
      </c>
      <c r="U16" s="2">
        <f t="shared" si="11"/>
        <v>753.34729422189514</v>
      </c>
      <c r="Z16" s="2">
        <v>0.01</v>
      </c>
      <c r="AA16" s="3">
        <f>IF('Modell einstellen'!$B$2="Ja",'creep_res-40'!P16,'creep_res-40'!L16)</f>
        <v>0.36077279289389885</v>
      </c>
      <c r="AB16" s="2">
        <f>IF('Modell einstellen'!$B$2="Ja",creep_res0!P16,creep_res0!L16)</f>
        <v>0.36036820517082785</v>
      </c>
      <c r="AC16" s="2">
        <f>IF('Modell einstellen'!$B$2="Ja",creep_res25!P16,creep_res25!L16)</f>
        <v>0.36096327323430338</v>
      </c>
      <c r="AD16" s="2">
        <f>IF('Modell einstellen'!$B$2="Ja",creep_res50!P16,creep_res50!L16)</f>
        <v>0.37518023115112409</v>
      </c>
      <c r="AE16" s="2">
        <f>IF('Modell einstellen'!$B$2="Ja",creep_res80!P16,creep_res80!L16)</f>
        <v>0.42985855321235655</v>
      </c>
      <c r="AF16" s="2">
        <f>IF('Modell einstellen'!$B$2="Ja",creep_res125!P16,creep_res125!L16)</f>
        <v>0.89472311936608828</v>
      </c>
      <c r="AG16" s="2">
        <f>IF('Modell einstellen'!$B$2="Ja",creep_res160!P16,creep_res160!L16)</f>
        <v>0.96331157781143395</v>
      </c>
      <c r="AL16" s="2">
        <f t="shared" si="12"/>
        <v>0.01</v>
      </c>
      <c r="AM16" s="2">
        <f t="shared" si="13"/>
        <v>6574.141102834109</v>
      </c>
      <c r="AN16" s="2">
        <f t="shared" si="14"/>
        <v>6543.4393456132884</v>
      </c>
      <c r="AO16" s="2">
        <f t="shared" si="15"/>
        <v>6498.8766153292054</v>
      </c>
      <c r="AP16" s="2">
        <f t="shared" si="16"/>
        <v>6059.9785511387736</v>
      </c>
      <c r="AQ16" s="2">
        <f t="shared" si="17"/>
        <v>4737.7084148388376</v>
      </c>
      <c r="AR16" s="2">
        <f t="shared" si="18"/>
        <v>463.10914863390207</v>
      </c>
      <c r="AS16" s="2">
        <f t="shared" si="19"/>
        <v>191.85627557437303</v>
      </c>
      <c r="AX16" s="2">
        <f t="shared" si="28"/>
        <v>0.01</v>
      </c>
      <c r="AY16" s="37">
        <f t="shared" si="20"/>
        <v>21418.017678505221</v>
      </c>
      <c r="AZ16" s="37">
        <f t="shared" si="21"/>
        <v>21249.904314716554</v>
      </c>
      <c r="BA16" s="37">
        <f t="shared" si="22"/>
        <v>21204.786669183137</v>
      </c>
      <c r="BB16" s="37">
        <f t="shared" si="23"/>
        <v>22254.922121125535</v>
      </c>
      <c r="BC16" s="37">
        <f t="shared" si="24"/>
        <v>32193.295166802207</v>
      </c>
      <c r="BD16" s="37">
        <f t="shared" si="25"/>
        <v>-740.99503141660125</v>
      </c>
      <c r="BE16" s="37">
        <f t="shared" si="26"/>
        <v>-271.00096000928653</v>
      </c>
    </row>
    <row r="17" spans="1:57" x14ac:dyDescent="0.25">
      <c r="A17" s="2">
        <f>'creep_res-40'!A17</f>
        <v>0.1</v>
      </c>
      <c r="B17" s="3">
        <f>'creep_res-40'!O17</f>
        <v>-5.5891965714285712E-4</v>
      </c>
      <c r="C17" s="2">
        <f>IF('Modell einstellen'!$B$2="Ja",creep_res0!O17,creep_res0!C17)</f>
        <v>-5.6189088571428577E-4</v>
      </c>
      <c r="D17" s="2">
        <f>IF('Modell einstellen'!$B$2="Ja",creep_res25!O17,creep_res25!C17)</f>
        <v>-5.7441494285714293E-4</v>
      </c>
      <c r="E17" s="2">
        <f>IF('Modell einstellen'!$B$2="Ja",creep_res50!O17,creep_res50!C17)</f>
        <v>-6.1619954285714292E-4</v>
      </c>
      <c r="F17" s="2">
        <f>IF('Modell einstellen'!$B$2="Ja",creep_res80!O17,creep_res80!C17)</f>
        <v>-7.7937257142857153E-4</v>
      </c>
      <c r="G17" s="2">
        <f>IF('Modell einstellen'!$B$2="Ja",creep_res125!O17,creep_res125!C17)</f>
        <v>-1.0000507142857143E-2</v>
      </c>
      <c r="H17" s="2">
        <f>IF('Modell einstellen'!$B$2="Ja",creep_res160!O17,creep_res160!C17)</f>
        <v>-1.5647893142857142E-2</v>
      </c>
      <c r="M17" s="9">
        <f t="shared" si="27"/>
        <v>-10</v>
      </c>
      <c r="N17" s="2">
        <f t="shared" si="4"/>
        <v>0.1</v>
      </c>
      <c r="O17" s="2">
        <f t="shared" si="5"/>
        <v>17891.659153873792</v>
      </c>
      <c r="P17" s="2">
        <f t="shared" si="6"/>
        <v>17797.049666124803</v>
      </c>
      <c r="Q17" s="2">
        <f t="shared" si="7"/>
        <v>17409.017861304143</v>
      </c>
      <c r="R17" s="2">
        <f t="shared" si="8"/>
        <v>16228.509280667151</v>
      </c>
      <c r="S17" s="2">
        <f t="shared" si="9"/>
        <v>12830.833886892166</v>
      </c>
      <c r="T17" s="2">
        <f t="shared" si="10"/>
        <v>999.94928828609397</v>
      </c>
      <c r="U17" s="2">
        <f t="shared" si="11"/>
        <v>639.0636687447435</v>
      </c>
      <c r="Z17" s="2">
        <v>0.1</v>
      </c>
      <c r="AA17" s="3">
        <f>IF('Modell einstellen'!$B$2="Ja",'creep_res-40'!P17,'creep_res-40'!L17)</f>
        <v>0.36077529773254408</v>
      </c>
      <c r="AB17" s="2">
        <f>IF('Modell einstellen'!$B$2="Ja",creep_res0!P17,creep_res0!L17)</f>
        <v>0.36045809300748322</v>
      </c>
      <c r="AC17" s="2">
        <f>IF('Modell einstellen'!$B$2="Ja",creep_res25!P17,creep_res25!L17)</f>
        <v>0.36504682055873694</v>
      </c>
      <c r="AD17" s="2">
        <f>IF('Modell einstellen'!$B$2="Ja",creep_res50!P17,creep_res50!L17)</f>
        <v>0.38217742453001313</v>
      </c>
      <c r="AE17" s="2">
        <f>IF('Modell einstellen'!$B$2="Ja",creep_res80!P17,creep_res80!L17)</f>
        <v>0.44536092035938063</v>
      </c>
      <c r="AF17" s="2">
        <f>IF('Modell einstellen'!$B$2="Ja",creep_res125!P17,creep_res125!L17)</f>
        <v>0.94335710117558313</v>
      </c>
      <c r="AG17" s="2">
        <f>IF('Modell einstellen'!$B$2="Ja",creep_res160!P17,creep_res160!L17)</f>
        <v>0.96903444381540293</v>
      </c>
      <c r="AL17" s="2">
        <f t="shared" si="12"/>
        <v>0.1</v>
      </c>
      <c r="AM17" s="2">
        <f t="shared" si="13"/>
        <v>6574.0681741087647</v>
      </c>
      <c r="AN17" s="2">
        <f t="shared" si="14"/>
        <v>6540.8297975507394</v>
      </c>
      <c r="AO17" s="2">
        <f t="shared" si="15"/>
        <v>6376.7108933957061</v>
      </c>
      <c r="AP17" s="2">
        <f t="shared" si="16"/>
        <v>5870.6317266704709</v>
      </c>
      <c r="AQ17" s="2">
        <f t="shared" si="17"/>
        <v>4438.626264954587</v>
      </c>
      <c r="AR17" s="2">
        <f t="shared" si="18"/>
        <v>257.27368574751409</v>
      </c>
      <c r="AS17" s="2">
        <f t="shared" si="19"/>
        <v>162.27843823453597</v>
      </c>
      <c r="AX17" s="2">
        <f t="shared" si="28"/>
        <v>0.1</v>
      </c>
      <c r="AY17" s="37">
        <f t="shared" si="20"/>
        <v>21418.204842585139</v>
      </c>
      <c r="AZ17" s="37">
        <f t="shared" si="21"/>
        <v>21256.517187436755</v>
      </c>
      <c r="BA17" s="37">
        <f t="shared" si="22"/>
        <v>21500.071275807713</v>
      </c>
      <c r="BB17" s="37">
        <f t="shared" si="23"/>
        <v>22956.140077474745</v>
      </c>
      <c r="BC17" s="37">
        <f t="shared" si="24"/>
        <v>39138.146699166959</v>
      </c>
      <c r="BD17" s="37">
        <f t="shared" si="25"/>
        <v>-375.90063240770604</v>
      </c>
      <c r="BE17" s="37">
        <f t="shared" si="26"/>
        <v>-227.08483963573565</v>
      </c>
    </row>
    <row r="18" spans="1:57" x14ac:dyDescent="0.25">
      <c r="A18" s="2">
        <f>'creep_res-40'!A18</f>
        <v>1</v>
      </c>
      <c r="B18" s="3">
        <f>'creep_res-40'!O18</f>
        <v>-5.5897102857142866E-4</v>
      </c>
      <c r="C18" s="2">
        <f>IF('Modell einstellen'!$B$2="Ja",creep_res0!O18,creep_res0!C18)</f>
        <v>-5.6361988571428567E-4</v>
      </c>
      <c r="D18" s="2">
        <f>IF('Modell einstellen'!$B$2="Ja",creep_res25!O18,creep_res25!C18)</f>
        <v>-5.8573588571428576E-4</v>
      </c>
      <c r="E18" s="2">
        <f>IF('Modell einstellen'!$B$2="Ja",creep_res50!O18,creep_res50!C18)</f>
        <v>-6.345624E-4</v>
      </c>
      <c r="F18" s="2">
        <f>IF('Modell einstellen'!$B$2="Ja",creep_res80!O18,creep_res80!C18)</f>
        <v>-8.3077111428571425E-4</v>
      </c>
      <c r="G18" s="2">
        <f>IF('Modell einstellen'!$B$2="Ja",creep_res125!O18,creep_res125!C18)</f>
        <v>-1.4185493714285716E-2</v>
      </c>
      <c r="H18" s="2">
        <f>IF('Modell einstellen'!$B$2="Ja",creep_res160!O18,creep_res160!C18)</f>
        <v>-1.7303699142857145E-2</v>
      </c>
      <c r="M18" s="9">
        <f t="shared" si="27"/>
        <v>-10</v>
      </c>
      <c r="N18" s="2">
        <f t="shared" si="4"/>
        <v>1</v>
      </c>
      <c r="O18" s="2">
        <f t="shared" si="5"/>
        <v>17890.014846667746</v>
      </c>
      <c r="P18" s="2">
        <f t="shared" si="6"/>
        <v>17742.454184927879</v>
      </c>
      <c r="Q18" s="2">
        <f t="shared" si="7"/>
        <v>17072.541129702728</v>
      </c>
      <c r="R18" s="2">
        <f t="shared" si="8"/>
        <v>15758.891481751834</v>
      </c>
      <c r="S18" s="2">
        <f t="shared" si="9"/>
        <v>12037.009746779489</v>
      </c>
      <c r="T18" s="2">
        <f t="shared" si="10"/>
        <v>704.94550287871539</v>
      </c>
      <c r="U18" s="2">
        <f t="shared" si="11"/>
        <v>577.91111122779409</v>
      </c>
      <c r="Z18" s="2">
        <v>1</v>
      </c>
      <c r="AA18" s="3">
        <f>IF('Modell einstellen'!$B$2="Ja",'creep_res-40'!P18,'creep_res-40'!L18)</f>
        <v>0.36080044220027546</v>
      </c>
      <c r="AB18" s="2">
        <f>IF('Modell einstellen'!$B$2="Ja",creep_res0!P18,creep_res0!L18)</f>
        <v>0.36128752630445571</v>
      </c>
      <c r="AC18" s="2">
        <f>IF('Modell einstellen'!$B$2="Ja",creep_res25!P18,creep_res25!L18)</f>
        <v>0.37010785358354592</v>
      </c>
      <c r="AD18" s="2">
        <f>IF('Modell einstellen'!$B$2="Ja",creep_res50!P18,creep_res50!L18)</f>
        <v>0.38988561025902041</v>
      </c>
      <c r="AE18" s="2">
        <f>IF('Modell einstellen'!$B$2="Ja",creep_res80!P18,creep_res80!L18)</f>
        <v>0.4624481234972439</v>
      </c>
      <c r="AF18" s="2">
        <f>IF('Modell einstellen'!$B$2="Ja",creep_res125!P18,creep_res125!L18)</f>
        <v>0.9583911757902861</v>
      </c>
      <c r="AG18" s="2">
        <f>IF('Modell einstellen'!$B$2="Ja",creep_res160!P18,creep_res160!L18)</f>
        <v>0.96155254796303102</v>
      </c>
      <c r="AL18" s="2">
        <f t="shared" si="12"/>
        <v>1</v>
      </c>
      <c r="AM18" s="2">
        <f t="shared" si="13"/>
        <v>6573.3425313051102</v>
      </c>
      <c r="AN18" s="2">
        <f t="shared" si="14"/>
        <v>6516.7915822655277</v>
      </c>
      <c r="AO18" s="2">
        <f t="shared" si="15"/>
        <v>6230.3639399807598</v>
      </c>
      <c r="AP18" s="2">
        <f t="shared" si="16"/>
        <v>5669.1325406322439</v>
      </c>
      <c r="AQ18" s="2">
        <f t="shared" si="17"/>
        <v>4115.3629839514006</v>
      </c>
      <c r="AR18" s="2">
        <f t="shared" si="18"/>
        <v>179.98076982609024</v>
      </c>
      <c r="AS18" s="2">
        <f t="shared" si="19"/>
        <v>147.30961753431595</v>
      </c>
      <c r="AX18" s="2">
        <f t="shared" si="28"/>
        <v>1</v>
      </c>
      <c r="AY18" s="37">
        <f t="shared" si="20"/>
        <v>21420.104979077681</v>
      </c>
      <c r="AZ18" s="37">
        <f t="shared" si="21"/>
        <v>21318.022948522812</v>
      </c>
      <c r="BA18" s="37">
        <f t="shared" si="22"/>
        <v>21906.047441038187</v>
      </c>
      <c r="BB18" s="37">
        <f t="shared" si="23"/>
        <v>23852.304133942343</v>
      </c>
      <c r="BC18" s="37">
        <f t="shared" si="24"/>
        <v>53423.91587229132</v>
      </c>
      <c r="BD18" s="37">
        <f t="shared" si="25"/>
        <v>-256.31147227887442</v>
      </c>
      <c r="BE18" s="37">
        <f t="shared" si="26"/>
        <v>-208.6837543483359</v>
      </c>
    </row>
    <row r="19" spans="1:57" x14ac:dyDescent="0.25">
      <c r="A19" s="2">
        <f>'creep_res-40'!A19</f>
        <v>10</v>
      </c>
      <c r="B19" s="3">
        <f>'creep_res-40'!O19</f>
        <v>-5.5947377142857152E-4</v>
      </c>
      <c r="C19" s="2">
        <f>IF('Modell einstellen'!$B$2="Ja",creep_res0!O19,creep_res0!C19)</f>
        <v>-5.7295888571428581E-4</v>
      </c>
      <c r="D19" s="2">
        <f>IF('Modell einstellen'!$B$2="Ja",creep_res25!O19,creep_res25!C19)</f>
        <v>-5.9907651428571431E-4</v>
      </c>
      <c r="E19" s="2">
        <f>IF('Modell einstellen'!$B$2="Ja",creep_res50!O19,creep_res50!C19)</f>
        <v>-6.5908922857142857E-4</v>
      </c>
      <c r="F19" s="2">
        <f>IF('Modell einstellen'!$B$2="Ja",creep_res80!O19,creep_res80!C19)</f>
        <v>-9.2215834285714292E-4</v>
      </c>
      <c r="G19" s="2">
        <f>IF('Modell einstellen'!$B$2="Ja",creep_res125!O19,creep_res125!C19)</f>
        <v>-1.6304024571428571E-2</v>
      </c>
      <c r="H19" s="2">
        <f>IF('Modell einstellen'!$B$2="Ja",creep_res160!O19,creep_res160!C19)</f>
        <v>-1.8197246571428575E-2</v>
      </c>
      <c r="M19" s="9">
        <f t="shared" si="27"/>
        <v>-10</v>
      </c>
      <c r="N19" s="2">
        <f t="shared" si="4"/>
        <v>10</v>
      </c>
      <c r="O19" s="2">
        <f t="shared" si="5"/>
        <v>17873.938888083707</v>
      </c>
      <c r="P19" s="2">
        <f t="shared" si="6"/>
        <v>17453.259298934485</v>
      </c>
      <c r="Q19" s="2">
        <f t="shared" si="7"/>
        <v>16692.358591161119</v>
      </c>
      <c r="R19" s="2">
        <f t="shared" si="8"/>
        <v>15172.452479120213</v>
      </c>
      <c r="S19" s="2">
        <f t="shared" si="9"/>
        <v>10844.124631586357</v>
      </c>
      <c r="T19" s="2">
        <f t="shared" si="10"/>
        <v>613.34549369633294</v>
      </c>
      <c r="U19" s="2">
        <f t="shared" si="11"/>
        <v>549.5336869095878</v>
      </c>
      <c r="Z19" s="2">
        <v>10</v>
      </c>
      <c r="AA19" s="3">
        <f>IF('Modell einstellen'!$B$2="Ja",'creep_res-40'!P19,'creep_res-40'!L19)</f>
        <v>0.36104632914746104</v>
      </c>
      <c r="AB19" s="2">
        <f>IF('Modell einstellen'!$B$2="Ja",creep_res0!P19,creep_res0!L19)</f>
        <v>0.36549577902897135</v>
      </c>
      <c r="AC19" s="2">
        <f>IF('Modell einstellen'!$B$2="Ja",creep_res25!P19,creep_res25!L19)</f>
        <v>0.37582354135732149</v>
      </c>
      <c r="AD19" s="2">
        <f>IF('Modell einstellen'!$B$2="Ja",creep_res50!P19,creep_res50!L19)</f>
        <v>0.3987869017344845</v>
      </c>
      <c r="AE19" s="2">
        <f>IF('Modell einstellen'!$B$2="Ja",creep_res80!P19,creep_res80!L19)</f>
        <v>0.48039075532798176</v>
      </c>
      <c r="AF19" s="2">
        <f>IF('Modell einstellen'!$B$2="Ja",creep_res125!P19,creep_res125!L19)</f>
        <v>0.94640564294677398</v>
      </c>
      <c r="AG19" s="2">
        <f>IF('Modell einstellen'!$B$2="Ja",creep_res160!P19,creep_res160!L19)</f>
        <v>0.93407994864152366</v>
      </c>
      <c r="AL19" s="2">
        <f t="shared" si="12"/>
        <v>10</v>
      </c>
      <c r="AM19" s="2">
        <f t="shared" si="13"/>
        <v>6566.2492544539882</v>
      </c>
      <c r="AN19" s="2">
        <f t="shared" si="14"/>
        <v>6390.814079024768</v>
      </c>
      <c r="AO19" s="2">
        <f t="shared" si="15"/>
        <v>6066.3152248046426</v>
      </c>
      <c r="AP19" s="2">
        <f t="shared" si="16"/>
        <v>5423.4324257349326</v>
      </c>
      <c r="AQ19" s="2">
        <f t="shared" si="17"/>
        <v>3662.5886079597385</v>
      </c>
      <c r="AR19" s="2">
        <f t="shared" si="18"/>
        <v>157.55849658546879</v>
      </c>
      <c r="AS19" s="2">
        <f t="shared" si="19"/>
        <v>142.06591803394016</v>
      </c>
      <c r="AX19" s="2">
        <f t="shared" si="28"/>
        <v>10</v>
      </c>
      <c r="AY19" s="37">
        <f t="shared" si="20"/>
        <v>21438.72699730254</v>
      </c>
      <c r="AZ19" s="37">
        <f t="shared" si="21"/>
        <v>21626.656240393881</v>
      </c>
      <c r="BA19" s="37">
        <f t="shared" si="22"/>
        <v>22404.083637132706</v>
      </c>
      <c r="BB19" s="37">
        <f t="shared" si="23"/>
        <v>24984.336248848347</v>
      </c>
      <c r="BC19" s="37">
        <f t="shared" si="24"/>
        <v>92168.471325335064</v>
      </c>
      <c r="BD19" s="37">
        <f t="shared" si="25"/>
        <v>-228.99407873653888</v>
      </c>
      <c r="BE19" s="37">
        <f t="shared" si="26"/>
        <v>-210.99557375293912</v>
      </c>
    </row>
    <row r="20" spans="1:57" x14ac:dyDescent="0.25">
      <c r="A20" s="2">
        <f>'creep_res-40'!A20</f>
        <v>100</v>
      </c>
      <c r="B20" s="3">
        <f>'creep_res-40'!O20</f>
        <v>-5.6355397142857143E-4</v>
      </c>
      <c r="C20" s="2">
        <f>IF('Modell einstellen'!$B$2="Ja",creep_res0!O20,creep_res0!C20)</f>
        <v>-5.846362000000001E-4</v>
      </c>
      <c r="D20" s="2">
        <f>IF('Modell einstellen'!$B$2="Ja",creep_res25!O20,creep_res25!C20)</f>
        <v>-6.1825137142857149E-4</v>
      </c>
      <c r="E20" s="2">
        <f>IF('Modell einstellen'!$B$2="Ja",creep_res50!O20,creep_res50!C20)</f>
        <v>-7.0183665714285723E-4</v>
      </c>
      <c r="F20" s="2">
        <f>IF('Modell einstellen'!$B$2="Ja",creep_res80!O20,creep_res80!C20)</f>
        <v>-1.1030462571428572E-3</v>
      </c>
      <c r="G20" s="2">
        <f>IF('Modell einstellen'!$B$2="Ja",creep_res125!O20,creep_res125!C20)</f>
        <v>-1.8261522000000002E-2</v>
      </c>
      <c r="H20" s="2">
        <f>IF('Modell einstellen'!$B$2="Ja",creep_res160!O20,creep_res160!C20)</f>
        <v>-1.9020716E-2</v>
      </c>
      <c r="M20" s="9">
        <f t="shared" si="27"/>
        <v>-10</v>
      </c>
      <c r="N20" s="2">
        <f t="shared" si="4"/>
        <v>100</v>
      </c>
      <c r="O20" s="2">
        <f t="shared" si="5"/>
        <v>17744.529374268575</v>
      </c>
      <c r="P20" s="2">
        <f t="shared" si="6"/>
        <v>17104.654142182775</v>
      </c>
      <c r="Q20" s="2">
        <f t="shared" si="7"/>
        <v>16174.650736145324</v>
      </c>
      <c r="R20" s="2">
        <f t="shared" si="8"/>
        <v>14248.329576727314</v>
      </c>
      <c r="S20" s="2">
        <f t="shared" si="9"/>
        <v>9065.8029391281325</v>
      </c>
      <c r="T20" s="2">
        <f t="shared" si="10"/>
        <v>547.59948267181665</v>
      </c>
      <c r="U20" s="2">
        <f t="shared" si="11"/>
        <v>525.74256405489677</v>
      </c>
      <c r="Z20" s="2">
        <v>100</v>
      </c>
      <c r="AA20" s="3">
        <f>IF('Modell einstellen'!$B$2="Ja",'creep_res-40'!P20,'creep_res-40'!L20)</f>
        <v>0.36303105764137994</v>
      </c>
      <c r="AB20" s="2">
        <f>IF('Modell einstellen'!$B$2="Ja",creep_res0!P20,creep_res0!L20)</f>
        <v>0.37053284467454167</v>
      </c>
      <c r="AC20" s="2">
        <f>IF('Modell einstellen'!$B$2="Ja",creep_res25!P20,creep_res25!L20)</f>
        <v>0.3822597308778426</v>
      </c>
      <c r="AD20" s="2">
        <f>IF('Modell einstellen'!$B$2="Ja",creep_res50!P20,creep_res50!L20)</f>
        <v>0.40657534762972719</v>
      </c>
      <c r="AE20" s="2">
        <f>IF('Modell einstellen'!$B$2="Ja",creep_res80!P20,creep_res80!L20)</f>
        <v>0.49119802487754749</v>
      </c>
      <c r="AF20" s="2">
        <f>IF('Modell einstellen'!$B$2="Ja",creep_res125!P20,creep_res125!L20)</f>
        <v>0.91293941123073641</v>
      </c>
      <c r="AG20" s="2">
        <f>IF('Modell einstellen'!$B$2="Ja",creep_res160!P20,creep_res160!L20)</f>
        <v>0.87443271250747268</v>
      </c>
      <c r="AL20" s="2">
        <f t="shared" si="12"/>
        <v>100</v>
      </c>
      <c r="AM20" s="2">
        <f t="shared" si="13"/>
        <v>6509.2168204054406</v>
      </c>
      <c r="AN20" s="2">
        <f t="shared" si="14"/>
        <v>6240.1474757230608</v>
      </c>
      <c r="AO20" s="2">
        <f t="shared" si="15"/>
        <v>5850.8000974148181</v>
      </c>
      <c r="AP20" s="2">
        <f t="shared" si="16"/>
        <v>5064.9009314494624</v>
      </c>
      <c r="AQ20" s="2">
        <f t="shared" si="17"/>
        <v>3039.7716426269371</v>
      </c>
      <c r="AR20" s="2">
        <f t="shared" si="18"/>
        <v>143.13037816485394</v>
      </c>
      <c r="AS20" s="2">
        <f t="shared" si="19"/>
        <v>140.2404472955443</v>
      </c>
      <c r="AX20" s="2">
        <f t="shared" si="28"/>
        <v>100</v>
      </c>
      <c r="AY20" s="37">
        <f t="shared" si="20"/>
        <v>21591.91354953156</v>
      </c>
      <c r="AZ20" s="37">
        <f t="shared" si="21"/>
        <v>22019.296579100948</v>
      </c>
      <c r="BA20" s="37">
        <f t="shared" si="22"/>
        <v>22895.94836830191</v>
      </c>
      <c r="BB20" s="37">
        <f t="shared" si="23"/>
        <v>25418.575674324286</v>
      </c>
      <c r="BC20" s="37">
        <f t="shared" si="24"/>
        <v>171662.28437377722</v>
      </c>
      <c r="BD20" s="37">
        <f t="shared" si="25"/>
        <v>-221.01688035368008</v>
      </c>
      <c r="BE20" s="37">
        <f t="shared" si="26"/>
        <v>-234.01737548256389</v>
      </c>
    </row>
    <row r="21" spans="1:57" x14ac:dyDescent="0.25">
      <c r="A21" s="2">
        <f>'creep_res-40'!A21</f>
        <v>1000</v>
      </c>
      <c r="B21" s="3">
        <f>'creep_res-40'!O21</f>
        <v>-5.7474800000000003E-4</v>
      </c>
      <c r="C21" s="2">
        <f>IF('Modell einstellen'!$B$2="Ja",creep_res0!O21,creep_res0!C21)</f>
        <v>-6.0134048571428575E-4</v>
      </c>
      <c r="D21" s="2">
        <f>IF('Modell einstellen'!$B$2="Ja",creep_res25!O21,creep_res25!C21)</f>
        <v>-6.5297140000000005E-4</v>
      </c>
      <c r="E21" s="2">
        <f>IF('Modell einstellen'!$B$2="Ja",creep_res50!O21,creep_res50!C21)</f>
        <v>-7.7553539999999997E-4</v>
      </c>
      <c r="F21" s="2">
        <f>IF('Modell einstellen'!$B$2="Ja",creep_res80!O21,creep_res80!C21)</f>
        <v>-1.4169130571428574E-3</v>
      </c>
      <c r="G21" s="2">
        <f>IF('Modell einstellen'!$B$2="Ja",creep_res125!O21,creep_res125!C21)</f>
        <v>-1.960208028571429E-2</v>
      </c>
      <c r="H21" s="2">
        <f>IF('Modell einstellen'!$B$2="Ja",creep_res160!O21,creep_res160!C21)</f>
        <v>-2.0558336000000003E-2</v>
      </c>
      <c r="M21" s="9">
        <f t="shared" si="27"/>
        <v>-10</v>
      </c>
      <c r="N21" s="2">
        <f t="shared" si="4"/>
        <v>1000</v>
      </c>
      <c r="O21" s="2">
        <f t="shared" si="5"/>
        <v>17398.92961784991</v>
      </c>
      <c r="P21" s="2">
        <f t="shared" si="6"/>
        <v>16629.513956842227</v>
      </c>
      <c r="Q21" s="2">
        <f t="shared" si="7"/>
        <v>15314.606428397934</v>
      </c>
      <c r="R21" s="2">
        <f t="shared" si="8"/>
        <v>12894.317912502769</v>
      </c>
      <c r="S21" s="2">
        <f t="shared" si="9"/>
        <v>7057.5960533277594</v>
      </c>
      <c r="T21" s="2">
        <f t="shared" si="10"/>
        <v>510.14993583552734</v>
      </c>
      <c r="U21" s="2">
        <f t="shared" si="11"/>
        <v>486.42069085747011</v>
      </c>
      <c r="Z21" s="2">
        <v>1000</v>
      </c>
      <c r="AA21" s="3">
        <f>IF('Modell einstellen'!$B$2="Ja",'creep_res-40'!P21,'creep_res-40'!L21)</f>
        <v>0.36808177298075478</v>
      </c>
      <c r="AB21" s="2">
        <f>IF('Modell einstellen'!$B$2="Ja",creep_res0!P21,creep_res0!L21)</f>
        <v>0.37560725877333956</v>
      </c>
      <c r="AC21" s="2">
        <f>IF('Modell einstellen'!$B$2="Ja",creep_res25!P21,creep_res25!L21)</f>
        <v>0.38615340361220812</v>
      </c>
      <c r="AD21" s="2">
        <f>IF('Modell einstellen'!$B$2="Ja",creep_res50!P21,creep_res50!L21)</f>
        <v>0.40761974612266944</v>
      </c>
      <c r="AE21" s="2">
        <f>IF('Modell einstellen'!$B$2="Ja",creep_res80!P21,creep_res80!L21)</f>
        <v>0.49746286479478913</v>
      </c>
      <c r="AF21" s="2">
        <f>IF('Modell einstellen'!$B$2="Ja",creep_res125!P21,creep_res125!L21)</f>
        <v>0.83455311397634313</v>
      </c>
      <c r="AG21" s="2">
        <f>IF('Modell einstellen'!$B$2="Ja",creep_res160!P21,creep_res160!L21)</f>
        <v>0.77355324032895589</v>
      </c>
      <c r="AL21" s="2">
        <f t="shared" si="12"/>
        <v>1000</v>
      </c>
      <c r="AM21" s="2">
        <f t="shared" si="13"/>
        <v>6358.877795711509</v>
      </c>
      <c r="AN21" s="2">
        <f t="shared" si="14"/>
        <v>6044.4265071962272</v>
      </c>
      <c r="AO21" s="2">
        <f t="shared" si="15"/>
        <v>5524.1383776461034</v>
      </c>
      <c r="AP21" s="2">
        <f t="shared" si="16"/>
        <v>4580.1850776889687</v>
      </c>
      <c r="AQ21" s="2">
        <f t="shared" si="17"/>
        <v>2356.5178874385392</v>
      </c>
      <c r="AR21" s="2">
        <f t="shared" si="18"/>
        <v>139.03929298884987</v>
      </c>
      <c r="AS21" s="2">
        <f t="shared" si="19"/>
        <v>137.13168564571805</v>
      </c>
      <c r="AX21" s="2">
        <f t="shared" si="28"/>
        <v>1000</v>
      </c>
      <c r="AY21" s="37">
        <f t="shared" si="20"/>
        <v>21981.9631335095</v>
      </c>
      <c r="AZ21" s="37">
        <f t="shared" si="21"/>
        <v>22280.927585826728</v>
      </c>
      <c r="BA21" s="37">
        <f t="shared" si="22"/>
        <v>22419.944782878854</v>
      </c>
      <c r="BB21" s="37">
        <f t="shared" si="23"/>
        <v>23263.120582790365</v>
      </c>
      <c r="BC21" s="37">
        <f t="shared" si="24"/>
        <v>463619.75761957688</v>
      </c>
      <c r="BD21" s="37">
        <f t="shared" si="25"/>
        <v>-254.14496459277763</v>
      </c>
      <c r="BE21" s="37">
        <f t="shared" si="26"/>
        <v>-296.35954977328169</v>
      </c>
    </row>
    <row r="22" spans="1:57" x14ac:dyDescent="0.25">
      <c r="A22" s="2">
        <f>'creep_res-40'!A22</f>
        <v>10000</v>
      </c>
      <c r="B22" s="3">
        <f>'creep_res-40'!O22</f>
        <v>-5.8737985714285719E-4</v>
      </c>
      <c r="C22" s="2">
        <f>IF('Modell einstellen'!$B$2="Ja",creep_res0!O22,creep_res0!C22)</f>
        <v>-6.3636051428571437E-4</v>
      </c>
      <c r="D22" s="2">
        <f>IF('Modell einstellen'!$B$2="Ja",creep_res25!O22,creep_res25!C22)</f>
        <v>-7.1575365714285713E-4</v>
      </c>
      <c r="E22" s="2">
        <f>IF('Modell einstellen'!$B$2="Ja",creep_res50!O22,creep_res50!C22)</f>
        <v>-8.7162931428571438E-4</v>
      </c>
      <c r="F22" s="2">
        <f>IF('Modell einstellen'!$B$2="Ja",creep_res80!O22,creep_res80!C22)</f>
        <v>-1.989220685714286E-3</v>
      </c>
      <c r="G22" s="2">
        <f>IF('Modell einstellen'!$B$2="Ja",creep_res125!O22,creep_res125!C22)</f>
        <v>-2.1330320857142857E-2</v>
      </c>
      <c r="H22" s="2">
        <f>IF('Modell einstellen'!$B$2="Ja",creep_res160!O22,creep_res160!C22)</f>
        <v>-2.2364219142857147E-2</v>
      </c>
      <c r="M22" s="9">
        <f t="shared" si="27"/>
        <v>-10</v>
      </c>
      <c r="N22" s="2">
        <f t="shared" si="4"/>
        <v>10000</v>
      </c>
      <c r="O22" s="2">
        <f t="shared" si="5"/>
        <v>17024.758132909366</v>
      </c>
      <c r="P22" s="2">
        <f t="shared" si="6"/>
        <v>15714.36281087387</v>
      </c>
      <c r="Q22" s="2">
        <f t="shared" si="7"/>
        <v>13971.287327986509</v>
      </c>
      <c r="R22" s="2">
        <f t="shared" si="8"/>
        <v>11472.766961945093</v>
      </c>
      <c r="S22" s="2">
        <f t="shared" si="9"/>
        <v>5027.0943147814778</v>
      </c>
      <c r="T22" s="2">
        <f t="shared" si="10"/>
        <v>468.8162014520899</v>
      </c>
      <c r="U22" s="2">
        <f t="shared" si="11"/>
        <v>447.1428193456008</v>
      </c>
      <c r="Z22" s="2">
        <v>10000</v>
      </c>
      <c r="AA22" s="3">
        <f>IF('Modell einstellen'!$B$2="Ja",'creep_res-40'!P22,'creep_res-40'!L22)</f>
        <v>0.37337068078846036</v>
      </c>
      <c r="AB22" s="2">
        <f>IF('Modell einstellen'!$B$2="Ja",creep_res0!P22,creep_res0!L22)</f>
        <v>0.378942421586901</v>
      </c>
      <c r="AC22" s="2">
        <f>IF('Modell einstellen'!$B$2="Ja",creep_res25!P22,creep_res25!L22)</f>
        <v>0.38663081927070042</v>
      </c>
      <c r="AD22" s="2">
        <f>IF('Modell einstellen'!$B$2="Ja",creep_res50!P22,creep_res50!L22)</f>
        <v>0.40395769813812726</v>
      </c>
      <c r="AE22" s="2">
        <f>IF('Modell einstellen'!$B$2="Ja",creep_res80!P22,creep_res80!L22)</f>
        <v>0.50999228355385806</v>
      </c>
      <c r="AF22" s="2">
        <f>IF('Modell einstellen'!$B$2="Ja",creep_res125!P22,creep_res125!L22)</f>
        <v>0.7285927639183728</v>
      </c>
      <c r="AG22" s="2">
        <f>IF('Modell einstellen'!$B$2="Ja",creep_res160!P22,creep_res160!L22)</f>
        <v>0.67354571620762527</v>
      </c>
      <c r="AL22" s="2">
        <f t="shared" si="12"/>
        <v>10000</v>
      </c>
      <c r="AM22" s="2">
        <f t="shared" si="13"/>
        <v>6198.1657141301985</v>
      </c>
      <c r="AN22" s="2">
        <f t="shared" si="14"/>
        <v>5697.9764219559002</v>
      </c>
      <c r="AO22" s="2">
        <f t="shared" si="15"/>
        <v>5037.8540321693981</v>
      </c>
      <c r="AP22" s="2">
        <f t="shared" si="16"/>
        <v>4085.8663253030418</v>
      </c>
      <c r="AQ22" s="2">
        <f t="shared" si="17"/>
        <v>1664.6092730189016</v>
      </c>
      <c r="AR22" s="2">
        <f t="shared" si="18"/>
        <v>135.60631839895524</v>
      </c>
      <c r="AS22" s="2">
        <f t="shared" si="19"/>
        <v>133.5914564553571</v>
      </c>
      <c r="AX22" s="2">
        <f t="shared" si="28"/>
        <v>10000</v>
      </c>
      <c r="AY22" s="37">
        <f t="shared" si="20"/>
        <v>22407.604388033797</v>
      </c>
      <c r="AZ22" s="37">
        <f t="shared" si="21"/>
        <v>21634.832802797777</v>
      </c>
      <c r="BA22" s="37">
        <f t="shared" si="22"/>
        <v>20539.514116784583</v>
      </c>
      <c r="BB22" s="37">
        <f t="shared" si="23"/>
        <v>19909.225309289814</v>
      </c>
      <c r="BC22" s="37">
        <f t="shared" si="24"/>
        <v>-83849.607344267439</v>
      </c>
      <c r="BD22" s="37">
        <f t="shared" si="25"/>
        <v>-341.81324131173977</v>
      </c>
      <c r="BE22" s="37">
        <f t="shared" si="26"/>
        <v>-429.41885776718681</v>
      </c>
    </row>
    <row r="23" spans="1:57" x14ac:dyDescent="0.25">
      <c r="A23" s="2">
        <f>'creep_res-40'!A23</f>
        <v>100000</v>
      </c>
      <c r="B23" s="3">
        <f>'creep_res-40'!O23</f>
        <v>-6.0804631428571431E-4</v>
      </c>
      <c r="C23" s="2">
        <f>IF('Modell einstellen'!$B$2="Ja",creep_res0!O23,creep_res0!C23)</f>
        <v>-6.9439380000000002E-4</v>
      </c>
      <c r="D23" s="2">
        <f>IF('Modell einstellen'!$B$2="Ja",creep_res25!O23,creep_res25!C23)</f>
        <v>-7.9640562857142866E-4</v>
      </c>
      <c r="E23" s="2">
        <f>IF('Modell einstellen'!$B$2="Ja",creep_res50!O23,creep_res50!C23)</f>
        <v>-9.803556571428573E-4</v>
      </c>
      <c r="F23" s="2">
        <f>IF('Modell einstellen'!$B$2="Ja",creep_res80!O23,creep_res80!C23)</f>
        <v>-3.1422751428571431E-3</v>
      </c>
      <c r="G23" s="2">
        <f>IF('Modell einstellen'!$B$2="Ja",creep_res125!O23,creep_res125!C23)</f>
        <v>-2.3068337428571433E-2</v>
      </c>
      <c r="H23" s="2">
        <f>IF('Modell einstellen'!$B$2="Ja",creep_res160!O23,creep_res160!C23)</f>
        <v>-2.3917288000000002E-2</v>
      </c>
      <c r="M23" s="9">
        <f t="shared" si="27"/>
        <v>-10</v>
      </c>
      <c r="N23" s="2">
        <f t="shared" si="4"/>
        <v>100000</v>
      </c>
      <c r="O23" s="2">
        <f t="shared" si="5"/>
        <v>16446.115641285032</v>
      </c>
      <c r="P23" s="2">
        <f t="shared" si="6"/>
        <v>14401.050239791886</v>
      </c>
      <c r="Q23" s="2">
        <f t="shared" si="7"/>
        <v>12556.415526517228</v>
      </c>
      <c r="R23" s="2">
        <f t="shared" si="8"/>
        <v>10200.379757223965</v>
      </c>
      <c r="S23" s="2">
        <f t="shared" si="9"/>
        <v>3182.4075058263061</v>
      </c>
      <c r="T23" s="2">
        <f t="shared" si="10"/>
        <v>433.49461273331463</v>
      </c>
      <c r="U23" s="2">
        <f t="shared" si="11"/>
        <v>418.10760484215433</v>
      </c>
      <c r="Z23" s="2">
        <v>100000</v>
      </c>
      <c r="AA23" s="3">
        <f>IF('Modell einstellen'!$B$2="Ja",'creep_res-40'!P23,'creep_res-40'!L23)</f>
        <v>0.3785011301535724</v>
      </c>
      <c r="AB23" s="2">
        <f>IF('Modell einstellen'!$B$2="Ja",creep_res0!P23,creep_res0!L23)</f>
        <v>0.37883927370483844</v>
      </c>
      <c r="AC23" s="2">
        <f>IF('Modell einstellen'!$B$2="Ja",creep_res25!P23,creep_res25!L23)</f>
        <v>0.38556651515378187</v>
      </c>
      <c r="AD23" s="2">
        <f>IF('Modell einstellen'!$B$2="Ja",creep_res50!P23,creep_res50!L23)</f>
        <v>0.40049611149866071</v>
      </c>
      <c r="AE23" s="2">
        <f>IF('Modell einstellen'!$B$2="Ja",creep_res80!P23,creep_res80!L23)</f>
        <v>0.53011916843146323</v>
      </c>
      <c r="AF23" s="2">
        <f>IF('Modell einstellen'!$B$2="Ja",creep_res125!P23,creep_res125!L23)</f>
        <v>0.63917667185650529</v>
      </c>
      <c r="AG23" s="2">
        <f>IF('Modell einstellen'!$B$2="Ja",creep_res160!P23,creep_res160!L23)</f>
        <v>0.60064505880193675</v>
      </c>
      <c r="AL23" s="2">
        <f t="shared" si="12"/>
        <v>100000</v>
      </c>
      <c r="AM23" s="2">
        <f t="shared" si="13"/>
        <v>5965.2165970487267</v>
      </c>
      <c r="AN23" s="2">
        <f t="shared" si="14"/>
        <v>5222.1642197271249</v>
      </c>
      <c r="AO23" s="2">
        <f t="shared" si="15"/>
        <v>4531.1485912762591</v>
      </c>
      <c r="AP23" s="2">
        <f t="shared" si="16"/>
        <v>3641.7022773125063</v>
      </c>
      <c r="AQ23" s="2">
        <f t="shared" si="17"/>
        <v>1039.9214556238178</v>
      </c>
      <c r="AR23" s="2">
        <f t="shared" si="18"/>
        <v>132.22937471479068</v>
      </c>
      <c r="AS23" s="2">
        <f t="shared" si="19"/>
        <v>130.60597118111332</v>
      </c>
      <c r="AX23" s="2">
        <f t="shared" si="28"/>
        <v>100000</v>
      </c>
      <c r="AY23" s="37">
        <f t="shared" si="20"/>
        <v>22560.039258077912</v>
      </c>
      <c r="AZ23" s="37">
        <f t="shared" si="21"/>
        <v>19809.843613170575</v>
      </c>
      <c r="BA23" s="37">
        <f t="shared" si="22"/>
        <v>18287.793331633096</v>
      </c>
      <c r="BB23" s="37">
        <f t="shared" si="23"/>
        <v>17085.395540575068</v>
      </c>
      <c r="BC23" s="37">
        <f t="shared" si="24"/>
        <v>-17610.089474348857</v>
      </c>
      <c r="BD23" s="37">
        <f t="shared" si="25"/>
        <v>-519.11790358595283</v>
      </c>
      <c r="BE23" s="37">
        <f t="shared" si="26"/>
        <v>-692.37975154011986</v>
      </c>
    </row>
    <row r="24" spans="1:57" x14ac:dyDescent="0.25">
      <c r="A24" s="2">
        <f>'creep_res-40'!A24</f>
        <v>1000000</v>
      </c>
      <c r="B24" s="3">
        <f>'creep_res-40'!O24</f>
        <v>-6.5085985714285718E-4</v>
      </c>
      <c r="C24" s="2">
        <f>IF('Modell einstellen'!$B$2="Ja",creep_res0!O24,creep_res0!C24)</f>
        <v>-7.6528542857142866E-4</v>
      </c>
      <c r="D24" s="2">
        <f>IF('Modell einstellen'!$B$2="Ja",creep_res25!O24,creep_res25!C24)</f>
        <v>-8.8083740000000001E-4</v>
      </c>
      <c r="E24" s="2">
        <f>IF('Modell einstellen'!$B$2="Ja",creep_res50!O24,creep_res50!C24)</f>
        <v>-1.1055107142857144E-3</v>
      </c>
      <c r="F24" s="2">
        <f>IF('Modell einstellen'!$B$2="Ja",creep_res80!O24,creep_res80!C24)</f>
        <v>-5.4349865714285722E-3</v>
      </c>
      <c r="G24" s="2">
        <f>IF('Modell einstellen'!$B$2="Ja",creep_res125!O24,creep_res125!C24)</f>
        <v>-2.4452565714285716E-2</v>
      </c>
      <c r="H24" s="2">
        <f>IF('Modell einstellen'!$B$2="Ja",creep_res160!O24,creep_res160!C24)</f>
        <v>-2.5069089428571428E-2</v>
      </c>
      <c r="M24" s="9">
        <f t="shared" si="27"/>
        <v>-10</v>
      </c>
      <c r="N24" s="2">
        <f t="shared" si="4"/>
        <v>1000000</v>
      </c>
      <c r="O24" s="2">
        <f t="shared" si="5"/>
        <v>15364.29062301979</v>
      </c>
      <c r="P24" s="2">
        <f t="shared" si="6"/>
        <v>13067.019998887436</v>
      </c>
      <c r="Q24" s="2">
        <f t="shared" si="7"/>
        <v>11352.833110855647</v>
      </c>
      <c r="R24" s="2">
        <f t="shared" si="8"/>
        <v>9045.5930193866425</v>
      </c>
      <c r="S24" s="2">
        <f t="shared" si="9"/>
        <v>1839.9309489685686</v>
      </c>
      <c r="T24" s="2">
        <f t="shared" si="10"/>
        <v>408.9550404176108</v>
      </c>
      <c r="U24" s="2">
        <f t="shared" si="11"/>
        <v>398.89761566700247</v>
      </c>
      <c r="Z24" s="2">
        <v>1000000</v>
      </c>
      <c r="AA24" s="3">
        <f>IF('Modell einstellen'!$B$2="Ja",'creep_res-40'!P24,'creep_res-40'!L24)</f>
        <v>0.3809584420082533</v>
      </c>
      <c r="AB24" s="2">
        <f>IF('Modell einstellen'!$B$2="Ja",creep_res0!P24,creep_res0!L24)</f>
        <v>0.37802082434975703</v>
      </c>
      <c r="AC24" s="2">
        <f>IF('Modell einstellen'!$B$2="Ja",creep_res25!P24,creep_res25!L24)</f>
        <v>0.38438805099394219</v>
      </c>
      <c r="AD24" s="2">
        <f>IF('Modell einstellen'!$B$2="Ja",creep_res50!P24,creep_res50!L24)</f>
        <v>0.39952771666618203</v>
      </c>
      <c r="AE24" s="2">
        <f>IF('Modell einstellen'!$B$2="Ja",creep_res80!P24,creep_res80!L24)</f>
        <v>0.54383764281084046</v>
      </c>
      <c r="AF24" s="2">
        <f>IF('Modell einstellen'!$B$2="Ja",creep_res125!P24,creep_res125!L24)</f>
        <v>0.57790711532695727</v>
      </c>
      <c r="AG24" s="2">
        <f>IF('Modell einstellen'!$B$2="Ja",creep_res160!P24,creep_res160!L24)</f>
        <v>0.55305926947281125</v>
      </c>
      <c r="AL24" s="2">
        <f t="shared" si="12"/>
        <v>1000000</v>
      </c>
      <c r="AM24" s="2">
        <f t="shared" si="13"/>
        <v>5562.9083959530062</v>
      </c>
      <c r="AN24" s="2">
        <f t="shared" si="14"/>
        <v>4741.2273341563377</v>
      </c>
      <c r="AO24" s="2">
        <f t="shared" si="15"/>
        <v>4100.3073895013431</v>
      </c>
      <c r="AP24" s="2">
        <f t="shared" si="16"/>
        <v>3231.6591203117327</v>
      </c>
      <c r="AQ24" s="2">
        <f t="shared" si="17"/>
        <v>595.89522173414423</v>
      </c>
      <c r="AR24" s="2">
        <f t="shared" si="18"/>
        <v>129.58780540541244</v>
      </c>
      <c r="AS24" s="2">
        <f t="shared" si="19"/>
        <v>128.42317853149575</v>
      </c>
      <c r="AX24" s="2">
        <f t="shared" si="28"/>
        <v>1000000</v>
      </c>
      <c r="AY24" s="37">
        <f t="shared" si="20"/>
        <v>21511.102064156192</v>
      </c>
      <c r="AZ24" s="37">
        <f t="shared" si="21"/>
        <v>17854.167769799165</v>
      </c>
      <c r="BA24" s="37">
        <f t="shared" si="22"/>
        <v>16366.291443716864</v>
      </c>
      <c r="BB24" s="37">
        <f t="shared" si="23"/>
        <v>15005.121676746025</v>
      </c>
      <c r="BC24" s="37">
        <f t="shared" si="24"/>
        <v>-6995.2474288968015</v>
      </c>
      <c r="BD24" s="37">
        <f t="shared" si="25"/>
        <v>-874.87738593436063</v>
      </c>
      <c r="BE24" s="37">
        <f t="shared" si="26"/>
        <v>-1252.9938049480259</v>
      </c>
    </row>
    <row r="25" spans="1:57" x14ac:dyDescent="0.25">
      <c r="A25" s="2">
        <f>'creep_res-40'!A25</f>
        <v>10000000</v>
      </c>
      <c r="B25" s="3">
        <f>'creep_res-40'!O25</f>
        <v>-7.1475934285714299E-4</v>
      </c>
      <c r="C25" s="2">
        <f>IF('Modell einstellen'!$B$2="Ja",creep_res0!O25,creep_res0!C25)</f>
        <v>-8.4155414285714278E-4</v>
      </c>
      <c r="D25" s="2">
        <f>IF('Modell einstellen'!$B$2="Ja",creep_res25!O25,creep_res25!C25)</f>
        <v>-9.6669668571428577E-4</v>
      </c>
      <c r="E25" s="2">
        <f>IF('Modell einstellen'!$B$2="Ja",creep_res50!O25,creep_res50!C25)</f>
        <v>-1.2797674857142859E-3</v>
      </c>
      <c r="F25" s="2">
        <f>IF('Modell einstellen'!$B$2="Ja",creep_res80!O25,creep_res80!C25)</f>
        <v>-9.7543965714285731E-3</v>
      </c>
      <c r="G25" s="2">
        <f>IF('Modell einstellen'!$B$2="Ja",creep_res125!O25,creep_res125!C25)</f>
        <v>-2.5445066857142859E-2</v>
      </c>
      <c r="H25" s="2">
        <f>IF('Modell einstellen'!$B$2="Ja",creep_res160!O25,creep_res160!C25)</f>
        <v>-2.5863646571428575E-2</v>
      </c>
      <c r="M25" s="9">
        <f t="shared" si="27"/>
        <v>-10</v>
      </c>
      <c r="N25" s="2">
        <f t="shared" si="4"/>
        <v>10000000</v>
      </c>
      <c r="O25" s="2">
        <f t="shared" si="5"/>
        <v>13990.723031372356</v>
      </c>
      <c r="P25" s="2">
        <f t="shared" si="6"/>
        <v>11882.776746899743</v>
      </c>
      <c r="Q25" s="2">
        <f t="shared" si="7"/>
        <v>10344.506345970418</v>
      </c>
      <c r="R25" s="2">
        <f t="shared" si="8"/>
        <v>7813.9194124146916</v>
      </c>
      <c r="S25" s="2">
        <f t="shared" si="9"/>
        <v>1025.1787413781001</v>
      </c>
      <c r="T25" s="2">
        <f t="shared" si="10"/>
        <v>393.00348692905209</v>
      </c>
      <c r="U25" s="2">
        <f t="shared" si="11"/>
        <v>386.6430811441316</v>
      </c>
      <c r="Z25" s="2">
        <v>10000000</v>
      </c>
      <c r="AA25" s="3">
        <f>IF('Modell einstellen'!$B$2="Ja",'creep_res-40'!P25,'creep_res-40'!L25)</f>
        <v>0.38013288148894225</v>
      </c>
      <c r="AB25" s="2">
        <f>IF('Modell einstellen'!$B$2="Ja",creep_res0!P25,creep_res0!L25)</f>
        <v>0.37813806734105387</v>
      </c>
      <c r="AC25" s="2">
        <f>IF('Modell einstellen'!$B$2="Ja",creep_res25!P25,creep_res25!L25)</f>
        <v>0.38410195379942486</v>
      </c>
      <c r="AD25" s="2">
        <f>IF('Modell einstellen'!$B$2="Ja",creep_res50!P25,creep_res50!L25)</f>
        <v>0.40249532381574127</v>
      </c>
      <c r="AE25" s="2">
        <f>IF('Modell einstellen'!$B$2="Ja",creep_res80!P25,creep_res80!L25)</f>
        <v>0.54526102632459827</v>
      </c>
      <c r="AF25" s="2">
        <f>IF('Modell einstellen'!$B$2="Ja",creep_res125!P25,creep_res125!L25)</f>
        <v>0.5386129069935689</v>
      </c>
      <c r="AG25" s="2">
        <f>IF('Modell einstellen'!$B$2="Ja",creep_res160!P25,creep_res160!L25)</f>
        <v>0.52310775136194199</v>
      </c>
      <c r="AL25" s="2">
        <f t="shared" si="12"/>
        <v>10000000</v>
      </c>
      <c r="AM25" s="2">
        <f t="shared" si="13"/>
        <v>5068.6144859756578</v>
      </c>
      <c r="AN25" s="2">
        <f t="shared" si="14"/>
        <v>4311.1706397553053</v>
      </c>
      <c r="AO25" s="2">
        <f t="shared" si="15"/>
        <v>3736.9018653482362</v>
      </c>
      <c r="AP25" s="2">
        <f t="shared" si="16"/>
        <v>2785.7203085552951</v>
      </c>
      <c r="AQ25" s="2">
        <f t="shared" si="17"/>
        <v>331.71701217899948</v>
      </c>
      <c r="AR25" s="2">
        <f t="shared" si="18"/>
        <v>127.7135675720335</v>
      </c>
      <c r="AS25" s="2">
        <f t="shared" si="19"/>
        <v>126.92571513683149</v>
      </c>
      <c r="AX25" s="2">
        <f t="shared" si="28"/>
        <v>10000000</v>
      </c>
      <c r="AY25" s="37">
        <f t="shared" si="20"/>
        <v>19453.10107442255</v>
      </c>
      <c r="AZ25" s="37">
        <f t="shared" si="21"/>
        <v>16251.693600598475</v>
      </c>
      <c r="BA25" s="37">
        <f t="shared" si="22"/>
        <v>14875.871056629718</v>
      </c>
      <c r="BB25" s="37">
        <f t="shared" si="23"/>
        <v>13356.486612068389</v>
      </c>
      <c r="BC25" s="37">
        <f t="shared" si="24"/>
        <v>-3775.0607407273196</v>
      </c>
      <c r="BD25" s="37">
        <f t="shared" si="25"/>
        <v>-1696.3390289612576</v>
      </c>
      <c r="BE25" s="37">
        <f t="shared" si="26"/>
        <v>-2788.6968539117224</v>
      </c>
    </row>
    <row r="26" spans="1:57" x14ac:dyDescent="0.25">
      <c r="A26" s="2">
        <f>'creep_res-40'!A26</f>
        <v>100000000</v>
      </c>
      <c r="B26" s="3">
        <f>'creep_res-40'!O26</f>
        <v>-7.9079345714285724E-4</v>
      </c>
      <c r="C26" s="2">
        <f>IF('Modell einstellen'!$B$2="Ja",creep_res0!O26,creep_res0!C26)</f>
        <v>-9.1760622857142856E-4</v>
      </c>
      <c r="D26" s="2">
        <f>IF('Modell einstellen'!$B$2="Ja",creep_res25!O26,creep_res25!C26)</f>
        <v>-1.0590879428571428E-3</v>
      </c>
      <c r="E26" s="2">
        <f>IF('Modell einstellen'!$B$2="Ja",creep_res50!O26,creep_res50!C26)</f>
        <v>-1.5468386571428571E-3</v>
      </c>
      <c r="F26" s="2">
        <f>IF('Modell einstellen'!$B$2="Ja",creep_res80!O26,creep_res80!C26)</f>
        <v>-1.6865644857142859E-2</v>
      </c>
      <c r="G26" s="2">
        <f>IF('Modell einstellen'!$B$2="Ja",creep_res125!O26,creep_res125!C26)</f>
        <v>-2.6120219142857143E-2</v>
      </c>
      <c r="H26" s="2">
        <f>IF('Modell einstellen'!$B$2="Ja",creep_res160!O26,creep_res160!C26)</f>
        <v>-2.6408451142857142E-2</v>
      </c>
      <c r="M26" s="9">
        <f t="shared" si="27"/>
        <v>-10</v>
      </c>
      <c r="N26" s="2">
        <f t="shared" si="4"/>
        <v>100000000</v>
      </c>
      <c r="O26" s="2">
        <f t="shared" si="5"/>
        <v>12645.526982646108</v>
      </c>
      <c r="P26" s="2">
        <f t="shared" si="6"/>
        <v>10897.920795032591</v>
      </c>
      <c r="Q26" s="2">
        <f t="shared" si="7"/>
        <v>9442.0865306261639</v>
      </c>
      <c r="R26" s="2">
        <f t="shared" si="8"/>
        <v>6464.7983510257318</v>
      </c>
      <c r="S26" s="2">
        <f t="shared" si="9"/>
        <v>592.92129561028003</v>
      </c>
      <c r="T26" s="2">
        <f t="shared" si="10"/>
        <v>382.84518002348415</v>
      </c>
      <c r="U26" s="2">
        <f t="shared" si="11"/>
        <v>378.66666037719375</v>
      </c>
      <c r="Z26" s="2">
        <v>100000000</v>
      </c>
      <c r="AA26" s="3">
        <f>IF('Modell einstellen'!$B$2="Ja",'creep_res-40'!P26,'creep_res-40'!L26)</f>
        <v>0.37957977179592961</v>
      </c>
      <c r="AB26" s="2">
        <f>IF('Modell einstellen'!$B$2="Ja",creep_res0!P26,creep_res0!L26)</f>
        <v>0.37869505680899296</v>
      </c>
      <c r="AC26" s="2">
        <f>IF('Modell einstellen'!$B$2="Ja",creep_res25!P26,creep_res25!L26)</f>
        <v>0.38495742886912027</v>
      </c>
      <c r="AD26" s="2">
        <f>IF('Modell einstellen'!$B$2="Ja",creep_res50!P26,creep_res50!L26)</f>
        <v>0.40835872198177181</v>
      </c>
      <c r="AE26" s="2">
        <f>IF('Modell einstellen'!$B$2="Ja",creep_res80!P26,creep_res80!L26)</f>
        <v>0.53824100953015952</v>
      </c>
      <c r="AF26" s="2">
        <f>IF('Modell einstellen'!$B$2="Ja",creep_res125!P26,creep_res125!L26)</f>
        <v>0.51397926906476299</v>
      </c>
      <c r="AG26" s="2">
        <f>IF('Modell einstellen'!$B$2="Ja",creep_res160!P26,creep_res160!L26)</f>
        <v>0.50409092526538513</v>
      </c>
      <c r="AL26" s="2">
        <f t="shared" si="12"/>
        <v>100000000</v>
      </c>
      <c r="AM26" s="2">
        <f t="shared" si="13"/>
        <v>4583.1082918040429</v>
      </c>
      <c r="AN26" s="2">
        <f t="shared" si="14"/>
        <v>3952.2593271118144</v>
      </c>
      <c r="AO26" s="2">
        <f t="shared" si="15"/>
        <v>3408.8002756648089</v>
      </c>
      <c r="AP26" s="2">
        <f t="shared" si="16"/>
        <v>2295.1533050928924</v>
      </c>
      <c r="AQ26" s="2">
        <f t="shared" si="17"/>
        <v>192.72704730170403</v>
      </c>
      <c r="AR26" s="2">
        <f t="shared" si="18"/>
        <v>126.4367312836393</v>
      </c>
      <c r="AS26" s="2">
        <f t="shared" si="19"/>
        <v>125.87891264299097</v>
      </c>
      <c r="AX26" s="2">
        <f t="shared" si="28"/>
        <v>100000000</v>
      </c>
      <c r="AY26" s="37">
        <f t="shared" si="20"/>
        <v>17501.941840447187</v>
      </c>
      <c r="AZ26" s="37">
        <f t="shared" si="21"/>
        <v>14973.174915431517</v>
      </c>
      <c r="BA26" s="37">
        <f t="shared" si="22"/>
        <v>13679.119589976604</v>
      </c>
      <c r="BB26" s="37">
        <f t="shared" si="23"/>
        <v>11757.435242482163</v>
      </c>
      <c r="BC26" s="37">
        <f t="shared" si="24"/>
        <v>-2584.1424467915831</v>
      </c>
      <c r="BD26" s="37">
        <f t="shared" si="25"/>
        <v>-4564.4396504786673</v>
      </c>
      <c r="BE26" s="37">
        <f t="shared" si="26"/>
        <v>-15427.099242529001</v>
      </c>
    </row>
    <row r="27" spans="1:57" x14ac:dyDescent="0.25">
      <c r="A27" s="2">
        <f>'creep_res-40'!A27</f>
        <v>1000000000</v>
      </c>
      <c r="B27" s="3">
        <f>'creep_res-40'!O27</f>
        <v>-8.6991351428571432E-4</v>
      </c>
      <c r="C27" s="2">
        <f>IF('Modell einstellen'!$B$2="Ja",creep_res0!O27,creep_res0!C27)</f>
        <v>-9.9569642857142869E-4</v>
      </c>
      <c r="D27" s="2">
        <f>IF('Modell einstellen'!$B$2="Ja",creep_res25!O27,creep_res25!C27)</f>
        <v>-1.1709494857142858E-3</v>
      </c>
      <c r="E27" s="2">
        <f>IF('Modell einstellen'!$B$2="Ja",creep_res50!O27,creep_res50!C27)</f>
        <v>-2.0103361428571429E-3</v>
      </c>
      <c r="F27" s="2">
        <f>IF('Modell einstellen'!$B$2="Ja",creep_res80!O27,creep_res80!C27)</f>
        <v>-2.2093246E-2</v>
      </c>
      <c r="G27" s="2">
        <f>IF('Modell einstellen'!$B$2="Ja",creep_res125!O27,creep_res125!C27)</f>
        <v>-2.6581952857142859E-2</v>
      </c>
      <c r="H27" s="2">
        <f>IF('Modell einstellen'!$B$2="Ja",creep_res160!O27,creep_res160!C27)</f>
        <v>-2.6778495142857142E-2</v>
      </c>
      <c r="M27" s="9">
        <f t="shared" si="27"/>
        <v>-10</v>
      </c>
      <c r="N27" s="2">
        <f t="shared" si="4"/>
        <v>1000000000</v>
      </c>
      <c r="O27" s="2">
        <f t="shared" si="5"/>
        <v>11495.395617817245</v>
      </c>
      <c r="P27" s="2">
        <f t="shared" si="6"/>
        <v>10043.221722053837</v>
      </c>
      <c r="Q27" s="2">
        <f t="shared" si="7"/>
        <v>8540.0780494813098</v>
      </c>
      <c r="R27" s="2">
        <f t="shared" si="8"/>
        <v>4974.2925010479767</v>
      </c>
      <c r="S27" s="2">
        <f t="shared" si="9"/>
        <v>452.62701551415307</v>
      </c>
      <c r="T27" s="2">
        <f t="shared" si="10"/>
        <v>376.19508445230321</v>
      </c>
      <c r="U27" s="2">
        <f t="shared" si="11"/>
        <v>373.43397926777772</v>
      </c>
      <c r="Z27" s="2">
        <v>1000000000</v>
      </c>
      <c r="AA27" s="3">
        <f>IF('Modell einstellen'!$B$2="Ja",'creep_res-40'!P27,'creep_res-40'!L27)</f>
        <v>0.37967610113491412</v>
      </c>
      <c r="AB27" s="2">
        <f>IF('Modell einstellen'!$B$2="Ja",creep_res0!P27,creep_res0!L27)</f>
        <v>0.37986015531125017</v>
      </c>
      <c r="AC27" s="2">
        <f>IF('Modell einstellen'!$B$2="Ja",creep_res25!P27,creep_res25!L27)</f>
        <v>0.38717310045239967</v>
      </c>
      <c r="AD27" s="2">
        <f>IF('Modell einstellen'!$B$2="Ja",creep_res50!P27,creep_res50!L27)</f>
        <v>0.41756908741558713</v>
      </c>
      <c r="AE27" s="2">
        <f>IF('Modell einstellen'!$B$2="Ja",creep_res80!P27,creep_res80!L27)</f>
        <v>0.51997413922012958</v>
      </c>
      <c r="AF27" s="2">
        <f>IF('Modell einstellen'!$B$2="Ja",creep_res125!P27,creep_res125!L27)</f>
        <v>0.49843173405458169</v>
      </c>
      <c r="AG27" s="2">
        <f>IF('Modell einstellen'!$B$2="Ja",creep_res160!P27,creep_res160!L27)</f>
        <v>0.49241029046196377</v>
      </c>
      <c r="AL27" s="2">
        <f t="shared" si="12"/>
        <v>1000000000</v>
      </c>
      <c r="AM27" s="2">
        <f t="shared" si="13"/>
        <v>4165.9762057055259</v>
      </c>
      <c r="AN27" s="2">
        <f t="shared" si="14"/>
        <v>3639.2172363975619</v>
      </c>
      <c r="AO27" s="2">
        <f t="shared" si="15"/>
        <v>3078.2308446927527</v>
      </c>
      <c r="AP27" s="2">
        <f t="shared" si="16"/>
        <v>1754.5150163075152</v>
      </c>
      <c r="AQ27" s="2">
        <f t="shared" si="17"/>
        <v>148.89299884614732</v>
      </c>
      <c r="AR27" s="2">
        <f t="shared" si="18"/>
        <v>125.52960401951817</v>
      </c>
      <c r="AS27" s="2">
        <f t="shared" si="19"/>
        <v>125.11103067782525</v>
      </c>
      <c r="AX27" s="2">
        <f t="shared" si="28"/>
        <v>1000000000</v>
      </c>
      <c r="AY27" s="37">
        <f t="shared" si="20"/>
        <v>15922.848974370625</v>
      </c>
      <c r="AZ27" s="37">
        <f t="shared" si="21"/>
        <v>13932.682294916583</v>
      </c>
      <c r="BA27" s="37">
        <f t="shared" si="22"/>
        <v>12615.310243278691</v>
      </c>
      <c r="BB27" s="37">
        <f t="shared" si="23"/>
        <v>10057.498142164573</v>
      </c>
      <c r="BC27" s="37">
        <f t="shared" si="24"/>
        <v>-3776.7753137016589</v>
      </c>
      <c r="BD27" s="37">
        <f t="shared" si="25"/>
        <v>39979.941492210644</v>
      </c>
      <c r="BE27" s="37">
        <f t="shared" si="26"/>
        <v>8200.4451201611373</v>
      </c>
    </row>
    <row r="28" spans="1:57" x14ac:dyDescent="0.25">
      <c r="A28" s="2">
        <f>'creep_res-40'!A28</f>
        <v>10000000000</v>
      </c>
      <c r="B28" s="3">
        <f>'creep_res-40'!O28</f>
        <v>-9.4754371428571436E-4</v>
      </c>
      <c r="C28" s="2">
        <f>IF('Modell einstellen'!$B$2="Ja",creep_res0!O28,creep_res0!C28)</f>
        <v>-1.0819888857142856E-3</v>
      </c>
      <c r="D28" s="2">
        <f>IF('Modell einstellen'!$B$2="Ja",creep_res25!O28,creep_res25!C28)</f>
        <v>-1.338241142857143E-3</v>
      </c>
      <c r="E28" s="2">
        <f>IF('Modell einstellen'!$B$2="Ja",creep_res50!O28,creep_res50!C28)</f>
        <v>-2.9789217142857146E-3</v>
      </c>
      <c r="F28" s="2">
        <f>IF('Modell einstellen'!$B$2="Ja",creep_res80!O28,creep_res80!C28)</f>
        <v>-2.4779278857142862E-2</v>
      </c>
      <c r="G28" s="2">
        <f>IF('Modell einstellen'!$B$2="Ja",creep_res125!O28,creep_res125!C28)</f>
        <v>-2.6895848857142857E-2</v>
      </c>
      <c r="H28" s="2">
        <f>IF('Modell einstellen'!$B$2="Ja",creep_res160!O28,creep_res160!C28)</f>
        <v>-2.6843666571428573E-2</v>
      </c>
      <c r="M28" s="9">
        <f t="shared" si="27"/>
        <v>-10</v>
      </c>
      <c r="N28" s="2">
        <f t="shared" si="4"/>
        <v>10000000000</v>
      </c>
      <c r="O28" s="2">
        <f t="shared" si="5"/>
        <v>10553.602804001805</v>
      </c>
      <c r="P28" s="2">
        <f t="shared" si="6"/>
        <v>9242.2391135731505</v>
      </c>
      <c r="Q28" s="2">
        <f t="shared" si="7"/>
        <v>7472.4948140885981</v>
      </c>
      <c r="R28" s="2">
        <f t="shared" si="8"/>
        <v>3356.9193685231835</v>
      </c>
      <c r="S28" s="2">
        <f t="shared" si="9"/>
        <v>403.56299542258085</v>
      </c>
      <c r="T28" s="2">
        <f t="shared" si="10"/>
        <v>371.80458787952523</v>
      </c>
      <c r="U28" s="2">
        <f t="shared" si="11"/>
        <v>372.52735103794049</v>
      </c>
      <c r="Z28" s="2">
        <v>10000000000</v>
      </c>
      <c r="AA28" s="3">
        <f>IF('Modell einstellen'!$B$2="Ja",'creep_res-40'!P28,'creep_res-40'!L28)</f>
        <v>0.38007223488822078</v>
      </c>
      <c r="AB28" s="2">
        <f>IF('Modell einstellen'!$B$2="Ja",creep_res0!P28,creep_res0!L28)</f>
        <v>0.38162361900152603</v>
      </c>
      <c r="AC28" s="2">
        <f>IF('Modell einstellen'!$B$2="Ja",creep_res25!P28,creep_res25!L28)</f>
        <v>0.39139655377079169</v>
      </c>
      <c r="AD28" s="2">
        <f>IF('Modell einstellen'!$B$2="Ja",creep_res50!P28,creep_res50!L28)</f>
        <v>0.43228462532847456</v>
      </c>
      <c r="AE28" s="2">
        <f>IF('Modell einstellen'!$B$2="Ja",creep_res80!P28,creep_res80!L28)</f>
        <v>0.50447018658769671</v>
      </c>
      <c r="AF28" s="2">
        <f>IF('Modell einstellen'!$B$2="Ja",creep_res125!P28,creep_res125!L28)</f>
        <v>0.48913303891579824</v>
      </c>
      <c r="AG28" s="2">
        <f>IF('Modell einstellen'!$B$2="Ja",creep_res160!P28,creep_res160!L28)</f>
        <v>0.49046885047095923</v>
      </c>
      <c r="AL28" s="2">
        <f t="shared" si="12"/>
        <v>10000000000</v>
      </c>
      <c r="AM28" s="2">
        <f t="shared" si="13"/>
        <v>3823.5689905233821</v>
      </c>
      <c r="AN28" s="2">
        <f t="shared" si="14"/>
        <v>3344.7021990881808</v>
      </c>
      <c r="AO28" s="2">
        <f t="shared" si="15"/>
        <v>2685.2498641877337</v>
      </c>
      <c r="AP28" s="2">
        <f t="shared" si="16"/>
        <v>1171.8757952014325</v>
      </c>
      <c r="AQ28" s="2">
        <f t="shared" si="17"/>
        <v>134.12130031566326</v>
      </c>
      <c r="AR28" s="2">
        <f t="shared" si="18"/>
        <v>124.83927834622055</v>
      </c>
      <c r="AS28" s="2">
        <f t="shared" si="19"/>
        <v>124.96985459314666</v>
      </c>
      <c r="AX28" s="2">
        <f t="shared" si="28"/>
        <v>10000000000</v>
      </c>
      <c r="AY28" s="37">
        <f t="shared" si="20"/>
        <v>14666.610346882935</v>
      </c>
      <c r="AZ28" s="37">
        <f t="shared" si="21"/>
        <v>13012.504459106436</v>
      </c>
      <c r="BA28" s="37">
        <f t="shared" si="22"/>
        <v>11467.553246143232</v>
      </c>
      <c r="BB28" s="37">
        <f t="shared" si="23"/>
        <v>8262.3268959892011</v>
      </c>
      <c r="BC28" s="37">
        <f t="shared" si="24"/>
        <v>-15046.463479224287</v>
      </c>
      <c r="BD28" s="37">
        <f t="shared" si="25"/>
        <v>5702.3698560346911</v>
      </c>
      <c r="BE28" s="37">
        <f t="shared" si="26"/>
        <v>6514.2081393728131</v>
      </c>
    </row>
    <row r="29" spans="1:57" x14ac:dyDescent="0.25">
      <c r="A29" s="2">
        <f>'creep_res-40'!A29</f>
        <v>100000000000</v>
      </c>
      <c r="B29" s="3">
        <f>'creep_res-40'!O29</f>
        <v>-1.0310119428571429E-3</v>
      </c>
      <c r="C29" s="2">
        <f>IF('Modell einstellen'!$B$2="Ja",creep_res0!O29,creep_res0!C29)</f>
        <v>-1.1905131142857144E-3</v>
      </c>
      <c r="D29" s="2">
        <f>IF('Modell einstellen'!$B$2="Ja",creep_res25!O29,creep_res25!C29)</f>
        <v>-1.6058572285714287E-3</v>
      </c>
      <c r="E29" s="2">
        <f>IF('Modell einstellen'!$B$2="Ja",creep_res50!O29,creep_res50!C29)</f>
        <v>-4.8967757142857147E-3</v>
      </c>
      <c r="F29" s="2">
        <f>IF('Modell einstellen'!$B$2="Ja",creep_res80!O29,creep_res80!C29)</f>
        <v>-2.6766490571428572E-2</v>
      </c>
      <c r="G29" s="2">
        <f>IF('Modell einstellen'!$B$2="Ja",creep_res125!O29,creep_res125!C29)</f>
        <v>-2.6954494571428574E-2</v>
      </c>
      <c r="H29" s="2">
        <f>IF('Modell einstellen'!$B$2="Ja",creep_res160!O29,creep_res160!C29)</f>
        <v>-2.693226342857143E-2</v>
      </c>
      <c r="M29" s="9">
        <f t="shared" si="27"/>
        <v>-10</v>
      </c>
      <c r="N29" s="2">
        <f t="shared" si="4"/>
        <v>100000000000</v>
      </c>
      <c r="O29" s="2">
        <f t="shared" si="5"/>
        <v>9699.2086942154856</v>
      </c>
      <c r="P29" s="2">
        <f t="shared" si="6"/>
        <v>8399.7394736804836</v>
      </c>
      <c r="Q29" s="2">
        <f t="shared" si="7"/>
        <v>6227.2036530271153</v>
      </c>
      <c r="R29" s="2">
        <f t="shared" si="8"/>
        <v>2042.1601036016993</v>
      </c>
      <c r="S29" s="2">
        <f t="shared" si="9"/>
        <v>373.60146162285196</v>
      </c>
      <c r="T29" s="2">
        <f t="shared" si="10"/>
        <v>370.99564132060834</v>
      </c>
      <c r="U29" s="2">
        <f t="shared" si="11"/>
        <v>371.30187837801162</v>
      </c>
      <c r="Z29" s="2">
        <v>100000000000</v>
      </c>
      <c r="AA29" s="3">
        <f>IF('Modell einstellen'!$B$2="Ja",'creep_res-40'!P29,'creep_res-40'!L29)</f>
        <v>0.38143371375107804</v>
      </c>
      <c r="AB29" s="2">
        <f>IF('Modell einstellen'!$B$2="Ja",creep_res0!P29,creep_res0!L29)</f>
        <v>0.38426244971585954</v>
      </c>
      <c r="AC29" s="2">
        <f>IF('Modell einstellen'!$B$2="Ja",creep_res25!P29,creep_res25!L29)</f>
        <v>0.39742728952438633</v>
      </c>
      <c r="AD29" s="2">
        <f>IF('Modell einstellen'!$B$2="Ja",creep_res50!P29,creep_res50!L29)</f>
        <v>0.44944640832174404</v>
      </c>
      <c r="AE29" s="2">
        <f>IF('Modell einstellen'!$B$2="Ja",creep_res80!P29,creep_res80!L29)</f>
        <v>0.49557765281295169</v>
      </c>
      <c r="AF29" s="2">
        <f>IF('Modell einstellen'!$B$2="Ja",creep_res125!P29,creep_res125!L29)</f>
        <v>0.48750283692417007</v>
      </c>
      <c r="AG29" s="2">
        <f>IF('Modell einstellen'!$B$2="Ja",creep_res160!P29,creep_res160!L29)</f>
        <v>0.48793238130258682</v>
      </c>
      <c r="AL29" s="2">
        <f t="shared" si="12"/>
        <v>100000000000</v>
      </c>
      <c r="AM29" s="2">
        <f t="shared" si="13"/>
        <v>3510.558848270296</v>
      </c>
      <c r="AN29" s="2">
        <f t="shared" si="14"/>
        <v>3034.0126163953428</v>
      </c>
      <c r="AO29" s="2">
        <f t="shared" si="15"/>
        <v>2228.0957655931211</v>
      </c>
      <c r="AP29" s="2">
        <f t="shared" si="16"/>
        <v>704.46209389908893</v>
      </c>
      <c r="AQ29" s="2">
        <f t="shared" si="17"/>
        <v>124.90206072555479</v>
      </c>
      <c r="AR29" s="2">
        <f t="shared" si="18"/>
        <v>124.70417941781746</v>
      </c>
      <c r="AS29" s="2">
        <f t="shared" si="19"/>
        <v>124.77108605330615</v>
      </c>
      <c r="AX29" s="2">
        <f t="shared" si="28"/>
        <v>100000000000</v>
      </c>
      <c r="AY29" s="37">
        <f t="shared" si="20"/>
        <v>13634.017168889319</v>
      </c>
      <c r="AZ29" s="37">
        <f t="shared" si="21"/>
        <v>12095.958273782331</v>
      </c>
      <c r="BA29" s="37">
        <f t="shared" si="22"/>
        <v>10118.356731455086</v>
      </c>
      <c r="BB29" s="37">
        <f t="shared" si="23"/>
        <v>6732.657482244631</v>
      </c>
      <c r="BC29" s="37">
        <f t="shared" si="24"/>
        <v>14080.059216706419</v>
      </c>
      <c r="BD29" s="37">
        <f t="shared" si="25"/>
        <v>4947.7314580582743</v>
      </c>
      <c r="BE29" s="37">
        <f t="shared" si="26"/>
        <v>5128.0743904844003</v>
      </c>
    </row>
    <row r="30" spans="1:57" x14ac:dyDescent="0.25">
      <c r="A30" s="2">
        <f>'creep_res-40'!A30</f>
        <v>1000000000000</v>
      </c>
      <c r="B30" s="3">
        <f>'creep_res-40'!O30</f>
        <v>-1.1241460285714286E-3</v>
      </c>
      <c r="C30" s="2">
        <f>IF('Modell einstellen'!$B$2="Ja",creep_res0!O30,creep_res0!C30)</f>
        <v>-1.357037342857143E-3</v>
      </c>
      <c r="D30" s="2">
        <f>IF('Modell einstellen'!$B$2="Ja",creep_res25!O30,creep_res25!C30)</f>
        <v>-2.0846555428571428E-3</v>
      </c>
      <c r="E30" s="2">
        <f>IF('Modell einstellen'!$B$2="Ja",creep_res50!O30,creep_res50!C30)</f>
        <v>-8.4642999999999993E-3</v>
      </c>
      <c r="F30" s="2">
        <f>IF('Modell einstellen'!$B$2="Ja",creep_res80!O30,creep_res80!C30)</f>
        <v>-2.6868412571428572E-2</v>
      </c>
      <c r="G30" s="2">
        <f>IF('Modell einstellen'!$B$2="Ja",creep_res125!O30,creep_res125!C30)</f>
        <v>-2.7217686571428569E-2</v>
      </c>
      <c r="H30" s="2">
        <f>IF('Modell einstellen'!$B$2="Ja",creep_res160!O30,creep_res160!C30)</f>
        <v>-2.7235974857142856E-2</v>
      </c>
      <c r="M30" s="9">
        <f t="shared" si="27"/>
        <v>-10</v>
      </c>
      <c r="N30" s="2">
        <f t="shared" si="4"/>
        <v>1000000000000</v>
      </c>
      <c r="O30" s="2">
        <f t="shared" si="5"/>
        <v>8895.6414432278507</v>
      </c>
      <c r="P30" s="2">
        <f t="shared" si="6"/>
        <v>7368.9939725208524</v>
      </c>
      <c r="Q30" s="2">
        <f t="shared" si="7"/>
        <v>4796.9555614422579</v>
      </c>
      <c r="R30" s="2">
        <f t="shared" si="8"/>
        <v>1181.4326051770379</v>
      </c>
      <c r="S30" s="2">
        <f t="shared" si="9"/>
        <v>372.18425068527625</v>
      </c>
      <c r="T30" s="2">
        <f t="shared" si="10"/>
        <v>367.40815475836132</v>
      </c>
      <c r="U30" s="2">
        <f t="shared" si="11"/>
        <v>367.16144923953101</v>
      </c>
      <c r="Z30" s="2">
        <v>1000000000000</v>
      </c>
      <c r="AA30" s="3">
        <f>IF('Modell einstellen'!$B$2="Ja",'creep_res-40'!P30,'creep_res-40'!L30)</f>
        <v>0.3832566389252276</v>
      </c>
      <c r="AB30" s="2">
        <f>IF('Modell einstellen'!$B$2="Ja",creep_res0!P30,creep_res0!L30)</f>
        <v>0.38851043724304701</v>
      </c>
      <c r="AC30" s="2">
        <f>IF('Modell einstellen'!$B$2="Ja",creep_res25!P30,creep_res25!L30)</f>
        <v>0.40676609759606197</v>
      </c>
      <c r="AD30" s="2">
        <f>IF('Modell einstellen'!$B$2="Ja",creep_res50!P30,creep_res50!L30)</f>
        <v>0.46486088631074041</v>
      </c>
      <c r="AE30" s="2">
        <f>IF('Modell einstellen'!$B$2="Ja",creep_res80!P30,creep_res80!L30)</f>
        <v>0.49303610302077072</v>
      </c>
      <c r="AF30" s="2">
        <f>IF('Modell einstellen'!$B$2="Ja",creep_res125!P30,creep_res125!L30)</f>
        <v>0.48236867575488179</v>
      </c>
      <c r="AG30" s="2">
        <f>IF('Modell einstellen'!$B$2="Ja",creep_res160!P30,creep_res160!L30)</f>
        <v>0.48125251610496006</v>
      </c>
      <c r="AL30" s="2">
        <f t="shared" si="12"/>
        <v>1000000000000</v>
      </c>
      <c r="AM30" s="2">
        <f t="shared" si="13"/>
        <v>3215.4703591878829</v>
      </c>
      <c r="AN30" s="2">
        <f t="shared" si="14"/>
        <v>2653.5608861364908</v>
      </c>
      <c r="AO30" s="2">
        <f t="shared" si="15"/>
        <v>1704.9584752004923</v>
      </c>
      <c r="AP30" s="2">
        <f t="shared" si="16"/>
        <v>403.25761176970258</v>
      </c>
      <c r="AQ30" s="2">
        <f t="shared" si="17"/>
        <v>124.64007063602084</v>
      </c>
      <c r="AR30" s="2">
        <f t="shared" si="18"/>
        <v>123.9260383626436</v>
      </c>
      <c r="AS30" s="2">
        <f t="shared" si="19"/>
        <v>123.93614365125383</v>
      </c>
      <c r="AX30" s="2">
        <f t="shared" si="28"/>
        <v>1000000000000</v>
      </c>
      <c r="AY30" s="37">
        <f t="shared" si="20"/>
        <v>12699.710660677774</v>
      </c>
      <c r="AZ30" s="37">
        <f t="shared" si="21"/>
        <v>11015.969851493697</v>
      </c>
      <c r="BA30" s="37">
        <f t="shared" si="22"/>
        <v>8575.1274263935629</v>
      </c>
      <c r="BB30" s="37">
        <f t="shared" si="23"/>
        <v>5603.5970610254153</v>
      </c>
      <c r="BC30" s="37">
        <f t="shared" si="24"/>
        <v>8907.4707211437271</v>
      </c>
      <c r="BD30" s="37">
        <f t="shared" si="25"/>
        <v>3473.062579328473</v>
      </c>
      <c r="BE30" s="37">
        <f t="shared" si="26"/>
        <v>3264.0953429193382</v>
      </c>
    </row>
    <row r="31" spans="1:57" x14ac:dyDescent="0.25">
      <c r="A31" s="2">
        <f>'creep_res-40'!A31</f>
        <v>10000000000000</v>
      </c>
      <c r="B31" s="3">
        <f>'creep_res-40'!O31</f>
        <v>-1.2562818285714286E-3</v>
      </c>
      <c r="C31" s="2">
        <f>IF('Modell einstellen'!$B$2="Ja",creep_res0!O31,creep_res0!C31)</f>
        <v>-1.6271212571428572E-3</v>
      </c>
      <c r="D31" s="2">
        <f>IF('Modell einstellen'!$B$2="Ja",creep_res25!O31,creep_res25!C31)</f>
        <v>-3.0967014285714287E-3</v>
      </c>
      <c r="E31" s="2">
        <f>IF('Modell einstellen'!$B$2="Ja",creep_res50!O31,creep_res50!C31)</f>
        <v>-1.4895274571428573E-2</v>
      </c>
      <c r="F31" s="2">
        <f>IF('Modell einstellen'!$B$2="Ja",creep_res80!O31,creep_res80!C31)</f>
        <v>-2.7191233999999998E-2</v>
      </c>
      <c r="G31" s="2">
        <f>IF('Modell einstellen'!$B$2="Ja",creep_res125!O31,creep_res125!C31)</f>
        <v>-2.7221723714285714E-2</v>
      </c>
      <c r="H31" s="2">
        <f>IF('Modell einstellen'!$B$2="Ja",creep_res160!O31,creep_res160!C31)</f>
        <v>-2.7240321142857141E-2</v>
      </c>
      <c r="M31" s="9">
        <f t="shared" si="27"/>
        <v>-10</v>
      </c>
      <c r="N31" s="2">
        <f t="shared" si="4"/>
        <v>10000000000000</v>
      </c>
      <c r="O31" s="2">
        <f t="shared" si="5"/>
        <v>7959.9973290797534</v>
      </c>
      <c r="P31" s="2">
        <f t="shared" si="6"/>
        <v>6145.8234634335095</v>
      </c>
      <c r="Q31" s="2">
        <f t="shared" si="7"/>
        <v>3229.2425442556155</v>
      </c>
      <c r="R31" s="2">
        <f t="shared" si="8"/>
        <v>671.35385467694152</v>
      </c>
      <c r="S31" s="2">
        <f t="shared" si="9"/>
        <v>367.76558209899559</v>
      </c>
      <c r="T31" s="2">
        <f t="shared" si="10"/>
        <v>367.35366595290549</v>
      </c>
      <c r="U31" s="2">
        <f t="shared" si="11"/>
        <v>367.10286738385844</v>
      </c>
      <c r="Z31" s="2">
        <v>10000000000000</v>
      </c>
      <c r="AA31" s="3">
        <f>IF('Modell einstellen'!$B$2="Ja",'creep_res-40'!P31,'creep_res-40'!L31)</f>
        <v>0.38666528511436832</v>
      </c>
      <c r="AB31" s="2">
        <f>IF('Modell einstellen'!$B$2="Ja",creep_res0!P31,creep_res0!L31)</f>
        <v>0.39466206083438088</v>
      </c>
      <c r="AC31" s="2">
        <f>IF('Modell einstellen'!$B$2="Ja",creep_res25!P31,creep_res25!L31)</f>
        <v>0.42195974426244331</v>
      </c>
      <c r="AD31" s="2">
        <f>IF('Modell einstellen'!$B$2="Ja",creep_res50!P31,creep_res50!L31)</f>
        <v>0.47751130507142042</v>
      </c>
      <c r="AE31" s="2">
        <f>IF('Modell einstellen'!$B$2="Ja",creep_res80!P31,creep_res80!L31)</f>
        <v>0.48418241807530432</v>
      </c>
      <c r="AF31" s="2">
        <f>IF('Modell einstellen'!$B$2="Ja",creep_res125!P31,creep_res125!L31)</f>
        <v>0.48229778836404746</v>
      </c>
      <c r="AG31" s="2">
        <f>IF('Modell einstellen'!$B$2="Ja",creep_res160!P31,creep_res160!L31)</f>
        <v>0.48117498593786245</v>
      </c>
      <c r="AL31" s="2">
        <f t="shared" si="12"/>
        <v>10000000000000</v>
      </c>
      <c r="AM31" s="2">
        <f t="shared" si="13"/>
        <v>2870.194204228324</v>
      </c>
      <c r="AN31" s="2">
        <f t="shared" si="14"/>
        <v>2203.3378680125074</v>
      </c>
      <c r="AO31" s="2">
        <f t="shared" si="15"/>
        <v>1135.4901421385146</v>
      </c>
      <c r="AP31" s="2">
        <f t="shared" si="16"/>
        <v>227.19076746573165</v>
      </c>
      <c r="AQ31" s="2">
        <f t="shared" si="17"/>
        <v>123.89500698166064</v>
      </c>
      <c r="AR31" s="2">
        <f t="shared" si="18"/>
        <v>123.91358498832378</v>
      </c>
      <c r="AS31" s="2">
        <f t="shared" si="19"/>
        <v>123.92285545904397</v>
      </c>
      <c r="AX31" s="2">
        <f t="shared" si="28"/>
        <v>10000000000000</v>
      </c>
      <c r="AY31" s="37">
        <f t="shared" si="20"/>
        <v>11705.735730239914</v>
      </c>
      <c r="AZ31" s="37">
        <f t="shared" si="21"/>
        <v>9723.9790210987012</v>
      </c>
      <c r="BA31" s="37">
        <f t="shared" si="22"/>
        <v>6896.5316120851512</v>
      </c>
      <c r="BB31" s="37">
        <f t="shared" si="23"/>
        <v>4975.4914399512863</v>
      </c>
      <c r="BC31" s="37">
        <f t="shared" si="24"/>
        <v>3875.0716749864532</v>
      </c>
      <c r="BD31" s="37">
        <f t="shared" si="25"/>
        <v>3458.6419059528112</v>
      </c>
      <c r="BE31" s="37">
        <f t="shared" si="26"/>
        <v>3250.133626922548</v>
      </c>
    </row>
    <row r="32" spans="1:57" x14ac:dyDescent="0.25">
      <c r="A32" s="2">
        <f>'creep_res-40'!A32</f>
        <v>100000000000000</v>
      </c>
      <c r="B32" s="3">
        <f>'creep_res-40'!O32</f>
        <v>-1.4614530285714286E-3</v>
      </c>
      <c r="C32" s="2">
        <f>IF('Modell einstellen'!$B$2="Ja",creep_res0!O32,creep_res0!C32)</f>
        <v>-2.1151075142857145E-3</v>
      </c>
      <c r="D32" s="2">
        <f>IF('Modell einstellen'!$B$2="Ja",creep_res25!O32,creep_res25!C32)</f>
        <v>-5.1020828571428575E-3</v>
      </c>
      <c r="E32" s="2">
        <f>IF('Modell einstellen'!$B$2="Ja",creep_res50!O32,creep_res50!C32)</f>
        <v>-2.1472374571428574E-2</v>
      </c>
      <c r="F32" s="2">
        <f>IF('Modell einstellen'!$B$2="Ja",creep_res80!O32,creep_res80!C32)</f>
        <v>-2.7195999142857145E-2</v>
      </c>
      <c r="G32" s="2">
        <f>IF('Modell einstellen'!$B$2="Ja",creep_res125!O32,creep_res125!C32)</f>
        <v>-2.7305871714285716E-2</v>
      </c>
      <c r="H32" s="2">
        <f>IF('Modell einstellen'!$B$2="Ja",creep_res160!O32,creep_res160!C32)</f>
        <v>-2.7359462000000005E-2</v>
      </c>
      <c r="M32" s="9">
        <v>-1</v>
      </c>
      <c r="N32" s="2">
        <f t="shared" si="4"/>
        <v>100000000000000</v>
      </c>
      <c r="O32" s="2">
        <f t="shared" si="5"/>
        <v>6842.5052358850062</v>
      </c>
      <c r="P32" s="2">
        <f t="shared" si="6"/>
        <v>4727.8920492025509</v>
      </c>
      <c r="Q32" s="2">
        <f t="shared" si="7"/>
        <v>1959.9838497330782</v>
      </c>
      <c r="R32" s="2">
        <f t="shared" si="8"/>
        <v>465.71467756091272</v>
      </c>
      <c r="S32" s="2">
        <f t="shared" si="9"/>
        <v>367.7011441084133</v>
      </c>
      <c r="T32" s="2">
        <f t="shared" si="10"/>
        <v>366.22159895258943</v>
      </c>
      <c r="U32" s="2">
        <f t="shared" si="11"/>
        <v>365.50426320517556</v>
      </c>
      <c r="Z32" s="2">
        <v>100000000000000</v>
      </c>
      <c r="AA32" s="3">
        <f>IF('Modell einstellen'!$B$2="Ja",'creep_res-40'!P32,'creep_res-40'!L32)</f>
        <v>0.39159123749561497</v>
      </c>
      <c r="AB32" s="2">
        <f>IF('Modell einstellen'!$B$2="Ja",creep_res0!P32,creep_res0!L32)</f>
        <v>0.4042193572787377</v>
      </c>
      <c r="AC32" s="2">
        <f>IF('Modell einstellen'!$B$2="Ja",creep_res25!P32,creep_res25!L32)</f>
        <v>0.44008362411093732</v>
      </c>
      <c r="AD32" s="2">
        <f>IF('Modell einstellen'!$B$2="Ja",creep_res50!P32,creep_res50!L32)</f>
        <v>0.48303823899388809</v>
      </c>
      <c r="AE32" s="2">
        <f>IF('Modell einstellen'!$B$2="Ja",creep_res80!P32,creep_res80!L32)</f>
        <v>0.48406377463273303</v>
      </c>
      <c r="AF32" s="2">
        <f>IF('Modell einstellen'!$B$2="Ja",creep_res125!P32,creep_res125!L32)</f>
        <v>0.48082397264822718</v>
      </c>
      <c r="AG32" s="2">
        <f>IF('Modell einstellen'!$B$2="Ja",creep_res160!P32,creep_res160!L32)</f>
        <v>0.48001299983791446</v>
      </c>
      <c r="AL32" s="2">
        <f t="shared" si="12"/>
        <v>100000000000000</v>
      </c>
      <c r="AM32" s="2">
        <f t="shared" si="13"/>
        <v>2458.5183678646754</v>
      </c>
      <c r="AN32" s="2">
        <f t="shared" si="14"/>
        <v>1683.4592204898881</v>
      </c>
      <c r="AO32" s="2">
        <f t="shared" si="15"/>
        <v>680.51042901870051</v>
      </c>
      <c r="AP32" s="2">
        <f t="shared" si="16"/>
        <v>157.01371189082064</v>
      </c>
      <c r="AQ32" s="2">
        <f t="shared" si="17"/>
        <v>123.88320178471095</v>
      </c>
      <c r="AR32" s="2">
        <f t="shared" si="18"/>
        <v>123.65466987195585</v>
      </c>
      <c r="AS32" s="2">
        <f t="shared" si="19"/>
        <v>123.48008539289999</v>
      </c>
      <c r="AX32" s="2">
        <f t="shared" si="28"/>
        <v>100000000000000</v>
      </c>
      <c r="AY32" s="37">
        <f t="shared" si="20"/>
        <v>10519.606653272505</v>
      </c>
      <c r="AZ32" s="37">
        <f t="shared" si="21"/>
        <v>8226.9442531679888</v>
      </c>
      <c r="BA32" s="37">
        <f t="shared" si="22"/>
        <v>5451.9982243309096</v>
      </c>
      <c r="BB32" s="37">
        <f t="shared" si="23"/>
        <v>4576.1234873460335</v>
      </c>
      <c r="BC32" s="37">
        <f t="shared" si="24"/>
        <v>3845.5482779470067</v>
      </c>
      <c r="BD32" s="37">
        <f t="shared" si="25"/>
        <v>3182.9811273773585</v>
      </c>
      <c r="BE32" s="37">
        <f t="shared" si="26"/>
        <v>3047.8499378020801</v>
      </c>
    </row>
    <row r="33" spans="1:60" x14ac:dyDescent="0.25">
      <c r="A33" s="2">
        <f>'creep_res-40'!A33</f>
        <v>1000000000000000</v>
      </c>
      <c r="B33" s="3">
        <f>'creep_res-40'!O33</f>
        <v>-1.802786285714286E-3</v>
      </c>
      <c r="C33" s="2">
        <f>IF('Modell einstellen'!$B$2="Ja",creep_res0!O33,creep_res0!C33)</f>
        <v>-3.1498225714285716E-3</v>
      </c>
      <c r="D33" s="2">
        <f>IF('Modell einstellen'!$B$2="Ja",creep_res25!O33,creep_res25!C33)</f>
        <v>-8.8143111428571428E-3</v>
      </c>
      <c r="E33" s="2">
        <f>IF('Modell einstellen'!$B$2="Ja",creep_res50!O33,creep_res50!C33)</f>
        <v>-2.4615299714285718E-2</v>
      </c>
      <c r="F33" s="2">
        <f>IF('Modell einstellen'!$B$2="Ja",creep_res80!O33,creep_res80!C33)</f>
        <v>-2.7336072000000003E-2</v>
      </c>
      <c r="G33" s="2">
        <f>IF('Modell einstellen'!$B$2="Ja",creep_res125!O33,creep_res125!C33)</f>
        <v>-2.7309677428571429E-2</v>
      </c>
      <c r="H33" s="2">
        <f>IF('Modell einstellen'!$B$2="Ja",creep_res160!O33,creep_res160!C33)</f>
        <v>-2.7362212285714289E-2</v>
      </c>
      <c r="M33" s="9">
        <f>M31</f>
        <v>-10</v>
      </c>
      <c r="N33" s="2">
        <f t="shared" si="4"/>
        <v>1000000000000000</v>
      </c>
      <c r="O33" s="2">
        <f t="shared" si="5"/>
        <v>5546.9691994233681</v>
      </c>
      <c r="P33" s="2">
        <f t="shared" si="6"/>
        <v>3174.7819990586318</v>
      </c>
      <c r="Q33" s="2">
        <f t="shared" si="7"/>
        <v>1134.5186070613929</v>
      </c>
      <c r="R33" s="2">
        <f t="shared" si="8"/>
        <v>406.25140120460964</v>
      </c>
      <c r="S33" s="2">
        <f t="shared" si="9"/>
        <v>365.81700545711175</v>
      </c>
      <c r="T33" s="2">
        <f t="shared" si="10"/>
        <v>366.17056448780988</v>
      </c>
      <c r="U33" s="2">
        <f t="shared" si="11"/>
        <v>365.4675249055415</v>
      </c>
      <c r="Z33" s="2">
        <v>1000000000000000</v>
      </c>
      <c r="AA33" s="3">
        <f>IF('Modell einstellen'!$B$2="Ja",'creep_res-40'!P33,'creep_res-40'!L33)</f>
        <v>0.39884466140666064</v>
      </c>
      <c r="AB33" s="2">
        <f>IF('Modell einstellen'!$B$2="Ja",creep_res0!P33,creep_res0!L33)</f>
        <v>0.41966918952985927</v>
      </c>
      <c r="AC33" s="2">
        <f>IF('Modell einstellen'!$B$2="Ja",creep_res25!P33,creep_res25!L33)</f>
        <v>0.45697800093866831</v>
      </c>
      <c r="AD33" s="2">
        <f>IF('Modell einstellen'!$B$2="Ja",creep_res50!P33,creep_res50!L33)</f>
        <v>0.48298510604595052</v>
      </c>
      <c r="AE33" s="2">
        <f>IF('Modell einstellen'!$B$2="Ja",creep_res80!P33,creep_res80!L33)</f>
        <v>0.48134369853869274</v>
      </c>
      <c r="AF33" s="2">
        <f>IF('Modell einstellen'!$B$2="Ja",creep_res125!P33,creep_res125!L33)</f>
        <v>0.48078199302055891</v>
      </c>
      <c r="AG33" s="2">
        <f>IF('Modell einstellen'!$B$2="Ja",creep_res160!P33,creep_res160!L33)</f>
        <v>0.4800012776744671</v>
      </c>
      <c r="AL33" s="2">
        <f t="shared" si="12"/>
        <v>1000000000000000</v>
      </c>
      <c r="AM33" s="2">
        <f t="shared" si="13"/>
        <v>1982.6966326072995</v>
      </c>
      <c r="AN33" s="2">
        <f t="shared" si="14"/>
        <v>1118.1414735463829</v>
      </c>
      <c r="AO33" s="2">
        <f t="shared" si="15"/>
        <v>389.33964903055204</v>
      </c>
      <c r="AP33" s="2">
        <f t="shared" si="16"/>
        <v>136.97082983111966</v>
      </c>
      <c r="AQ33" s="2">
        <f t="shared" si="17"/>
        <v>123.47472292148701</v>
      </c>
      <c r="AR33" s="2">
        <f t="shared" si="18"/>
        <v>123.64094316844046</v>
      </c>
      <c r="AS33" s="2">
        <f t="shared" si="19"/>
        <v>123.46865182434244</v>
      </c>
      <c r="AX33" s="2">
        <f>AL33</f>
        <v>1000000000000000</v>
      </c>
      <c r="AY33" s="37">
        <f t="shared" si="20"/>
        <v>9139.358134000011</v>
      </c>
      <c r="AZ33" s="37">
        <f t="shared" si="21"/>
        <v>6586.8915062561</v>
      </c>
      <c r="BA33" s="37">
        <f t="shared" si="22"/>
        <v>4395.1103769183901</v>
      </c>
      <c r="BB33" s="37">
        <f t="shared" si="23"/>
        <v>3979.3704886018731</v>
      </c>
      <c r="BC33" s="37">
        <f t="shared" si="24"/>
        <v>3268.0379353843514</v>
      </c>
      <c r="BD33" s="37">
        <f t="shared" si="25"/>
        <v>3175.5856619222559</v>
      </c>
      <c r="BE33" s="37">
        <f t="shared" si="26"/>
        <v>3045.7572818617796</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1" t="s">
        <v>26</v>
      </c>
      <c r="B15" s="131"/>
      <c r="C15" s="131"/>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6479.0859474371819</v>
      </c>
      <c r="G16" s="26">
        <f>INDEX(Comparison!$AM$3:$AS$33,G14,$B$3)</f>
        <v>6479.1324839978006</v>
      </c>
      <c r="H16" s="26">
        <f>INDEX(Comparison!$AM$3:$AS$33,H14,$B$3)</f>
        <v>6479.041978197979</v>
      </c>
      <c r="I16" s="26">
        <f>INDEX(Comparison!$AM$3:$AS$33,I14,$B$3)</f>
        <v>6478.4539559822069</v>
      </c>
      <c r="J16" s="26">
        <f>INDEX(Comparison!$AM$3:$AS$33,J14,$B$3)</f>
        <v>6472.7726535549082</v>
      </c>
      <c r="K16" s="26">
        <f>INDEX(Comparison!$AM$3:$AS$33,K14,$B$3)</f>
        <v>6425.3224026678754</v>
      </c>
      <c r="L16" s="26">
        <f>INDEX(Comparison!$AM$3:$AS$33,L14,$B$3)</f>
        <v>6280.1372572444334</v>
      </c>
      <c r="M16" s="26">
        <f>INDEX(Comparison!$AM$3:$AS$33,M14,$B$3)</f>
        <v>6130.7451181848783</v>
      </c>
      <c r="N16" s="26">
        <f>INDEX(Comparison!$AM$3:$AS$33,N14,$B$3)</f>
        <v>5959.459898848826</v>
      </c>
      <c r="O16" s="26">
        <f>INDEX(Comparison!$AM$3:$AS$33,O14,$B$3)</f>
        <v>5758.6320512376351</v>
      </c>
      <c r="P16" s="26">
        <f>INDEX(Comparison!$AM$3:$AS$33,P14,$B$3)</f>
        <v>5553.7107715147085</v>
      </c>
      <c r="Q16" s="26">
        <f>INDEX(Comparison!$AM$3:$AS$33,Q14,$B$3)</f>
        <v>5296.2160470219478</v>
      </c>
      <c r="R16" s="26">
        <f>INDEX(Comparison!$AM$3:$AS$33,R14,$B$3)</f>
        <v>5014.3504980568096</v>
      </c>
      <c r="S16" s="26">
        <f>INDEX(Comparison!$AM$3:$AS$33,S14,$B$3)</f>
        <v>4737.7084148388376</v>
      </c>
      <c r="T16" s="26">
        <f>INDEX(Comparison!$AM$3:$AS$33,T14,$B$3)</f>
        <v>4438.626264954587</v>
      </c>
      <c r="U16" s="26">
        <f>INDEX(Comparison!$AM$3:$AS$33,U14,$B$3)</f>
        <v>4115.3629839514006</v>
      </c>
      <c r="V16" s="26">
        <f>INDEX(Comparison!$AM$3:$AS$33,V14,$B$3)</f>
        <v>3662.5886079597385</v>
      </c>
      <c r="W16" s="26">
        <f>INDEX(Comparison!$AM$3:$AS$33,W14,$B$3)</f>
        <v>3039.7716426269371</v>
      </c>
      <c r="X16" s="26">
        <f>INDEX(Comparison!$AM$3:$AS$33,X14,$B$3)</f>
        <v>2356.5178874385392</v>
      </c>
      <c r="Y16" s="26">
        <f>INDEX(Comparison!$AM$3:$AS$33,Y14,$B$3)</f>
        <v>1664.6092730189016</v>
      </c>
      <c r="Z16" s="26">
        <f>INDEX(Comparison!$AM$3:$AS$33,Z14,$B$3)</f>
        <v>1039.9214556238178</v>
      </c>
      <c r="AA16" s="26">
        <f>INDEX(Comparison!$AM$3:$AS$33,AA14,$B$3)</f>
        <v>595.89522173414423</v>
      </c>
      <c r="AB16" s="26">
        <f>INDEX(Comparison!$AM$3:$AS$33,AB14,$B$3)</f>
        <v>331.71701217899948</v>
      </c>
      <c r="AC16" s="26">
        <f>INDEX(Comparison!$AM$3:$AS$33,AC14,$B$3)</f>
        <v>192.72704730170403</v>
      </c>
      <c r="AD16" s="26">
        <f>INDEX(Comparison!$AM$3:$AS$33,AD14,$B$3)</f>
        <v>148.89299884614732</v>
      </c>
      <c r="AE16" s="26">
        <f>INDEX(Comparison!$AM$3:$AS$33,AE14,$B$3)</f>
        <v>134.12130031566326</v>
      </c>
      <c r="AF16" s="26">
        <f>INDEX(Comparison!$AM$3:$AS$33,AF14,$B$3)</f>
        <v>124.90206072555479</v>
      </c>
      <c r="AG16" s="26">
        <f>INDEX(Comparison!$AM$3:$AS$33,AG14,$B$3)</f>
        <v>124.64007063602084</v>
      </c>
      <c r="AH16" s="26">
        <f>INDEX(Comparison!$AM$3:$AS$33,AH14,$B$3)</f>
        <v>123.89500698166064</v>
      </c>
      <c r="AI16" s="26">
        <f>INDEX(Comparison!$AM$3:$AS$33,AI14,$B$3)</f>
        <v>123.88320178471095</v>
      </c>
      <c r="AJ16" s="26">
        <f>INDEX(Comparison!$AM$3:$AS$33,AJ14,$B$3)</f>
        <v>123.47472292148701</v>
      </c>
    </row>
    <row r="17" spans="1:36" x14ac:dyDescent="0.25">
      <c r="A17" s="14" t="s">
        <v>20</v>
      </c>
      <c r="B17" s="105">
        <v>1.9256912076282641E-2</v>
      </c>
      <c r="C17" s="18">
        <f t="shared" ref="C17:C48" si="3">ABS(B17/$B$49)</f>
        <v>1.8666849154937951E-2</v>
      </c>
      <c r="D17" s="66"/>
      <c r="E17" s="65" t="s">
        <v>22</v>
      </c>
      <c r="F17" s="27">
        <f>($C$17+SUM(F18:F48))*$B$51</f>
        <v>6479.4173945203111</v>
      </c>
      <c r="G17" s="27">
        <f t="shared" ref="G17:M17" si="4">($C$17+SUM(G18:G48))*$B$51</f>
        <v>6479.4098224930394</v>
      </c>
      <c r="H17" s="27">
        <f t="shared" si="4"/>
        <v>6479.3341469977386</v>
      </c>
      <c r="I17" s="27">
        <f t="shared" si="4"/>
        <v>6478.5818432109809</v>
      </c>
      <c r="J17" s="27">
        <f t="shared" si="4"/>
        <v>6471.4785465571667</v>
      </c>
      <c r="K17" s="27">
        <f t="shared" si="4"/>
        <v>6425.6175200356038</v>
      </c>
      <c r="L17" s="27">
        <f t="shared" si="4"/>
        <v>6280.1208683889499</v>
      </c>
      <c r="M17" s="27">
        <f t="shared" si="4"/>
        <v>6130.6746241219416</v>
      </c>
      <c r="N17" s="27">
        <f t="shared" ref="N17" si="5">($C$17+SUM(N18:N48))*$B$51</f>
        <v>5959.6523788731929</v>
      </c>
      <c r="O17" s="27">
        <f t="shared" ref="O17" si="6">($C$17+SUM(O18:O48))*$B$51</f>
        <v>5758.2385072650131</v>
      </c>
      <c r="P17" s="27">
        <f t="shared" ref="P17" si="7">($C$17+SUM(P18:P48))*$B$51</f>
        <v>5554.3841101126818</v>
      </c>
      <c r="Q17" s="27">
        <f t="shared" ref="Q17" si="8">($C$17+SUM(Q18:Q48))*$B$51</f>
        <v>5295.2360373201445</v>
      </c>
      <c r="R17" s="27">
        <f t="shared" ref="R17" si="9">($C$17+SUM(R18:R48))*$B$51</f>
        <v>5015.5630964993961</v>
      </c>
      <c r="S17" s="27">
        <f t="shared" ref="S17:T17" si="10">($C$17+SUM(S18:S48))*$B$51</f>
        <v>4736.4306946254346</v>
      </c>
      <c r="T17" s="27">
        <f t="shared" si="10"/>
        <v>4439.7769128197897</v>
      </c>
      <c r="U17" s="27">
        <f t="shared" ref="U17" si="11">($C$17+SUM(U18:U48))*$B$51</f>
        <v>4114.4760224463907</v>
      </c>
      <c r="V17" s="27">
        <f t="shared" ref="V17" si="12">($C$17+SUM(V18:V48))*$B$51</f>
        <v>3663.1765450388234</v>
      </c>
      <c r="W17" s="27">
        <f t="shared" ref="W17" si="13">($C$17+SUM(W18:W48))*$B$51</f>
        <v>3039.432542847569</v>
      </c>
      <c r="X17" s="27">
        <f t="shared" ref="X17" si="14">($C$17+SUM(X18:X48))*$B$51</f>
        <v>2356.6908091986825</v>
      </c>
      <c r="Y17" s="27">
        <f t="shared" ref="Y17" si="15">($C$17+SUM(Y18:Y48))*$B$51</f>
        <v>1664.5297615424545</v>
      </c>
      <c r="Z17" s="27">
        <f t="shared" ref="Z17:AA17" si="16">($C$17+SUM(Z18:Z48))*$B$51</f>
        <v>1039.9560035477971</v>
      </c>
      <c r="AA17" s="27">
        <f t="shared" si="16"/>
        <v>595.87814759475407</v>
      </c>
      <c r="AB17" s="27">
        <f t="shared" ref="AB17" si="17">($C$17+SUM(AB18:AB48))*$B$51</f>
        <v>331.73689354379809</v>
      </c>
      <c r="AC17" s="27">
        <f t="shared" ref="AC17" si="18">($C$17+SUM(AC18:AC48))*$B$51</f>
        <v>192.69150907064895</v>
      </c>
      <c r="AD17" s="27">
        <f t="shared" ref="AD17" si="19">($C$17+SUM(AD18:AD48))*$B$51</f>
        <v>148.94455539923553</v>
      </c>
      <c r="AE17" s="27">
        <f t="shared" ref="AE17" si="20">($C$17+SUM(AE18:AE48))*$B$51</f>
        <v>134.05405221959603</v>
      </c>
      <c r="AF17" s="27">
        <f t="shared" ref="AF17" si="21">($C$17+SUM(AF18:AF48))*$B$51</f>
        <v>124.98717582100117</v>
      </c>
      <c r="AG17" s="27">
        <f t="shared" ref="AG17:AH17" si="22">($C$17+SUM(AG18:AG48))*$B$51</f>
        <v>124.52409237864396</v>
      </c>
      <c r="AH17" s="27">
        <f t="shared" si="22"/>
        <v>124.05519369270712</v>
      </c>
      <c r="AI17" s="27">
        <f t="shared" ref="AI17" si="23">($C$17+SUM(AI18:AI48))*$B$51</f>
        <v>123.71773904314418</v>
      </c>
      <c r="AJ17" s="27">
        <f t="shared" ref="AJ17" si="24">($C$17+SUM(AJ18:AJ48))*$B$51</f>
        <v>123.55128956685287</v>
      </c>
    </row>
    <row r="18" spans="1:36" x14ac:dyDescent="0.25">
      <c r="A18" s="3">
        <f>0.000000000000001/10^5</f>
        <v>1.0000000000000001E-20</v>
      </c>
      <c r="B18" s="106">
        <v>7.0640049651200234E-3</v>
      </c>
      <c r="C18" s="18">
        <f t="shared" si="3"/>
        <v>6.8475524316296832E-3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4.2613456257095134E-3</v>
      </c>
      <c r="C22" s="18">
        <f t="shared" si="3"/>
        <v>4.1307711058277694E-3</v>
      </c>
      <c r="D22" s="17"/>
      <c r="F22" s="3">
        <f t="shared" si="25"/>
        <v>4.1306934330689786E-3</v>
      </c>
      <c r="G22" s="3">
        <f t="shared" si="25"/>
        <v>4.1299944439597835E-3</v>
      </c>
      <c r="H22" s="3">
        <f t="shared" si="25"/>
        <v>4.1230110550643413E-3</v>
      </c>
      <c r="I22" s="3">
        <f t="shared" si="25"/>
        <v>4.0538233327044749E-3</v>
      </c>
      <c r="J22" s="3">
        <f t="shared" si="25"/>
        <v>3.422693464610313E-3</v>
      </c>
      <c r="K22" s="3">
        <f t="shared" si="25"/>
        <v>6.3008607421613191E-4</v>
      </c>
      <c r="L22" s="3">
        <f t="shared" si="25"/>
        <v>2.816557600568317E-11</v>
      </c>
      <c r="M22" s="3">
        <f t="shared" si="25"/>
        <v>8.9723498262115883E-85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2.8884731037909003E-2</v>
      </c>
      <c r="C23" s="18">
        <f t="shared" si="3"/>
        <v>2.7999656176946438E-2</v>
      </c>
      <c r="D23" s="17"/>
      <c r="F23" s="3">
        <f t="shared" si="25"/>
        <v>2.7999608682743413E-2</v>
      </c>
      <c r="G23" s="3">
        <f t="shared" si="25"/>
        <v>2.7999181238541448E-2</v>
      </c>
      <c r="H23" s="3">
        <f t="shared" si="25"/>
        <v>2.7994907155402149E-2</v>
      </c>
      <c r="I23" s="3">
        <f t="shared" si="25"/>
        <v>2.7952202191782682E-2</v>
      </c>
      <c r="J23" s="3">
        <f t="shared" si="25"/>
        <v>2.7528719155524992E-2</v>
      </c>
      <c r="K23" s="3">
        <f t="shared" si="25"/>
        <v>2.3631199467979279E-2</v>
      </c>
      <c r="L23" s="3">
        <f t="shared" si="25"/>
        <v>5.1343252194014036E-3</v>
      </c>
      <c r="M23" s="3">
        <f t="shared" si="25"/>
        <v>1.2035370320543529E-9</v>
      </c>
      <c r="N23" s="3">
        <f t="shared" si="25"/>
        <v>6.0286530635314891E-76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2.2668636935272223E-2</v>
      </c>
      <c r="C24" s="18">
        <f t="shared" si="3"/>
        <v>2.1974033248038118E-2</v>
      </c>
      <c r="D24" s="17"/>
      <c r="F24" s="3">
        <f t="shared" si="25"/>
        <v>2.1974029885675032E-2</v>
      </c>
      <c r="G24" s="3">
        <f t="shared" si="25"/>
        <v>2.1973999624430394E-2</v>
      </c>
      <c r="H24" s="3">
        <f t="shared" si="25"/>
        <v>2.1973697014276077E-2</v>
      </c>
      <c r="I24" s="3">
        <f t="shared" si="25"/>
        <v>2.1970671141926589E-2</v>
      </c>
      <c r="J24" s="3">
        <f t="shared" si="25"/>
        <v>2.1940435326125166E-2</v>
      </c>
      <c r="K24" s="3">
        <f t="shared" si="25"/>
        <v>2.1640356307921407E-2</v>
      </c>
      <c r="L24" s="3">
        <f t="shared" si="25"/>
        <v>1.8856282487453614E-2</v>
      </c>
      <c r="M24" s="3">
        <f t="shared" si="25"/>
        <v>4.7574338902330194E-3</v>
      </c>
      <c r="N24" s="3">
        <f t="shared" si="25"/>
        <v>4.9720973632673221E-9</v>
      </c>
      <c r="O24" s="3">
        <f t="shared" si="25"/>
        <v>7.730511812629109E-69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2.9150953998161373E-2</v>
      </c>
      <c r="C25" s="18">
        <f t="shared" si="3"/>
        <v>2.8257721635256996E-2</v>
      </c>
      <c r="D25" s="17"/>
      <c r="F25" s="3">
        <f t="shared" si="25"/>
        <v>2.8257721245208509E-2</v>
      </c>
      <c r="G25" s="3">
        <f t="shared" si="25"/>
        <v>2.8257717734772387E-2</v>
      </c>
      <c r="H25" s="3">
        <f t="shared" si="25"/>
        <v>2.8257682630435113E-2</v>
      </c>
      <c r="I25" s="3">
        <f t="shared" si="25"/>
        <v>2.8257331589460907E-2</v>
      </c>
      <c r="J25" s="3">
        <f t="shared" si="25"/>
        <v>2.8253821419561075E-2</v>
      </c>
      <c r="K25" s="3">
        <f t="shared" si="25"/>
        <v>2.8218743693761202E-2</v>
      </c>
      <c r="L25" s="3">
        <f t="shared" si="25"/>
        <v>2.787035277289069E-2</v>
      </c>
      <c r="M25" s="3">
        <f t="shared" si="25"/>
        <v>2.4614463564740136E-2</v>
      </c>
      <c r="N25" s="3">
        <f t="shared" si="25"/>
        <v>7.1067243494292841E-3</v>
      </c>
      <c r="O25" s="3">
        <f t="shared" si="25"/>
        <v>2.8606216628979705E-8</v>
      </c>
      <c r="P25" s="3">
        <f t="shared" si="25"/>
        <v>3.1942576817939088E-62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3.5516675973003203E-2</v>
      </c>
      <c r="C26" s="18">
        <f t="shared" si="3"/>
        <v>3.4428387596441817E-2</v>
      </c>
      <c r="D26" s="17"/>
      <c r="F26" s="3">
        <f t="shared" si="25"/>
        <v>3.4428387553572679E-2</v>
      </c>
      <c r="G26" s="3">
        <f t="shared" si="25"/>
        <v>3.4428387167750457E-2</v>
      </c>
      <c r="H26" s="3">
        <f t="shared" si="25"/>
        <v>3.4428383309528486E-2</v>
      </c>
      <c r="I26" s="3">
        <f t="shared" si="25"/>
        <v>3.4428344727332499E-2</v>
      </c>
      <c r="J26" s="3">
        <f t="shared" si="25"/>
        <v>3.4427958907750723E-2</v>
      </c>
      <c r="K26" s="3">
        <f t="shared" si="25"/>
        <v>3.4424100949726706E-2</v>
      </c>
      <c r="L26" s="3">
        <f t="shared" si="25"/>
        <v>3.4385545139006907E-2</v>
      </c>
      <c r="M26" s="3">
        <f t="shared" si="25"/>
        <v>3.4002354157500615E-2</v>
      </c>
      <c r="N26" s="3">
        <f t="shared" si="25"/>
        <v>3.0397629164738295E-2</v>
      </c>
      <c r="O26" s="3">
        <f t="shared" si="25"/>
        <v>9.9116731599101105E-3</v>
      </c>
      <c r="P26" s="3">
        <f t="shared" si="25"/>
        <v>1.3465409754704394E-7</v>
      </c>
      <c r="Q26" s="3">
        <f t="shared" si="25"/>
        <v>2.8836701597327273E-56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3.0347230045376764E-2</v>
      </c>
      <c r="C27" s="18">
        <f t="shared" si="3"/>
        <v>2.9417341850199882E-2</v>
      </c>
      <c r="D27" s="17"/>
      <c r="F27" s="3">
        <f t="shared" si="25"/>
        <v>2.9417341846895595E-2</v>
      </c>
      <c r="G27" s="3">
        <f t="shared" si="25"/>
        <v>2.9417341817156988E-2</v>
      </c>
      <c r="H27" s="3">
        <f t="shared" si="25"/>
        <v>2.9417341519770955E-2</v>
      </c>
      <c r="I27" s="3">
        <f t="shared" si="25"/>
        <v>2.9417338545910759E-2</v>
      </c>
      <c r="J27" s="3">
        <f t="shared" si="25"/>
        <v>2.9417308807325338E-2</v>
      </c>
      <c r="K27" s="3">
        <f t="shared" si="25"/>
        <v>2.9417011423124643E-2</v>
      </c>
      <c r="L27" s="3">
        <f t="shared" si="25"/>
        <v>2.9414037746459343E-2</v>
      </c>
      <c r="M27" s="3">
        <f t="shared" si="25"/>
        <v>2.9384317507792173E-2</v>
      </c>
      <c r="N27" s="3">
        <f t="shared" si="25"/>
        <v>2.908876175424752E-2</v>
      </c>
      <c r="O27" s="3">
        <f t="shared" si="25"/>
        <v>2.6291871476112963E-2</v>
      </c>
      <c r="P27" s="3">
        <f t="shared" si="25"/>
        <v>9.5671847430473869E-3</v>
      </c>
      <c r="Q27" s="3">
        <f t="shared" si="25"/>
        <v>3.8941327912599713E-7</v>
      </c>
      <c r="R27" s="3">
        <f t="shared" si="25"/>
        <v>4.8604527354552039E-51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5.0571748277915364E-2</v>
      </c>
      <c r="C28" s="18">
        <f t="shared" si="3"/>
        <v>4.9022148144302696E-2</v>
      </c>
      <c r="D28" s="17"/>
      <c r="F28" s="3">
        <f t="shared" si="25"/>
        <v>4.9022148143805976E-2</v>
      </c>
      <c r="G28" s="3">
        <f t="shared" si="25"/>
        <v>4.9022148139335475E-2</v>
      </c>
      <c r="H28" s="3">
        <f t="shared" si="25"/>
        <v>4.9022148094630472E-2</v>
      </c>
      <c r="I28" s="3">
        <f t="shared" si="25"/>
        <v>4.9022147647580505E-2</v>
      </c>
      <c r="J28" s="3">
        <f t="shared" si="25"/>
        <v>4.9022143177080986E-2</v>
      </c>
      <c r="K28" s="3">
        <f t="shared" si="25"/>
        <v>4.9022098472108248E-2</v>
      </c>
      <c r="L28" s="3">
        <f t="shared" si="25"/>
        <v>4.9021651424623051E-2</v>
      </c>
      <c r="M28" s="3">
        <f t="shared" si="25"/>
        <v>4.9017181173986943E-2</v>
      </c>
      <c r="N28" s="3">
        <f t="shared" si="25"/>
        <v>4.8972501081642791E-2</v>
      </c>
      <c r="O28" s="3">
        <f t="shared" si="25"/>
        <v>4.8527934015463181E-2</v>
      </c>
      <c r="P28" s="3">
        <f t="shared" si="25"/>
        <v>4.4298292037367668E-2</v>
      </c>
      <c r="Q28" s="3">
        <f t="shared" si="25"/>
        <v>1.7796671191025581E-2</v>
      </c>
      <c r="R28" s="3">
        <f t="shared" si="25"/>
        <v>1.9492014371223339E-6</v>
      </c>
      <c r="S28" s="3">
        <f t="shared" si="25"/>
        <v>4.8421271175414728E-46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4.3126562146256944E-2</v>
      </c>
      <c r="C29" s="18">
        <f t="shared" si="3"/>
        <v>4.1805094553385949E-2</v>
      </c>
      <c r="D29" s="17"/>
      <c r="F29" s="3">
        <f t="shared" si="25"/>
        <v>4.1805094553347737E-2</v>
      </c>
      <c r="G29" s="3">
        <f t="shared" si="25"/>
        <v>4.1805094553003831E-2</v>
      </c>
      <c r="H29" s="3">
        <f t="shared" si="25"/>
        <v>4.1805094549564777E-2</v>
      </c>
      <c r="I29" s="3">
        <f t="shared" si="25"/>
        <v>4.1805094515174189E-2</v>
      </c>
      <c r="J29" s="3">
        <f t="shared" si="25"/>
        <v>4.1805094171268362E-2</v>
      </c>
      <c r="K29" s="3">
        <f t="shared" si="25"/>
        <v>4.1805090732210226E-2</v>
      </c>
      <c r="L29" s="3">
        <f t="shared" si="25"/>
        <v>4.1805056341644421E-2</v>
      </c>
      <c r="M29" s="3">
        <f t="shared" si="25"/>
        <v>4.1804712437542385E-2</v>
      </c>
      <c r="N29" s="3">
        <f t="shared" si="25"/>
        <v>4.1801273552117824E-2</v>
      </c>
      <c r="O29" s="3">
        <f t="shared" si="25"/>
        <v>4.1766900252717336E-2</v>
      </c>
      <c r="P29" s="3">
        <f t="shared" si="25"/>
        <v>4.1424718019081798E-2</v>
      </c>
      <c r="Q29" s="3">
        <f t="shared" si="25"/>
        <v>3.8153353631265721E-2</v>
      </c>
      <c r="R29" s="3">
        <f t="shared" si="25"/>
        <v>1.6759624677786623E-2</v>
      </c>
      <c r="S29" s="3">
        <f t="shared" si="25"/>
        <v>4.4831162018872985E-6</v>
      </c>
      <c r="T29" s="3">
        <f t="shared" si="25"/>
        <v>8.4088589634340384E-42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4.8400434699366307E-2</v>
      </c>
      <c r="C30" s="18">
        <f t="shared" si="3"/>
        <v>4.6917367124464961E-2</v>
      </c>
      <c r="D30" s="17"/>
      <c r="F30" s="3">
        <f t="shared" si="25"/>
        <v>4.6917367124461089E-2</v>
      </c>
      <c r="G30" s="3">
        <f t="shared" si="25"/>
        <v>4.6917367124426276E-2</v>
      </c>
      <c r="H30" s="3">
        <f t="shared" si="25"/>
        <v>4.691736712407811E-2</v>
      </c>
      <c r="I30" s="3">
        <f t="shared" si="25"/>
        <v>4.6917367120596416E-2</v>
      </c>
      <c r="J30" s="3">
        <f t="shared" si="25"/>
        <v>4.6917367085779475E-2</v>
      </c>
      <c r="K30" s="3">
        <f t="shared" si="25"/>
        <v>4.6917366737610114E-2</v>
      </c>
      <c r="L30" s="3">
        <f t="shared" si="25"/>
        <v>4.6917363255916639E-2</v>
      </c>
      <c r="M30" s="3">
        <f t="shared" si="25"/>
        <v>4.6917328438996132E-2</v>
      </c>
      <c r="N30" s="3">
        <f t="shared" si="25"/>
        <v>4.6916980271212057E-2</v>
      </c>
      <c r="O30" s="3">
        <f t="shared" si="25"/>
        <v>4.6913498735472278E-2</v>
      </c>
      <c r="P30" s="3">
        <f t="shared" si="25"/>
        <v>4.6878697584266334E-2</v>
      </c>
      <c r="Q30" s="3">
        <f t="shared" si="25"/>
        <v>4.6532102798476652E-2</v>
      </c>
      <c r="R30" s="3">
        <f t="shared" si="25"/>
        <v>4.3204013623948954E-2</v>
      </c>
      <c r="S30" s="3">
        <f t="shared" si="25"/>
        <v>2.0570187448599501E-2</v>
      </c>
      <c r="T30" s="3">
        <f t="shared" si="25"/>
        <v>1.2313451340785693E-5</v>
      </c>
      <c r="U30" s="3">
        <f t="shared" si="25"/>
        <v>7.2743683900375226E-38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4.8553894387567027E-2</v>
      </c>
      <c r="C31" s="18">
        <f t="shared" si="3"/>
        <v>4.7066124559699593E-2</v>
      </c>
      <c r="D31" s="17"/>
      <c r="F31" s="3">
        <f t="shared" si="25"/>
        <v>4.7066124559699246E-2</v>
      </c>
      <c r="G31" s="3">
        <f t="shared" si="25"/>
        <v>4.7066124559696089E-2</v>
      </c>
      <c r="H31" s="3">
        <f t="shared" si="25"/>
        <v>4.7066124559664586E-2</v>
      </c>
      <c r="I31" s="3">
        <f t="shared" si="25"/>
        <v>4.7066124559349512E-2</v>
      </c>
      <c r="J31" s="3">
        <f t="shared" si="25"/>
        <v>4.7066124556198775E-2</v>
      </c>
      <c r="K31" s="3">
        <f t="shared" si="25"/>
        <v>4.7066124524691423E-2</v>
      </c>
      <c r="L31" s="3">
        <f t="shared" si="25"/>
        <v>4.7066124209617866E-2</v>
      </c>
      <c r="M31" s="3">
        <f t="shared" si="25"/>
        <v>4.7066121058882464E-2</v>
      </c>
      <c r="N31" s="3">
        <f t="shared" si="25"/>
        <v>4.7066089551540007E-2</v>
      </c>
      <c r="O31" s="3">
        <f t="shared" si="25"/>
        <v>4.7065774479275527E-2</v>
      </c>
      <c r="P31" s="3">
        <f t="shared" si="25"/>
        <v>4.7062623872632853E-2</v>
      </c>
      <c r="Q31" s="3">
        <f t="shared" si="25"/>
        <v>4.7031129403552745E-2</v>
      </c>
      <c r="R31" s="3">
        <f t="shared" si="25"/>
        <v>4.6717341580020527E-2</v>
      </c>
      <c r="S31" s="3">
        <f t="shared" si="25"/>
        <v>4.3692335235222916E-2</v>
      </c>
      <c r="T31" s="3">
        <f t="shared" si="25"/>
        <v>2.2370547505441794E-2</v>
      </c>
      <c r="U31" s="3">
        <f t="shared" si="25"/>
        <v>2.7694286119145211E-5</v>
      </c>
      <c r="V31" s="3">
        <f t="shared" si="26"/>
        <v>2.3416705221795678E-34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5.3514774720291695E-2</v>
      </c>
      <c r="C32" s="18">
        <f t="shared" si="3"/>
        <v>5.1874995498084546E-2</v>
      </c>
      <c r="D32" s="17"/>
      <c r="F32" s="3">
        <f t="shared" si="25"/>
        <v>5.1874995498084511E-2</v>
      </c>
      <c r="G32" s="3">
        <f t="shared" si="25"/>
        <v>5.1874995498084199E-2</v>
      </c>
      <c r="H32" s="3">
        <f t="shared" si="25"/>
        <v>5.187499549808107E-2</v>
      </c>
      <c r="I32" s="3">
        <f t="shared" si="25"/>
        <v>5.1874995498049734E-2</v>
      </c>
      <c r="J32" s="3">
        <f t="shared" si="25"/>
        <v>5.1874995497736477E-2</v>
      </c>
      <c r="K32" s="3">
        <f t="shared" si="25"/>
        <v>5.1874995494603858E-2</v>
      </c>
      <c r="L32" s="3">
        <f t="shared" si="25"/>
        <v>5.1874995463277618E-2</v>
      </c>
      <c r="M32" s="3">
        <f t="shared" si="25"/>
        <v>5.1874995150015292E-2</v>
      </c>
      <c r="N32" s="3">
        <f t="shared" si="25"/>
        <v>5.1874992017392103E-2</v>
      </c>
      <c r="O32" s="3">
        <f t="shared" si="25"/>
        <v>5.1874960691170646E-2</v>
      </c>
      <c r="P32" s="3">
        <f t="shared" si="25"/>
        <v>5.1874647429996479E-2</v>
      </c>
      <c r="Q32" s="3">
        <f t="shared" si="25"/>
        <v>5.187151492229717E-2</v>
      </c>
      <c r="R32" s="3">
        <f t="shared" si="25"/>
        <v>5.1840200247215536E-2</v>
      </c>
      <c r="S32" s="3">
        <f t="shared" si="25"/>
        <v>5.1528091367138533E-2</v>
      </c>
      <c r="T32" s="3">
        <f t="shared" si="25"/>
        <v>4.8508507652682047E-2</v>
      </c>
      <c r="U32" s="3">
        <f t="shared" si="25"/>
        <v>2.6518960159818368E-2</v>
      </c>
      <c r="V32" s="3">
        <f t="shared" si="26"/>
        <v>6.3232777748533904E-5</v>
      </c>
      <c r="W32" s="3">
        <f t="shared" si="26"/>
        <v>3.756643256779071E-31</v>
      </c>
      <c r="X32" s="3">
        <f t="shared" si="26"/>
        <v>2.0576755709345259E-293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9.6680882243708036E-2</v>
      </c>
      <c r="C33" s="18">
        <f t="shared" si="3"/>
        <v>9.3718423694335209E-2</v>
      </c>
      <c r="D33" s="17"/>
      <c r="F33" s="3">
        <f t="shared" si="25"/>
        <v>9.3718423694335196E-2</v>
      </c>
      <c r="G33" s="3">
        <f t="shared" si="25"/>
        <v>9.3718423694335154E-2</v>
      </c>
      <c r="H33" s="3">
        <f t="shared" si="25"/>
        <v>9.371842369433464E-2</v>
      </c>
      <c r="I33" s="3">
        <f t="shared" si="25"/>
        <v>9.3718423694329533E-2</v>
      </c>
      <c r="J33" s="3">
        <f t="shared" si="25"/>
        <v>9.3718423694278477E-2</v>
      </c>
      <c r="K33" s="3">
        <f t="shared" si="25"/>
        <v>9.3718423693767955E-2</v>
      </c>
      <c r="L33" s="3">
        <f t="shared" si="25"/>
        <v>9.371842368866265E-2</v>
      </c>
      <c r="M33" s="3">
        <f t="shared" si="25"/>
        <v>9.3718423637609599E-2</v>
      </c>
      <c r="N33" s="3">
        <f t="shared" si="25"/>
        <v>9.3718423127079134E-2</v>
      </c>
      <c r="O33" s="3">
        <f t="shared" si="25"/>
        <v>9.3718418021774594E-2</v>
      </c>
      <c r="P33" s="3">
        <f t="shared" si="25"/>
        <v>9.3718366968744457E-2</v>
      </c>
      <c r="Q33" s="3">
        <f t="shared" si="25"/>
        <v>9.3717856439972658E-2</v>
      </c>
      <c r="R33" s="3">
        <f t="shared" si="25"/>
        <v>9.3712751305212408E-2</v>
      </c>
      <c r="S33" s="3">
        <f t="shared" si="25"/>
        <v>9.3661715250296804E-2</v>
      </c>
      <c r="T33" s="3">
        <f t="shared" si="25"/>
        <v>9.3152880891953144E-2</v>
      </c>
      <c r="U33" s="3">
        <f t="shared" ref="P33:AE48" si="27">$C33*EXP(-U$15/$A33)</f>
        <v>8.8214124550926393E-2</v>
      </c>
      <c r="V33" s="3">
        <f t="shared" si="27"/>
        <v>5.1163059485587421E-2</v>
      </c>
      <c r="W33" s="3">
        <f t="shared" si="27"/>
        <v>2.2036381906746793E-4</v>
      </c>
      <c r="X33" s="3">
        <f t="shared" si="27"/>
        <v>4.8414798215453024E-28</v>
      </c>
      <c r="Y33" s="3">
        <f t="shared" si="27"/>
        <v>1.2686928237107006E-264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0.11020004121240415</v>
      </c>
      <c r="C34" s="18">
        <f t="shared" si="3"/>
        <v>0.10682333377392636</v>
      </c>
      <c r="D34" s="17"/>
      <c r="F34" s="3">
        <f t="shared" ref="F34:O48" si="28">$C34*EXP(-F$15/$A34)</f>
        <v>0.10682333377392636</v>
      </c>
      <c r="G34" s="3">
        <f t="shared" si="28"/>
        <v>0.10682333377392636</v>
      </c>
      <c r="H34" s="3">
        <f t="shared" si="28"/>
        <v>0.1068233337739263</v>
      </c>
      <c r="I34" s="3">
        <f t="shared" si="28"/>
        <v>0.10682333377392578</v>
      </c>
      <c r="J34" s="3">
        <f t="shared" si="28"/>
        <v>0.10682333377392053</v>
      </c>
      <c r="K34" s="3">
        <f t="shared" si="28"/>
        <v>0.10682333377386803</v>
      </c>
      <c r="L34" s="3">
        <f t="shared" si="28"/>
        <v>0.10682333377334309</v>
      </c>
      <c r="M34" s="3">
        <f t="shared" si="28"/>
        <v>0.10682333376809371</v>
      </c>
      <c r="N34" s="3">
        <f t="shared" si="28"/>
        <v>0.10682333371559972</v>
      </c>
      <c r="O34" s="3">
        <f t="shared" si="28"/>
        <v>0.10682333319066004</v>
      </c>
      <c r="P34" s="3">
        <f t="shared" si="27"/>
        <v>0.10682332794126329</v>
      </c>
      <c r="Q34" s="3">
        <f t="shared" si="27"/>
        <v>0.10682327544730993</v>
      </c>
      <c r="R34" s="3">
        <f t="shared" si="27"/>
        <v>0.10682275050919521</v>
      </c>
      <c r="S34" s="3">
        <f t="shared" si="27"/>
        <v>0.10681750126992323</v>
      </c>
      <c r="T34" s="3">
        <f t="shared" si="27"/>
        <v>0.10676502306214826</v>
      </c>
      <c r="U34" s="3">
        <f t="shared" si="27"/>
        <v>0.10624165690313921</v>
      </c>
      <c r="V34" s="3">
        <f t="shared" si="27"/>
        <v>0.10114704623330444</v>
      </c>
      <c r="W34" s="3">
        <f t="shared" si="27"/>
        <v>6.1878090071394498E-2</v>
      </c>
      <c r="X34" s="3">
        <f t="shared" si="27"/>
        <v>4.5433255398128337E-4</v>
      </c>
      <c r="Y34" s="3">
        <f t="shared" si="27"/>
        <v>2.0689186497127229E-25</v>
      </c>
      <c r="Z34" s="3">
        <f t="shared" si="27"/>
        <v>7.9330281920286919E-239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0.11628200127951875</v>
      </c>
      <c r="C35" s="18">
        <f t="shared" si="3"/>
        <v>0.11271893275103405</v>
      </c>
      <c r="D35" s="17"/>
      <c r="F35" s="3">
        <f t="shared" si="28"/>
        <v>0.11271893275103405</v>
      </c>
      <c r="G35" s="3">
        <f t="shared" si="28"/>
        <v>0.11271893275103405</v>
      </c>
      <c r="H35" s="3">
        <f t="shared" si="28"/>
        <v>0.11271893275103405</v>
      </c>
      <c r="I35" s="3">
        <f t="shared" si="28"/>
        <v>0.11271893275103399</v>
      </c>
      <c r="J35" s="3">
        <f t="shared" si="28"/>
        <v>0.11271893275103349</v>
      </c>
      <c r="K35" s="3">
        <f t="shared" si="28"/>
        <v>0.1127189327510285</v>
      </c>
      <c r="L35" s="3">
        <f t="shared" si="28"/>
        <v>0.11271893275097854</v>
      </c>
      <c r="M35" s="3">
        <f t="shared" si="28"/>
        <v>0.11271893275047885</v>
      </c>
      <c r="N35" s="3">
        <f t="shared" si="28"/>
        <v>0.11271893274548211</v>
      </c>
      <c r="O35" s="3">
        <f t="shared" si="28"/>
        <v>0.11271893269551471</v>
      </c>
      <c r="P35" s="3">
        <f t="shared" si="27"/>
        <v>0.11271893219584073</v>
      </c>
      <c r="Q35" s="3">
        <f t="shared" si="27"/>
        <v>0.11271892719910097</v>
      </c>
      <c r="R35" s="3">
        <f t="shared" si="27"/>
        <v>0.11271887723171553</v>
      </c>
      <c r="S35" s="3">
        <f t="shared" si="27"/>
        <v>0.11271837755907949</v>
      </c>
      <c r="T35" s="3">
        <f t="shared" si="27"/>
        <v>0.11271338095454257</v>
      </c>
      <c r="U35" s="3">
        <f t="shared" si="27"/>
        <v>0.11266342708953452</v>
      </c>
      <c r="V35" s="3">
        <f t="shared" si="27"/>
        <v>0.1121651044801306</v>
      </c>
      <c r="W35" s="3">
        <f t="shared" si="27"/>
        <v>0.10730151135684887</v>
      </c>
      <c r="X35" s="3">
        <f t="shared" si="27"/>
        <v>6.8878959507283746E-2</v>
      </c>
      <c r="Y35" s="3">
        <f t="shared" si="27"/>
        <v>8.1826498414844045E-4</v>
      </c>
      <c r="Z35" s="3">
        <f t="shared" si="27"/>
        <v>4.5810797879277777E-23</v>
      </c>
      <c r="AA35" s="3">
        <f t="shared" si="27"/>
        <v>1.3858197478389811E-215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0.11265195919992538</v>
      </c>
      <c r="C36" s="18">
        <f t="shared" si="3"/>
        <v>0.10920012102995319</v>
      </c>
      <c r="D36" s="17"/>
      <c r="F36" s="3">
        <f t="shared" si="28"/>
        <v>0.10920012102995319</v>
      </c>
      <c r="G36" s="3">
        <f t="shared" si="28"/>
        <v>0.10920012102995319</v>
      </c>
      <c r="H36" s="3">
        <f t="shared" si="28"/>
        <v>0.10920012102995319</v>
      </c>
      <c r="I36" s="3">
        <f t="shared" si="28"/>
        <v>0.10920012102995319</v>
      </c>
      <c r="J36" s="3">
        <f t="shared" si="28"/>
        <v>0.10920012102995315</v>
      </c>
      <c r="K36" s="3">
        <f t="shared" si="28"/>
        <v>0.1092001210299527</v>
      </c>
      <c r="L36" s="3">
        <f t="shared" si="28"/>
        <v>0.10920012102994835</v>
      </c>
      <c r="M36" s="3">
        <f t="shared" si="28"/>
        <v>0.10920012102990467</v>
      </c>
      <c r="N36" s="3">
        <f t="shared" si="28"/>
        <v>0.10920012102946799</v>
      </c>
      <c r="O36" s="3">
        <f t="shared" si="28"/>
        <v>0.10920012102510124</v>
      </c>
      <c r="P36" s="3">
        <f t="shared" si="27"/>
        <v>0.10920012098143361</v>
      </c>
      <c r="Q36" s="3">
        <f t="shared" si="27"/>
        <v>0.10920012054475735</v>
      </c>
      <c r="R36" s="3">
        <f t="shared" si="27"/>
        <v>0.10920011617799481</v>
      </c>
      <c r="S36" s="3">
        <f t="shared" si="27"/>
        <v>0.10920007251037914</v>
      </c>
      <c r="T36" s="3">
        <f t="shared" si="27"/>
        <v>0.10919963583518277</v>
      </c>
      <c r="U36" s="3">
        <f t="shared" si="27"/>
        <v>0.10919526917925897</v>
      </c>
      <c r="V36" s="3">
        <f t="shared" si="27"/>
        <v>0.10915161222258798</v>
      </c>
      <c r="W36" s="3">
        <f t="shared" si="27"/>
        <v>0.10871600149332072</v>
      </c>
      <c r="X36" s="3">
        <f t="shared" si="27"/>
        <v>0.10445437431590289</v>
      </c>
      <c r="Y36" s="3">
        <f t="shared" si="27"/>
        <v>7.0025826336723884E-2</v>
      </c>
      <c r="Z36" s="3">
        <f t="shared" si="27"/>
        <v>1.2840275634978917E-3</v>
      </c>
      <c r="AA36" s="3">
        <f t="shared" si="27"/>
        <v>5.5174116617609637E-21</v>
      </c>
      <c r="AB36" s="3">
        <f t="shared" si="27"/>
        <v>1.1839839288925327E-194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8.8305255372235658E-2</v>
      </c>
      <c r="C37" s="18">
        <f t="shared" si="3"/>
        <v>8.559943957224532E-2</v>
      </c>
      <c r="D37" s="17"/>
      <c r="F37" s="3">
        <f t="shared" si="28"/>
        <v>8.559943957224532E-2</v>
      </c>
      <c r="G37" s="3">
        <f t="shared" si="28"/>
        <v>8.559943957224532E-2</v>
      </c>
      <c r="H37" s="3">
        <f t="shared" si="28"/>
        <v>8.559943957224532E-2</v>
      </c>
      <c r="I37" s="3">
        <f t="shared" si="28"/>
        <v>8.559943957224532E-2</v>
      </c>
      <c r="J37" s="3">
        <f t="shared" si="28"/>
        <v>8.559943957224532E-2</v>
      </c>
      <c r="K37" s="3">
        <f t="shared" si="28"/>
        <v>8.5599439572245278E-2</v>
      </c>
      <c r="L37" s="3">
        <f t="shared" si="28"/>
        <v>8.5599439572244973E-2</v>
      </c>
      <c r="M37" s="3">
        <f t="shared" si="28"/>
        <v>8.5599439572241892E-2</v>
      </c>
      <c r="N37" s="3">
        <f t="shared" si="28"/>
        <v>8.5599439572211014E-2</v>
      </c>
      <c r="O37" s="3">
        <f t="shared" si="28"/>
        <v>8.5599439571902233E-2</v>
      </c>
      <c r="P37" s="3">
        <f t="shared" si="27"/>
        <v>8.5599439568814398E-2</v>
      </c>
      <c r="Q37" s="3">
        <f t="shared" si="27"/>
        <v>8.5599439537936056E-2</v>
      </c>
      <c r="R37" s="3">
        <f t="shared" si="27"/>
        <v>8.5599439229152627E-2</v>
      </c>
      <c r="S37" s="3">
        <f t="shared" si="27"/>
        <v>8.5599436141318458E-2</v>
      </c>
      <c r="T37" s="3">
        <f t="shared" si="27"/>
        <v>8.5599405262982903E-2</v>
      </c>
      <c r="U37" s="3">
        <f t="shared" si="27"/>
        <v>8.5599096480240028E-2</v>
      </c>
      <c r="V37" s="3">
        <f t="shared" si="27"/>
        <v>8.5596008714073551E-2</v>
      </c>
      <c r="W37" s="3">
        <f t="shared" si="27"/>
        <v>8.556513717782091E-2</v>
      </c>
      <c r="X37" s="3">
        <f t="shared" si="27"/>
        <v>8.5257033539743177E-2</v>
      </c>
      <c r="Y37" s="3">
        <f t="shared" si="27"/>
        <v>8.2236360951364759E-2</v>
      </c>
      <c r="Z37" s="3">
        <f t="shared" si="27"/>
        <v>5.7332456320819437E-2</v>
      </c>
      <c r="AA37" s="3">
        <f t="shared" si="27"/>
        <v>1.5551317804756667E-3</v>
      </c>
      <c r="AB37" s="3">
        <f t="shared" si="27"/>
        <v>3.3530009355994693E-19</v>
      </c>
      <c r="AC37" s="3">
        <f t="shared" si="27"/>
        <v>7.2794481039728199E-176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3.1283218243431152E-2</v>
      </c>
      <c r="C38" s="18">
        <f t="shared" si="3"/>
        <v>3.0324649856523618E-2</v>
      </c>
      <c r="D38" s="17"/>
      <c r="F38" s="3">
        <f t="shared" si="28"/>
        <v>3.0324649856523618E-2</v>
      </c>
      <c r="G38" s="3">
        <f t="shared" si="28"/>
        <v>3.0324649856523618E-2</v>
      </c>
      <c r="H38" s="3">
        <f t="shared" si="28"/>
        <v>3.0324649856523618E-2</v>
      </c>
      <c r="I38" s="3">
        <f t="shared" si="28"/>
        <v>3.0324649856523618E-2</v>
      </c>
      <c r="J38" s="3">
        <f t="shared" si="28"/>
        <v>3.0324649856523618E-2</v>
      </c>
      <c r="K38" s="3">
        <f t="shared" si="28"/>
        <v>3.0324649856523618E-2</v>
      </c>
      <c r="L38" s="3">
        <f t="shared" si="28"/>
        <v>3.0324649856523608E-2</v>
      </c>
      <c r="M38" s="3">
        <f t="shared" si="28"/>
        <v>3.0324649856523507E-2</v>
      </c>
      <c r="N38" s="3">
        <f t="shared" si="28"/>
        <v>3.0324649856522522E-2</v>
      </c>
      <c r="O38" s="3">
        <f t="shared" si="28"/>
        <v>3.0324649856512651E-2</v>
      </c>
      <c r="P38" s="3">
        <f t="shared" si="27"/>
        <v>3.0324649856413973E-2</v>
      </c>
      <c r="Q38" s="3">
        <f t="shared" si="27"/>
        <v>3.0324649855427183E-2</v>
      </c>
      <c r="R38" s="3">
        <f t="shared" si="27"/>
        <v>3.0324649845559267E-2</v>
      </c>
      <c r="S38" s="3">
        <f t="shared" si="27"/>
        <v>3.0324649746880105E-2</v>
      </c>
      <c r="T38" s="3">
        <f t="shared" si="27"/>
        <v>3.0324648760088529E-2</v>
      </c>
      <c r="U38" s="3">
        <f t="shared" si="27"/>
        <v>3.0324638892174523E-2</v>
      </c>
      <c r="V38" s="3">
        <f t="shared" si="27"/>
        <v>3.0324540213211047E-2</v>
      </c>
      <c r="W38" s="3">
        <f t="shared" si="27"/>
        <v>3.0323553441237147E-2</v>
      </c>
      <c r="X38" s="3">
        <f t="shared" si="27"/>
        <v>3.0313687487372027E-2</v>
      </c>
      <c r="Y38" s="3">
        <f t="shared" si="27"/>
        <v>3.0215204323679749E-2</v>
      </c>
      <c r="Z38" s="3">
        <f t="shared" si="27"/>
        <v>2.924779966054639E-2</v>
      </c>
      <c r="AA38" s="3">
        <f t="shared" si="27"/>
        <v>2.112369254738284E-2</v>
      </c>
      <c r="AB38" s="3">
        <f t="shared" si="27"/>
        <v>8.1571081941412995E-4</v>
      </c>
      <c r="AC38" s="3">
        <f t="shared" si="27"/>
        <v>6.0145075232323882E-18</v>
      </c>
      <c r="AD38" s="3">
        <f t="shared" si="27"/>
        <v>2.8565285542511614E-159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3.3147108407076083E-2</v>
      </c>
      <c r="C39" s="18">
        <f t="shared" si="3"/>
        <v>3.2131427411944066E-2</v>
      </c>
      <c r="D39" s="17"/>
      <c r="F39" s="3">
        <f t="shared" si="28"/>
        <v>3.2131427411944066E-2</v>
      </c>
      <c r="G39" s="3">
        <f t="shared" si="28"/>
        <v>3.2131427411944066E-2</v>
      </c>
      <c r="H39" s="3">
        <f t="shared" si="28"/>
        <v>3.2131427411944066E-2</v>
      </c>
      <c r="I39" s="3">
        <f t="shared" si="28"/>
        <v>3.2131427411944066E-2</v>
      </c>
      <c r="J39" s="3">
        <f t="shared" si="28"/>
        <v>3.2131427411944066E-2</v>
      </c>
      <c r="K39" s="3">
        <f t="shared" si="28"/>
        <v>3.2131427411944066E-2</v>
      </c>
      <c r="L39" s="3">
        <f t="shared" si="28"/>
        <v>3.2131427411944059E-2</v>
      </c>
      <c r="M39" s="3">
        <f t="shared" si="28"/>
        <v>3.2131427411944032E-2</v>
      </c>
      <c r="N39" s="3">
        <f t="shared" si="28"/>
        <v>3.2131427411943747E-2</v>
      </c>
      <c r="O39" s="3">
        <f t="shared" si="28"/>
        <v>3.2131427411940854E-2</v>
      </c>
      <c r="P39" s="3">
        <f t="shared" si="27"/>
        <v>3.2131427411911932E-2</v>
      </c>
      <c r="Q39" s="3">
        <f t="shared" si="27"/>
        <v>3.2131427411622754E-2</v>
      </c>
      <c r="R39" s="3">
        <f t="shared" si="27"/>
        <v>3.2131427408730921E-2</v>
      </c>
      <c r="S39" s="3">
        <f t="shared" si="27"/>
        <v>3.2131427379812637E-2</v>
      </c>
      <c r="T39" s="3">
        <f t="shared" si="27"/>
        <v>3.2131427090629792E-2</v>
      </c>
      <c r="U39" s="3">
        <f t="shared" si="27"/>
        <v>3.2131424198801488E-2</v>
      </c>
      <c r="V39" s="3">
        <f t="shared" si="27"/>
        <v>3.2131395280532722E-2</v>
      </c>
      <c r="W39" s="3">
        <f t="shared" si="27"/>
        <v>3.213110609927651E-2</v>
      </c>
      <c r="X39" s="3">
        <f t="shared" si="27"/>
        <v>3.2128214429854654E-2</v>
      </c>
      <c r="Y39" s="3">
        <f t="shared" si="27"/>
        <v>3.2099312044891928E-2</v>
      </c>
      <c r="Z39" s="3">
        <f t="shared" si="27"/>
        <v>3.1811714367318687E-2</v>
      </c>
      <c r="AA39" s="3">
        <f t="shared" si="27"/>
        <v>2.9073717817233322E-2</v>
      </c>
      <c r="AB39" s="3">
        <f t="shared" si="27"/>
        <v>1.1820491560346747E-2</v>
      </c>
      <c r="AC39" s="3">
        <f t="shared" si="27"/>
        <v>1.458764547670641E-6</v>
      </c>
      <c r="AD39" s="3">
        <f t="shared" si="27"/>
        <v>1.1953135119043047E-45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1.6447309313896607E-2</v>
      </c>
      <c r="C40" s="18">
        <f t="shared" si="3"/>
        <v>1.594333716386688E-2</v>
      </c>
      <c r="D40" s="17"/>
      <c r="F40" s="3">
        <f t="shared" si="28"/>
        <v>1.594333716386688E-2</v>
      </c>
      <c r="G40" s="3">
        <f t="shared" si="28"/>
        <v>1.594333716386688E-2</v>
      </c>
      <c r="H40" s="3">
        <f t="shared" si="28"/>
        <v>1.594333716386688E-2</v>
      </c>
      <c r="I40" s="3">
        <f t="shared" si="28"/>
        <v>1.594333716386688E-2</v>
      </c>
      <c r="J40" s="3">
        <f t="shared" si="28"/>
        <v>1.594333716386688E-2</v>
      </c>
      <c r="K40" s="3">
        <f t="shared" si="28"/>
        <v>1.594333716386688E-2</v>
      </c>
      <c r="L40" s="3">
        <f t="shared" si="28"/>
        <v>1.594333716386688E-2</v>
      </c>
      <c r="M40" s="3">
        <f t="shared" si="28"/>
        <v>1.5943337163866877E-2</v>
      </c>
      <c r="N40" s="3">
        <f t="shared" si="28"/>
        <v>1.5943337163866863E-2</v>
      </c>
      <c r="O40" s="3">
        <f t="shared" si="28"/>
        <v>1.5943337163866721E-2</v>
      </c>
      <c r="P40" s="3">
        <f t="shared" si="27"/>
        <v>1.5943337163865284E-2</v>
      </c>
      <c r="Q40" s="3">
        <f t="shared" si="27"/>
        <v>1.5943337163850938E-2</v>
      </c>
      <c r="R40" s="3">
        <f t="shared" si="27"/>
        <v>1.5943337163707445E-2</v>
      </c>
      <c r="S40" s="3">
        <f t="shared" si="27"/>
        <v>1.5943337162272548E-2</v>
      </c>
      <c r="T40" s="3">
        <f t="shared" si="27"/>
        <v>1.5943337147923543E-2</v>
      </c>
      <c r="U40" s="3">
        <f t="shared" si="27"/>
        <v>1.5943337004433511E-2</v>
      </c>
      <c r="V40" s="3">
        <f t="shared" si="27"/>
        <v>1.5943335569533243E-2</v>
      </c>
      <c r="W40" s="3">
        <f t="shared" si="27"/>
        <v>1.5943321220537689E-2</v>
      </c>
      <c r="X40" s="3">
        <f t="shared" si="27"/>
        <v>1.5943177731292404E-2</v>
      </c>
      <c r="Y40" s="3">
        <f t="shared" si="27"/>
        <v>1.5941742909864522E-2</v>
      </c>
      <c r="Z40" s="3">
        <f t="shared" si="27"/>
        <v>1.5927401795715036E-2</v>
      </c>
      <c r="AA40" s="3">
        <f t="shared" si="27"/>
        <v>1.5784698308493338E-2</v>
      </c>
      <c r="AB40" s="3">
        <f t="shared" si="27"/>
        <v>1.4426128034230065E-2</v>
      </c>
      <c r="AC40" s="3">
        <f t="shared" si="27"/>
        <v>5.8652259662512361E-3</v>
      </c>
      <c r="AD40" s="3">
        <f t="shared" si="27"/>
        <v>7.2382638741917084E-7</v>
      </c>
      <c r="AE40" s="3">
        <f t="shared" si="27"/>
        <v>5.9310425560901355E-46</v>
      </c>
      <c r="AF40" s="3">
        <f t="shared" si="29"/>
        <v>0</v>
      </c>
      <c r="AG40" s="3">
        <f t="shared" si="29"/>
        <v>0</v>
      </c>
      <c r="AH40" s="3">
        <f t="shared" si="29"/>
        <v>0</v>
      </c>
      <c r="AI40" s="3">
        <f t="shared" si="29"/>
        <v>0</v>
      </c>
      <c r="AJ40" s="3">
        <f t="shared" si="29"/>
        <v>0</v>
      </c>
    </row>
    <row r="41" spans="1:36" x14ac:dyDescent="0.25">
      <c r="A41" s="3">
        <f t="shared" si="30"/>
        <v>1000000000</v>
      </c>
      <c r="B41" s="106">
        <v>1.0306596446395578E-3</v>
      </c>
      <c r="C41" s="18">
        <f t="shared" si="3"/>
        <v>9.9907856671704312E-4</v>
      </c>
      <c r="D41" s="17"/>
      <c r="F41" s="3">
        <f t="shared" si="28"/>
        <v>9.9907856671704312E-4</v>
      </c>
      <c r="G41" s="3">
        <f t="shared" si="28"/>
        <v>9.9907856671704312E-4</v>
      </c>
      <c r="H41" s="3">
        <f t="shared" si="28"/>
        <v>9.9907856671704312E-4</v>
      </c>
      <c r="I41" s="3">
        <f t="shared" si="28"/>
        <v>9.9907856671704312E-4</v>
      </c>
      <c r="J41" s="3">
        <f t="shared" si="28"/>
        <v>9.9907856671704312E-4</v>
      </c>
      <c r="K41" s="3">
        <f t="shared" si="28"/>
        <v>9.9907856671704312E-4</v>
      </c>
      <c r="L41" s="3">
        <f t="shared" si="28"/>
        <v>9.9907856671704312E-4</v>
      </c>
      <c r="M41" s="3">
        <f t="shared" si="28"/>
        <v>9.9907856671704312E-4</v>
      </c>
      <c r="N41" s="3">
        <f t="shared" si="28"/>
        <v>9.990785667170429E-4</v>
      </c>
      <c r="O41" s="3">
        <f t="shared" si="28"/>
        <v>9.9907856671704203E-4</v>
      </c>
      <c r="P41" s="3">
        <f t="shared" si="27"/>
        <v>9.9907856671703314E-4</v>
      </c>
      <c r="Q41" s="3">
        <f t="shared" si="27"/>
        <v>9.9907856671694315E-4</v>
      </c>
      <c r="R41" s="3">
        <f t="shared" si="27"/>
        <v>9.9907856671604413E-4</v>
      </c>
      <c r="S41" s="3">
        <f t="shared" si="27"/>
        <v>9.9907856670705241E-4</v>
      </c>
      <c r="T41" s="3">
        <f t="shared" si="27"/>
        <v>9.9907856661713519E-4</v>
      </c>
      <c r="U41" s="3">
        <f t="shared" si="27"/>
        <v>9.9907856571796448E-4</v>
      </c>
      <c r="V41" s="3">
        <f t="shared" si="27"/>
        <v>9.9907855672625757E-4</v>
      </c>
      <c r="W41" s="3">
        <f t="shared" si="27"/>
        <v>9.9907846680919159E-4</v>
      </c>
      <c r="X41" s="3">
        <f t="shared" si="27"/>
        <v>9.9907756763897588E-4</v>
      </c>
      <c r="Y41" s="3">
        <f t="shared" si="27"/>
        <v>9.9906857598132978E-4</v>
      </c>
      <c r="Z41" s="3">
        <f t="shared" si="27"/>
        <v>9.9897866385559764E-4</v>
      </c>
      <c r="AA41" s="3">
        <f t="shared" si="27"/>
        <v>9.9807998752313794E-4</v>
      </c>
      <c r="AB41" s="3">
        <f t="shared" si="27"/>
        <v>9.8913756888056566E-4</v>
      </c>
      <c r="AC41" s="3">
        <f t="shared" si="27"/>
        <v>9.0400367072331642E-4</v>
      </c>
      <c r="AD41" s="3">
        <f t="shared" si="27"/>
        <v>3.675404648102314E-4</v>
      </c>
      <c r="AE41" s="3">
        <f t="shared" si="27"/>
        <v>4.5358096756157799E-8</v>
      </c>
      <c r="AF41" s="3">
        <f t="shared" si="29"/>
        <v>3.7166481742014023E-47</v>
      </c>
      <c r="AG41" s="3">
        <f t="shared" si="29"/>
        <v>0</v>
      </c>
      <c r="AH41" s="3">
        <f t="shared" si="29"/>
        <v>0</v>
      </c>
      <c r="AI41" s="3">
        <f t="shared" si="29"/>
        <v>0</v>
      </c>
      <c r="AJ41" s="3">
        <f t="shared" si="29"/>
        <v>0</v>
      </c>
    </row>
    <row r="42" spans="1:36" x14ac:dyDescent="0.25">
      <c r="A42" s="3">
        <f t="shared" si="30"/>
        <v>10000000000</v>
      </c>
      <c r="B42" s="106">
        <v>3.6508411008037947E-3</v>
      </c>
      <c r="C42" s="18">
        <f t="shared" si="3"/>
        <v>3.5389734266527166E-3</v>
      </c>
      <c r="D42" s="17"/>
      <c r="F42" s="3">
        <f t="shared" si="28"/>
        <v>3.5389734266527166E-3</v>
      </c>
      <c r="G42" s="3">
        <f t="shared" si="28"/>
        <v>3.5389734266527166E-3</v>
      </c>
      <c r="H42" s="3">
        <f t="shared" si="28"/>
        <v>3.5389734266527166E-3</v>
      </c>
      <c r="I42" s="3">
        <f t="shared" si="28"/>
        <v>3.5389734266527166E-3</v>
      </c>
      <c r="J42" s="3">
        <f t="shared" si="28"/>
        <v>3.5389734266527166E-3</v>
      </c>
      <c r="K42" s="3">
        <f t="shared" si="28"/>
        <v>3.5389734266527166E-3</v>
      </c>
      <c r="L42" s="3">
        <f t="shared" si="28"/>
        <v>3.5389734266527166E-3</v>
      </c>
      <c r="M42" s="3">
        <f t="shared" si="28"/>
        <v>3.5389734266527166E-3</v>
      </c>
      <c r="N42" s="3">
        <f t="shared" si="28"/>
        <v>3.5389734266527166E-3</v>
      </c>
      <c r="O42" s="3">
        <f t="shared" si="28"/>
        <v>3.5389734266527161E-3</v>
      </c>
      <c r="P42" s="3">
        <f t="shared" si="27"/>
        <v>3.5389734266527131E-3</v>
      </c>
      <c r="Q42" s="3">
        <f t="shared" si="27"/>
        <v>3.538973426652681E-3</v>
      </c>
      <c r="R42" s="3">
        <f t="shared" si="27"/>
        <v>3.5389734266523627E-3</v>
      </c>
      <c r="S42" s="3">
        <f t="shared" si="27"/>
        <v>3.5389734266491777E-3</v>
      </c>
      <c r="T42" s="3">
        <f t="shared" si="27"/>
        <v>3.5389734266173269E-3</v>
      </c>
      <c r="U42" s="3">
        <f t="shared" si="27"/>
        <v>3.5389734262988191E-3</v>
      </c>
      <c r="V42" s="3">
        <f t="shared" si="27"/>
        <v>3.5389734231137432E-3</v>
      </c>
      <c r="W42" s="3">
        <f t="shared" si="27"/>
        <v>3.5389733912629825E-3</v>
      </c>
      <c r="X42" s="3">
        <f t="shared" si="27"/>
        <v>3.5389730727553919E-3</v>
      </c>
      <c r="Y42" s="3">
        <f t="shared" si="27"/>
        <v>3.5389698876810596E-3</v>
      </c>
      <c r="Z42" s="3">
        <f t="shared" si="27"/>
        <v>3.5389380370953981E-3</v>
      </c>
      <c r="AA42" s="3">
        <f t="shared" si="27"/>
        <v>3.5386195470043288E-3</v>
      </c>
      <c r="AB42" s="3">
        <f t="shared" si="27"/>
        <v>3.5354362221230958E-3</v>
      </c>
      <c r="AC42" s="3">
        <f t="shared" si="27"/>
        <v>3.5037600527002459E-3</v>
      </c>
      <c r="AD42" s="3">
        <f t="shared" si="27"/>
        <v>3.2021955778703164E-3</v>
      </c>
      <c r="AE42" s="3">
        <f t="shared" si="27"/>
        <v>1.3019155665175857E-3</v>
      </c>
      <c r="AF42" s="3">
        <f t="shared" si="29"/>
        <v>1.6066914500133367E-7</v>
      </c>
      <c r="AG42" s="3">
        <f t="shared" si="29"/>
        <v>1.3165250024266907E-46</v>
      </c>
      <c r="AH42" s="3">
        <f t="shared" si="29"/>
        <v>0</v>
      </c>
      <c r="AI42" s="3">
        <f t="shared" si="29"/>
        <v>0</v>
      </c>
      <c r="AJ42" s="3">
        <f t="shared" si="29"/>
        <v>0</v>
      </c>
    </row>
    <row r="43" spans="1:36" x14ac:dyDescent="0.25">
      <c r="A43" s="3">
        <f t="shared" si="30"/>
        <v>100000000000</v>
      </c>
      <c r="B43" s="106">
        <v>1.6667773103299166E-4</v>
      </c>
      <c r="C43" s="18">
        <f t="shared" si="3"/>
        <v>1.6157045586307682E-4</v>
      </c>
      <c r="D43" s="17"/>
      <c r="F43" s="3">
        <f t="shared" si="28"/>
        <v>1.6157045586307682E-4</v>
      </c>
      <c r="G43" s="3">
        <f t="shared" si="28"/>
        <v>1.6157045586307682E-4</v>
      </c>
      <c r="H43" s="3">
        <f t="shared" si="28"/>
        <v>1.6157045586307682E-4</v>
      </c>
      <c r="I43" s="3">
        <f t="shared" si="28"/>
        <v>1.6157045586307682E-4</v>
      </c>
      <c r="J43" s="3">
        <f t="shared" si="28"/>
        <v>1.6157045586307682E-4</v>
      </c>
      <c r="K43" s="3">
        <f t="shared" si="28"/>
        <v>1.6157045586307682E-4</v>
      </c>
      <c r="L43" s="3">
        <f t="shared" si="28"/>
        <v>1.6157045586307682E-4</v>
      </c>
      <c r="M43" s="3">
        <f t="shared" si="28"/>
        <v>1.6157045586307682E-4</v>
      </c>
      <c r="N43" s="3">
        <f t="shared" si="28"/>
        <v>1.6157045586307682E-4</v>
      </c>
      <c r="O43" s="3">
        <f t="shared" si="28"/>
        <v>1.6157045586307682E-4</v>
      </c>
      <c r="P43" s="3">
        <f t="shared" si="27"/>
        <v>1.6157045586307679E-4</v>
      </c>
      <c r="Q43" s="3">
        <f t="shared" si="27"/>
        <v>1.6157045586307666E-4</v>
      </c>
      <c r="R43" s="3">
        <f t="shared" si="27"/>
        <v>1.6157045586307519E-4</v>
      </c>
      <c r="S43" s="3">
        <f t="shared" si="27"/>
        <v>1.6157045586306067E-4</v>
      </c>
      <c r="T43" s="3">
        <f t="shared" si="27"/>
        <v>1.6157045586291525E-4</v>
      </c>
      <c r="U43" s="3">
        <f t="shared" si="27"/>
        <v>1.6157045586146111E-4</v>
      </c>
      <c r="V43" s="3">
        <f t="shared" si="27"/>
        <v>1.6157045584691977E-4</v>
      </c>
      <c r="W43" s="3">
        <f t="shared" si="27"/>
        <v>1.6157045570150636E-4</v>
      </c>
      <c r="X43" s="3">
        <f t="shared" si="27"/>
        <v>1.6157045424737226E-4</v>
      </c>
      <c r="Y43" s="3">
        <f t="shared" si="27"/>
        <v>1.6157043970603204E-4</v>
      </c>
      <c r="Z43" s="3">
        <f t="shared" si="27"/>
        <v>1.6157029429270174E-4</v>
      </c>
      <c r="AA43" s="3">
        <f t="shared" si="27"/>
        <v>1.6156884016659668E-4</v>
      </c>
      <c r="AB43" s="3">
        <f t="shared" si="27"/>
        <v>1.6155429962531586E-4</v>
      </c>
      <c r="AC43" s="3">
        <f t="shared" si="27"/>
        <v>1.6140896616552E-4</v>
      </c>
      <c r="AD43" s="3">
        <f t="shared" si="27"/>
        <v>1.599628029660165E-4</v>
      </c>
      <c r="AE43" s="3">
        <f t="shared" si="27"/>
        <v>1.461949941140394E-4</v>
      </c>
      <c r="AF43" s="3">
        <f t="shared" si="29"/>
        <v>5.9438449012723889E-5</v>
      </c>
      <c r="AG43" s="3">
        <f t="shared" si="29"/>
        <v>7.3352873478763467E-9</v>
      </c>
      <c r="AH43" s="3">
        <f t="shared" si="29"/>
        <v>6.0105437129096696E-48</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1.3754971958220019E-4</v>
      </c>
      <c r="C45" s="18">
        <f t="shared" si="3"/>
        <v>1.333349737784439E-4</v>
      </c>
      <c r="D45" s="17"/>
      <c r="F45" s="3">
        <f t="shared" si="28"/>
        <v>1.333349737784439E-4</v>
      </c>
      <c r="G45" s="3">
        <f t="shared" si="28"/>
        <v>1.333349737784439E-4</v>
      </c>
      <c r="H45" s="3">
        <f t="shared" si="28"/>
        <v>1.333349737784439E-4</v>
      </c>
      <c r="I45" s="3">
        <f t="shared" si="28"/>
        <v>1.333349737784439E-4</v>
      </c>
      <c r="J45" s="3">
        <f t="shared" si="28"/>
        <v>1.333349737784439E-4</v>
      </c>
      <c r="K45" s="3">
        <f t="shared" si="28"/>
        <v>1.333349737784439E-4</v>
      </c>
      <c r="L45" s="3">
        <f t="shared" si="28"/>
        <v>1.333349737784439E-4</v>
      </c>
      <c r="M45" s="3">
        <f t="shared" si="28"/>
        <v>1.333349737784439E-4</v>
      </c>
      <c r="N45" s="3">
        <f t="shared" si="28"/>
        <v>1.333349737784439E-4</v>
      </c>
      <c r="O45" s="3">
        <f t="shared" si="28"/>
        <v>1.333349737784439E-4</v>
      </c>
      <c r="P45" s="3">
        <f t="shared" si="27"/>
        <v>1.333349737784439E-4</v>
      </c>
      <c r="Q45" s="3">
        <f t="shared" si="27"/>
        <v>1.333349737784439E-4</v>
      </c>
      <c r="R45" s="3">
        <f t="shared" si="27"/>
        <v>1.3333497377844387E-4</v>
      </c>
      <c r="S45" s="3">
        <f t="shared" si="27"/>
        <v>1.3333497377844377E-4</v>
      </c>
      <c r="T45" s="3">
        <f t="shared" si="27"/>
        <v>1.3333497377844257E-4</v>
      </c>
      <c r="U45" s="3">
        <f t="shared" si="27"/>
        <v>1.3333497377843057E-4</v>
      </c>
      <c r="V45" s="3">
        <f t="shared" si="27"/>
        <v>1.3333497377831057E-4</v>
      </c>
      <c r="W45" s="3">
        <f t="shared" si="27"/>
        <v>1.3333497377711055E-4</v>
      </c>
      <c r="X45" s="3">
        <f t="shared" si="27"/>
        <v>1.3333497376511041E-4</v>
      </c>
      <c r="Y45" s="3">
        <f t="shared" si="27"/>
        <v>1.3333497364510894E-4</v>
      </c>
      <c r="Z45" s="3">
        <f t="shared" si="27"/>
        <v>1.3333497244509418E-4</v>
      </c>
      <c r="AA45" s="3">
        <f t="shared" si="27"/>
        <v>1.3333496044494719E-4</v>
      </c>
      <c r="AB45" s="3">
        <f t="shared" si="27"/>
        <v>1.3333484044353679E-4</v>
      </c>
      <c r="AC45" s="3">
        <f t="shared" si="27"/>
        <v>1.3333364043537283E-4</v>
      </c>
      <c r="AD45" s="3">
        <f t="shared" si="27"/>
        <v>1.3332164094771869E-4</v>
      </c>
      <c r="AE45" s="3">
        <f t="shared" si="27"/>
        <v>1.3320170544993542E-4</v>
      </c>
      <c r="AF45" s="3">
        <f t="shared" si="29"/>
        <v>1.3200826862229807E-4</v>
      </c>
      <c r="AG45" s="3">
        <f t="shared" si="29"/>
        <v>1.2064647340757955E-4</v>
      </c>
      <c r="AH45" s="3">
        <f t="shared" si="29"/>
        <v>4.9051195642222863E-5</v>
      </c>
      <c r="AI45" s="3">
        <f t="shared" si="29"/>
        <v>6.0533984444241129E-9</v>
      </c>
      <c r="AJ45" s="3">
        <f t="shared" si="29"/>
        <v>4.9601623271655728E-48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3.0879626064361326E-4</v>
      </c>
      <c r="C48" s="18">
        <f t="shared" si="3"/>
        <v>2.9933424394364084E-4</v>
      </c>
      <c r="D48" s="17"/>
      <c r="F48" s="3">
        <f t="shared" si="28"/>
        <v>2.9933424394364084E-4</v>
      </c>
      <c r="G48" s="3">
        <f t="shared" si="28"/>
        <v>2.9933424394364084E-4</v>
      </c>
      <c r="H48" s="3">
        <f t="shared" si="28"/>
        <v>2.9933424394364084E-4</v>
      </c>
      <c r="I48" s="3">
        <f t="shared" si="28"/>
        <v>2.9933424394364084E-4</v>
      </c>
      <c r="J48" s="3">
        <f t="shared" si="28"/>
        <v>2.9933424394364084E-4</v>
      </c>
      <c r="K48" s="3">
        <f t="shared" si="28"/>
        <v>2.9933424394364084E-4</v>
      </c>
      <c r="L48" s="3">
        <f t="shared" si="28"/>
        <v>2.9933424394364084E-4</v>
      </c>
      <c r="M48" s="3">
        <f t="shared" si="28"/>
        <v>2.9933424394364084E-4</v>
      </c>
      <c r="N48" s="3">
        <f t="shared" si="28"/>
        <v>2.9933424394364084E-4</v>
      </c>
      <c r="O48" s="3">
        <f t="shared" si="28"/>
        <v>2.9933424394364084E-4</v>
      </c>
      <c r="P48" s="3">
        <f t="shared" si="27"/>
        <v>2.9933424394364084E-4</v>
      </c>
      <c r="Q48" s="3">
        <f t="shared" si="27"/>
        <v>2.9933424394364084E-4</v>
      </c>
      <c r="R48" s="3">
        <f t="shared" si="27"/>
        <v>2.9933424394364084E-4</v>
      </c>
      <c r="S48" s="3">
        <f t="shared" si="27"/>
        <v>2.9933424394364084E-4</v>
      </c>
      <c r="T48" s="3">
        <f t="shared" si="27"/>
        <v>2.9933424394364084E-4</v>
      </c>
      <c r="U48" s="3">
        <f t="shared" si="27"/>
        <v>2.9933424394364079E-4</v>
      </c>
      <c r="V48" s="3">
        <f t="shared" si="27"/>
        <v>2.9933424394364052E-4</v>
      </c>
      <c r="W48" s="3">
        <f t="shared" si="27"/>
        <v>2.9933424394363786E-4</v>
      </c>
      <c r="X48" s="3">
        <f t="shared" si="27"/>
        <v>2.9933424394361092E-4</v>
      </c>
      <c r="Y48" s="3">
        <f t="shared" si="27"/>
        <v>2.993342439433415E-4</v>
      </c>
      <c r="Z48" s="3">
        <f t="shared" si="27"/>
        <v>2.9933424394064753E-4</v>
      </c>
      <c r="AA48" s="3">
        <f t="shared" si="27"/>
        <v>2.9933424391370743E-4</v>
      </c>
      <c r="AB48" s="3">
        <f t="shared" si="27"/>
        <v>2.9933424364430661E-4</v>
      </c>
      <c r="AC48" s="3">
        <f t="shared" si="27"/>
        <v>2.993342409502984E-4</v>
      </c>
      <c r="AD48" s="3">
        <f t="shared" si="27"/>
        <v>2.9933421401021797E-4</v>
      </c>
      <c r="AE48" s="3">
        <f t="shared" si="27"/>
        <v>2.9933394460954655E-4</v>
      </c>
      <c r="AF48" s="3">
        <f t="shared" si="29"/>
        <v>2.9933125061616807E-4</v>
      </c>
      <c r="AG48" s="3">
        <f t="shared" si="29"/>
        <v>2.9930431201586781E-4</v>
      </c>
      <c r="AH48" s="3">
        <f t="shared" si="29"/>
        <v>2.9903505931694259E-4</v>
      </c>
      <c r="AI48" s="3">
        <f t="shared" si="29"/>
        <v>2.9635581845183456E-4</v>
      </c>
      <c r="AJ48" s="3">
        <f t="shared" si="29"/>
        <v>2.7084882441971004E-4</v>
      </c>
    </row>
    <row r="49" spans="1:36" x14ac:dyDescent="0.25">
      <c r="B49" s="16">
        <f>SUM(B17:B48)</f>
        <v>1.03161020461713</v>
      </c>
      <c r="C49" s="18">
        <f>SUM(C17:C48)</f>
        <v>1</v>
      </c>
      <c r="F49" s="3">
        <f t="shared" ref="F49:AJ49" si="31">F16-F17</f>
        <v>-0.33144708312920557</v>
      </c>
      <c r="G49" s="3">
        <f t="shared" si="31"/>
        <v>-0.27733849523883691</v>
      </c>
      <c r="H49" s="3">
        <f t="shared" si="31"/>
        <v>-0.29216879975956545</v>
      </c>
      <c r="I49" s="3">
        <f t="shared" si="31"/>
        <v>-0.12788722877394321</v>
      </c>
      <c r="J49" s="3">
        <f t="shared" si="31"/>
        <v>1.2941069977414372</v>
      </c>
      <c r="K49" s="3">
        <f t="shared" si="31"/>
        <v>-0.29511736772838049</v>
      </c>
      <c r="L49" s="3">
        <f t="shared" si="31"/>
        <v>1.63888554834557E-2</v>
      </c>
      <c r="M49" s="3">
        <f t="shared" si="31"/>
        <v>7.0494062936631963E-2</v>
      </c>
      <c r="N49" s="3">
        <f t="shared" si="31"/>
        <v>-0.19248002436688694</v>
      </c>
      <c r="O49" s="3">
        <f t="shared" si="31"/>
        <v>0.39354397262195562</v>
      </c>
      <c r="P49" s="3">
        <f t="shared" si="31"/>
        <v>-0.67333859797327023</v>
      </c>
      <c r="Q49" s="3">
        <f t="shared" si="31"/>
        <v>0.98000970180328295</v>
      </c>
      <c r="R49" s="3">
        <f t="shared" si="31"/>
        <v>-1.2125984425865681</v>
      </c>
      <c r="S49" s="3">
        <f t="shared" si="31"/>
        <v>1.2777202134029721</v>
      </c>
      <c r="T49" s="3">
        <f t="shared" si="31"/>
        <v>-1.1506478652026999</v>
      </c>
      <c r="U49" s="3">
        <f t="shared" si="31"/>
        <v>0.88696150500982185</v>
      </c>
      <c r="V49" s="3">
        <f t="shared" si="31"/>
        <v>-0.58793707908489523</v>
      </c>
      <c r="W49" s="3">
        <f t="shared" si="31"/>
        <v>0.3390997793680981</v>
      </c>
      <c r="X49" s="3">
        <f t="shared" si="31"/>
        <v>-0.17292176014325378</v>
      </c>
      <c r="Y49" s="3">
        <f t="shared" si="31"/>
        <v>7.9511476447123641E-2</v>
      </c>
      <c r="Z49" s="3">
        <f t="shared" si="31"/>
        <v>-3.4547923979289408E-2</v>
      </c>
      <c r="AA49" s="3">
        <f t="shared" si="31"/>
        <v>1.7074139390160781E-2</v>
      </c>
      <c r="AB49" s="3">
        <f t="shared" si="31"/>
        <v>-1.9881364798607137E-2</v>
      </c>
      <c r="AC49" s="3">
        <f t="shared" si="31"/>
        <v>3.5538231055085134E-2</v>
      </c>
      <c r="AD49" s="3">
        <f t="shared" si="31"/>
        <v>-5.1556553088204282E-2</v>
      </c>
      <c r="AE49" s="3">
        <f t="shared" si="31"/>
        <v>6.72480960672317E-2</v>
      </c>
      <c r="AF49" s="3">
        <f t="shared" si="31"/>
        <v>-8.5115095446383293E-2</v>
      </c>
      <c r="AG49" s="3">
        <f t="shared" si="31"/>
        <v>0.11597825737688083</v>
      </c>
      <c r="AH49" s="3">
        <f t="shared" si="31"/>
        <v>-0.16018671104647808</v>
      </c>
      <c r="AI49" s="3">
        <f t="shared" si="31"/>
        <v>0.16546274156677043</v>
      </c>
      <c r="AJ49" s="3">
        <f t="shared" si="31"/>
        <v>-7.6566645365858221E-2</v>
      </c>
    </row>
    <row r="50" spans="1:36" x14ac:dyDescent="0.25">
      <c r="F50" s="57">
        <f t="shared" ref="F50:AJ50" si="32">F49/F17</f>
        <v>-5.1153840376067254E-5</v>
      </c>
      <c r="G50" s="57">
        <f t="shared" si="32"/>
        <v>-4.2803048863503931E-5</v>
      </c>
      <c r="H50" s="57">
        <f t="shared" si="32"/>
        <v>-4.50924112155791E-5</v>
      </c>
      <c r="I50" s="57">
        <f t="shared" si="32"/>
        <v>-1.974000357932631E-5</v>
      </c>
      <c r="J50" s="57">
        <f t="shared" si="32"/>
        <v>1.9997083949693437E-4</v>
      </c>
      <c r="K50" s="57">
        <f t="shared" si="32"/>
        <v>-4.5928249978804412E-5</v>
      </c>
      <c r="L50" s="57">
        <f t="shared" si="32"/>
        <v>2.6096401370153823E-6</v>
      </c>
      <c r="M50" s="57">
        <f t="shared" si="32"/>
        <v>1.1498581682881008E-5</v>
      </c>
      <c r="N50" s="57">
        <f t="shared" si="32"/>
        <v>-3.2297189857788256E-5</v>
      </c>
      <c r="O50" s="57">
        <f t="shared" si="32"/>
        <v>6.8344507113665386E-5</v>
      </c>
      <c r="P50" s="57">
        <f t="shared" si="32"/>
        <v>-1.2122650947876383E-4</v>
      </c>
      <c r="Q50" s="57">
        <f t="shared" si="32"/>
        <v>1.8507384654740605E-4</v>
      </c>
      <c r="R50" s="57">
        <f t="shared" si="32"/>
        <v>-2.4176715939091647E-4</v>
      </c>
      <c r="S50" s="57">
        <f t="shared" si="32"/>
        <v>2.6976436388118975E-4</v>
      </c>
      <c r="T50" s="57">
        <f t="shared" si="32"/>
        <v>-2.5916794645249432E-4</v>
      </c>
      <c r="U50" s="57">
        <f t="shared" si="32"/>
        <v>2.1557095002402058E-4</v>
      </c>
      <c r="V50" s="57">
        <f t="shared" si="32"/>
        <v>-1.6049924753999649E-4</v>
      </c>
      <c r="W50" s="57">
        <f t="shared" si="32"/>
        <v>1.1156680550982188E-4</v>
      </c>
      <c r="X50" s="57">
        <f t="shared" si="32"/>
        <v>-7.3374818397178848E-5</v>
      </c>
      <c r="Y50" s="57">
        <f t="shared" si="32"/>
        <v>4.7768131447192311E-5</v>
      </c>
      <c r="Z50" s="57">
        <f t="shared" si="32"/>
        <v>-3.3220563044426489E-5</v>
      </c>
      <c r="AA50" s="57">
        <f t="shared" si="32"/>
        <v>2.8653743150474774E-5</v>
      </c>
      <c r="AB50" s="57">
        <f t="shared" si="32"/>
        <v>-5.9931123687279202E-5</v>
      </c>
      <c r="AC50" s="57">
        <f t="shared" si="32"/>
        <v>1.8443070598432698E-4</v>
      </c>
      <c r="AD50" s="57">
        <f t="shared" si="32"/>
        <v>-3.4614593967540825E-4</v>
      </c>
      <c r="AE50" s="57">
        <f t="shared" si="32"/>
        <v>5.0164911059213295E-4</v>
      </c>
      <c r="AF50" s="57">
        <f t="shared" si="32"/>
        <v>-6.8099062873682185E-4</v>
      </c>
      <c r="AG50" s="57">
        <f t="shared" si="32"/>
        <v>9.3137203541482111E-4</v>
      </c>
      <c r="AH50" s="57">
        <f t="shared" si="32"/>
        <v>-1.2912535644680149E-3</v>
      </c>
      <c r="AI50" s="57">
        <f t="shared" si="32"/>
        <v>1.3374213176419955E-3</v>
      </c>
      <c r="AJ50" s="57">
        <f t="shared" si="32"/>
        <v>-6.1971546905164807E-4</v>
      </c>
    </row>
    <row r="51" spans="1:36" x14ac:dyDescent="0.25">
      <c r="A51" s="13" t="s">
        <v>21</v>
      </c>
      <c r="B51" s="3">
        <f>STUTT!D8</f>
        <v>6524.0923000000003</v>
      </c>
      <c r="E51" s="11" t="s">
        <v>24</v>
      </c>
      <c r="F51" s="20">
        <f t="shared" ref="F51:AJ51" si="33">(F16-F17)^2</f>
        <v>0.1098571689148585</v>
      </c>
      <c r="G51" s="20">
        <f t="shared" si="33"/>
        <v>7.691664094134236E-2</v>
      </c>
      <c r="H51" s="20">
        <f t="shared" si="33"/>
        <v>8.5362607552945044E-2</v>
      </c>
      <c r="I51" s="20">
        <f t="shared" si="33"/>
        <v>1.6355143283478889E-2</v>
      </c>
      <c r="J51" s="20">
        <f t="shared" si="33"/>
        <v>1.6747129216033563</v>
      </c>
      <c r="K51" s="20">
        <f t="shared" si="33"/>
        <v>8.7094260734928153E-2</v>
      </c>
      <c r="L51" s="20">
        <f t="shared" si="33"/>
        <v>2.6859458405759594E-4</v>
      </c>
      <c r="M51" s="20">
        <f t="shared" si="33"/>
        <v>4.9694129093138285E-3</v>
      </c>
      <c r="N51" s="20">
        <f t="shared" si="33"/>
        <v>3.7048559780277386E-2</v>
      </c>
      <c r="O51" s="20">
        <f t="shared" si="33"/>
        <v>0.15487685838707055</v>
      </c>
      <c r="P51" s="20">
        <f t="shared" si="33"/>
        <v>0.45338486752060925</v>
      </c>
      <c r="Q51" s="20">
        <f t="shared" si="33"/>
        <v>0.96041901562855958</v>
      </c>
      <c r="R51" s="20">
        <f t="shared" si="33"/>
        <v>1.4703949829633705</v>
      </c>
      <c r="S51" s="20">
        <f t="shared" si="33"/>
        <v>1.6325689437385367</v>
      </c>
      <c r="T51" s="20">
        <f t="shared" si="33"/>
        <v>1.3239905096955307</v>
      </c>
      <c r="U51" s="20">
        <f t="shared" si="33"/>
        <v>0.78670071136928821</v>
      </c>
      <c r="V51" s="20">
        <f t="shared" si="33"/>
        <v>0.34567000896287836</v>
      </c>
      <c r="W51" s="20">
        <f t="shared" si="33"/>
        <v>0.11498866036749281</v>
      </c>
      <c r="X51" s="20">
        <f t="shared" si="33"/>
        <v>2.9901935131040992E-2</v>
      </c>
      <c r="Y51" s="20">
        <f t="shared" si="33"/>
        <v>6.3220748868014973E-3</v>
      </c>
      <c r="Z51" s="20">
        <f t="shared" si="33"/>
        <v>1.1935590512787602E-3</v>
      </c>
      <c r="AA51" s="20">
        <f t="shared" si="33"/>
        <v>2.9152623591463994E-4</v>
      </c>
      <c r="AB51" s="20">
        <f t="shared" si="33"/>
        <v>3.9526866625529502E-4</v>
      </c>
      <c r="AC51" s="20">
        <f t="shared" si="33"/>
        <v>1.2629658665246175E-3</v>
      </c>
      <c r="AD51" s="20">
        <f t="shared" si="33"/>
        <v>2.6580781663368266E-3</v>
      </c>
      <c r="AE51" s="20">
        <f t="shared" si="33"/>
        <v>4.5223064246676234E-3</v>
      </c>
      <c r="AF51" s="20">
        <f t="shared" si="33"/>
        <v>7.2445794728469379E-3</v>
      </c>
      <c r="AG51" s="20">
        <f t="shared" si="33"/>
        <v>1.3450956184178013E-2</v>
      </c>
      <c r="AH51" s="20">
        <f t="shared" si="33"/>
        <v>2.5659782395887863E-2</v>
      </c>
      <c r="AI51" s="20">
        <f t="shared" si="33"/>
        <v>2.737791884679186E-2</v>
      </c>
      <c r="AJ51" s="20">
        <f t="shared" si="33"/>
        <v>5.8624511825810981E-3</v>
      </c>
    </row>
    <row r="52" spans="1:36" x14ac:dyDescent="0.25">
      <c r="A52" s="13"/>
    </row>
    <row r="53" spans="1:36" x14ac:dyDescent="0.25">
      <c r="E53" s="132" t="s">
        <v>25</v>
      </c>
      <c r="F53" s="132"/>
      <c r="G53" s="104">
        <f>SUM(F51:AJ51)</f>
        <v>9.4617232714490029</v>
      </c>
      <c r="I53" s="3">
        <f>G53+C123</f>
        <v>9.4617232714490029</v>
      </c>
      <c r="K53" s="3">
        <f>SUM(Z51:AJ51)</f>
        <v>8.9919392493263528E-2</v>
      </c>
    </row>
    <row r="55" spans="1:36" x14ac:dyDescent="0.25">
      <c r="E55" s="30" t="s">
        <v>30</v>
      </c>
      <c r="F55" s="31">
        <f t="shared" ref="F55:AJ55" si="34">ABS(F17-F16)/F16</f>
        <v>5.1156457225314362E-5</v>
      </c>
      <c r="G55" s="31">
        <f t="shared" si="34"/>
        <v>4.2804881042918809E-5</v>
      </c>
      <c r="H55" s="31">
        <f t="shared" si="34"/>
        <v>4.5094444632820016E-5</v>
      </c>
      <c r="I55" s="31">
        <f t="shared" si="34"/>
        <v>1.9740393254759815E-5</v>
      </c>
      <c r="J55" s="31">
        <f t="shared" si="34"/>
        <v>1.9993085915518774E-4</v>
      </c>
      <c r="K55" s="31">
        <f t="shared" si="34"/>
        <v>4.5930359479836221E-5</v>
      </c>
      <c r="L55" s="31">
        <f t="shared" si="34"/>
        <v>2.6096333268115096E-6</v>
      </c>
      <c r="M55" s="31">
        <f t="shared" si="34"/>
        <v>1.1498449467020584E-5</v>
      </c>
      <c r="N55" s="31">
        <f t="shared" si="34"/>
        <v>3.2298232999951528E-5</v>
      </c>
      <c r="O55" s="31">
        <f t="shared" si="34"/>
        <v>6.8339836461226209E-5</v>
      </c>
      <c r="P55" s="31">
        <f t="shared" si="34"/>
        <v>1.2124120712710884E-4</v>
      </c>
      <c r="Q55" s="31">
        <f t="shared" si="34"/>
        <v>1.8503960055676742E-4</v>
      </c>
      <c r="R55" s="31">
        <f t="shared" si="34"/>
        <v>2.4182562488531294E-4</v>
      </c>
      <c r="S55" s="31">
        <f t="shared" si="34"/>
        <v>2.6969161069538642E-4</v>
      </c>
      <c r="T55" s="31">
        <f t="shared" si="34"/>
        <v>2.5923513188927443E-4</v>
      </c>
      <c r="U55" s="31">
        <f t="shared" si="34"/>
        <v>2.1552448920512918E-4</v>
      </c>
      <c r="V55" s="31">
        <f t="shared" si="34"/>
        <v>1.6052501168358307E-4</v>
      </c>
      <c r="W55" s="31">
        <f t="shared" si="34"/>
        <v>1.115543597462643E-4</v>
      </c>
      <c r="X55" s="31">
        <f t="shared" si="34"/>
        <v>7.3380202656222687E-5</v>
      </c>
      <c r="Y55" s="31">
        <f t="shared" si="34"/>
        <v>4.7765849761802205E-5</v>
      </c>
      <c r="Z55" s="31">
        <f t="shared" si="34"/>
        <v>3.32216666868991E-5</v>
      </c>
      <c r="AA55" s="31">
        <f t="shared" si="34"/>
        <v>2.8652922137003349E-5</v>
      </c>
      <c r="AB55" s="31">
        <f t="shared" si="34"/>
        <v>5.9934715642135516E-5</v>
      </c>
      <c r="AC55" s="31">
        <f t="shared" si="34"/>
        <v>1.8439669757121276E-4</v>
      </c>
      <c r="AD55" s="31">
        <f t="shared" si="34"/>
        <v>3.4626579817549516E-4</v>
      </c>
      <c r="AE55" s="31">
        <f t="shared" si="34"/>
        <v>5.0139758493959502E-4</v>
      </c>
      <c r="AF55" s="31">
        <f t="shared" si="34"/>
        <v>6.8145469299666132E-4</v>
      </c>
      <c r="AG55" s="31">
        <f t="shared" si="34"/>
        <v>9.3050538871696734E-4</v>
      </c>
      <c r="AH55" s="31">
        <f t="shared" si="34"/>
        <v>1.2929230559726224E-3</v>
      </c>
      <c r="AI55" s="31">
        <f t="shared" si="34"/>
        <v>1.3356350109058211E-3</v>
      </c>
      <c r="AJ55" s="31">
        <f t="shared" si="34"/>
        <v>6.2009975446184319E-4</v>
      </c>
    </row>
    <row r="56" spans="1:36" x14ac:dyDescent="0.25">
      <c r="E56" s="13" t="s">
        <v>31</v>
      </c>
      <c r="F56" s="32">
        <f>AVERAGE(F55:AJ55)</f>
        <v>2.6515077172448235E-4</v>
      </c>
    </row>
    <row r="57" spans="1:36" x14ac:dyDescent="0.25">
      <c r="A57" s="42"/>
      <c r="B57" s="15"/>
      <c r="C57" s="15"/>
      <c r="D57" s="15"/>
      <c r="F57" s="60">
        <f>AVERAGE(S55:X55)</f>
        <v>1.8165180097930999E-4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33"/>
      <c r="D63" s="133"/>
      <c r="E63" s="133"/>
      <c r="F63" s="133"/>
      <c r="G63" s="133"/>
      <c r="H63" s="133"/>
      <c r="I63" s="133"/>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4"/>
    </row>
    <row r="101" spans="1:9" x14ac:dyDescent="0.25">
      <c r="A101" s="134"/>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-24.635271452940994</v>
      </c>
    </row>
    <row r="119" spans="1:14" x14ac:dyDescent="0.25">
      <c r="L119" s="11">
        <f>L118+1</f>
        <v>2</v>
      </c>
      <c r="M119" s="11">
        <f t="shared" ref="M119:M124" si="35">INDEX($B$125:$K$126,1,L119)</f>
        <v>0</v>
      </c>
      <c r="N119" s="11">
        <f t="shared" ref="N119:N124" si="36">IF(L119=$B$3,0,INDEX($B$125:$K$126,2,L119))</f>
        <v>-21.515325340007891</v>
      </c>
    </row>
    <row r="120" spans="1:14" x14ac:dyDescent="0.25">
      <c r="L120" s="11">
        <f t="shared" ref="L120:L124" si="37">L119+1</f>
        <v>3</v>
      </c>
      <c r="M120" s="11">
        <f t="shared" si="35"/>
        <v>25</v>
      </c>
      <c r="N120" s="11">
        <f t="shared" si="36"/>
        <v>-17.30798424296643</v>
      </c>
    </row>
    <row r="121" spans="1:14" x14ac:dyDescent="0.25">
      <c r="A121" s="103">
        <f>(A165+A204+A243+A282+A321+A360+A399)*10^9</f>
        <v>5930699440008474</v>
      </c>
      <c r="L121" s="11">
        <f t="shared" si="37"/>
        <v>4</v>
      </c>
      <c r="M121" s="11">
        <f t="shared" si="35"/>
        <v>50</v>
      </c>
      <c r="N121" s="11">
        <f t="shared" si="36"/>
        <v>-10.743895843593299</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2"/>
      <c r="B123" s="132"/>
      <c r="C123" s="3"/>
      <c r="D123" s="3"/>
      <c r="E123" s="3"/>
      <c r="F123" s="3"/>
      <c r="G123" s="3"/>
      <c r="H123" s="3"/>
      <c r="I123" s="3"/>
      <c r="J123" s="3"/>
      <c r="K123" s="3"/>
      <c r="L123" s="11">
        <f t="shared" si="37"/>
        <v>6</v>
      </c>
      <c r="M123" s="11">
        <f t="shared" si="35"/>
        <v>125</v>
      </c>
      <c r="N123" s="11">
        <f t="shared" si="36"/>
        <v>19.380392094928641</v>
      </c>
    </row>
    <row r="124" spans="1:14" x14ac:dyDescent="0.25">
      <c r="B124" s="3"/>
      <c r="C124" s="3"/>
      <c r="D124" s="3"/>
      <c r="E124" s="3"/>
      <c r="F124" s="3"/>
      <c r="G124" s="3"/>
      <c r="H124" s="3"/>
      <c r="I124" s="3"/>
      <c r="J124" s="3"/>
      <c r="K124" s="3"/>
      <c r="L124" s="11">
        <f t="shared" si="37"/>
        <v>7</v>
      </c>
      <c r="M124" s="11">
        <f t="shared" si="35"/>
        <v>160</v>
      </c>
      <c r="N124" s="11">
        <f t="shared" si="36"/>
        <v>23.582578516418124</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-24.635271452940994</v>
      </c>
      <c r="C126" s="107">
        <v>-21.515325340007891</v>
      </c>
      <c r="D126" s="107">
        <v>-17.30798424296643</v>
      </c>
      <c r="E126" s="107">
        <v>-10.743895843593299</v>
      </c>
      <c r="F126" s="107">
        <v>-3.8807947368513976E-5</v>
      </c>
      <c r="G126" s="107">
        <v>19.380392094928641</v>
      </c>
      <c r="H126" s="107">
        <v>23.582578516418124</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6574.1423129756067</v>
      </c>
      <c r="C130" s="26">
        <f>INDEX(Comparison!$AM$3:$AS$33,G14,$B$122)</f>
        <v>6574.1983504239388</v>
      </c>
      <c r="D130" s="26">
        <f>INDEX(Comparison!$AM$3:$AS$33,H14,$B$122)</f>
        <v>6574.1641202956771</v>
      </c>
      <c r="E130" s="26">
        <f>INDEX(Comparison!$AM$3:$AS$33,I14,$B$122)</f>
        <v>6574.1538463873376</v>
      </c>
      <c r="F130" s="26">
        <f>INDEX(Comparison!$AM$3:$AS$33,J14,$B$122)</f>
        <v>6574.1506604943988</v>
      </c>
      <c r="G130" s="26">
        <f>INDEX(Comparison!$AM$3:$AS$33,K14,$B$122)</f>
        <v>6574.149598530772</v>
      </c>
      <c r="H130" s="26">
        <f>INDEX(Comparison!$AM$3:$AS$33,L14,$B$122)</f>
        <v>6574.1492527752453</v>
      </c>
      <c r="I130" s="26">
        <f>INDEX(Comparison!$AM$3:$AS$33,M14,$B$122)</f>
        <v>6574.149203381603</v>
      </c>
      <c r="J130" s="26">
        <f>INDEX(Comparison!$AM$3:$AS$33,N14,$B$122)</f>
        <v>6574.149203381603</v>
      </c>
      <c r="K130" s="26">
        <f>INDEX(Comparison!$AM$3:$AS$33,O14,$B$122)</f>
        <v>6574.149203381603</v>
      </c>
      <c r="L130" s="26">
        <f>INDEX(Comparison!$AM$3:$AS$33,P14,$B$122)</f>
        <v>6574.1491786847801</v>
      </c>
      <c r="M130" s="26">
        <f>INDEX(Comparison!$AM$3:$AS$33,Q14,$B$122)</f>
        <v>6574.1489070197567</v>
      </c>
      <c r="N130" s="26">
        <f>INDEX(Comparison!$AM$3:$AS$33,R14,$B$122)</f>
        <v>6574.1483883865922</v>
      </c>
      <c r="O130" s="26">
        <f>INDEX(Comparison!$AM$3:$AS$33,S14,$B$122)</f>
        <v>6574.141102834109</v>
      </c>
      <c r="P130" s="26">
        <f>INDEX(Comparison!$AM$3:$AS$33,T14,$B$122)</f>
        <v>6574.0681741087647</v>
      </c>
      <c r="Q130" s="26">
        <f>INDEX(Comparison!$AM$3:$AS$33,U14,$B$122)</f>
        <v>6573.3425313051102</v>
      </c>
      <c r="R130" s="26">
        <f>INDEX(Comparison!$AM$3:$AS$33,V14,$B$122)</f>
        <v>6566.2492544539882</v>
      </c>
      <c r="S130" s="26">
        <f>INDEX(Comparison!$AM$3:$AS$33,W14,$B$122)</f>
        <v>6509.2168204054406</v>
      </c>
      <c r="T130" s="26">
        <f>INDEX(Comparison!$AM$3:$AS$33,X14,$B$122)</f>
        <v>6358.877795711509</v>
      </c>
      <c r="U130" s="26">
        <f>INDEX(Comparison!$AM$3:$AS$33,Y14,$B$122)</f>
        <v>6198.1657141301985</v>
      </c>
      <c r="V130" s="26">
        <f>INDEX(Comparison!$AM$3:$AS$33,Z14,$B$122)</f>
        <v>5965.2165970487267</v>
      </c>
      <c r="W130" s="26">
        <f>INDEX(Comparison!$AM$3:$AS$33,AA14,$B$122)</f>
        <v>5562.9083959530062</v>
      </c>
      <c r="X130" s="26">
        <f>INDEX(Comparison!$AM$3:$AS$33,AB14,$B$122)</f>
        <v>5068.6144859756578</v>
      </c>
      <c r="Y130" s="26">
        <f>INDEX(Comparison!$AM$3:$AS$33,AC14,$B$122)</f>
        <v>4583.1082918040429</v>
      </c>
      <c r="Z130" s="26">
        <f>INDEX(Comparison!$AM$3:$AS$33,AD14,$B$122)</f>
        <v>4165.9762057055259</v>
      </c>
      <c r="AA130" s="26">
        <f>INDEX(Comparison!$AM$3:$AS$33,AE14,$B$122)</f>
        <v>3823.5689905233821</v>
      </c>
      <c r="AB130" s="26">
        <f>INDEX(Comparison!$AM$3:$AS$33,AF14,$B$122)</f>
        <v>3510.558848270296</v>
      </c>
      <c r="AC130" s="26">
        <f>INDEX(Comparison!$AM$3:$AS$33,AG14,$B$122)</f>
        <v>3215.4703591878829</v>
      </c>
      <c r="AD130" s="26">
        <f>INDEX(Comparison!$AM$3:$AS$33,AH14,$B$122)</f>
        <v>2870.194204228324</v>
      </c>
      <c r="AE130" s="26">
        <f>INDEX(Comparison!$AM$3:$AS$33,AI14,$B$122)</f>
        <v>2458.5183678646754</v>
      </c>
      <c r="AF130" s="26">
        <f>INDEX(Comparison!$AM$3:$AS$33,AJ14,$B$122)</f>
        <v>1982.6966326072995</v>
      </c>
    </row>
    <row r="131" spans="1:33" x14ac:dyDescent="0.25">
      <c r="A131" s="68" t="s">
        <v>22</v>
      </c>
      <c r="B131" s="27">
        <f>($C$17+SUM(B132:B162))*$B$51</f>
        <v>6524.0922106504086</v>
      </c>
      <c r="C131" s="27">
        <f t="shared" ref="C131:AF131" si="40">($C$17+SUM(C132:C162))*$B$51</f>
        <v>6524.0914065121169</v>
      </c>
      <c r="D131" s="27">
        <f t="shared" si="40"/>
        <v>6524.0833659252612</v>
      </c>
      <c r="E131" s="27">
        <f t="shared" si="40"/>
        <v>6524.0030396097682</v>
      </c>
      <c r="F131" s="27">
        <f t="shared" si="40"/>
        <v>6523.2076790324036</v>
      </c>
      <c r="G131" s="27">
        <f t="shared" si="40"/>
        <v>6515.9941388350526</v>
      </c>
      <c r="H131" s="27">
        <f t="shared" si="40"/>
        <v>6485.4640027370879</v>
      </c>
      <c r="I131" s="27">
        <f t="shared" si="40"/>
        <v>6479.4182358307271</v>
      </c>
      <c r="J131" s="27">
        <f t="shared" si="40"/>
        <v>6479.4182342241465</v>
      </c>
      <c r="K131" s="27">
        <f t="shared" si="40"/>
        <v>6479.4182190788351</v>
      </c>
      <c r="L131" s="27">
        <f t="shared" si="40"/>
        <v>6479.4180676258993</v>
      </c>
      <c r="M131" s="27">
        <f t="shared" si="40"/>
        <v>6479.4165531144581</v>
      </c>
      <c r="N131" s="27">
        <f t="shared" si="40"/>
        <v>6479.4014097921508</v>
      </c>
      <c r="O131" s="27">
        <f t="shared" si="40"/>
        <v>6479.2501555663957</v>
      </c>
      <c r="P131" s="27">
        <f t="shared" si="40"/>
        <v>6477.7553015286476</v>
      </c>
      <c r="Q131" s="27">
        <f t="shared" si="40"/>
        <v>6464.38250286523</v>
      </c>
      <c r="R131" s="27">
        <f t="shared" si="40"/>
        <v>6395.6509590005962</v>
      </c>
      <c r="S131" s="27">
        <f t="shared" si="40"/>
        <v>6232.5140470521465</v>
      </c>
      <c r="T131" s="27">
        <f t="shared" si="40"/>
        <v>6082.6554372423616</v>
      </c>
      <c r="U131" s="27">
        <f t="shared" si="40"/>
        <v>5899.2573498465699</v>
      </c>
      <c r="V131" s="27">
        <f t="shared" si="40"/>
        <v>5690.4956462578211</v>
      </c>
      <c r="W131" s="27">
        <f t="shared" si="40"/>
        <v>5481.6779680210811</v>
      </c>
      <c r="X131" s="27">
        <f t="shared" si="40"/>
        <v>5196.7837847362989</v>
      </c>
      <c r="Y131" s="27">
        <f t="shared" si="40"/>
        <v>4925.2061359438576</v>
      </c>
      <c r="Z131" s="27">
        <f t="shared" si="40"/>
        <v>4637.94288206685</v>
      </c>
      <c r="AA131" s="27">
        <f t="shared" si="40"/>
        <v>4338.4902008208101</v>
      </c>
      <c r="AB131" s="27">
        <f t="shared" si="40"/>
        <v>3991.7536806730823</v>
      </c>
      <c r="AC131" s="27">
        <f t="shared" si="40"/>
        <v>3472.1919611197118</v>
      </c>
      <c r="AD131" s="27">
        <f t="shared" si="40"/>
        <v>2831.1164229424608</v>
      </c>
      <c r="AE131" s="27">
        <f t="shared" si="40"/>
        <v>2147.0236266016454</v>
      </c>
      <c r="AF131" s="27">
        <f t="shared" si="40"/>
        <v>1473.3230414989728</v>
      </c>
    </row>
    <row r="132" spans="1:33" x14ac:dyDescent="0.25">
      <c r="B132" s="3">
        <f t="shared" ref="B132:Z133" si="41">$C18*EXP(-B$129/$A18/EXP(-$B$126))</f>
        <v>6.8475387363003638E-3</v>
      </c>
      <c r="C132" s="3">
        <f t="shared" ref="C132:AF132" si="42">$C18*EXP(-C$129/$A18/EXP(-$B$126))</f>
        <v>6.847415479569078E-3</v>
      </c>
      <c r="D132" s="3">
        <f t="shared" si="42"/>
        <v>6.8461830342748204E-3</v>
      </c>
      <c r="E132" s="3">
        <f t="shared" si="42"/>
        <v>6.8338707750694259E-3</v>
      </c>
      <c r="F132" s="3">
        <f t="shared" si="42"/>
        <v>6.7119594745176925E-3</v>
      </c>
      <c r="G132" s="3">
        <f t="shared" si="42"/>
        <v>5.606282260871117E-3</v>
      </c>
      <c r="H132" s="3">
        <f t="shared" si="42"/>
        <v>9.266832179789696E-4</v>
      </c>
      <c r="I132" s="3">
        <f t="shared" si="42"/>
        <v>1.4108949670366558E-11</v>
      </c>
      <c r="J132" s="3">
        <f t="shared" si="42"/>
        <v>9.4434034742215352E-90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4.1307711058277677E-3</v>
      </c>
      <c r="C136" s="3">
        <f t="shared" si="49"/>
        <v>4.1307711058277538E-3</v>
      </c>
      <c r="D136" s="3">
        <f t="shared" si="49"/>
        <v>4.1307711058276141E-3</v>
      </c>
      <c r="E136" s="3">
        <f t="shared" si="49"/>
        <v>4.1307711058262159E-3</v>
      </c>
      <c r="F136" s="3">
        <f t="shared" si="49"/>
        <v>4.1307711058122349E-3</v>
      </c>
      <c r="G136" s="3">
        <f t="shared" si="49"/>
        <v>4.1307711056724197E-3</v>
      </c>
      <c r="H136" s="3">
        <f t="shared" si="49"/>
        <v>4.1307711042742725E-3</v>
      </c>
      <c r="I136" s="3">
        <f t="shared" si="49"/>
        <v>4.130771090292802E-3</v>
      </c>
      <c r="J136" s="3">
        <f t="shared" si="49"/>
        <v>4.1307709504780927E-3</v>
      </c>
      <c r="K136" s="3">
        <f t="shared" si="49"/>
        <v>4.1307695523312661E-3</v>
      </c>
      <c r="L136" s="3">
        <f t="shared" si="49"/>
        <v>4.1307555708890277E-3</v>
      </c>
      <c r="M136" s="3">
        <f t="shared" si="49"/>
        <v>4.1306157590693853E-3</v>
      </c>
      <c r="N136" s="3">
        <f t="shared" si="49"/>
        <v>4.12921790111465E-3</v>
      </c>
      <c r="O136" s="3">
        <f t="shared" si="49"/>
        <v>4.1152653131746146E-3</v>
      </c>
      <c r="P136" s="3">
        <f t="shared" si="49"/>
        <v>3.9783063366829897E-3</v>
      </c>
      <c r="Q136" s="3">
        <f t="shared" si="49"/>
        <v>2.8359726648594184E-3</v>
      </c>
      <c r="R136" s="3">
        <f t="shared" si="49"/>
        <v>9.610372694445408E-5</v>
      </c>
      <c r="S136" s="3">
        <f t="shared" si="49"/>
        <v>1.9192083588690441E-19</v>
      </c>
      <c r="T136" s="3">
        <f t="shared" si="49"/>
        <v>1.9361593153259613E-166</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2.7999656176946438E-2</v>
      </c>
      <c r="C137" s="3">
        <f t="shared" si="51"/>
        <v>2.7999656176946427E-2</v>
      </c>
      <c r="D137" s="3">
        <f t="shared" si="51"/>
        <v>2.7999656176946341E-2</v>
      </c>
      <c r="E137" s="3">
        <f t="shared" si="51"/>
        <v>2.7999656176945487E-2</v>
      </c>
      <c r="F137" s="3">
        <f t="shared" si="51"/>
        <v>2.7999656176936939E-2</v>
      </c>
      <c r="G137" s="3">
        <f t="shared" si="51"/>
        <v>2.7999656176851448E-2</v>
      </c>
      <c r="H137" s="3">
        <f t="shared" si="51"/>
        <v>2.7999656175996538E-2</v>
      </c>
      <c r="I137" s="3">
        <f t="shared" si="51"/>
        <v>2.7999656167447425E-2</v>
      </c>
      <c r="J137" s="3">
        <f t="shared" si="51"/>
        <v>2.7999656081956301E-2</v>
      </c>
      <c r="K137" s="3">
        <f t="shared" si="51"/>
        <v>2.7999655227045069E-2</v>
      </c>
      <c r="L137" s="3">
        <f t="shared" si="51"/>
        <v>2.7999646677934208E-2</v>
      </c>
      <c r="M137" s="3">
        <f t="shared" si="51"/>
        <v>2.7999561186969144E-2</v>
      </c>
      <c r="N137" s="3">
        <f t="shared" si="51"/>
        <v>2.7998706291674957E-2</v>
      </c>
      <c r="O137" s="3">
        <f t="shared" si="51"/>
        <v>2.7990158774214367E-2</v>
      </c>
      <c r="P137" s="3">
        <f t="shared" si="51"/>
        <v>2.7904826985701459E-2</v>
      </c>
      <c r="Q137" s="3">
        <f t="shared" si="51"/>
        <v>2.7065687038463723E-2</v>
      </c>
      <c r="R137" s="3">
        <f t="shared" si="51"/>
        <v>1.9944183969821828E-2</v>
      </c>
      <c r="S137" s="3">
        <f t="shared" si="51"/>
        <v>9.4143085832563229E-4</v>
      </c>
      <c r="T137" s="3">
        <f t="shared" si="51"/>
        <v>5.1702317421044344E-17</v>
      </c>
      <c r="U137" s="3">
        <f t="shared" si="51"/>
        <v>1.2904043265421168E-149</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2.1974033248038118E-2</v>
      </c>
      <c r="C138" s="3">
        <f t="shared" si="53"/>
        <v>2.1974033248038118E-2</v>
      </c>
      <c r="D138" s="3">
        <f t="shared" si="53"/>
        <v>2.1974033248038111E-2</v>
      </c>
      <c r="E138" s="3">
        <f t="shared" si="53"/>
        <v>2.1974033248038049E-2</v>
      </c>
      <c r="F138" s="3">
        <f t="shared" si="53"/>
        <v>2.1974033248037445E-2</v>
      </c>
      <c r="G138" s="3">
        <f t="shared" si="53"/>
        <v>2.1974033248031391E-2</v>
      </c>
      <c r="H138" s="3">
        <f t="shared" si="53"/>
        <v>2.197403324797087E-2</v>
      </c>
      <c r="I138" s="3">
        <f t="shared" si="53"/>
        <v>2.1974033247365632E-2</v>
      </c>
      <c r="J138" s="3">
        <f t="shared" si="53"/>
        <v>2.1974033241313272E-2</v>
      </c>
      <c r="K138" s="3">
        <f t="shared" si="53"/>
        <v>2.1974033180789682E-2</v>
      </c>
      <c r="L138" s="3">
        <f t="shared" si="53"/>
        <v>2.1974032575553765E-2</v>
      </c>
      <c r="M138" s="3">
        <f t="shared" si="53"/>
        <v>2.1974026523195515E-2</v>
      </c>
      <c r="N138" s="3">
        <f t="shared" si="53"/>
        <v>2.197396599970472E-2</v>
      </c>
      <c r="O138" s="3">
        <f t="shared" si="53"/>
        <v>2.1973360773965226E-2</v>
      </c>
      <c r="P138" s="3">
        <f t="shared" si="53"/>
        <v>2.1967309433324964E-2</v>
      </c>
      <c r="Q138" s="3">
        <f t="shared" si="53"/>
        <v>2.1906887609032807E-2</v>
      </c>
      <c r="R138" s="3">
        <f t="shared" si="53"/>
        <v>2.1311734929484277E-2</v>
      </c>
      <c r="S138" s="3">
        <f t="shared" si="53"/>
        <v>1.6180802724824125E-2</v>
      </c>
      <c r="T138" s="3">
        <f t="shared" si="53"/>
        <v>1.029941682371737E-3</v>
      </c>
      <c r="U138" s="3">
        <f t="shared" si="53"/>
        <v>1.1244453453097906E-15</v>
      </c>
      <c r="V138" s="3">
        <f t="shared" si="53"/>
        <v>2.7051759293037751E-135</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2.8257721635256996E-2</v>
      </c>
      <c r="C139" s="3">
        <f t="shared" si="55"/>
        <v>2.8257721635256996E-2</v>
      </c>
      <c r="D139" s="3">
        <f t="shared" si="55"/>
        <v>2.8257721635256996E-2</v>
      </c>
      <c r="E139" s="3">
        <f t="shared" si="55"/>
        <v>2.8257721635256989E-2</v>
      </c>
      <c r="F139" s="3">
        <f t="shared" si="55"/>
        <v>2.8257721635256916E-2</v>
      </c>
      <c r="G139" s="3">
        <f t="shared" si="55"/>
        <v>2.8257721635256215E-2</v>
      </c>
      <c r="H139" s="3">
        <f t="shared" si="55"/>
        <v>2.8257721635249193E-2</v>
      </c>
      <c r="I139" s="3">
        <f t="shared" si="55"/>
        <v>2.8257721635178985E-2</v>
      </c>
      <c r="J139" s="3">
        <f t="shared" si="55"/>
        <v>2.8257721634476884E-2</v>
      </c>
      <c r="K139" s="3">
        <f t="shared" si="55"/>
        <v>2.8257721627455892E-2</v>
      </c>
      <c r="L139" s="3">
        <f t="shared" si="55"/>
        <v>2.825772155724594E-2</v>
      </c>
      <c r="M139" s="3">
        <f t="shared" si="55"/>
        <v>2.8257720855146468E-2</v>
      </c>
      <c r="N139" s="3">
        <f t="shared" si="55"/>
        <v>2.8257713834152657E-2</v>
      </c>
      <c r="O139" s="3">
        <f t="shared" si="55"/>
        <v>2.8257643624310512E-2</v>
      </c>
      <c r="P139" s="3">
        <f t="shared" si="55"/>
        <v>2.8256941535483495E-2</v>
      </c>
      <c r="Q139" s="3">
        <f t="shared" si="55"/>
        <v>2.8249921606566468E-2</v>
      </c>
      <c r="R139" s="3">
        <f t="shared" si="55"/>
        <v>2.8179818164573555E-2</v>
      </c>
      <c r="S139" s="3">
        <f t="shared" si="55"/>
        <v>2.7488280931401751E-2</v>
      </c>
      <c r="T139" s="3">
        <f t="shared" si="55"/>
        <v>2.1440826540250042E-2</v>
      </c>
      <c r="U139" s="3">
        <f t="shared" si="55"/>
        <v>1.7872320738245445E-3</v>
      </c>
      <c r="V139" s="3">
        <f t="shared" si="55"/>
        <v>2.8945110628844524E-14</v>
      </c>
      <c r="W139" s="3">
        <f t="shared" si="55"/>
        <v>3.59350169789739E-122</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3.4428387596441817E-2</v>
      </c>
      <c r="C140" s="3">
        <f t="shared" si="57"/>
        <v>3.4428387596441817E-2</v>
      </c>
      <c r="D140" s="3">
        <f t="shared" si="57"/>
        <v>3.4428387596441817E-2</v>
      </c>
      <c r="E140" s="3">
        <f t="shared" si="57"/>
        <v>3.4428387596441817E-2</v>
      </c>
      <c r="F140" s="3">
        <f t="shared" si="57"/>
        <v>3.442838759644181E-2</v>
      </c>
      <c r="G140" s="3">
        <f t="shared" si="57"/>
        <v>3.4428387596441734E-2</v>
      </c>
      <c r="H140" s="3">
        <f t="shared" si="57"/>
        <v>3.4428387596440964E-2</v>
      </c>
      <c r="I140" s="3">
        <f t="shared" si="57"/>
        <v>3.4428387596433241E-2</v>
      </c>
      <c r="J140" s="3">
        <f t="shared" si="57"/>
        <v>3.442838759635608E-2</v>
      </c>
      <c r="K140" s="3">
        <f t="shared" si="57"/>
        <v>3.442838759558442E-2</v>
      </c>
      <c r="L140" s="3">
        <f t="shared" si="57"/>
        <v>3.4428387587867842E-2</v>
      </c>
      <c r="M140" s="3">
        <f t="shared" si="57"/>
        <v>3.4428387510702055E-2</v>
      </c>
      <c r="N140" s="3">
        <f t="shared" si="57"/>
        <v>3.4428386739044199E-2</v>
      </c>
      <c r="O140" s="3">
        <f t="shared" si="57"/>
        <v>3.4428379022466593E-2</v>
      </c>
      <c r="P140" s="3">
        <f t="shared" si="57"/>
        <v>3.4428301856785616E-2</v>
      </c>
      <c r="Q140" s="3">
        <f t="shared" si="57"/>
        <v>3.4427530209488334E-2</v>
      </c>
      <c r="R140" s="3">
        <f t="shared" si="57"/>
        <v>3.4419814687679851E-2</v>
      </c>
      <c r="S140" s="3">
        <f t="shared" si="57"/>
        <v>3.4342754507197641E-2</v>
      </c>
      <c r="T140" s="3">
        <f t="shared" si="57"/>
        <v>3.35815781185742E-2</v>
      </c>
      <c r="U140" s="3">
        <f t="shared" si="57"/>
        <v>2.6838661982693586E-2</v>
      </c>
      <c r="V140" s="3">
        <f t="shared" si="57"/>
        <v>2.8533723868887843E-3</v>
      </c>
      <c r="W140" s="3">
        <f t="shared" si="57"/>
        <v>5.2642243337494266E-13</v>
      </c>
      <c r="X140" s="3">
        <f t="shared" si="57"/>
        <v>2.4048817740671043E-110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2.9417341850199882E-2</v>
      </c>
      <c r="C141" s="3">
        <f t="shared" si="59"/>
        <v>2.9417341850199882E-2</v>
      </c>
      <c r="D141" s="3">
        <f t="shared" si="59"/>
        <v>2.9417341850199882E-2</v>
      </c>
      <c r="E141" s="3">
        <f t="shared" si="59"/>
        <v>2.9417341850199882E-2</v>
      </c>
      <c r="F141" s="3">
        <f t="shared" si="59"/>
        <v>2.9417341850199882E-2</v>
      </c>
      <c r="G141" s="3">
        <f t="shared" si="59"/>
        <v>2.9417341850199875E-2</v>
      </c>
      <c r="H141" s="3">
        <f t="shared" si="59"/>
        <v>2.9417341850199816E-2</v>
      </c>
      <c r="I141" s="3">
        <f t="shared" si="59"/>
        <v>2.9417341850199223E-2</v>
      </c>
      <c r="J141" s="3">
        <f t="shared" si="59"/>
        <v>2.9417341850193277E-2</v>
      </c>
      <c r="K141" s="3">
        <f t="shared" si="59"/>
        <v>2.9417341850133796E-2</v>
      </c>
      <c r="L141" s="3">
        <f t="shared" si="59"/>
        <v>2.9417341849539015E-2</v>
      </c>
      <c r="M141" s="3">
        <f t="shared" si="59"/>
        <v>2.941734184359119E-2</v>
      </c>
      <c r="N141" s="3">
        <f t="shared" si="59"/>
        <v>2.9417341784112944E-2</v>
      </c>
      <c r="O141" s="3">
        <f t="shared" si="59"/>
        <v>2.9417341189330537E-2</v>
      </c>
      <c r="P141" s="3">
        <f t="shared" si="59"/>
        <v>2.9417335241507084E-2</v>
      </c>
      <c r="Q141" s="3">
        <f t="shared" si="59"/>
        <v>2.9417275763338711E-2</v>
      </c>
      <c r="R141" s="3">
        <f t="shared" si="59"/>
        <v>2.9416680988269099E-2</v>
      </c>
      <c r="S141" s="3">
        <f t="shared" si="59"/>
        <v>2.9410733898935257E-2</v>
      </c>
      <c r="T141" s="3">
        <f t="shared" si="59"/>
        <v>2.9351329092373393E-2</v>
      </c>
      <c r="U141" s="3">
        <f t="shared" si="59"/>
        <v>2.8763840531507569E-2</v>
      </c>
      <c r="V141" s="3">
        <f t="shared" si="59"/>
        <v>2.3498377548433369E-2</v>
      </c>
      <c r="W141" s="3">
        <f t="shared" si="59"/>
        <v>3.1113432591745988E-3</v>
      </c>
      <c r="X141" s="3">
        <f t="shared" si="59"/>
        <v>5.1528609980819977E-12</v>
      </c>
      <c r="Y141" s="3">
        <f t="shared" si="59"/>
        <v>7.999326555788739E-100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4.9022148144302696E-2</v>
      </c>
      <c r="C142" s="3">
        <f t="shared" si="61"/>
        <v>4.9022148144302696E-2</v>
      </c>
      <c r="D142" s="3">
        <f t="shared" si="61"/>
        <v>4.9022148144302696E-2</v>
      </c>
      <c r="E142" s="3">
        <f t="shared" si="61"/>
        <v>4.9022148144302696E-2</v>
      </c>
      <c r="F142" s="3">
        <f t="shared" si="61"/>
        <v>4.9022148144302696E-2</v>
      </c>
      <c r="G142" s="3">
        <f t="shared" si="61"/>
        <v>4.9022148144302696E-2</v>
      </c>
      <c r="H142" s="3">
        <f t="shared" si="61"/>
        <v>4.9022148144302682E-2</v>
      </c>
      <c r="I142" s="3">
        <f t="shared" si="61"/>
        <v>4.9022148144302599E-2</v>
      </c>
      <c r="J142" s="3">
        <f t="shared" si="61"/>
        <v>4.9022148144301697E-2</v>
      </c>
      <c r="K142" s="3">
        <f t="shared" si="61"/>
        <v>4.9022148144292767E-2</v>
      </c>
      <c r="L142" s="3">
        <f t="shared" si="61"/>
        <v>4.9022148144203345E-2</v>
      </c>
      <c r="M142" s="3">
        <f t="shared" si="61"/>
        <v>4.9022148143309234E-2</v>
      </c>
      <c r="N142" s="3">
        <f t="shared" si="61"/>
        <v>4.9022148134368081E-2</v>
      </c>
      <c r="O142" s="3">
        <f t="shared" si="61"/>
        <v>4.9022148044956526E-2</v>
      </c>
      <c r="P142" s="3">
        <f t="shared" si="61"/>
        <v>4.9022147150841036E-2</v>
      </c>
      <c r="Q142" s="3">
        <f t="shared" si="61"/>
        <v>4.9022138209687025E-2</v>
      </c>
      <c r="R142" s="3">
        <f t="shared" si="61"/>
        <v>4.9022048798236566E-2</v>
      </c>
      <c r="S142" s="3">
        <f t="shared" si="61"/>
        <v>4.9021154692701213E-2</v>
      </c>
      <c r="T142" s="3">
        <f t="shared" si="61"/>
        <v>4.9012214534208461E-2</v>
      </c>
      <c r="U142" s="3">
        <f t="shared" si="61"/>
        <v>4.892290257486509E-2</v>
      </c>
      <c r="V142" s="3">
        <f t="shared" si="61"/>
        <v>4.8038685350557789E-2</v>
      </c>
      <c r="W142" s="3">
        <f t="shared" si="61"/>
        <v>4.0029493532392678E-2</v>
      </c>
      <c r="X142" s="3">
        <f t="shared" si="61"/>
        <v>6.4605562237587729E-3</v>
      </c>
      <c r="Y142" s="3">
        <f t="shared" si="61"/>
        <v>7.7476155257287883E-11</v>
      </c>
      <c r="Z142" s="3">
        <f t="shared" si="61"/>
        <v>4.7659509158294904E-90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4.1805094553385949E-2</v>
      </c>
      <c r="C143" s="3">
        <f t="shared" si="63"/>
        <v>4.1805094553385949E-2</v>
      </c>
      <c r="D143" s="3">
        <f t="shared" si="63"/>
        <v>4.1805094553385949E-2</v>
      </c>
      <c r="E143" s="3">
        <f t="shared" si="63"/>
        <v>4.1805094553385949E-2</v>
      </c>
      <c r="F143" s="3">
        <f t="shared" si="63"/>
        <v>4.1805094553385949E-2</v>
      </c>
      <c r="G143" s="3">
        <f t="shared" si="63"/>
        <v>4.1805094553385949E-2</v>
      </c>
      <c r="H143" s="3">
        <f t="shared" si="63"/>
        <v>4.1805094553385949E-2</v>
      </c>
      <c r="I143" s="3">
        <f t="shared" si="63"/>
        <v>4.1805094553385942E-2</v>
      </c>
      <c r="J143" s="3">
        <f t="shared" si="63"/>
        <v>4.1805094553385873E-2</v>
      </c>
      <c r="K143" s="3">
        <f t="shared" si="63"/>
        <v>4.1805094553385186E-2</v>
      </c>
      <c r="L143" s="3">
        <f t="shared" si="63"/>
        <v>4.1805094553378302E-2</v>
      </c>
      <c r="M143" s="3">
        <f t="shared" si="63"/>
        <v>4.1805094553309524E-2</v>
      </c>
      <c r="N143" s="3">
        <f t="shared" si="63"/>
        <v>4.1805094552621699E-2</v>
      </c>
      <c r="O143" s="3">
        <f t="shared" si="63"/>
        <v>4.1805094545743465E-2</v>
      </c>
      <c r="P143" s="3">
        <f t="shared" si="63"/>
        <v>4.1805094476961104E-2</v>
      </c>
      <c r="Q143" s="3">
        <f t="shared" si="63"/>
        <v>4.1805093789137486E-2</v>
      </c>
      <c r="R143" s="3">
        <f t="shared" si="63"/>
        <v>4.1805086910901956E-2</v>
      </c>
      <c r="S143" s="3">
        <f t="shared" si="63"/>
        <v>4.1805018128608852E-2</v>
      </c>
      <c r="T143" s="3">
        <f t="shared" si="63"/>
        <v>4.1804330311902026E-2</v>
      </c>
      <c r="U143" s="3">
        <f t="shared" si="63"/>
        <v>4.1797452767217622E-2</v>
      </c>
      <c r="V143" s="3">
        <f t="shared" si="63"/>
        <v>4.1728739520881401E-2</v>
      </c>
      <c r="W143" s="3">
        <f t="shared" si="63"/>
        <v>4.1047789408892262E-2</v>
      </c>
      <c r="X143" s="3">
        <f t="shared" si="63"/>
        <v>3.4820487342673907E-2</v>
      </c>
      <c r="Y143" s="3">
        <f t="shared" si="63"/>
        <v>6.7187048186370573E-3</v>
      </c>
      <c r="Z143" s="3">
        <f t="shared" si="63"/>
        <v>4.8060990895569106E-10</v>
      </c>
      <c r="AA143" s="3">
        <f t="shared" ref="AA143" si="64">$C29*EXP(-AA$129/$A29/EXP(-$B$126))</f>
        <v>1.6860261869842988E-81</v>
      </c>
      <c r="AB143" s="3">
        <f t="shared" si="46"/>
        <v>0</v>
      </c>
      <c r="AC143" s="3">
        <f t="shared" si="46"/>
        <v>0</v>
      </c>
      <c r="AD143" s="3">
        <f t="shared" si="46"/>
        <v>0</v>
      </c>
      <c r="AE143" s="3">
        <f t="shared" si="46"/>
        <v>0</v>
      </c>
      <c r="AF143" s="3">
        <f t="shared" si="46"/>
        <v>0</v>
      </c>
    </row>
    <row r="144" spans="1:33" x14ac:dyDescent="0.25">
      <c r="B144" s="3">
        <f t="shared" ref="B144:Z144" si="65">$C30*EXP(-B$129/$A30/EXP(-$B$126))</f>
        <v>4.6917367124464961E-2</v>
      </c>
      <c r="C144" s="3">
        <f t="shared" si="65"/>
        <v>4.6917367124464961E-2</v>
      </c>
      <c r="D144" s="3">
        <f t="shared" si="65"/>
        <v>4.6917367124464961E-2</v>
      </c>
      <c r="E144" s="3">
        <f t="shared" si="65"/>
        <v>4.6917367124464961E-2</v>
      </c>
      <c r="F144" s="3">
        <f t="shared" si="65"/>
        <v>4.6917367124464961E-2</v>
      </c>
      <c r="G144" s="3">
        <f t="shared" si="65"/>
        <v>4.6917367124464961E-2</v>
      </c>
      <c r="H144" s="3">
        <f t="shared" si="65"/>
        <v>4.6917367124464961E-2</v>
      </c>
      <c r="I144" s="3">
        <f t="shared" si="65"/>
        <v>4.6917367124464961E-2</v>
      </c>
      <c r="J144" s="3">
        <f t="shared" si="65"/>
        <v>4.6917367124464954E-2</v>
      </c>
      <c r="K144" s="3">
        <f t="shared" si="65"/>
        <v>4.6917367124464884E-2</v>
      </c>
      <c r="L144" s="3">
        <f t="shared" si="65"/>
        <v>4.6917367124464184E-2</v>
      </c>
      <c r="M144" s="3">
        <f t="shared" si="65"/>
        <v>4.6917367124457224E-2</v>
      </c>
      <c r="N144" s="3">
        <f t="shared" si="65"/>
        <v>4.6917367124387585E-2</v>
      </c>
      <c r="O144" s="3">
        <f t="shared" si="65"/>
        <v>4.6917367123691239E-2</v>
      </c>
      <c r="P144" s="3">
        <f t="shared" si="65"/>
        <v>4.6917367116727733E-2</v>
      </c>
      <c r="Q144" s="3">
        <f t="shared" si="65"/>
        <v>4.6917367047092644E-2</v>
      </c>
      <c r="R144" s="3">
        <f t="shared" si="65"/>
        <v>4.691736635074182E-2</v>
      </c>
      <c r="S144" s="3">
        <f t="shared" si="65"/>
        <v>4.6917359387234098E-2</v>
      </c>
      <c r="T144" s="3">
        <f t="shared" si="65"/>
        <v>4.6917289752213751E-2</v>
      </c>
      <c r="U144" s="3">
        <f t="shared" si="65"/>
        <v>4.6916593407694655E-2</v>
      </c>
      <c r="V144" s="3">
        <f t="shared" si="65"/>
        <v>4.6909630530909852E-2</v>
      </c>
      <c r="W144" s="3">
        <f t="shared" si="65"/>
        <v>4.6840058572473593E-2</v>
      </c>
      <c r="X144" s="3">
        <f t="shared" si="65"/>
        <v>4.6149988855497245E-2</v>
      </c>
      <c r="Y144" s="3">
        <f t="shared" si="65"/>
        <v>3.9784445607626152E-2</v>
      </c>
      <c r="Z144" s="3">
        <f t="shared" si="65"/>
        <v>9.0184190547364599E-3</v>
      </c>
      <c r="AA144" s="3">
        <f t="shared" ref="AA144" si="66">$C30*EXP(-AA$129/$A30/EXP(-$B$126))</f>
        <v>3.2307356332507926E-9</v>
      </c>
      <c r="AB144" s="3">
        <f t="shared" ref="AB144:AF153" si="67">$C30*EXP(-AB$129/$A30/EXP(-$B$126))</f>
        <v>1.1246348134340882E-73</v>
      </c>
      <c r="AC144" s="3">
        <f t="shared" si="67"/>
        <v>0</v>
      </c>
      <c r="AD144" s="3">
        <f t="shared" si="67"/>
        <v>0</v>
      </c>
      <c r="AE144" s="3">
        <f t="shared" si="67"/>
        <v>0</v>
      </c>
      <c r="AF144" s="3">
        <f t="shared" si="67"/>
        <v>0</v>
      </c>
    </row>
    <row r="145" spans="1:32" x14ac:dyDescent="0.25">
      <c r="B145" s="3">
        <f t="shared" ref="B145:Z145" si="68">$C31*EXP(-B$129/$A31/EXP(-$B$126))</f>
        <v>4.7066124559699593E-2</v>
      </c>
      <c r="C145" s="3">
        <f t="shared" si="68"/>
        <v>4.7066124559699593E-2</v>
      </c>
      <c r="D145" s="3">
        <f t="shared" si="68"/>
        <v>4.7066124559699593E-2</v>
      </c>
      <c r="E145" s="3">
        <f t="shared" si="68"/>
        <v>4.7066124559699593E-2</v>
      </c>
      <c r="F145" s="3">
        <f t="shared" si="68"/>
        <v>4.7066124559699593E-2</v>
      </c>
      <c r="G145" s="3">
        <f t="shared" si="68"/>
        <v>4.7066124559699593E-2</v>
      </c>
      <c r="H145" s="3">
        <f t="shared" si="68"/>
        <v>4.7066124559699593E-2</v>
      </c>
      <c r="I145" s="3">
        <f t="shared" si="68"/>
        <v>4.7066124559699593E-2</v>
      </c>
      <c r="J145" s="3">
        <f t="shared" si="68"/>
        <v>4.7066124559699593E-2</v>
      </c>
      <c r="K145" s="3">
        <f t="shared" si="68"/>
        <v>4.7066124559699586E-2</v>
      </c>
      <c r="L145" s="3">
        <f t="shared" si="68"/>
        <v>4.7066124559699524E-2</v>
      </c>
      <c r="M145" s="3">
        <f t="shared" si="68"/>
        <v>4.7066124559698892E-2</v>
      </c>
      <c r="N145" s="3">
        <f t="shared" si="68"/>
        <v>4.7066124559692592E-2</v>
      </c>
      <c r="O145" s="3">
        <f t="shared" si="68"/>
        <v>4.706612455962958E-2</v>
      </c>
      <c r="P145" s="3">
        <f t="shared" si="68"/>
        <v>4.7066124558999417E-2</v>
      </c>
      <c r="Q145" s="3">
        <f t="shared" si="68"/>
        <v>4.706612455269784E-2</v>
      </c>
      <c r="R145" s="3">
        <f t="shared" si="68"/>
        <v>4.7066124489682025E-2</v>
      </c>
      <c r="S145" s="3">
        <f t="shared" si="68"/>
        <v>4.7066123859523967E-2</v>
      </c>
      <c r="T145" s="3">
        <f t="shared" si="68"/>
        <v>4.7066117557943835E-2</v>
      </c>
      <c r="U145" s="3">
        <f t="shared" si="68"/>
        <v>4.7066054542188915E-2</v>
      </c>
      <c r="V145" s="3">
        <f t="shared" si="68"/>
        <v>4.7065424389279999E-2</v>
      </c>
      <c r="W145" s="3">
        <f t="shared" si="68"/>
        <v>4.7059123324203027E-2</v>
      </c>
      <c r="X145" s="3">
        <f t="shared" si="68"/>
        <v>4.6996159051668991E-2</v>
      </c>
      <c r="Y145" s="3">
        <f t="shared" si="68"/>
        <v>4.6371131256872408E-2</v>
      </c>
      <c r="Z145" s="3">
        <f t="shared" si="68"/>
        <v>4.0560280620541581E-2</v>
      </c>
      <c r="AA145" s="3">
        <f t="shared" ref="AA145" si="69">$C31*EXP(-AA$129/$A31/EXP(-$B$126))</f>
        <v>1.0632454968552089E-2</v>
      </c>
      <c r="AB145" s="3">
        <f t="shared" si="67"/>
        <v>1.6291443322624625E-8</v>
      </c>
      <c r="AC145" s="3">
        <f t="shared" si="67"/>
        <v>1.1620362070585214E-66</v>
      </c>
      <c r="AD145" s="3">
        <f t="shared" si="67"/>
        <v>0</v>
      </c>
      <c r="AE145" s="3">
        <f t="shared" si="67"/>
        <v>0</v>
      </c>
      <c r="AF145" s="3">
        <f t="shared" si="67"/>
        <v>0</v>
      </c>
    </row>
    <row r="146" spans="1:32" x14ac:dyDescent="0.25">
      <c r="B146" s="3">
        <f t="shared" ref="B146:Z146" si="70">$C32*EXP(-B$129/$A32/EXP(-$B$126))</f>
        <v>5.1874995498084546E-2</v>
      </c>
      <c r="C146" s="3">
        <f t="shared" si="70"/>
        <v>5.1874995498084546E-2</v>
      </c>
      <c r="D146" s="3">
        <f t="shared" si="70"/>
        <v>5.1874995498084546E-2</v>
      </c>
      <c r="E146" s="3">
        <f t="shared" si="70"/>
        <v>5.1874995498084546E-2</v>
      </c>
      <c r="F146" s="3">
        <f t="shared" si="70"/>
        <v>5.1874995498084546E-2</v>
      </c>
      <c r="G146" s="3">
        <f t="shared" si="70"/>
        <v>5.1874995498084546E-2</v>
      </c>
      <c r="H146" s="3">
        <f t="shared" si="70"/>
        <v>5.1874995498084546E-2</v>
      </c>
      <c r="I146" s="3">
        <f t="shared" si="70"/>
        <v>5.1874995498084546E-2</v>
      </c>
      <c r="J146" s="3">
        <f t="shared" si="70"/>
        <v>5.1874995498084546E-2</v>
      </c>
      <c r="K146" s="3">
        <f t="shared" si="70"/>
        <v>5.1874995498084546E-2</v>
      </c>
      <c r="L146" s="3">
        <f t="shared" si="70"/>
        <v>5.1874995498084539E-2</v>
      </c>
      <c r="M146" s="3">
        <f t="shared" si="70"/>
        <v>5.1874995498084477E-2</v>
      </c>
      <c r="N146" s="3">
        <f t="shared" si="70"/>
        <v>5.1874995498083852E-2</v>
      </c>
      <c r="O146" s="3">
        <f t="shared" si="70"/>
        <v>5.1874995498077586E-2</v>
      </c>
      <c r="P146" s="3">
        <f t="shared" si="70"/>
        <v>5.1874995498014935E-2</v>
      </c>
      <c r="Q146" s="3">
        <f t="shared" si="70"/>
        <v>5.1874995497388394E-2</v>
      </c>
      <c r="R146" s="3">
        <f t="shared" si="70"/>
        <v>5.1874995491123038E-2</v>
      </c>
      <c r="S146" s="3">
        <f t="shared" si="70"/>
        <v>5.1874995428469482E-2</v>
      </c>
      <c r="T146" s="3">
        <f t="shared" si="70"/>
        <v>5.1874994801933937E-2</v>
      </c>
      <c r="U146" s="3">
        <f t="shared" si="70"/>
        <v>5.1874988536578841E-2</v>
      </c>
      <c r="V146" s="3">
        <f t="shared" si="70"/>
        <v>5.1874925883069543E-2</v>
      </c>
      <c r="W146" s="3">
        <f t="shared" si="70"/>
        <v>5.1874299352138456E-2</v>
      </c>
      <c r="X146" s="3">
        <f t="shared" si="70"/>
        <v>5.1868034459001212E-2</v>
      </c>
      <c r="Y146" s="3">
        <f t="shared" si="70"/>
        <v>5.1805427126394014E-2</v>
      </c>
      <c r="Z146" s="3">
        <f t="shared" si="70"/>
        <v>5.1183495147161799E-2</v>
      </c>
      <c r="AA146" s="3">
        <f t="shared" ref="AA146" si="71">$C32*EXP(-AA$129/$A32/EXP(-$B$126))</f>
        <v>4.5360386077377038E-2</v>
      </c>
      <c r="AB146" s="3">
        <f t="shared" si="67"/>
        <v>1.3556412491573307E-2</v>
      </c>
      <c r="AC146" s="3">
        <f t="shared" si="67"/>
        <v>7.7059307447014799E-8</v>
      </c>
      <c r="AD146" s="3">
        <f t="shared" si="67"/>
        <v>2.7141157636956446E-60</v>
      </c>
      <c r="AE146" s="3">
        <f t="shared" si="67"/>
        <v>0</v>
      </c>
      <c r="AF146" s="3">
        <f t="shared" si="67"/>
        <v>0</v>
      </c>
    </row>
    <row r="147" spans="1:32" x14ac:dyDescent="0.25">
      <c r="B147" s="3">
        <f t="shared" ref="B147:Z147" si="72">$C33*EXP(-B$129/$A33/EXP(-$B$126))</f>
        <v>9.3718423694335209E-2</v>
      </c>
      <c r="C147" s="3">
        <f t="shared" si="72"/>
        <v>9.3718423694335209E-2</v>
      </c>
      <c r="D147" s="3">
        <f t="shared" si="72"/>
        <v>9.3718423694335209E-2</v>
      </c>
      <c r="E147" s="3">
        <f t="shared" si="72"/>
        <v>9.3718423694335209E-2</v>
      </c>
      <c r="F147" s="3">
        <f t="shared" si="72"/>
        <v>9.3718423694335209E-2</v>
      </c>
      <c r="G147" s="3">
        <f t="shared" si="72"/>
        <v>9.3718423694335209E-2</v>
      </c>
      <c r="H147" s="3">
        <f t="shared" si="72"/>
        <v>9.3718423694335209E-2</v>
      </c>
      <c r="I147" s="3">
        <f t="shared" si="72"/>
        <v>9.3718423694335209E-2</v>
      </c>
      <c r="J147" s="3">
        <f t="shared" si="72"/>
        <v>9.3718423694335209E-2</v>
      </c>
      <c r="K147" s="3">
        <f t="shared" si="72"/>
        <v>9.3718423694335209E-2</v>
      </c>
      <c r="L147" s="3">
        <f t="shared" si="72"/>
        <v>9.3718423694335209E-2</v>
      </c>
      <c r="M147" s="3">
        <f t="shared" si="72"/>
        <v>9.3718423694335196E-2</v>
      </c>
      <c r="N147" s="3">
        <f t="shared" si="72"/>
        <v>9.3718423694335098E-2</v>
      </c>
      <c r="O147" s="3">
        <f t="shared" si="72"/>
        <v>9.3718423694334071E-2</v>
      </c>
      <c r="P147" s="3">
        <f t="shared" si="72"/>
        <v>9.3718423694323871E-2</v>
      </c>
      <c r="Q147" s="3">
        <f t="shared" si="72"/>
        <v>9.3718423694221759E-2</v>
      </c>
      <c r="R147" s="3">
        <f t="shared" si="72"/>
        <v>9.3718423693200673E-2</v>
      </c>
      <c r="S147" s="3">
        <f t="shared" si="72"/>
        <v>9.3718423682989896E-2</v>
      </c>
      <c r="T147" s="3">
        <f t="shared" si="72"/>
        <v>9.3718423580882018E-2</v>
      </c>
      <c r="U147" s="3">
        <f t="shared" si="72"/>
        <v>9.3718422559803338E-2</v>
      </c>
      <c r="V147" s="3">
        <f t="shared" si="72"/>
        <v>9.3718412349017025E-2</v>
      </c>
      <c r="W147" s="3">
        <f t="shared" si="72"/>
        <v>9.3718310241215158E-2</v>
      </c>
      <c r="X147" s="3">
        <f t="shared" si="72"/>
        <v>9.3717289169315099E-2</v>
      </c>
      <c r="Y147" s="3">
        <f t="shared" si="72"/>
        <v>9.3707079062152837E-2</v>
      </c>
      <c r="Z147" s="3">
        <f t="shared" si="72"/>
        <v>9.3605039149707775E-2</v>
      </c>
      <c r="AA147" s="3">
        <f t="shared" ref="AA147" si="73">$C33*EXP(-AA$129/$A33/EXP(-$B$126))</f>
        <v>9.2590731360117778E-2</v>
      </c>
      <c r="AB147" s="3">
        <f t="shared" si="67"/>
        <v>8.3032930796354446E-2</v>
      </c>
      <c r="AC147" s="3">
        <f t="shared" si="67"/>
        <v>2.7930511941035758E-2</v>
      </c>
      <c r="AD147" s="3">
        <f t="shared" si="67"/>
        <v>5.1804105841897312E-7</v>
      </c>
      <c r="AE147" s="3">
        <f t="shared" si="67"/>
        <v>2.4958417326607928E-54</v>
      </c>
      <c r="AF147" s="3">
        <f t="shared" si="67"/>
        <v>0</v>
      </c>
    </row>
    <row r="148" spans="1:32" x14ac:dyDescent="0.25">
      <c r="B148" s="3">
        <f t="shared" ref="B148:Z148" si="74">$C34*EXP(-B$129/$A34/EXP(-$B$126))</f>
        <v>0.10682333377392636</v>
      </c>
      <c r="C148" s="3">
        <f t="shared" si="74"/>
        <v>0.10682333377392636</v>
      </c>
      <c r="D148" s="3">
        <f t="shared" si="74"/>
        <v>0.10682333377392636</v>
      </c>
      <c r="E148" s="3">
        <f t="shared" si="74"/>
        <v>0.10682333377392636</v>
      </c>
      <c r="F148" s="3">
        <f t="shared" si="74"/>
        <v>0.10682333377392636</v>
      </c>
      <c r="G148" s="3">
        <f t="shared" si="74"/>
        <v>0.10682333377392636</v>
      </c>
      <c r="H148" s="3">
        <f t="shared" si="74"/>
        <v>0.10682333377392636</v>
      </c>
      <c r="I148" s="3">
        <f t="shared" si="74"/>
        <v>0.10682333377392636</v>
      </c>
      <c r="J148" s="3">
        <f t="shared" si="74"/>
        <v>0.10682333377392636</v>
      </c>
      <c r="K148" s="3">
        <f t="shared" si="74"/>
        <v>0.10682333377392636</v>
      </c>
      <c r="L148" s="3">
        <f t="shared" si="74"/>
        <v>0.10682333377392636</v>
      </c>
      <c r="M148" s="3">
        <f t="shared" si="74"/>
        <v>0.10682333377392636</v>
      </c>
      <c r="N148" s="3">
        <f t="shared" si="74"/>
        <v>0.10682333377392635</v>
      </c>
      <c r="O148" s="3">
        <f t="shared" si="74"/>
        <v>0.10682333377392624</v>
      </c>
      <c r="P148" s="3">
        <f t="shared" si="74"/>
        <v>0.10682333377392519</v>
      </c>
      <c r="Q148" s="3">
        <f t="shared" si="74"/>
        <v>0.10682333377391469</v>
      </c>
      <c r="R148" s="3">
        <f t="shared" si="74"/>
        <v>0.1068233337738097</v>
      </c>
      <c r="S148" s="3">
        <f t="shared" si="74"/>
        <v>0.10682333377275981</v>
      </c>
      <c r="T148" s="3">
        <f t="shared" si="74"/>
        <v>0.10682333376226083</v>
      </c>
      <c r="U148" s="3">
        <f t="shared" si="74"/>
        <v>0.10682333365727106</v>
      </c>
      <c r="V148" s="3">
        <f t="shared" si="74"/>
        <v>0.10682333260737344</v>
      </c>
      <c r="W148" s="3">
        <f t="shared" si="74"/>
        <v>0.10682332210839768</v>
      </c>
      <c r="X148" s="3">
        <f t="shared" si="74"/>
        <v>0.10682321711869681</v>
      </c>
      <c r="Y148" s="3">
        <f t="shared" si="74"/>
        <v>0.10682216722736344</v>
      </c>
      <c r="Z148" s="3">
        <f t="shared" si="74"/>
        <v>0.10681166888153906</v>
      </c>
      <c r="AA148" s="3">
        <f>$C34*EXP(-AA$129/$A34/EXP(-$B$126))</f>
        <v>0.10670674215358671</v>
      </c>
      <c r="AB148" s="3">
        <f t="shared" si="67"/>
        <v>0.10566312732741036</v>
      </c>
      <c r="AC148" s="3">
        <f t="shared" si="67"/>
        <v>9.57721985672947E-2</v>
      </c>
      <c r="AD148" s="3">
        <f t="shared" si="67"/>
        <v>3.5842593433169458E-2</v>
      </c>
      <c r="AE148" s="3">
        <f t="shared" si="67"/>
        <v>1.9319643723518857E-6</v>
      </c>
      <c r="AF148" s="3">
        <f t="shared" si="67"/>
        <v>3.9994105300165147E-49</v>
      </c>
    </row>
    <row r="149" spans="1:32" x14ac:dyDescent="0.25">
      <c r="B149" s="3">
        <f t="shared" ref="B149:Z149" si="75">$C35*EXP(-B$129/$A35/EXP(-$B$126))</f>
        <v>0.11271893275103405</v>
      </c>
      <c r="C149" s="3">
        <f t="shared" si="75"/>
        <v>0.11271893275103405</v>
      </c>
      <c r="D149" s="3">
        <f t="shared" si="75"/>
        <v>0.11271893275103405</v>
      </c>
      <c r="E149" s="3">
        <f t="shared" si="75"/>
        <v>0.11271893275103405</v>
      </c>
      <c r="F149" s="3">
        <f t="shared" si="75"/>
        <v>0.11271893275103405</v>
      </c>
      <c r="G149" s="3">
        <f t="shared" si="75"/>
        <v>0.11271893275103405</v>
      </c>
      <c r="H149" s="3">
        <f t="shared" si="75"/>
        <v>0.11271893275103405</v>
      </c>
      <c r="I149" s="3">
        <f t="shared" si="75"/>
        <v>0.11271893275103405</v>
      </c>
      <c r="J149" s="3">
        <f t="shared" si="75"/>
        <v>0.11271893275103405</v>
      </c>
      <c r="K149" s="3">
        <f t="shared" si="75"/>
        <v>0.11271893275103405</v>
      </c>
      <c r="L149" s="3">
        <f t="shared" si="75"/>
        <v>0.11271893275103405</v>
      </c>
      <c r="M149" s="3">
        <f t="shared" si="75"/>
        <v>0.11271893275103405</v>
      </c>
      <c r="N149" s="3">
        <f t="shared" si="75"/>
        <v>0.11271893275103405</v>
      </c>
      <c r="O149" s="3">
        <f t="shared" si="75"/>
        <v>0.11271893275103403</v>
      </c>
      <c r="P149" s="3">
        <f t="shared" si="75"/>
        <v>0.11271893275103394</v>
      </c>
      <c r="Q149" s="3">
        <f t="shared" si="75"/>
        <v>0.11271893275103294</v>
      </c>
      <c r="R149" s="3">
        <f t="shared" si="75"/>
        <v>0.11271893275102295</v>
      </c>
      <c r="S149" s="3">
        <f t="shared" si="75"/>
        <v>0.11271893275092301</v>
      </c>
      <c r="T149" s="3">
        <f t="shared" si="75"/>
        <v>0.11271893274992364</v>
      </c>
      <c r="U149" s="3">
        <f t="shared" si="75"/>
        <v>0.11271893273992999</v>
      </c>
      <c r="V149" s="3">
        <f t="shared" si="75"/>
        <v>0.11271893263999345</v>
      </c>
      <c r="W149" s="3">
        <f t="shared" si="75"/>
        <v>0.1127189316406281</v>
      </c>
      <c r="X149" s="3">
        <f t="shared" si="75"/>
        <v>0.11271892164697507</v>
      </c>
      <c r="Y149" s="3">
        <f t="shared" si="75"/>
        <v>0.11271882171049345</v>
      </c>
      <c r="Z149" s="3">
        <f t="shared" si="75"/>
        <v>0.11271782235055051</v>
      </c>
      <c r="AA149" s="3">
        <f t="shared" ref="AA149" si="76">$C35*EXP(-AA$129/$A35/EXP(-$B$126))</f>
        <v>0.11270782923842362</v>
      </c>
      <c r="AB149" s="3">
        <f t="shared" si="67"/>
        <v>0.11260794683141548</v>
      </c>
      <c r="AC149" s="3">
        <f t="shared" si="67"/>
        <v>0.11161397824493288</v>
      </c>
      <c r="AD149" s="3">
        <f t="shared" si="67"/>
        <v>0.10214428344235381</v>
      </c>
      <c r="AE149" s="3">
        <f t="shared" si="67"/>
        <v>4.2089023342767859E-2</v>
      </c>
      <c r="AF149" s="3">
        <f t="shared" si="67"/>
        <v>5.9390457319096746E-6</v>
      </c>
    </row>
    <row r="150" spans="1:32" x14ac:dyDescent="0.25">
      <c r="B150" s="3">
        <f t="shared" ref="B150:Z150" si="77">$C36*EXP(-B$129/$A36/EXP(-$B$126))</f>
        <v>0.10920012102995319</v>
      </c>
      <c r="C150" s="3">
        <f t="shared" si="77"/>
        <v>0.10920012102995319</v>
      </c>
      <c r="D150" s="3">
        <f t="shared" si="77"/>
        <v>0.10920012102995319</v>
      </c>
      <c r="E150" s="3">
        <f t="shared" si="77"/>
        <v>0.10920012102995319</v>
      </c>
      <c r="F150" s="3">
        <f t="shared" si="77"/>
        <v>0.10920012102995319</v>
      </c>
      <c r="G150" s="3">
        <f t="shared" si="77"/>
        <v>0.10920012102995319</v>
      </c>
      <c r="H150" s="3">
        <f t="shared" si="77"/>
        <v>0.10920012102995319</v>
      </c>
      <c r="I150" s="3">
        <f t="shared" si="77"/>
        <v>0.10920012102995319</v>
      </c>
      <c r="J150" s="3">
        <f t="shared" si="77"/>
        <v>0.10920012102995319</v>
      </c>
      <c r="K150" s="3">
        <f t="shared" si="77"/>
        <v>0.10920012102995319</v>
      </c>
      <c r="L150" s="3">
        <f t="shared" si="77"/>
        <v>0.10920012102995319</v>
      </c>
      <c r="M150" s="3">
        <f t="shared" si="77"/>
        <v>0.10920012102995319</v>
      </c>
      <c r="N150" s="3">
        <f t="shared" si="77"/>
        <v>0.10920012102995319</v>
      </c>
      <c r="O150" s="3">
        <f t="shared" si="77"/>
        <v>0.10920012102995319</v>
      </c>
      <c r="P150" s="3">
        <f t="shared" si="77"/>
        <v>0.10920012102995318</v>
      </c>
      <c r="Q150" s="3">
        <f t="shared" si="77"/>
        <v>0.10920012102995309</v>
      </c>
      <c r="R150" s="3">
        <f t="shared" si="77"/>
        <v>0.10920012102995222</v>
      </c>
      <c r="S150" s="3">
        <f t="shared" si="77"/>
        <v>0.10920012102994349</v>
      </c>
      <c r="T150" s="3">
        <f t="shared" si="77"/>
        <v>0.10920012102985616</v>
      </c>
      <c r="U150" s="3">
        <f t="shared" si="77"/>
        <v>0.10920012102898277</v>
      </c>
      <c r="V150" s="3">
        <f t="shared" si="77"/>
        <v>0.10920012102024911</v>
      </c>
      <c r="W150" s="3">
        <f t="shared" si="77"/>
        <v>0.10920012093291233</v>
      </c>
      <c r="X150" s="3">
        <f t="shared" si="77"/>
        <v>0.10920012005954462</v>
      </c>
      <c r="Y150" s="3">
        <f t="shared" si="77"/>
        <v>0.1092001113258679</v>
      </c>
      <c r="Z150" s="3">
        <f t="shared" si="77"/>
        <v>0.10920002398913917</v>
      </c>
      <c r="AA150" s="3">
        <f t="shared" ref="AA150" si="78">$C36*EXP(-AA$129/$A36/EXP(-$B$126))</f>
        <v>0.10919915062569359</v>
      </c>
      <c r="AB150" s="3">
        <f t="shared" si="67"/>
        <v>0.10919041737540436</v>
      </c>
      <c r="AC150" s="3">
        <f t="shared" si="67"/>
        <v>0.10910312327780194</v>
      </c>
      <c r="AD150" s="3">
        <f t="shared" si="67"/>
        <v>0.10823401149011738</v>
      </c>
      <c r="AE150" s="3">
        <f t="shared" si="67"/>
        <v>9.9914719420532067E-2</v>
      </c>
      <c r="AF150" s="3">
        <f t="shared" si="67"/>
        <v>4.4904167988378652E-2</v>
      </c>
    </row>
    <row r="151" spans="1:32" x14ac:dyDescent="0.25">
      <c r="B151" s="3">
        <f t="shared" ref="B151:Z151" si="79">$C37*EXP(-B$129/$A37/EXP(-$B$126))</f>
        <v>8.559943957224532E-2</v>
      </c>
      <c r="C151" s="3">
        <f t="shared" si="79"/>
        <v>8.559943957224532E-2</v>
      </c>
      <c r="D151" s="3">
        <f t="shared" si="79"/>
        <v>8.559943957224532E-2</v>
      </c>
      <c r="E151" s="3">
        <f t="shared" si="79"/>
        <v>8.559943957224532E-2</v>
      </c>
      <c r="F151" s="3">
        <f t="shared" si="79"/>
        <v>8.559943957224532E-2</v>
      </c>
      <c r="G151" s="3">
        <f t="shared" si="79"/>
        <v>8.559943957224532E-2</v>
      </c>
      <c r="H151" s="3">
        <f t="shared" si="79"/>
        <v>8.559943957224532E-2</v>
      </c>
      <c r="I151" s="3">
        <f t="shared" si="79"/>
        <v>8.559943957224532E-2</v>
      </c>
      <c r="J151" s="3">
        <f t="shared" si="79"/>
        <v>8.559943957224532E-2</v>
      </c>
      <c r="K151" s="3">
        <f t="shared" si="79"/>
        <v>8.559943957224532E-2</v>
      </c>
      <c r="L151" s="3">
        <f t="shared" si="79"/>
        <v>8.559943957224532E-2</v>
      </c>
      <c r="M151" s="3">
        <f t="shared" si="79"/>
        <v>8.559943957224532E-2</v>
      </c>
      <c r="N151" s="3">
        <f t="shared" si="79"/>
        <v>8.559943957224532E-2</v>
      </c>
      <c r="O151" s="3">
        <f t="shared" si="79"/>
        <v>8.559943957224532E-2</v>
      </c>
      <c r="P151" s="3">
        <f t="shared" si="79"/>
        <v>8.559943957224532E-2</v>
      </c>
      <c r="Q151" s="3">
        <f t="shared" si="79"/>
        <v>8.5599439572245306E-2</v>
      </c>
      <c r="R151" s="3">
        <f t="shared" si="79"/>
        <v>8.5599439572245251E-2</v>
      </c>
      <c r="S151" s="3">
        <f t="shared" si="79"/>
        <v>8.559943957224464E-2</v>
      </c>
      <c r="T151" s="3">
        <f t="shared" si="79"/>
        <v>8.5599439572238464E-2</v>
      </c>
      <c r="U151" s="3">
        <f t="shared" si="79"/>
        <v>8.5599439572176694E-2</v>
      </c>
      <c r="V151" s="3">
        <f t="shared" si="79"/>
        <v>8.5599439571559119E-2</v>
      </c>
      <c r="W151" s="3">
        <f t="shared" si="79"/>
        <v>8.5599439565383351E-2</v>
      </c>
      <c r="X151" s="3">
        <f t="shared" si="79"/>
        <v>8.5599439503625585E-2</v>
      </c>
      <c r="Y151" s="3">
        <f t="shared" si="79"/>
        <v>8.5599438886048013E-2</v>
      </c>
      <c r="Z151" s="3">
        <f t="shared" si="79"/>
        <v>8.5599432710272413E-2</v>
      </c>
      <c r="AA151" s="3">
        <f t="shared" ref="AA151" si="80">$C37*EXP(-AA$129/$A37/EXP(-$B$126))</f>
        <v>8.5599370952541012E-2</v>
      </c>
      <c r="AB151" s="3">
        <f t="shared" si="67"/>
        <v>8.5598753377677514E-2</v>
      </c>
      <c r="AC151" s="3">
        <f t="shared" si="67"/>
        <v>8.5592577874096645E-2</v>
      </c>
      <c r="AD151" s="3">
        <f t="shared" si="67"/>
        <v>8.5530847337155796E-2</v>
      </c>
      <c r="AE151" s="3">
        <f t="shared" si="67"/>
        <v>8.4915985327261786E-2</v>
      </c>
      <c r="AF151" s="3">
        <f t="shared" si="67"/>
        <v>7.9005302710162248E-2</v>
      </c>
    </row>
    <row r="152" spans="1:32" x14ac:dyDescent="0.25">
      <c r="B152" s="3">
        <f t="shared" ref="B152:Z152" si="81">$C38*EXP(-B$129/$A38/EXP(-$B$126))</f>
        <v>3.0324649856523618E-2</v>
      </c>
      <c r="C152" s="3">
        <f t="shared" si="81"/>
        <v>3.0324649856523618E-2</v>
      </c>
      <c r="D152" s="3">
        <f t="shared" si="81"/>
        <v>3.0324649856523618E-2</v>
      </c>
      <c r="E152" s="3">
        <f t="shared" si="81"/>
        <v>3.0324649856523618E-2</v>
      </c>
      <c r="F152" s="3">
        <f t="shared" si="81"/>
        <v>3.0324649856523618E-2</v>
      </c>
      <c r="G152" s="3">
        <f t="shared" si="81"/>
        <v>3.0324649856523618E-2</v>
      </c>
      <c r="H152" s="3">
        <f t="shared" si="81"/>
        <v>3.0324649856523618E-2</v>
      </c>
      <c r="I152" s="3">
        <f t="shared" si="81"/>
        <v>3.0324649856523618E-2</v>
      </c>
      <c r="J152" s="3">
        <f t="shared" si="81"/>
        <v>3.0324649856523618E-2</v>
      </c>
      <c r="K152" s="3">
        <f t="shared" si="81"/>
        <v>3.0324649856523618E-2</v>
      </c>
      <c r="L152" s="3">
        <f t="shared" si="81"/>
        <v>3.0324649856523618E-2</v>
      </c>
      <c r="M152" s="3">
        <f t="shared" si="81"/>
        <v>3.0324649856523618E-2</v>
      </c>
      <c r="N152" s="3">
        <f t="shared" si="81"/>
        <v>3.0324649856523618E-2</v>
      </c>
      <c r="O152" s="3">
        <f t="shared" si="81"/>
        <v>3.0324649856523618E-2</v>
      </c>
      <c r="P152" s="3">
        <f t="shared" si="81"/>
        <v>3.0324649856523618E-2</v>
      </c>
      <c r="Q152" s="3">
        <f t="shared" si="81"/>
        <v>3.0324649856523618E-2</v>
      </c>
      <c r="R152" s="3">
        <f t="shared" si="81"/>
        <v>3.0324649856523615E-2</v>
      </c>
      <c r="S152" s="3">
        <f t="shared" si="81"/>
        <v>3.0324649856523594E-2</v>
      </c>
      <c r="T152" s="3">
        <f t="shared" si="81"/>
        <v>3.0324649856523399E-2</v>
      </c>
      <c r="U152" s="3">
        <f t="shared" si="81"/>
        <v>3.0324649856521425E-2</v>
      </c>
      <c r="V152" s="3">
        <f t="shared" si="81"/>
        <v>3.0324649856501688E-2</v>
      </c>
      <c r="W152" s="3">
        <f t="shared" si="81"/>
        <v>3.0324649856304328E-2</v>
      </c>
      <c r="X152" s="3">
        <f t="shared" si="81"/>
        <v>3.0324649854330709E-2</v>
      </c>
      <c r="Y152" s="3">
        <f t="shared" si="81"/>
        <v>3.0324649834594535E-2</v>
      </c>
      <c r="Z152" s="3">
        <f t="shared" si="81"/>
        <v>3.0324649637232783E-2</v>
      </c>
      <c r="AA152" s="3">
        <f t="shared" ref="AA152" si="82">$C38*EXP(-AA$129/$A38/EXP(-$B$126))</f>
        <v>3.0324647663615346E-2</v>
      </c>
      <c r="AB152" s="3">
        <f t="shared" si="67"/>
        <v>3.0324627927448059E-2</v>
      </c>
      <c r="AC152" s="3">
        <f t="shared" si="67"/>
        <v>3.0324430566481618E-2</v>
      </c>
      <c r="AD152" s="3">
        <f t="shared" si="67"/>
        <v>3.0322457027462221E-2</v>
      </c>
      <c r="AE152" s="3">
        <f t="shared" si="67"/>
        <v>3.030272870006449E-2</v>
      </c>
      <c r="AF152" s="3">
        <f t="shared" si="67"/>
        <v>3.0106150007902455E-2</v>
      </c>
    </row>
    <row r="153" spans="1:32" x14ac:dyDescent="0.25">
      <c r="B153" s="3">
        <f t="shared" ref="B153:Z153" si="83">$C39*EXP(-B$129/$A39/EXP(-$B$126))</f>
        <v>3.2131427411944066E-2</v>
      </c>
      <c r="C153" s="3">
        <f t="shared" si="83"/>
        <v>3.2131427411944066E-2</v>
      </c>
      <c r="D153" s="3">
        <f t="shared" si="83"/>
        <v>3.2131427411944066E-2</v>
      </c>
      <c r="E153" s="3">
        <f t="shared" si="83"/>
        <v>3.2131427411944066E-2</v>
      </c>
      <c r="F153" s="3">
        <f t="shared" si="83"/>
        <v>3.2131427411944066E-2</v>
      </c>
      <c r="G153" s="3">
        <f t="shared" si="83"/>
        <v>3.2131427411944066E-2</v>
      </c>
      <c r="H153" s="3">
        <f t="shared" si="83"/>
        <v>3.2131427411944066E-2</v>
      </c>
      <c r="I153" s="3">
        <f t="shared" si="83"/>
        <v>3.2131427411944066E-2</v>
      </c>
      <c r="J153" s="3">
        <f t="shared" si="83"/>
        <v>3.2131427411944066E-2</v>
      </c>
      <c r="K153" s="3">
        <f t="shared" si="83"/>
        <v>3.2131427411944066E-2</v>
      </c>
      <c r="L153" s="3">
        <f t="shared" si="83"/>
        <v>3.2131427411944066E-2</v>
      </c>
      <c r="M153" s="3">
        <f t="shared" si="83"/>
        <v>3.2131427411944066E-2</v>
      </c>
      <c r="N153" s="3">
        <f t="shared" si="83"/>
        <v>3.2131427411944066E-2</v>
      </c>
      <c r="O153" s="3">
        <f t="shared" si="83"/>
        <v>3.2131427411944066E-2</v>
      </c>
      <c r="P153" s="3">
        <f t="shared" si="83"/>
        <v>3.2131427411944066E-2</v>
      </c>
      <c r="Q153" s="3">
        <f t="shared" si="83"/>
        <v>3.2131427411944066E-2</v>
      </c>
      <c r="R153" s="3">
        <f t="shared" si="83"/>
        <v>3.2131427411944066E-2</v>
      </c>
      <c r="S153" s="3">
        <f t="shared" si="83"/>
        <v>3.2131427411944059E-2</v>
      </c>
      <c r="T153" s="3">
        <f t="shared" si="83"/>
        <v>3.2131427411944004E-2</v>
      </c>
      <c r="U153" s="3">
        <f t="shared" si="83"/>
        <v>3.2131427411943421E-2</v>
      </c>
      <c r="V153" s="3">
        <f t="shared" si="83"/>
        <v>3.2131427411937641E-2</v>
      </c>
      <c r="W153" s="3">
        <f t="shared" si="83"/>
        <v>3.2131427411879798E-2</v>
      </c>
      <c r="X153" s="3">
        <f t="shared" si="83"/>
        <v>3.2131427411301428E-2</v>
      </c>
      <c r="Y153" s="3">
        <f t="shared" si="83"/>
        <v>3.2131427405517672E-2</v>
      </c>
      <c r="Z153" s="3">
        <f t="shared" si="83"/>
        <v>3.213142734768009E-2</v>
      </c>
      <c r="AA153" s="3">
        <f t="shared" ref="AA153" si="84">$C39*EXP(-AA$129/$A39/EXP(-$B$126))</f>
        <v>3.2131426769304347E-2</v>
      </c>
      <c r="AB153" s="3">
        <f t="shared" si="67"/>
        <v>3.2131420985547478E-2</v>
      </c>
      <c r="AC153" s="3">
        <f t="shared" si="67"/>
        <v>3.2131363148036003E-2</v>
      </c>
      <c r="AD153" s="3">
        <f t="shared" si="67"/>
        <v>3.2130784778647253E-2</v>
      </c>
      <c r="AE153" s="3">
        <f t="shared" si="67"/>
        <v>3.2125001657319296E-2</v>
      </c>
      <c r="AF153" s="3">
        <f t="shared" si="67"/>
        <v>3.2067227661882941E-2</v>
      </c>
    </row>
    <row r="154" spans="1:32" x14ac:dyDescent="0.25">
      <c r="B154" s="3">
        <f t="shared" ref="B154:Z154" si="85">$C40*EXP(-B$129/$A40/EXP(-$B$126))</f>
        <v>1.594333716386688E-2</v>
      </c>
      <c r="C154" s="3">
        <f t="shared" si="85"/>
        <v>1.594333716386688E-2</v>
      </c>
      <c r="D154" s="3">
        <f t="shared" si="85"/>
        <v>1.594333716386688E-2</v>
      </c>
      <c r="E154" s="3">
        <f t="shared" si="85"/>
        <v>1.594333716386688E-2</v>
      </c>
      <c r="F154" s="3">
        <f t="shared" si="85"/>
        <v>1.594333716386688E-2</v>
      </c>
      <c r="G154" s="3">
        <f t="shared" si="85"/>
        <v>1.594333716386688E-2</v>
      </c>
      <c r="H154" s="3">
        <f t="shared" si="85"/>
        <v>1.594333716386688E-2</v>
      </c>
      <c r="I154" s="3">
        <f t="shared" si="85"/>
        <v>1.594333716386688E-2</v>
      </c>
      <c r="J154" s="3">
        <f t="shared" si="85"/>
        <v>1.594333716386688E-2</v>
      </c>
      <c r="K154" s="3">
        <f t="shared" si="85"/>
        <v>1.594333716386688E-2</v>
      </c>
      <c r="L154" s="3">
        <f t="shared" si="85"/>
        <v>1.594333716386688E-2</v>
      </c>
      <c r="M154" s="3">
        <f t="shared" si="85"/>
        <v>1.594333716386688E-2</v>
      </c>
      <c r="N154" s="3">
        <f t="shared" si="85"/>
        <v>1.594333716386688E-2</v>
      </c>
      <c r="O154" s="3">
        <f t="shared" si="85"/>
        <v>1.594333716386688E-2</v>
      </c>
      <c r="P154" s="3">
        <f t="shared" si="85"/>
        <v>1.594333716386688E-2</v>
      </c>
      <c r="Q154" s="3">
        <f t="shared" si="85"/>
        <v>1.594333716386688E-2</v>
      </c>
      <c r="R154" s="3">
        <f t="shared" si="85"/>
        <v>1.594333716386688E-2</v>
      </c>
      <c r="S154" s="3">
        <f t="shared" si="85"/>
        <v>1.594333716386688E-2</v>
      </c>
      <c r="T154" s="3">
        <f t="shared" si="85"/>
        <v>1.5943337163866877E-2</v>
      </c>
      <c r="U154" s="3">
        <f t="shared" si="85"/>
        <v>1.5943337163866849E-2</v>
      </c>
      <c r="V154" s="3">
        <f t="shared" si="85"/>
        <v>1.5943337163866561E-2</v>
      </c>
      <c r="W154" s="3">
        <f t="shared" si="85"/>
        <v>1.5943337163863692E-2</v>
      </c>
      <c r="X154" s="3">
        <f t="shared" si="85"/>
        <v>1.5943337163834993E-2</v>
      </c>
      <c r="Y154" s="3">
        <f t="shared" si="85"/>
        <v>1.5943337163548007E-2</v>
      </c>
      <c r="Z154" s="3">
        <f t="shared" si="85"/>
        <v>1.5943337160678157E-2</v>
      </c>
      <c r="AA154" s="3">
        <f t="shared" ref="AA154:AF154" si="86">$C40*EXP(-AA$129/$A40/EXP(-$B$126))</f>
        <v>1.5943337131979651E-2</v>
      </c>
      <c r="AB154" s="3">
        <f t="shared" si="86"/>
        <v>1.5943336844994594E-2</v>
      </c>
      <c r="AC154" s="3">
        <f t="shared" si="86"/>
        <v>1.5943333975144316E-2</v>
      </c>
      <c r="AD154" s="3">
        <f t="shared" si="86"/>
        <v>1.5943305276669945E-2</v>
      </c>
      <c r="AE154" s="3">
        <f t="shared" si="86"/>
        <v>1.5943018294767401E-2</v>
      </c>
      <c r="AF154" s="3">
        <f t="shared" si="86"/>
        <v>1.594014875984108E-2</v>
      </c>
    </row>
    <row r="155" spans="1:32" x14ac:dyDescent="0.25">
      <c r="B155" s="3">
        <f t="shared" ref="B155:Z155" si="87">$C41*EXP(-B$129/$A41/EXP(-$B$126))</f>
        <v>9.9907856671704312E-4</v>
      </c>
      <c r="C155" s="3">
        <f t="shared" si="87"/>
        <v>9.9907856671704312E-4</v>
      </c>
      <c r="D155" s="3">
        <f t="shared" si="87"/>
        <v>9.9907856671704312E-4</v>
      </c>
      <c r="E155" s="3">
        <f t="shared" si="87"/>
        <v>9.9907856671704312E-4</v>
      </c>
      <c r="F155" s="3">
        <f t="shared" si="87"/>
        <v>9.9907856671704312E-4</v>
      </c>
      <c r="G155" s="3">
        <f t="shared" si="87"/>
        <v>9.9907856671704312E-4</v>
      </c>
      <c r="H155" s="3">
        <f t="shared" si="87"/>
        <v>9.9907856671704312E-4</v>
      </c>
      <c r="I155" s="3">
        <f t="shared" si="87"/>
        <v>9.9907856671704312E-4</v>
      </c>
      <c r="J155" s="3">
        <f t="shared" si="87"/>
        <v>9.9907856671704312E-4</v>
      </c>
      <c r="K155" s="3">
        <f t="shared" si="87"/>
        <v>9.9907856671704312E-4</v>
      </c>
      <c r="L155" s="3">
        <f t="shared" si="87"/>
        <v>9.9907856671704312E-4</v>
      </c>
      <c r="M155" s="3">
        <f t="shared" si="87"/>
        <v>9.9907856671704312E-4</v>
      </c>
      <c r="N155" s="3">
        <f t="shared" si="87"/>
        <v>9.9907856671704312E-4</v>
      </c>
      <c r="O155" s="3">
        <f t="shared" si="87"/>
        <v>9.9907856671704312E-4</v>
      </c>
      <c r="P155" s="3">
        <f t="shared" si="87"/>
        <v>9.9907856671704312E-4</v>
      </c>
      <c r="Q155" s="3">
        <f t="shared" si="87"/>
        <v>9.9907856671704312E-4</v>
      </c>
      <c r="R155" s="3">
        <f t="shared" si="87"/>
        <v>9.9907856671704312E-4</v>
      </c>
      <c r="S155" s="3">
        <f t="shared" si="87"/>
        <v>9.9907856671704312E-4</v>
      </c>
      <c r="T155" s="3">
        <f t="shared" si="87"/>
        <v>9.9907856671704312E-4</v>
      </c>
      <c r="U155" s="3">
        <f t="shared" si="87"/>
        <v>9.990785667170429E-4</v>
      </c>
      <c r="V155" s="3">
        <f t="shared" si="87"/>
        <v>9.9907856671704117E-4</v>
      </c>
      <c r="W155" s="3">
        <f t="shared" si="87"/>
        <v>9.9907856671702317E-4</v>
      </c>
      <c r="X155" s="3">
        <f t="shared" si="87"/>
        <v>9.9907856671684341E-4</v>
      </c>
      <c r="Y155" s="3">
        <f t="shared" si="87"/>
        <v>9.9907856671504493E-4</v>
      </c>
      <c r="Z155" s="3">
        <f t="shared" si="87"/>
        <v>9.9907856669706127E-4</v>
      </c>
      <c r="AA155" s="3">
        <f t="shared" ref="AA155:AF155" si="88">$C41*EXP(-AA$129/$A41/EXP(-$B$126))</f>
        <v>9.9907856651722401E-4</v>
      </c>
      <c r="AB155" s="3">
        <f t="shared" si="88"/>
        <v>9.9907856471885114E-4</v>
      </c>
      <c r="AC155" s="3">
        <f t="shared" si="88"/>
        <v>9.9907854673512444E-4</v>
      </c>
      <c r="AD155" s="3">
        <f t="shared" si="88"/>
        <v>9.9907836689787496E-4</v>
      </c>
      <c r="AE155" s="3">
        <f t="shared" si="88"/>
        <v>9.990765685271609E-4</v>
      </c>
      <c r="AF155" s="3">
        <f t="shared" si="88"/>
        <v>9.9905858499805883E-4</v>
      </c>
    </row>
    <row r="156" spans="1:32" x14ac:dyDescent="0.25">
      <c r="B156" s="3">
        <f t="shared" ref="B156:Z156" si="89">$C42*EXP(-B$129/$A42/EXP(-$B$126))</f>
        <v>3.5389734266527166E-3</v>
      </c>
      <c r="C156" s="3">
        <f t="shared" si="89"/>
        <v>3.5389734266527166E-3</v>
      </c>
      <c r="D156" s="3">
        <f t="shared" si="89"/>
        <v>3.5389734266527166E-3</v>
      </c>
      <c r="E156" s="3">
        <f t="shared" si="89"/>
        <v>3.5389734266527166E-3</v>
      </c>
      <c r="F156" s="3">
        <f t="shared" si="89"/>
        <v>3.5389734266527166E-3</v>
      </c>
      <c r="G156" s="3">
        <f t="shared" si="89"/>
        <v>3.5389734266527166E-3</v>
      </c>
      <c r="H156" s="3">
        <f t="shared" si="89"/>
        <v>3.5389734266527166E-3</v>
      </c>
      <c r="I156" s="3">
        <f t="shared" si="89"/>
        <v>3.5389734266527166E-3</v>
      </c>
      <c r="J156" s="3">
        <f t="shared" si="89"/>
        <v>3.5389734266527166E-3</v>
      </c>
      <c r="K156" s="3">
        <f t="shared" si="89"/>
        <v>3.5389734266527166E-3</v>
      </c>
      <c r="L156" s="3">
        <f t="shared" si="89"/>
        <v>3.5389734266527166E-3</v>
      </c>
      <c r="M156" s="3">
        <f t="shared" si="89"/>
        <v>3.5389734266527166E-3</v>
      </c>
      <c r="N156" s="3">
        <f t="shared" si="89"/>
        <v>3.5389734266527166E-3</v>
      </c>
      <c r="O156" s="3">
        <f t="shared" si="89"/>
        <v>3.5389734266527166E-3</v>
      </c>
      <c r="P156" s="3">
        <f t="shared" si="89"/>
        <v>3.5389734266527166E-3</v>
      </c>
      <c r="Q156" s="3">
        <f t="shared" si="89"/>
        <v>3.5389734266527166E-3</v>
      </c>
      <c r="R156" s="3">
        <f t="shared" si="89"/>
        <v>3.5389734266527166E-3</v>
      </c>
      <c r="S156" s="3">
        <f t="shared" si="89"/>
        <v>3.5389734266527166E-3</v>
      </c>
      <c r="T156" s="3">
        <f t="shared" si="89"/>
        <v>3.5389734266527166E-3</v>
      </c>
      <c r="U156" s="3">
        <f t="shared" si="89"/>
        <v>3.5389734266527166E-3</v>
      </c>
      <c r="V156" s="3">
        <f t="shared" si="89"/>
        <v>3.5389734266527157E-3</v>
      </c>
      <c r="W156" s="3">
        <f t="shared" si="89"/>
        <v>3.5389734266527096E-3</v>
      </c>
      <c r="X156" s="3">
        <f t="shared" si="89"/>
        <v>3.5389734266526459E-3</v>
      </c>
      <c r="Y156" s="3">
        <f t="shared" si="89"/>
        <v>3.5389734266520088E-3</v>
      </c>
      <c r="Z156" s="3">
        <f t="shared" si="89"/>
        <v>3.5389734266456385E-3</v>
      </c>
      <c r="AA156" s="3">
        <f t="shared" ref="AA156:AF156" si="90">$C42*EXP(-AA$129/$A42/EXP(-$B$126))</f>
        <v>3.538973426581936E-3</v>
      </c>
      <c r="AB156" s="3">
        <f t="shared" si="90"/>
        <v>3.5389734259449095E-3</v>
      </c>
      <c r="AC156" s="3">
        <f t="shared" si="90"/>
        <v>3.5389734195746467E-3</v>
      </c>
      <c r="AD156" s="3">
        <f t="shared" si="90"/>
        <v>3.538973355872018E-3</v>
      </c>
      <c r="AE156" s="3">
        <f t="shared" si="90"/>
        <v>3.5389727188457937E-3</v>
      </c>
      <c r="AF156" s="3">
        <f t="shared" si="90"/>
        <v>3.538966348589859E-3</v>
      </c>
    </row>
    <row r="157" spans="1:32" x14ac:dyDescent="0.25">
      <c r="B157" s="3">
        <f t="shared" ref="B157:Z157" si="91">$C43*EXP(-B$129/$A43/EXP(-$B$126))</f>
        <v>1.6157045586307682E-4</v>
      </c>
      <c r="C157" s="3">
        <f t="shared" si="91"/>
        <v>1.6157045586307682E-4</v>
      </c>
      <c r="D157" s="3">
        <f t="shared" si="91"/>
        <v>1.6157045586307682E-4</v>
      </c>
      <c r="E157" s="3">
        <f t="shared" si="91"/>
        <v>1.6157045586307682E-4</v>
      </c>
      <c r="F157" s="3">
        <f t="shared" si="91"/>
        <v>1.6157045586307682E-4</v>
      </c>
      <c r="G157" s="3">
        <f t="shared" si="91"/>
        <v>1.6157045586307682E-4</v>
      </c>
      <c r="H157" s="3">
        <f t="shared" si="91"/>
        <v>1.6157045586307682E-4</v>
      </c>
      <c r="I157" s="3">
        <f t="shared" si="91"/>
        <v>1.6157045586307682E-4</v>
      </c>
      <c r="J157" s="3">
        <f t="shared" si="91"/>
        <v>1.6157045586307682E-4</v>
      </c>
      <c r="K157" s="3">
        <f t="shared" si="91"/>
        <v>1.6157045586307682E-4</v>
      </c>
      <c r="L157" s="3">
        <f t="shared" si="91"/>
        <v>1.6157045586307682E-4</v>
      </c>
      <c r="M157" s="3">
        <f t="shared" si="91"/>
        <v>1.6157045586307682E-4</v>
      </c>
      <c r="N157" s="3">
        <f t="shared" si="91"/>
        <v>1.6157045586307682E-4</v>
      </c>
      <c r="O157" s="3">
        <f t="shared" si="91"/>
        <v>1.6157045586307682E-4</v>
      </c>
      <c r="P157" s="3">
        <f t="shared" si="91"/>
        <v>1.6157045586307682E-4</v>
      </c>
      <c r="Q157" s="3">
        <f t="shared" si="91"/>
        <v>1.6157045586307682E-4</v>
      </c>
      <c r="R157" s="3">
        <f t="shared" si="91"/>
        <v>1.6157045586307682E-4</v>
      </c>
      <c r="S157" s="3">
        <f t="shared" si="91"/>
        <v>1.6157045586307682E-4</v>
      </c>
      <c r="T157" s="3">
        <f t="shared" si="91"/>
        <v>1.6157045586307682E-4</v>
      </c>
      <c r="U157" s="3">
        <f t="shared" si="91"/>
        <v>1.6157045586307682E-4</v>
      </c>
      <c r="V157" s="3">
        <f t="shared" si="91"/>
        <v>1.6157045586307682E-4</v>
      </c>
      <c r="W157" s="3">
        <f t="shared" si="91"/>
        <v>1.6157045586307679E-4</v>
      </c>
      <c r="X157" s="3">
        <f t="shared" si="91"/>
        <v>1.6157045586307649E-4</v>
      </c>
      <c r="Y157" s="3">
        <f t="shared" si="91"/>
        <v>1.6157045586307359E-4</v>
      </c>
      <c r="Z157" s="3">
        <f t="shared" si="91"/>
        <v>1.6157045586304451E-4</v>
      </c>
      <c r="AA157" s="3">
        <f t="shared" ref="AA157:AF157" si="92">$C43*EXP(-AA$129/$A43/EXP(-$B$126))</f>
        <v>1.6157045586275367E-4</v>
      </c>
      <c r="AB157" s="3">
        <f t="shared" si="92"/>
        <v>1.6157045585984536E-4</v>
      </c>
      <c r="AC157" s="3">
        <f t="shared" si="92"/>
        <v>1.6157045583076217E-4</v>
      </c>
      <c r="AD157" s="3">
        <f t="shared" si="92"/>
        <v>1.6157045553993028E-4</v>
      </c>
      <c r="AE157" s="3">
        <f t="shared" si="92"/>
        <v>1.6157045263161154E-4</v>
      </c>
      <c r="AF157" s="3">
        <f t="shared" si="92"/>
        <v>1.6157042354842695E-4</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1.333349737784439E-4</v>
      </c>
      <c r="C159" s="3">
        <f t="shared" si="95"/>
        <v>1.333349737784439E-4</v>
      </c>
      <c r="D159" s="3">
        <f t="shared" si="95"/>
        <v>1.333349737784439E-4</v>
      </c>
      <c r="E159" s="3">
        <f t="shared" si="95"/>
        <v>1.333349737784439E-4</v>
      </c>
      <c r="F159" s="3">
        <f t="shared" si="95"/>
        <v>1.333349737784439E-4</v>
      </c>
      <c r="G159" s="3">
        <f t="shared" si="95"/>
        <v>1.333349737784439E-4</v>
      </c>
      <c r="H159" s="3">
        <f t="shared" si="95"/>
        <v>1.333349737784439E-4</v>
      </c>
      <c r="I159" s="3">
        <f t="shared" si="95"/>
        <v>1.333349737784439E-4</v>
      </c>
      <c r="J159" s="3">
        <f t="shared" si="95"/>
        <v>1.333349737784439E-4</v>
      </c>
      <c r="K159" s="3">
        <f t="shared" si="95"/>
        <v>1.333349737784439E-4</v>
      </c>
      <c r="L159" s="3">
        <f t="shared" si="95"/>
        <v>1.333349737784439E-4</v>
      </c>
      <c r="M159" s="3">
        <f t="shared" si="95"/>
        <v>1.333349737784439E-4</v>
      </c>
      <c r="N159" s="3">
        <f t="shared" si="95"/>
        <v>1.333349737784439E-4</v>
      </c>
      <c r="O159" s="3">
        <f t="shared" si="95"/>
        <v>1.333349737784439E-4</v>
      </c>
      <c r="P159" s="3">
        <f t="shared" si="95"/>
        <v>1.333349737784439E-4</v>
      </c>
      <c r="Q159" s="3">
        <f t="shared" si="95"/>
        <v>1.333349737784439E-4</v>
      </c>
      <c r="R159" s="3">
        <f t="shared" si="95"/>
        <v>1.333349737784439E-4</v>
      </c>
      <c r="S159" s="3">
        <f t="shared" si="95"/>
        <v>1.333349737784439E-4</v>
      </c>
      <c r="T159" s="3">
        <f t="shared" si="95"/>
        <v>1.333349737784439E-4</v>
      </c>
      <c r="U159" s="3">
        <f t="shared" si="95"/>
        <v>1.333349737784439E-4</v>
      </c>
      <c r="V159" s="3">
        <f t="shared" si="95"/>
        <v>1.333349737784439E-4</v>
      </c>
      <c r="W159" s="3">
        <f t="shared" si="95"/>
        <v>1.333349737784439E-4</v>
      </c>
      <c r="X159" s="3">
        <f t="shared" si="95"/>
        <v>1.333349737784439E-4</v>
      </c>
      <c r="Y159" s="3">
        <f t="shared" si="95"/>
        <v>1.3333497377844387E-4</v>
      </c>
      <c r="Z159" s="3">
        <f t="shared" si="95"/>
        <v>1.3333497377844363E-4</v>
      </c>
      <c r="AA159" s="3">
        <f t="shared" ref="AA159:AF159" si="96">$C45*EXP(-AA$129/$A45/EXP(-$B$126))</f>
        <v>1.3333497377844125E-4</v>
      </c>
      <c r="AB159" s="3">
        <f t="shared" si="96"/>
        <v>1.3333497377841723E-4</v>
      </c>
      <c r="AC159" s="3">
        <f t="shared" si="96"/>
        <v>1.3333497377817721E-4</v>
      </c>
      <c r="AD159" s="3">
        <f t="shared" si="96"/>
        <v>1.3333497377577717E-4</v>
      </c>
      <c r="AE159" s="3">
        <f t="shared" si="96"/>
        <v>1.3333497375177646E-4</v>
      </c>
      <c r="AF159" s="3">
        <f t="shared" si="96"/>
        <v>1.3333497351176931E-4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2.9933424394364084E-4</v>
      </c>
      <c r="C162" s="3">
        <f t="shared" si="101"/>
        <v>2.9933424394364084E-4</v>
      </c>
      <c r="D162" s="3">
        <f t="shared" si="101"/>
        <v>2.9933424394364084E-4</v>
      </c>
      <c r="E162" s="3">
        <f t="shared" si="101"/>
        <v>2.9933424394364084E-4</v>
      </c>
      <c r="F162" s="3">
        <f t="shared" si="101"/>
        <v>2.9933424394364084E-4</v>
      </c>
      <c r="G162" s="3">
        <f t="shared" si="101"/>
        <v>2.9933424394364084E-4</v>
      </c>
      <c r="H162" s="3">
        <f t="shared" si="101"/>
        <v>2.9933424394364084E-4</v>
      </c>
      <c r="I162" s="3">
        <f t="shared" si="101"/>
        <v>2.9933424394364084E-4</v>
      </c>
      <c r="J162" s="3">
        <f t="shared" si="101"/>
        <v>2.9933424394364084E-4</v>
      </c>
      <c r="K162" s="3">
        <f t="shared" si="101"/>
        <v>2.9933424394364084E-4</v>
      </c>
      <c r="L162" s="3">
        <f t="shared" si="101"/>
        <v>2.9933424394364084E-4</v>
      </c>
      <c r="M162" s="3">
        <f t="shared" si="101"/>
        <v>2.9933424394364084E-4</v>
      </c>
      <c r="N162" s="3">
        <f t="shared" si="101"/>
        <v>2.9933424394364084E-4</v>
      </c>
      <c r="O162" s="3">
        <f t="shared" si="101"/>
        <v>2.9933424394364084E-4</v>
      </c>
      <c r="P162" s="3">
        <f t="shared" si="101"/>
        <v>2.9933424394364084E-4</v>
      </c>
      <c r="Q162" s="3">
        <f t="shared" si="101"/>
        <v>2.9933424394364084E-4</v>
      </c>
      <c r="R162" s="3">
        <f t="shared" si="101"/>
        <v>2.9933424394364084E-4</v>
      </c>
      <c r="S162" s="3">
        <f t="shared" si="101"/>
        <v>2.9933424394364084E-4</v>
      </c>
      <c r="T162" s="3">
        <f t="shared" si="101"/>
        <v>2.9933424394364084E-4</v>
      </c>
      <c r="U162" s="3">
        <f t="shared" si="101"/>
        <v>2.9933424394364084E-4</v>
      </c>
      <c r="V162" s="3">
        <f t="shared" si="101"/>
        <v>2.9933424394364084E-4</v>
      </c>
      <c r="W162" s="3">
        <f t="shared" si="101"/>
        <v>2.9933424394364084E-4</v>
      </c>
      <c r="X162" s="3">
        <f t="shared" si="101"/>
        <v>2.9933424394364084E-4</v>
      </c>
      <c r="Y162" s="3">
        <f t="shared" si="101"/>
        <v>2.9933424394364084E-4</v>
      </c>
      <c r="Z162" s="3">
        <f t="shared" si="101"/>
        <v>2.9933424394364084E-4</v>
      </c>
      <c r="AA162" s="3">
        <f t="shared" ref="AA162:AF162" si="102">$C48*EXP(-AA$129/$A48/EXP(-$B$126))</f>
        <v>2.9933424394364084E-4</v>
      </c>
      <c r="AB162" s="3">
        <f t="shared" si="102"/>
        <v>2.9933424394364079E-4</v>
      </c>
      <c r="AC162" s="3">
        <f t="shared" si="102"/>
        <v>2.9933424394364025E-4</v>
      </c>
      <c r="AD162" s="3">
        <f t="shared" si="102"/>
        <v>2.9933424394363488E-4</v>
      </c>
      <c r="AE162" s="3">
        <f t="shared" si="102"/>
        <v>2.99334243943581E-4</v>
      </c>
      <c r="AF162" s="3">
        <f t="shared" si="102"/>
        <v>2.9933424394304215E-4</v>
      </c>
    </row>
    <row r="163" spans="1:34" x14ac:dyDescent="0.25">
      <c r="A163" s="79">
        <f>AVERAGE(B163:AF163)</f>
        <v>4.4371733954146925E-2</v>
      </c>
      <c r="B163" s="80">
        <f>IF($A$64&lt;=B129,IF($B$64&gt;=B129,ABS((B131-B130)/B130),0),0)</f>
        <v>7.6131759767981578E-3</v>
      </c>
      <c r="C163" s="80">
        <f t="shared" ref="C163:AF163" si="103">IF($A$64&lt;=C129,IF($B$64&gt;=C129,ABS((C131-C130)/C130),0),0)</f>
        <v>7.6217572456709817E-3</v>
      </c>
      <c r="D163" s="80">
        <f t="shared" si="103"/>
        <v>7.6178132237081234E-3</v>
      </c>
      <c r="E163" s="80">
        <f t="shared" si="103"/>
        <v>7.6284808584345101E-3</v>
      </c>
      <c r="F163" s="80">
        <f t="shared" si="103"/>
        <v>7.7489829626393395E-3</v>
      </c>
      <c r="G163" s="80">
        <f t="shared" si="103"/>
        <v>8.8460809758141665E-3</v>
      </c>
      <c r="H163" s="80">
        <f t="shared" si="103"/>
        <v>1.3489996443375445E-2</v>
      </c>
      <c r="I163" s="80">
        <f t="shared" si="103"/>
        <v>1.4409616304745305E-2</v>
      </c>
      <c r="J163" s="80">
        <f t="shared" si="103"/>
        <v>1.440961654912378E-2</v>
      </c>
      <c r="K163" s="80">
        <f t="shared" si="103"/>
        <v>1.44096188528913E-2</v>
      </c>
      <c r="L163" s="80">
        <f t="shared" si="103"/>
        <v>1.4409638188014558E-2</v>
      </c>
      <c r="M163" s="80">
        <f t="shared" si="103"/>
        <v>1.4409827834009835E-2</v>
      </c>
      <c r="N163" s="80">
        <f t="shared" si="103"/>
        <v>1.4412053546253134E-2</v>
      </c>
      <c r="O163" s="80">
        <f t="shared" si="103"/>
        <v>1.4433968754763391E-2</v>
      </c>
      <c r="P163" s="80">
        <f t="shared" si="103"/>
        <v>1.4650421934995227E-2</v>
      </c>
      <c r="Q163" s="80">
        <f t="shared" si="103"/>
        <v>1.6576046040650598E-2</v>
      </c>
      <c r="R163" s="80">
        <f t="shared" si="103"/>
        <v>2.5981087351759077E-2</v>
      </c>
      <c r="S163" s="80">
        <f t="shared" si="103"/>
        <v>4.2509380312216898E-2</v>
      </c>
      <c r="T163" s="80">
        <f t="shared" si="103"/>
        <v>4.3438853103205492E-2</v>
      </c>
      <c r="U163" s="80">
        <f t="shared" si="103"/>
        <v>4.8225294074050906E-2</v>
      </c>
      <c r="V163" s="80">
        <f t="shared" si="103"/>
        <v>4.6053809835978628E-2</v>
      </c>
      <c r="W163" s="80">
        <f t="shared" si="103"/>
        <v>1.4602150916419887E-2</v>
      </c>
      <c r="X163" s="80">
        <f t="shared" si="103"/>
        <v>2.52868508968817E-2</v>
      </c>
      <c r="Y163" s="80">
        <f t="shared" si="103"/>
        <v>7.4643194609123054E-2</v>
      </c>
      <c r="Z163" s="80">
        <f t="shared" si="103"/>
        <v>0.11329077581262721</v>
      </c>
      <c r="AA163" s="80">
        <f t="shared" si="103"/>
        <v>0.13467030713285075</v>
      </c>
      <c r="AB163" s="80">
        <f t="shared" si="103"/>
        <v>0.13707072098787862</v>
      </c>
      <c r="AC163" s="80">
        <f t="shared" si="103"/>
        <v>7.9839517474721164E-2</v>
      </c>
      <c r="AD163" s="80">
        <f t="shared" si="103"/>
        <v>1.3615030379580057E-2</v>
      </c>
      <c r="AE163" s="80">
        <f t="shared" si="103"/>
        <v>0.12670018875375577</v>
      </c>
      <c r="AF163" s="80">
        <f t="shared" si="103"/>
        <v>0.25690949524561746</v>
      </c>
    </row>
    <row r="164" spans="1:34" x14ac:dyDescent="0.25">
      <c r="B164" s="21">
        <f>(B131-B130)^2</f>
        <v>2505.0127427628072</v>
      </c>
      <c r="C164" s="21">
        <f t="shared" ref="C164:AF164" si="104">(C131-C130)^2</f>
        <v>2510.7058281824629</v>
      </c>
      <c r="D164" s="21">
        <f t="shared" si="104"/>
        <v>2508.0819583099301</v>
      </c>
      <c r="E164" s="21">
        <f t="shared" si="104"/>
        <v>2515.1034204411021</v>
      </c>
      <c r="F164" s="21">
        <f t="shared" si="104"/>
        <v>2595.1873602371925</v>
      </c>
      <c r="G164" s="21">
        <f t="shared" si="104"/>
        <v>3382.0574924204439</v>
      </c>
      <c r="H164" s="21">
        <f t="shared" si="104"/>
        <v>7865.0735743304958</v>
      </c>
      <c r="I164" s="21">
        <f t="shared" si="104"/>
        <v>8973.9562131251041</v>
      </c>
      <c r="J164" s="21">
        <f t="shared" si="104"/>
        <v>8973.9565175109656</v>
      </c>
      <c r="K164" s="21">
        <f t="shared" si="104"/>
        <v>8973.9593869712517</v>
      </c>
      <c r="L164" s="21">
        <f t="shared" si="104"/>
        <v>8973.9834024499978</v>
      </c>
      <c r="M164" s="21">
        <f t="shared" si="104"/>
        <v>8974.2188764387465</v>
      </c>
      <c r="N164" s="21">
        <f t="shared" si="104"/>
        <v>8976.9899527755206</v>
      </c>
      <c r="O164" s="21">
        <f t="shared" si="104"/>
        <v>9004.2918733639417</v>
      </c>
      <c r="P164" s="21">
        <f t="shared" si="104"/>
        <v>9276.1694246338666</v>
      </c>
      <c r="Q164" s="21">
        <f t="shared" si="104"/>
        <v>11872.287797619516</v>
      </c>
      <c r="R164" s="21">
        <f t="shared" si="104"/>
        <v>29103.778411602823</v>
      </c>
      <c r="S164" s="21">
        <f t="shared" si="104"/>
        <v>76564.42478140445</v>
      </c>
      <c r="T164" s="21">
        <f t="shared" si="104"/>
        <v>76298.791318258154</v>
      </c>
      <c r="U164" s="21">
        <f t="shared" si="104"/>
        <v>89346.210238714382</v>
      </c>
      <c r="V164" s="21">
        <f t="shared" si="104"/>
        <v>75471.600803459165</v>
      </c>
      <c r="W164" s="21">
        <f t="shared" si="104"/>
        <v>6598.382422003674</v>
      </c>
      <c r="X164" s="21">
        <f t="shared" si="104"/>
        <v>16427.369144794488</v>
      </c>
      <c r="Y164" s="21">
        <f t="shared" si="104"/>
        <v>117030.93496510894</v>
      </c>
      <c r="Z164" s="21">
        <f t="shared" si="104"/>
        <v>222752.5435955548</v>
      </c>
      <c r="AA164" s="21">
        <f t="shared" si="104"/>
        <v>265143.85281416803</v>
      </c>
      <c r="AB164" s="21">
        <f t="shared" si="104"/>
        <v>231548.46673114554</v>
      </c>
      <c r="AC164" s="21">
        <f t="shared" si="104"/>
        <v>65905.98089844441</v>
      </c>
      <c r="AD164" s="21">
        <f t="shared" si="104"/>
        <v>1527.0729902257631</v>
      </c>
      <c r="AE164" s="21">
        <f t="shared" si="104"/>
        <v>97028.973834521967</v>
      </c>
      <c r="AF164" s="21">
        <f t="shared" si="104"/>
        <v>259461.45531859287</v>
      </c>
    </row>
    <row r="165" spans="1:34" x14ac:dyDescent="0.25">
      <c r="A165" s="71">
        <f>SUM(B165:AF165)</f>
        <v>1738090.8740895728</v>
      </c>
      <c r="B165" s="60">
        <f>IF($A$64&lt;=B129,IF($B$64&gt;=B129,ABS(B164),0),0)</f>
        <v>2505.0127427628072</v>
      </c>
      <c r="C165" s="60">
        <f t="shared" ref="C165:AF165" si="105">IF($A$64&lt;=C129,IF($B$64&gt;=C129,ABS(C164),0),0)</f>
        <v>2510.7058281824629</v>
      </c>
      <c r="D165" s="60">
        <f t="shared" si="105"/>
        <v>2508.0819583099301</v>
      </c>
      <c r="E165" s="60">
        <f t="shared" si="105"/>
        <v>2515.1034204411021</v>
      </c>
      <c r="F165" s="60">
        <f t="shared" si="105"/>
        <v>2595.1873602371925</v>
      </c>
      <c r="G165" s="60">
        <f t="shared" si="105"/>
        <v>3382.0574924204439</v>
      </c>
      <c r="H165" s="60">
        <f t="shared" si="105"/>
        <v>7865.0735743304958</v>
      </c>
      <c r="I165" s="60">
        <f t="shared" si="105"/>
        <v>8973.9562131251041</v>
      </c>
      <c r="J165" s="60">
        <f t="shared" si="105"/>
        <v>8973.9565175109656</v>
      </c>
      <c r="K165" s="60">
        <f t="shared" si="105"/>
        <v>8973.9593869712517</v>
      </c>
      <c r="L165" s="60">
        <f t="shared" si="105"/>
        <v>8973.9834024499978</v>
      </c>
      <c r="M165" s="60">
        <f t="shared" si="105"/>
        <v>8974.2188764387465</v>
      </c>
      <c r="N165" s="60">
        <f t="shared" si="105"/>
        <v>8976.9899527755206</v>
      </c>
      <c r="O165" s="60">
        <f t="shared" si="105"/>
        <v>9004.2918733639417</v>
      </c>
      <c r="P165" s="60">
        <f t="shared" si="105"/>
        <v>9276.1694246338666</v>
      </c>
      <c r="Q165" s="60">
        <f t="shared" si="105"/>
        <v>11872.287797619516</v>
      </c>
      <c r="R165" s="60">
        <f t="shared" si="105"/>
        <v>29103.778411602823</v>
      </c>
      <c r="S165" s="60">
        <f t="shared" si="105"/>
        <v>76564.42478140445</v>
      </c>
      <c r="T165" s="60">
        <f t="shared" si="105"/>
        <v>76298.791318258154</v>
      </c>
      <c r="U165" s="60">
        <f t="shared" si="105"/>
        <v>89346.210238714382</v>
      </c>
      <c r="V165" s="60">
        <f t="shared" si="105"/>
        <v>75471.600803459165</v>
      </c>
      <c r="W165" s="60">
        <f t="shared" si="105"/>
        <v>6598.382422003674</v>
      </c>
      <c r="X165" s="60">
        <f t="shared" si="105"/>
        <v>16427.369144794488</v>
      </c>
      <c r="Y165" s="60">
        <f t="shared" si="105"/>
        <v>117030.93496510894</v>
      </c>
      <c r="Z165" s="60">
        <f t="shared" si="105"/>
        <v>222752.5435955548</v>
      </c>
      <c r="AA165" s="60">
        <f t="shared" si="105"/>
        <v>265143.85281416803</v>
      </c>
      <c r="AB165" s="60">
        <f t="shared" si="105"/>
        <v>231548.46673114554</v>
      </c>
      <c r="AC165" s="60">
        <f t="shared" si="105"/>
        <v>65905.98089844441</v>
      </c>
      <c r="AD165" s="60">
        <f t="shared" si="105"/>
        <v>1527.0729902257631</v>
      </c>
      <c r="AE165" s="60">
        <f t="shared" si="105"/>
        <v>97028.973834521967</v>
      </c>
      <c r="AF165" s="60">
        <f t="shared" si="105"/>
        <v>259461.45531859287</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6543.7252261807771</v>
      </c>
      <c r="C169" s="26">
        <f>INDEX(Comparison!$AM$3:$AS$33,G$14,$C$122)</f>
        <v>6543.7799387981568</v>
      </c>
      <c r="D169" s="26">
        <f>INDEX(Comparison!$AM$3:$AS$33,H$14,$C$122)</f>
        <v>6543.7462938558028</v>
      </c>
      <c r="E169" s="26">
        <f>INDEX(Comparison!$AM$3:$AS$33,I$14,$C$122)</f>
        <v>6543.7363350192272</v>
      </c>
      <c r="F169" s="26">
        <f>INDEX(Comparison!$AM$3:$AS$33,J$14,$C$122)</f>
        <v>6543.7332030080934</v>
      </c>
      <c r="G169" s="26">
        <f>INDEX(Comparison!$AM$3:$AS$33,K$14,$C$122)</f>
        <v>6543.7321508487757</v>
      </c>
      <c r="H169" s="26">
        <f>INDEX(Comparison!$AM$3:$AS$33,L$14,$C$122)</f>
        <v>6543.7318082853499</v>
      </c>
      <c r="I169" s="26">
        <f>INDEX(Comparison!$AM$3:$AS$33,M$14,$C$122)</f>
        <v>6543.7317593477201</v>
      </c>
      <c r="J169" s="26">
        <f>INDEX(Comparison!$AM$3:$AS$33,N$14,$C$122)</f>
        <v>6543.7315146595847</v>
      </c>
      <c r="K169" s="26">
        <f>INDEX(Comparison!$AM$3:$AS$33,O$14,$C$122)</f>
        <v>6543.731490190773</v>
      </c>
      <c r="L169" s="26">
        <f>INDEX(Comparison!$AM$3:$AS$33,P$14,$C$122)</f>
        <v>6543.7313923155243</v>
      </c>
      <c r="M169" s="26">
        <f>INDEX(Comparison!$AM$3:$AS$33,Q$14,$C$122)</f>
        <v>6543.7286518097571</v>
      </c>
      <c r="N169" s="26">
        <f>INDEX(Comparison!$AM$3:$AS$33,R$14,$C$122)</f>
        <v>6543.7023234963144</v>
      </c>
      <c r="O169" s="26">
        <f>INDEX(Comparison!$AM$3:$AS$33,S$14,$C$122)</f>
        <v>6543.4393456132884</v>
      </c>
      <c r="P169" s="26">
        <f>INDEX(Comparison!$AM$3:$AS$33,T$14,$C$122)</f>
        <v>6540.8297975507394</v>
      </c>
      <c r="Q169" s="26">
        <f>INDEX(Comparison!$AM$3:$AS$33,U$14,$C$122)</f>
        <v>6516.7915822655277</v>
      </c>
      <c r="R169" s="26">
        <f>INDEX(Comparison!$AM$3:$AS$33,V$14,$C$122)</f>
        <v>6390.814079024768</v>
      </c>
      <c r="S169" s="26">
        <f>INDEX(Comparison!$AM$3:$AS$33,W$14,$C$122)</f>
        <v>6240.1474757230608</v>
      </c>
      <c r="T169" s="26">
        <f>INDEX(Comparison!$AM$3:$AS$33,X$14,$C$122)</f>
        <v>6044.4265071962272</v>
      </c>
      <c r="U169" s="26">
        <f>INDEX(Comparison!$AM$3:$AS$33,Y$14,$C$122)</f>
        <v>5697.9764219559002</v>
      </c>
      <c r="V169" s="26">
        <f>INDEX(Comparison!$AM$3:$AS$33,Z$14,$C$122)</f>
        <v>5222.1642197271249</v>
      </c>
      <c r="W169" s="26">
        <f>INDEX(Comparison!$AM$3:$AS$33,AA$14,$C$122)</f>
        <v>4741.2273341563377</v>
      </c>
      <c r="X169" s="26">
        <f>INDEX(Comparison!$AM$3:$AS$33,AB$14,$C$122)</f>
        <v>4311.1706397553053</v>
      </c>
      <c r="Y169" s="26">
        <f>INDEX(Comparison!$AM$3:$AS$33,AC$14,$C$122)</f>
        <v>3952.2593271118144</v>
      </c>
      <c r="Z169" s="26">
        <f>INDEX(Comparison!$AM$3:$AS$33,AD$14,$C$122)</f>
        <v>3639.2172363975619</v>
      </c>
      <c r="AA169" s="26">
        <f>INDEX(Comparison!$AM$3:$AS$33,AE$14,$C$122)</f>
        <v>3344.7021990881808</v>
      </c>
      <c r="AB169" s="26">
        <f>INDEX(Comparison!$AM$3:$AS$33,AF$14,$C$122)</f>
        <v>3034.0126163953428</v>
      </c>
      <c r="AC169" s="26">
        <f>INDEX(Comparison!$AM$3:$AS$33,AG$14,$C$122)</f>
        <v>2653.5608861364908</v>
      </c>
      <c r="AD169" s="26">
        <f>INDEX(Comparison!$AM$3:$AS$33,AH$14,$C$122)</f>
        <v>2203.3378680125074</v>
      </c>
      <c r="AE169" s="26">
        <f>INDEX(Comparison!$AM$3:$AS$33,AI$14,$C$122)</f>
        <v>1683.4592204898881</v>
      </c>
      <c r="AF169" s="26">
        <f>INDEX(Comparison!$AM$3:$AS$33,AJ$14,$C$122)</f>
        <v>1118.1414735463829</v>
      </c>
      <c r="AG169" s="26"/>
      <c r="AH169" s="26"/>
    </row>
    <row r="170" spans="1:34" x14ac:dyDescent="0.25">
      <c r="A170" s="70" t="s">
        <v>22</v>
      </c>
      <c r="B170" s="27">
        <f>($C$17+SUM(B171:B201))*$B$51</f>
        <v>6524.090276708037</v>
      </c>
      <c r="C170" s="27">
        <f t="shared" ref="C170:AF170" si="106">($C$17+SUM(C171:C201))*$B$51</f>
        <v>6524.0720712034372</v>
      </c>
      <c r="D170" s="27">
        <f t="shared" si="106"/>
        <v>6523.8904237267461</v>
      </c>
      <c r="E170" s="27">
        <f t="shared" si="106"/>
        <v>6522.1140978417716</v>
      </c>
      <c r="F170" s="27">
        <f t="shared" si="106"/>
        <v>6507.8208745006359</v>
      </c>
      <c r="G170" s="27">
        <f t="shared" si="106"/>
        <v>6479.900281011579</v>
      </c>
      <c r="H170" s="27">
        <f t="shared" si="106"/>
        <v>6479.4182355258836</v>
      </c>
      <c r="I170" s="27">
        <f t="shared" si="106"/>
        <v>6479.4182320962036</v>
      </c>
      <c r="J170" s="27">
        <f t="shared" si="106"/>
        <v>6479.4181977994103</v>
      </c>
      <c r="K170" s="27">
        <f t="shared" si="106"/>
        <v>6479.4178548323925</v>
      </c>
      <c r="L170" s="27">
        <f t="shared" si="106"/>
        <v>6479.4144252541273</v>
      </c>
      <c r="M170" s="27">
        <f t="shared" si="106"/>
        <v>6479.3801386599243</v>
      </c>
      <c r="N170" s="27">
        <f t="shared" si="106"/>
        <v>6479.0381890868048</v>
      </c>
      <c r="O170" s="27">
        <f t="shared" si="106"/>
        <v>6475.7079059122652</v>
      </c>
      <c r="P170" s="27">
        <f t="shared" si="106"/>
        <v>6449.3411548083186</v>
      </c>
      <c r="Q170" s="27">
        <f t="shared" si="106"/>
        <v>6343.6440877267523</v>
      </c>
      <c r="R170" s="27">
        <f t="shared" si="106"/>
        <v>6185.6600135922517</v>
      </c>
      <c r="S170" s="27">
        <f t="shared" si="106"/>
        <v>6027.4326092223437</v>
      </c>
      <c r="T170" s="27">
        <f t="shared" si="106"/>
        <v>5834.5074988377864</v>
      </c>
      <c r="U170" s="27">
        <f t="shared" si="106"/>
        <v>5626.1389263203246</v>
      </c>
      <c r="V170" s="27">
        <f t="shared" si="106"/>
        <v>5396.706476916981</v>
      </c>
      <c r="W170" s="27">
        <f t="shared" si="106"/>
        <v>5104.13950871222</v>
      </c>
      <c r="X170" s="27">
        <f t="shared" si="106"/>
        <v>4830.5456720674583</v>
      </c>
      <c r="Y170" s="27">
        <f t="shared" si="106"/>
        <v>4534.3811928730793</v>
      </c>
      <c r="Z170" s="27">
        <f t="shared" si="106"/>
        <v>4223.2691733052452</v>
      </c>
      <c r="AA170" s="27">
        <f t="shared" si="106"/>
        <v>3832.1723326344954</v>
      </c>
      <c r="AB170" s="27">
        <f t="shared" si="106"/>
        <v>3238.9334110717659</v>
      </c>
      <c r="AC170" s="27">
        <f t="shared" si="106"/>
        <v>2569.5191541831673</v>
      </c>
      <c r="AD170" s="27">
        <f t="shared" si="106"/>
        <v>1876.3226993217656</v>
      </c>
      <c r="AE170" s="27">
        <f t="shared" si="106"/>
        <v>1223.526590509596</v>
      </c>
      <c r="AF170" s="27">
        <f t="shared" si="106"/>
        <v>718.02109409679269</v>
      </c>
      <c r="AG170" s="27"/>
      <c r="AH170" s="27"/>
    </row>
    <row r="171" spans="1:34" x14ac:dyDescent="0.25">
      <c r="B171" s="3">
        <f t="shared" ref="B171:AF171" si="107">$C18*EXP(-B$168/$A18/EXP(-$C$126))</f>
        <v>6.8472423054280638E-3</v>
      </c>
      <c r="C171" s="3">
        <f t="shared" si="107"/>
        <v>6.8444518015909964E-3</v>
      </c>
      <c r="D171" s="3">
        <f t="shared" si="107"/>
        <v>6.8166092346400682E-3</v>
      </c>
      <c r="E171" s="3">
        <f t="shared" si="107"/>
        <v>6.5443375065665959E-3</v>
      </c>
      <c r="F171" s="3">
        <f t="shared" si="107"/>
        <v>4.353500424493866E-3</v>
      </c>
      <c r="G171" s="3">
        <f t="shared" si="107"/>
        <v>7.3886928719196386E-5</v>
      </c>
      <c r="H171" s="3">
        <f t="shared" si="107"/>
        <v>1.4650682201844667E-22</v>
      </c>
      <c r="I171" s="3">
        <f t="shared" si="107"/>
        <v>1.3764491811704444E-199</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4.1307711058277338E-3</v>
      </c>
      <c r="C175" s="3">
        <f t="shared" si="111"/>
        <v>4.1307711058274172E-3</v>
      </c>
      <c r="D175" s="3">
        <f t="shared" si="111"/>
        <v>4.1307711058242514E-3</v>
      </c>
      <c r="E175" s="3">
        <f t="shared" si="111"/>
        <v>4.1307711057925901E-3</v>
      </c>
      <c r="F175" s="3">
        <f t="shared" si="111"/>
        <v>4.130771105475977E-3</v>
      </c>
      <c r="G175" s="3">
        <f t="shared" si="111"/>
        <v>4.1307711023098508E-3</v>
      </c>
      <c r="H175" s="3">
        <f t="shared" si="111"/>
        <v>4.1307710706485869E-3</v>
      </c>
      <c r="I175" s="3">
        <f t="shared" si="111"/>
        <v>4.1307707540359602E-3</v>
      </c>
      <c r="J175" s="3">
        <f t="shared" si="111"/>
        <v>4.1307675879110224E-3</v>
      </c>
      <c r="K175" s="3">
        <f t="shared" si="111"/>
        <v>4.1307359267951206E-3</v>
      </c>
      <c r="L175" s="3">
        <f t="shared" si="111"/>
        <v>4.1304193289828121E-3</v>
      </c>
      <c r="M175" s="3">
        <f t="shared" si="111"/>
        <v>4.1272546851527717E-3</v>
      </c>
      <c r="N175" s="3">
        <f t="shared" si="111"/>
        <v>4.095741298532218E-3</v>
      </c>
      <c r="O175" s="3">
        <f t="shared" si="111"/>
        <v>3.7935428836642967E-3</v>
      </c>
      <c r="P175" s="3">
        <f t="shared" si="111"/>
        <v>1.7626650921703075E-3</v>
      </c>
      <c r="Q175" s="3">
        <f t="shared" si="111"/>
        <v>8.2683311788569855E-7</v>
      </c>
      <c r="R175" s="3">
        <f t="shared" si="111"/>
        <v>4.2647979436947099E-40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2.7999656176946417E-2</v>
      </c>
      <c r="C176" s="3">
        <f t="shared" si="112"/>
        <v>2.7999656176946223E-2</v>
      </c>
      <c r="D176" s="3">
        <f t="shared" si="112"/>
        <v>2.7999656176944287E-2</v>
      </c>
      <c r="E176" s="3">
        <f t="shared" si="112"/>
        <v>2.7999656176924927E-2</v>
      </c>
      <c r="F176" s="3">
        <f t="shared" si="112"/>
        <v>2.7999656176731329E-2</v>
      </c>
      <c r="G176" s="3">
        <f t="shared" si="112"/>
        <v>2.799965617479537E-2</v>
      </c>
      <c r="H176" s="3">
        <f t="shared" si="112"/>
        <v>2.799965615543577E-2</v>
      </c>
      <c r="I176" s="3">
        <f t="shared" si="112"/>
        <v>2.7999655961839759E-2</v>
      </c>
      <c r="J176" s="3">
        <f t="shared" si="112"/>
        <v>2.7999654025879703E-2</v>
      </c>
      <c r="K176" s="3">
        <f t="shared" si="112"/>
        <v>2.7999634666286508E-2</v>
      </c>
      <c r="L176" s="3">
        <f t="shared" si="112"/>
        <v>2.7999441071090782E-2</v>
      </c>
      <c r="M176" s="3">
        <f t="shared" si="112"/>
        <v>2.7997505192752653E-2</v>
      </c>
      <c r="N176" s="3">
        <f t="shared" si="112"/>
        <v>2.7978153769397687E-2</v>
      </c>
      <c r="O176" s="3">
        <f t="shared" si="112"/>
        <v>2.7785373659072209E-2</v>
      </c>
      <c r="P176" s="3">
        <f t="shared" si="112"/>
        <v>2.5929141026430406E-2</v>
      </c>
      <c r="Q176" s="3">
        <f t="shared" si="112"/>
        <v>1.2986945327763341E-2</v>
      </c>
      <c r="R176" s="3">
        <f t="shared" si="112"/>
        <v>1.290315269105262E-5</v>
      </c>
      <c r="S176" s="3">
        <f t="shared" si="112"/>
        <v>1.2094393090647678E-35</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2.1974033248038115E-2</v>
      </c>
      <c r="C177" s="3">
        <f t="shared" si="113"/>
        <v>2.1974033248038104E-2</v>
      </c>
      <c r="D177" s="3">
        <f t="shared" si="113"/>
        <v>2.1974033248037966E-2</v>
      </c>
      <c r="E177" s="3">
        <f t="shared" si="113"/>
        <v>2.1974033248036595E-2</v>
      </c>
      <c r="F177" s="3">
        <f t="shared" si="113"/>
        <v>2.1974033248022891E-2</v>
      </c>
      <c r="G177" s="3">
        <f t="shared" si="113"/>
        <v>2.1974033247885834E-2</v>
      </c>
      <c r="H177" s="3">
        <f t="shared" si="113"/>
        <v>2.1974033246515267E-2</v>
      </c>
      <c r="I177" s="3">
        <f t="shared" si="113"/>
        <v>2.1974033232809602E-2</v>
      </c>
      <c r="J177" s="3">
        <f t="shared" si="113"/>
        <v>2.1974033095752965E-2</v>
      </c>
      <c r="K177" s="3">
        <f t="shared" si="113"/>
        <v>2.1974031725186617E-2</v>
      </c>
      <c r="L177" s="3">
        <f t="shared" si="113"/>
        <v>2.1974018019527849E-2</v>
      </c>
      <c r="M177" s="3">
        <f t="shared" si="113"/>
        <v>2.1973880963410339E-2</v>
      </c>
      <c r="N177" s="3">
        <f t="shared" si="113"/>
        <v>2.1972510449250814E-2</v>
      </c>
      <c r="O177" s="3">
        <f t="shared" si="113"/>
        <v>2.195881000813027E-2</v>
      </c>
      <c r="P177" s="3">
        <f t="shared" si="113"/>
        <v>2.1822274561439529E-2</v>
      </c>
      <c r="Q177" s="3">
        <f t="shared" si="113"/>
        <v>2.050275210416759E-2</v>
      </c>
      <c r="R177" s="3">
        <f t="shared" si="113"/>
        <v>1.0988378530824785E-2</v>
      </c>
      <c r="S177" s="3">
        <f t="shared" si="113"/>
        <v>2.1485631428383455E-5</v>
      </c>
      <c r="T177" s="3">
        <f t="shared" si="113"/>
        <v>1.7550650531574838E-32</v>
      </c>
      <c r="U177" s="3">
        <f t="shared" si="113"/>
        <v>2.3213690547768729E-303</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2.8257721635256996E-2</v>
      </c>
      <c r="C178" s="3">
        <f t="shared" si="114"/>
        <v>2.8257721635256992E-2</v>
      </c>
      <c r="D178" s="3">
        <f t="shared" si="114"/>
        <v>2.8257721635256978E-2</v>
      </c>
      <c r="E178" s="3">
        <f t="shared" si="114"/>
        <v>2.8257721635256819E-2</v>
      </c>
      <c r="F178" s="3">
        <f t="shared" si="114"/>
        <v>2.825772163525523E-2</v>
      </c>
      <c r="G178" s="3">
        <f t="shared" si="114"/>
        <v>2.8257721635239329E-2</v>
      </c>
      <c r="H178" s="3">
        <f t="shared" si="114"/>
        <v>2.8257721635080339E-2</v>
      </c>
      <c r="I178" s="3">
        <f t="shared" si="114"/>
        <v>2.8257721633490423E-2</v>
      </c>
      <c r="J178" s="3">
        <f t="shared" si="114"/>
        <v>2.8257721617591269E-2</v>
      </c>
      <c r="K178" s="3">
        <f t="shared" si="114"/>
        <v>2.825772145859972E-2</v>
      </c>
      <c r="L178" s="3">
        <f t="shared" si="114"/>
        <v>2.8257719868684299E-2</v>
      </c>
      <c r="M178" s="3">
        <f t="shared" si="114"/>
        <v>2.825770396953501E-2</v>
      </c>
      <c r="N178" s="3">
        <f t="shared" si="114"/>
        <v>2.8257544978534093E-2</v>
      </c>
      <c r="O178" s="3">
        <f t="shared" si="114"/>
        <v>2.8255955117724788E-2</v>
      </c>
      <c r="P178" s="3">
        <f t="shared" si="114"/>
        <v>2.8240061428590306E-2</v>
      </c>
      <c r="Q178" s="3">
        <f t="shared" si="114"/>
        <v>2.8081615410617135E-2</v>
      </c>
      <c r="R178" s="3">
        <f t="shared" si="114"/>
        <v>2.6545235866251272E-2</v>
      </c>
      <c r="S178" s="3">
        <f t="shared" si="114"/>
        <v>1.5122778892011987E-2</v>
      </c>
      <c r="T178" s="3">
        <f t="shared" si="114"/>
        <v>5.4460514634821199E-5</v>
      </c>
      <c r="U178" s="3">
        <f t="shared" si="114"/>
        <v>1.9979431484808911E-29</v>
      </c>
      <c r="V178" s="3">
        <f t="shared" si="114"/>
        <v>8.8226079020890141E-274</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3.4428387596441817E-2</v>
      </c>
      <c r="C179" s="3">
        <f t="shared" si="115"/>
        <v>3.4428387596441817E-2</v>
      </c>
      <c r="D179" s="3">
        <f t="shared" si="115"/>
        <v>3.442838759644181E-2</v>
      </c>
      <c r="E179" s="3">
        <f t="shared" si="115"/>
        <v>3.4428387596441797E-2</v>
      </c>
      <c r="F179" s="3">
        <f t="shared" si="115"/>
        <v>3.4428387596441623E-2</v>
      </c>
      <c r="G179" s="3">
        <f t="shared" si="115"/>
        <v>3.4428387596439874E-2</v>
      </c>
      <c r="H179" s="3">
        <f t="shared" si="115"/>
        <v>3.4428387596422402E-2</v>
      </c>
      <c r="I179" s="3">
        <f t="shared" si="115"/>
        <v>3.442838759624766E-2</v>
      </c>
      <c r="J179" s="3">
        <f t="shared" si="115"/>
        <v>3.4428387594500232E-2</v>
      </c>
      <c r="K179" s="3">
        <f t="shared" si="115"/>
        <v>3.4428387577025911E-2</v>
      </c>
      <c r="L179" s="3">
        <f t="shared" si="115"/>
        <v>3.442838740228276E-2</v>
      </c>
      <c r="M179" s="3">
        <f t="shared" si="115"/>
        <v>3.4428385654851276E-2</v>
      </c>
      <c r="N179" s="3">
        <f t="shared" si="115"/>
        <v>3.442836818054136E-2</v>
      </c>
      <c r="O179" s="3">
        <f t="shared" si="115"/>
        <v>3.4428193437929987E-2</v>
      </c>
      <c r="P179" s="3">
        <f t="shared" si="115"/>
        <v>3.4426446060595715E-2</v>
      </c>
      <c r="Q179" s="3">
        <f t="shared" si="115"/>
        <v>3.4408977164286376E-2</v>
      </c>
      <c r="R179" s="3">
        <f t="shared" si="115"/>
        <v>3.4234774989885822E-2</v>
      </c>
      <c r="S179" s="3">
        <f t="shared" si="115"/>
        <v>3.254053022627889E-2</v>
      </c>
      <c r="T179" s="3">
        <f t="shared" si="115"/>
        <v>1.958827079915277E-2</v>
      </c>
      <c r="U179" s="3">
        <f t="shared" si="115"/>
        <v>1.2238011035980713E-4</v>
      </c>
      <c r="V179" s="3">
        <f t="shared" si="115"/>
        <v>1.1088128551001377E-26</v>
      </c>
      <c r="W179" s="3">
        <f t="shared" si="115"/>
        <v>4.1336373296814761E-247</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2.9417341850199882E-2</v>
      </c>
      <c r="C180" s="3">
        <f t="shared" si="116"/>
        <v>2.9417341850199882E-2</v>
      </c>
      <c r="D180" s="3">
        <f t="shared" si="116"/>
        <v>2.9417341850199882E-2</v>
      </c>
      <c r="E180" s="3">
        <f t="shared" si="116"/>
        <v>2.9417341850199882E-2</v>
      </c>
      <c r="F180" s="3">
        <f t="shared" si="116"/>
        <v>2.9417341850199865E-2</v>
      </c>
      <c r="G180" s="3">
        <f t="shared" si="116"/>
        <v>2.9417341850199733E-2</v>
      </c>
      <c r="H180" s="3">
        <f t="shared" si="116"/>
        <v>2.9417341850198387E-2</v>
      </c>
      <c r="I180" s="3">
        <f t="shared" si="116"/>
        <v>2.9417341850184919E-2</v>
      </c>
      <c r="J180" s="3">
        <f t="shared" si="116"/>
        <v>2.9417341850050228E-2</v>
      </c>
      <c r="K180" s="3">
        <f t="shared" si="116"/>
        <v>2.9417341848703336E-2</v>
      </c>
      <c r="L180" s="3">
        <f t="shared" si="116"/>
        <v>2.9417341835234388E-2</v>
      </c>
      <c r="M180" s="3">
        <f t="shared" si="116"/>
        <v>2.9417341700544962E-2</v>
      </c>
      <c r="N180" s="3">
        <f t="shared" si="116"/>
        <v>2.9417340353650737E-2</v>
      </c>
      <c r="O180" s="3">
        <f t="shared" si="116"/>
        <v>2.941732688471187E-2</v>
      </c>
      <c r="P180" s="3">
        <f t="shared" si="116"/>
        <v>2.9417192195662373E-2</v>
      </c>
      <c r="Q180" s="3">
        <f t="shared" si="116"/>
        <v>2.9415845339084437E-2</v>
      </c>
      <c r="R180" s="3">
        <f t="shared" si="116"/>
        <v>2.9402380164435742E-2</v>
      </c>
      <c r="S180" s="3">
        <f t="shared" si="116"/>
        <v>2.9268066957236435E-2</v>
      </c>
      <c r="T180" s="3">
        <f t="shared" si="116"/>
        <v>2.7958222260209189E-2</v>
      </c>
      <c r="U180" s="3">
        <f t="shared" si="116"/>
        <v>1.7687427994215729E-2</v>
      </c>
      <c r="V180" s="3">
        <f t="shared" si="116"/>
        <v>1.8164188598707637E-4</v>
      </c>
      <c r="W180" s="3">
        <f t="shared" si="116"/>
        <v>2.3698954071905684E-24</v>
      </c>
      <c r="X180" s="3">
        <f t="shared" si="116"/>
        <v>3.3873568199251133E-223</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4.9022148144302696E-2</v>
      </c>
      <c r="C181" s="3">
        <f t="shared" si="117"/>
        <v>4.9022148144302696E-2</v>
      </c>
      <c r="D181" s="3">
        <f t="shared" si="117"/>
        <v>4.9022148144302696E-2</v>
      </c>
      <c r="E181" s="3">
        <f t="shared" si="117"/>
        <v>4.9022148144302696E-2</v>
      </c>
      <c r="F181" s="3">
        <f t="shared" si="117"/>
        <v>4.9022148144302696E-2</v>
      </c>
      <c r="G181" s="3">
        <f t="shared" si="117"/>
        <v>4.9022148144302675E-2</v>
      </c>
      <c r="H181" s="3">
        <f t="shared" si="117"/>
        <v>4.9022148144302474E-2</v>
      </c>
      <c r="I181" s="3">
        <f t="shared" si="117"/>
        <v>4.9022148144300448E-2</v>
      </c>
      <c r="J181" s="3">
        <f t="shared" si="117"/>
        <v>4.9022148144280193E-2</v>
      </c>
      <c r="K181" s="3">
        <f t="shared" si="117"/>
        <v>4.9022148144077723E-2</v>
      </c>
      <c r="L181" s="3">
        <f t="shared" si="117"/>
        <v>4.9022148142052982E-2</v>
      </c>
      <c r="M181" s="3">
        <f t="shared" si="117"/>
        <v>4.9022148121805602E-2</v>
      </c>
      <c r="N181" s="3">
        <f t="shared" si="117"/>
        <v>4.9022147919331717E-2</v>
      </c>
      <c r="O181" s="3">
        <f t="shared" si="117"/>
        <v>4.9022145894592972E-2</v>
      </c>
      <c r="P181" s="3">
        <f t="shared" si="117"/>
        <v>4.9022125647210098E-2</v>
      </c>
      <c r="Q181" s="3">
        <f t="shared" si="117"/>
        <v>4.9021923173841332E-2</v>
      </c>
      <c r="R181" s="3">
        <f t="shared" si="117"/>
        <v>4.9019898486147608E-2</v>
      </c>
      <c r="S181" s="3">
        <f t="shared" si="117"/>
        <v>4.8999656207905556E-2</v>
      </c>
      <c r="T181" s="3">
        <f t="shared" si="117"/>
        <v>4.879769259300587E-2</v>
      </c>
      <c r="U181" s="3">
        <f t="shared" si="117"/>
        <v>4.6823279183973762E-2</v>
      </c>
      <c r="V181" s="3">
        <f t="shared" si="117"/>
        <v>3.0980413639801342E-2</v>
      </c>
      <c r="W181" s="3">
        <f t="shared" si="117"/>
        <v>4.9812814137105562E-4</v>
      </c>
      <c r="X181" s="3">
        <f t="shared" si="117"/>
        <v>5.7528060578102254E-22</v>
      </c>
      <c r="Y181" s="3">
        <f t="shared" si="117"/>
        <v>2.428098429735967E-201</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4.1805094553385949E-2</v>
      </c>
      <c r="C182" s="3">
        <f t="shared" si="118"/>
        <v>4.1805094553385949E-2</v>
      </c>
      <c r="D182" s="3">
        <f t="shared" si="118"/>
        <v>4.1805094553385949E-2</v>
      </c>
      <c r="E182" s="3">
        <f t="shared" si="118"/>
        <v>4.1805094553385949E-2</v>
      </c>
      <c r="F182" s="3">
        <f t="shared" si="118"/>
        <v>4.1805094553385949E-2</v>
      </c>
      <c r="G182" s="3">
        <f t="shared" si="118"/>
        <v>4.1805094553385949E-2</v>
      </c>
      <c r="H182" s="3">
        <f t="shared" si="118"/>
        <v>4.1805094553385928E-2</v>
      </c>
      <c r="I182" s="3">
        <f t="shared" si="118"/>
        <v>4.1805094553385776E-2</v>
      </c>
      <c r="J182" s="3">
        <f t="shared" si="118"/>
        <v>4.1805094553384221E-2</v>
      </c>
      <c r="K182" s="3">
        <f t="shared" si="118"/>
        <v>4.1805094553368644E-2</v>
      </c>
      <c r="L182" s="3">
        <f t="shared" si="118"/>
        <v>4.1805094553212886E-2</v>
      </c>
      <c r="M182" s="3">
        <f t="shared" si="118"/>
        <v>4.1805094551655299E-2</v>
      </c>
      <c r="N182" s="3">
        <f t="shared" si="118"/>
        <v>4.1805094536079425E-2</v>
      </c>
      <c r="O182" s="3">
        <f t="shared" si="118"/>
        <v>4.1805094380320665E-2</v>
      </c>
      <c r="P182" s="3">
        <f t="shared" si="118"/>
        <v>4.1805092822733148E-2</v>
      </c>
      <c r="Q182" s="3">
        <f t="shared" si="118"/>
        <v>4.1805077246861173E-2</v>
      </c>
      <c r="R182" s="3">
        <f t="shared" si="118"/>
        <v>4.1804921488460572E-2</v>
      </c>
      <c r="S182" s="3">
        <f t="shared" si="118"/>
        <v>4.1803363936372288E-2</v>
      </c>
      <c r="T182" s="3">
        <f t="shared" si="118"/>
        <v>4.1787791606820786E-2</v>
      </c>
      <c r="U182" s="3">
        <f t="shared" si="118"/>
        <v>4.1632387004932679E-2</v>
      </c>
      <c r="V182" s="3">
        <f t="shared" si="118"/>
        <v>4.0109775355247582E-2</v>
      </c>
      <c r="W182" s="3">
        <f t="shared" si="118"/>
        <v>2.7633723371645436E-2</v>
      </c>
      <c r="X182" s="3">
        <f t="shared" si="118"/>
        <v>6.6578064746761049E-4</v>
      </c>
      <c r="Y182" s="3">
        <f t="shared" si="118"/>
        <v>4.3878197782425618E-20</v>
      </c>
      <c r="Z182" s="3">
        <f t="shared" si="118"/>
        <v>6.7830485209921975E-182</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4.6917367124464961E-2</v>
      </c>
      <c r="C183" s="3">
        <f t="shared" si="119"/>
        <v>4.6917367124464961E-2</v>
      </c>
      <c r="D183" s="3">
        <f t="shared" si="119"/>
        <v>4.6917367124464961E-2</v>
      </c>
      <c r="E183" s="3">
        <f t="shared" si="119"/>
        <v>4.6917367124464961E-2</v>
      </c>
      <c r="F183" s="3">
        <f t="shared" si="119"/>
        <v>4.6917367124464961E-2</v>
      </c>
      <c r="G183" s="3">
        <f t="shared" si="119"/>
        <v>4.6917367124464961E-2</v>
      </c>
      <c r="H183" s="3">
        <f t="shared" si="119"/>
        <v>4.6917367124464961E-2</v>
      </c>
      <c r="I183" s="3">
        <f t="shared" si="119"/>
        <v>4.6917367124464947E-2</v>
      </c>
      <c r="J183" s="3">
        <f t="shared" si="119"/>
        <v>4.691736712446478E-2</v>
      </c>
      <c r="K183" s="3">
        <f t="shared" si="119"/>
        <v>4.6917367124463212E-2</v>
      </c>
      <c r="L183" s="3">
        <f t="shared" si="119"/>
        <v>4.691736712444744E-2</v>
      </c>
      <c r="M183" s="3">
        <f t="shared" si="119"/>
        <v>4.6917367124289747E-2</v>
      </c>
      <c r="N183" s="3">
        <f t="shared" si="119"/>
        <v>4.6917367122712848E-2</v>
      </c>
      <c r="O183" s="3">
        <f t="shared" si="119"/>
        <v>4.6917367106943879E-2</v>
      </c>
      <c r="P183" s="3">
        <f t="shared" si="119"/>
        <v>4.6917366949254122E-2</v>
      </c>
      <c r="Q183" s="3">
        <f t="shared" si="119"/>
        <v>4.6917365372356593E-2</v>
      </c>
      <c r="R183" s="3">
        <f t="shared" si="119"/>
        <v>4.6917349603384222E-2</v>
      </c>
      <c r="S183" s="3">
        <f t="shared" si="119"/>
        <v>4.6917191913952022E-2</v>
      </c>
      <c r="T183" s="3">
        <f t="shared" si="119"/>
        <v>4.6915615048779405E-2</v>
      </c>
      <c r="U183" s="3">
        <f t="shared" si="119"/>
        <v>4.6899849311633483E-2</v>
      </c>
      <c r="V183" s="3">
        <f t="shared" si="119"/>
        <v>4.6742483036071925E-2</v>
      </c>
      <c r="W183" s="3">
        <f t="shared" si="119"/>
        <v>4.5197571102388742E-2</v>
      </c>
      <c r="X183" s="3">
        <f t="shared" si="119"/>
        <v>3.2295965477001913E-2</v>
      </c>
      <c r="Y183" s="3">
        <f t="shared" si="119"/>
        <v>1.1206758864326985E-3</v>
      </c>
      <c r="Z183" s="3">
        <f t="shared" si="119"/>
        <v>2.8365966063656609E-18</v>
      </c>
      <c r="AA183" s="3">
        <f t="shared" si="119"/>
        <v>3.0617737514078847E-164</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4.7066124559699593E-2</v>
      </c>
      <c r="C184" s="3">
        <f t="shared" si="120"/>
        <v>4.7066124559699593E-2</v>
      </c>
      <c r="D184" s="3">
        <f t="shared" si="120"/>
        <v>4.7066124559699593E-2</v>
      </c>
      <c r="E184" s="3">
        <f t="shared" si="120"/>
        <v>4.7066124559699593E-2</v>
      </c>
      <c r="F184" s="3">
        <f t="shared" si="120"/>
        <v>4.7066124559699593E-2</v>
      </c>
      <c r="G184" s="3">
        <f t="shared" si="120"/>
        <v>4.7066124559699593E-2</v>
      </c>
      <c r="H184" s="3">
        <f t="shared" si="120"/>
        <v>4.7066124559699593E-2</v>
      </c>
      <c r="I184" s="3">
        <f t="shared" si="120"/>
        <v>4.7066124559699593E-2</v>
      </c>
      <c r="J184" s="3">
        <f t="shared" si="120"/>
        <v>4.7066124559699579E-2</v>
      </c>
      <c r="K184" s="3">
        <f t="shared" si="120"/>
        <v>4.7066124559699433E-2</v>
      </c>
      <c r="L184" s="3">
        <f t="shared" si="120"/>
        <v>4.7066124559698011E-2</v>
      </c>
      <c r="M184" s="3">
        <f t="shared" si="120"/>
        <v>4.7066124559683738E-2</v>
      </c>
      <c r="N184" s="3">
        <f t="shared" si="120"/>
        <v>4.7066124559541039E-2</v>
      </c>
      <c r="O184" s="3">
        <f t="shared" si="120"/>
        <v>4.7066124558114035E-2</v>
      </c>
      <c r="P184" s="3">
        <f t="shared" si="120"/>
        <v>4.7066124543844005E-2</v>
      </c>
      <c r="Q184" s="3">
        <f t="shared" si="120"/>
        <v>4.7066124401143709E-2</v>
      </c>
      <c r="R184" s="3">
        <f t="shared" si="120"/>
        <v>4.7066122974140756E-2</v>
      </c>
      <c r="S184" s="3">
        <f t="shared" si="120"/>
        <v>4.7066108704113617E-2</v>
      </c>
      <c r="T184" s="3">
        <f t="shared" si="120"/>
        <v>4.7065966004080209E-2</v>
      </c>
      <c r="U184" s="3">
        <f t="shared" si="120"/>
        <v>4.7064539027541784E-2</v>
      </c>
      <c r="V184" s="3">
        <f t="shared" si="120"/>
        <v>4.7050271641461243E-2</v>
      </c>
      <c r="W184" s="3">
        <f t="shared" si="120"/>
        <v>4.6907835444328666E-2</v>
      </c>
      <c r="X184" s="3">
        <f t="shared" si="120"/>
        <v>4.5506975375903362E-2</v>
      </c>
      <c r="Y184" s="3">
        <f t="shared" si="120"/>
        <v>3.3604988576134087E-2</v>
      </c>
      <c r="Z184" s="3">
        <f t="shared" si="120"/>
        <v>1.6205467438725114E-3</v>
      </c>
      <c r="AA184" s="3">
        <f t="shared" si="120"/>
        <v>1.1021473661834895E-16</v>
      </c>
      <c r="AB184" s="3">
        <f t="shared" si="120"/>
        <v>2.3335693558158607E-148</v>
      </c>
      <c r="AC184" s="3">
        <f t="shared" si="120"/>
        <v>0</v>
      </c>
      <c r="AD184" s="3">
        <f t="shared" si="120"/>
        <v>0</v>
      </c>
      <c r="AE184" s="3">
        <f t="shared" si="120"/>
        <v>0</v>
      </c>
      <c r="AF184" s="3">
        <f t="shared" si="120"/>
        <v>0</v>
      </c>
      <c r="AG184" s="3"/>
      <c r="AH184" s="3"/>
    </row>
    <row r="185" spans="2:34" x14ac:dyDescent="0.25">
      <c r="B185" s="3">
        <f t="shared" ref="B185:AF185" si="121">$C32*EXP(-B$168/$A32/EXP(-$C$126))</f>
        <v>5.1874995498084546E-2</v>
      </c>
      <c r="C185" s="3">
        <f t="shared" si="121"/>
        <v>5.1874995498084546E-2</v>
      </c>
      <c r="D185" s="3">
        <f t="shared" si="121"/>
        <v>5.1874995498084546E-2</v>
      </c>
      <c r="E185" s="3">
        <f t="shared" si="121"/>
        <v>5.1874995498084546E-2</v>
      </c>
      <c r="F185" s="3">
        <f t="shared" si="121"/>
        <v>5.1874995498084546E-2</v>
      </c>
      <c r="G185" s="3">
        <f t="shared" si="121"/>
        <v>5.1874995498084546E-2</v>
      </c>
      <c r="H185" s="3">
        <f t="shared" si="121"/>
        <v>5.1874995498084546E-2</v>
      </c>
      <c r="I185" s="3">
        <f t="shared" si="121"/>
        <v>5.1874995498084546E-2</v>
      </c>
      <c r="J185" s="3">
        <f t="shared" si="121"/>
        <v>5.1874995498084546E-2</v>
      </c>
      <c r="K185" s="3">
        <f t="shared" si="121"/>
        <v>5.1874995498084532E-2</v>
      </c>
      <c r="L185" s="3">
        <f t="shared" si="121"/>
        <v>5.1874995498084393E-2</v>
      </c>
      <c r="M185" s="3">
        <f t="shared" si="121"/>
        <v>5.1874995498082971E-2</v>
      </c>
      <c r="N185" s="3">
        <f t="shared" si="121"/>
        <v>5.1874995498068781E-2</v>
      </c>
      <c r="O185" s="3">
        <f t="shared" si="121"/>
        <v>5.1874995497926901E-2</v>
      </c>
      <c r="P185" s="3">
        <f t="shared" si="121"/>
        <v>5.1874995496508106E-2</v>
      </c>
      <c r="Q185" s="3">
        <f t="shared" si="121"/>
        <v>5.1874995482320101E-2</v>
      </c>
      <c r="R185" s="3">
        <f t="shared" si="121"/>
        <v>5.1874995340440128E-2</v>
      </c>
      <c r="S185" s="3">
        <f t="shared" si="121"/>
        <v>5.1874993921640404E-2</v>
      </c>
      <c r="T185" s="3">
        <f t="shared" si="121"/>
        <v>5.1874979733645299E-2</v>
      </c>
      <c r="U185" s="3">
        <f t="shared" si="121"/>
        <v>5.1874837853907653E-2</v>
      </c>
      <c r="V185" s="3">
        <f t="shared" si="121"/>
        <v>5.1873419077873559E-2</v>
      </c>
      <c r="W185" s="3">
        <f t="shared" si="121"/>
        <v>5.1859233451550135E-2</v>
      </c>
      <c r="X185" s="3">
        <f t="shared" si="121"/>
        <v>5.1717590374276382E-2</v>
      </c>
      <c r="Y185" s="3">
        <f t="shared" si="121"/>
        <v>5.032226403042557E-2</v>
      </c>
      <c r="Z185" s="3">
        <f t="shared" si="121"/>
        <v>3.8280629629578504E-2</v>
      </c>
      <c r="AA185" s="3">
        <f t="shared" si="121"/>
        <v>2.4840942809095166E-3</v>
      </c>
      <c r="AB185" s="3">
        <f t="shared" si="121"/>
        <v>3.2889562865349801E-15</v>
      </c>
      <c r="AC185" s="3">
        <f t="shared" si="121"/>
        <v>5.4445045480190798E-134</v>
      </c>
      <c r="AD185" s="3">
        <f t="shared" si="121"/>
        <v>0</v>
      </c>
      <c r="AE185" s="3">
        <f t="shared" si="121"/>
        <v>0</v>
      </c>
      <c r="AF185" s="3">
        <f t="shared" si="121"/>
        <v>0</v>
      </c>
      <c r="AG185" s="3"/>
      <c r="AH185" s="3"/>
    </row>
    <row r="186" spans="2:34" x14ac:dyDescent="0.25">
      <c r="B186" s="3">
        <f t="shared" ref="B186:AF186" si="122">$C33*EXP(-B$168/$A33/EXP(-$C$126))</f>
        <v>9.3718423694335209E-2</v>
      </c>
      <c r="C186" s="3">
        <f t="shared" si="122"/>
        <v>9.3718423694335209E-2</v>
      </c>
      <c r="D186" s="3">
        <f t="shared" si="122"/>
        <v>9.3718423694335209E-2</v>
      </c>
      <c r="E186" s="3">
        <f t="shared" si="122"/>
        <v>9.3718423694335209E-2</v>
      </c>
      <c r="F186" s="3">
        <f t="shared" si="122"/>
        <v>9.3718423694335209E-2</v>
      </c>
      <c r="G186" s="3">
        <f t="shared" si="122"/>
        <v>9.3718423694335209E-2</v>
      </c>
      <c r="H186" s="3">
        <f t="shared" si="122"/>
        <v>9.3718423694335209E-2</v>
      </c>
      <c r="I186" s="3">
        <f t="shared" si="122"/>
        <v>9.3718423694335209E-2</v>
      </c>
      <c r="J186" s="3">
        <f t="shared" si="122"/>
        <v>9.3718423694335209E-2</v>
      </c>
      <c r="K186" s="3">
        <f t="shared" si="122"/>
        <v>9.3718423694335209E-2</v>
      </c>
      <c r="L186" s="3">
        <f t="shared" si="122"/>
        <v>9.3718423694335196E-2</v>
      </c>
      <c r="M186" s="3">
        <f t="shared" si="122"/>
        <v>9.3718423694334946E-2</v>
      </c>
      <c r="N186" s="3">
        <f t="shared" si="122"/>
        <v>9.3718423694332642E-2</v>
      </c>
      <c r="O186" s="3">
        <f t="shared" si="122"/>
        <v>9.3718423694309522E-2</v>
      </c>
      <c r="P186" s="3">
        <f t="shared" si="122"/>
        <v>9.371842369407829E-2</v>
      </c>
      <c r="Q186" s="3">
        <f t="shared" si="122"/>
        <v>9.3718423691766042E-2</v>
      </c>
      <c r="R186" s="3">
        <f t="shared" si="122"/>
        <v>9.3718423668643552E-2</v>
      </c>
      <c r="S186" s="3">
        <f t="shared" si="122"/>
        <v>9.3718423437418652E-2</v>
      </c>
      <c r="T186" s="3">
        <f t="shared" si="122"/>
        <v>9.3718421125169704E-2</v>
      </c>
      <c r="U186" s="3">
        <f t="shared" si="122"/>
        <v>9.371839800268339E-2</v>
      </c>
      <c r="V186" s="3">
        <f t="shared" si="122"/>
        <v>9.3718166778133855E-2</v>
      </c>
      <c r="W186" s="3">
        <f t="shared" si="122"/>
        <v>9.3715854564014892E-2</v>
      </c>
      <c r="X186" s="3">
        <f t="shared" si="122"/>
        <v>9.3692735560174586E-2</v>
      </c>
      <c r="Y186" s="3">
        <f t="shared" si="122"/>
        <v>9.3461858970477929E-2</v>
      </c>
      <c r="Z186" s="3">
        <f t="shared" si="122"/>
        <v>9.1184153683222829E-2</v>
      </c>
      <c r="AA186" s="3">
        <f t="shared" si="122"/>
        <v>7.1247386473319463E-2</v>
      </c>
      <c r="AB186" s="3">
        <f t="shared" si="122"/>
        <v>6.043167084723842E-3</v>
      </c>
      <c r="AC186" s="3">
        <f t="shared" si="122"/>
        <v>1.1647192201456836E-13</v>
      </c>
      <c r="AD186" s="3">
        <f t="shared" si="122"/>
        <v>8.237352373408997E-121</v>
      </c>
      <c r="AE186" s="3">
        <f t="shared" si="122"/>
        <v>0</v>
      </c>
      <c r="AF186" s="3">
        <f t="shared" si="122"/>
        <v>0</v>
      </c>
      <c r="AG186" s="3"/>
      <c r="AH186" s="3"/>
    </row>
    <row r="187" spans="2:34" x14ac:dyDescent="0.25">
      <c r="B187" s="3">
        <f t="shared" ref="B187:AF187" si="123">$C34*EXP(-B$168/$A34/EXP(-$C$126))</f>
        <v>0.10682333377392636</v>
      </c>
      <c r="C187" s="3">
        <f t="shared" si="123"/>
        <v>0.10682333377392636</v>
      </c>
      <c r="D187" s="3">
        <f t="shared" si="123"/>
        <v>0.10682333377392636</v>
      </c>
      <c r="E187" s="3">
        <f t="shared" si="123"/>
        <v>0.10682333377392636</v>
      </c>
      <c r="F187" s="3">
        <f t="shared" si="123"/>
        <v>0.10682333377392636</v>
      </c>
      <c r="G187" s="3">
        <f t="shared" si="123"/>
        <v>0.10682333377392636</v>
      </c>
      <c r="H187" s="3">
        <f t="shared" si="123"/>
        <v>0.10682333377392636</v>
      </c>
      <c r="I187" s="3">
        <f t="shared" si="123"/>
        <v>0.10682333377392636</v>
      </c>
      <c r="J187" s="3">
        <f t="shared" si="123"/>
        <v>0.10682333377392636</v>
      </c>
      <c r="K187" s="3">
        <f t="shared" si="123"/>
        <v>0.10682333377392636</v>
      </c>
      <c r="L187" s="3">
        <f t="shared" si="123"/>
        <v>0.10682333377392636</v>
      </c>
      <c r="M187" s="3">
        <f t="shared" si="123"/>
        <v>0.10682333377392633</v>
      </c>
      <c r="N187" s="3">
        <f t="shared" si="123"/>
        <v>0.1068233337739261</v>
      </c>
      <c r="O187" s="3">
        <f t="shared" si="123"/>
        <v>0.10682333377392371</v>
      </c>
      <c r="P187" s="3">
        <f t="shared" si="123"/>
        <v>0.10682333377389995</v>
      </c>
      <c r="Q187" s="3">
        <f t="shared" si="123"/>
        <v>0.1068233337736622</v>
      </c>
      <c r="R187" s="3">
        <f t="shared" si="123"/>
        <v>0.10682333377128468</v>
      </c>
      <c r="S187" s="3">
        <f t="shared" si="123"/>
        <v>0.10682333374750959</v>
      </c>
      <c r="T187" s="3">
        <f t="shared" si="123"/>
        <v>0.10682333350975859</v>
      </c>
      <c r="U187" s="3">
        <f t="shared" si="123"/>
        <v>0.10682333113224869</v>
      </c>
      <c r="V187" s="3">
        <f t="shared" si="123"/>
        <v>0.10682330735715261</v>
      </c>
      <c r="W187" s="3">
        <f t="shared" si="123"/>
        <v>0.10682306960648277</v>
      </c>
      <c r="X187" s="3">
        <f t="shared" si="123"/>
        <v>0.10682069212888742</v>
      </c>
      <c r="Y187" s="3">
        <f t="shared" si="123"/>
        <v>0.10679692026299098</v>
      </c>
      <c r="Z187" s="3">
        <f t="shared" si="123"/>
        <v>0.10655949237023539</v>
      </c>
      <c r="AA187" s="3">
        <f t="shared" si="123"/>
        <v>0.10421405203950965</v>
      </c>
      <c r="AB187" s="3">
        <f t="shared" si="123"/>
        <v>8.3419518211380217E-2</v>
      </c>
      <c r="AC187" s="3">
        <f t="shared" si="123"/>
        <v>9.0091045235245158E-3</v>
      </c>
      <c r="AD187" s="3">
        <f t="shared" si="123"/>
        <v>1.9445589315987454E-12</v>
      </c>
      <c r="AE187" s="3">
        <f t="shared" si="123"/>
        <v>4.2679168214047768E-109</v>
      </c>
      <c r="AF187" s="3">
        <f t="shared" si="123"/>
        <v>0</v>
      </c>
      <c r="AG187" s="3"/>
      <c r="AH187" s="3"/>
    </row>
    <row r="188" spans="2:34" x14ac:dyDescent="0.25">
      <c r="B188" s="3">
        <f t="shared" ref="B188:AF188" si="124">$C35*EXP(-B$168/$A35/EXP(-$C$126))</f>
        <v>0.11271893275103405</v>
      </c>
      <c r="C188" s="3">
        <f t="shared" si="124"/>
        <v>0.11271893275103405</v>
      </c>
      <c r="D188" s="3">
        <f t="shared" si="124"/>
        <v>0.11271893275103405</v>
      </c>
      <c r="E188" s="3">
        <f t="shared" si="124"/>
        <v>0.11271893275103405</v>
      </c>
      <c r="F188" s="3">
        <f t="shared" si="124"/>
        <v>0.11271893275103405</v>
      </c>
      <c r="G188" s="3">
        <f t="shared" si="124"/>
        <v>0.11271893275103405</v>
      </c>
      <c r="H188" s="3">
        <f t="shared" si="124"/>
        <v>0.11271893275103405</v>
      </c>
      <c r="I188" s="3">
        <f t="shared" si="124"/>
        <v>0.11271893275103405</v>
      </c>
      <c r="J188" s="3">
        <f t="shared" si="124"/>
        <v>0.11271893275103405</v>
      </c>
      <c r="K188" s="3">
        <f t="shared" si="124"/>
        <v>0.11271893275103405</v>
      </c>
      <c r="L188" s="3">
        <f t="shared" si="124"/>
        <v>0.11271893275103405</v>
      </c>
      <c r="M188" s="3">
        <f t="shared" si="124"/>
        <v>0.11271893275103405</v>
      </c>
      <c r="N188" s="3">
        <f t="shared" si="124"/>
        <v>0.11271893275103402</v>
      </c>
      <c r="O188" s="3">
        <f t="shared" si="124"/>
        <v>0.1127189327510338</v>
      </c>
      <c r="P188" s="3">
        <f t="shared" si="124"/>
        <v>0.11271893275103154</v>
      </c>
      <c r="Q188" s="3">
        <f t="shared" si="124"/>
        <v>0.1127189327510089</v>
      </c>
      <c r="R188" s="3">
        <f t="shared" si="124"/>
        <v>0.1127189327507826</v>
      </c>
      <c r="S188" s="3">
        <f t="shared" si="124"/>
        <v>0.11271893274851952</v>
      </c>
      <c r="T188" s="3">
        <f t="shared" si="124"/>
        <v>0.11271893272588873</v>
      </c>
      <c r="U188" s="3">
        <f t="shared" si="124"/>
        <v>0.11271893249958086</v>
      </c>
      <c r="V188" s="3">
        <f t="shared" si="124"/>
        <v>0.1127189302365021</v>
      </c>
      <c r="W188" s="3">
        <f t="shared" si="124"/>
        <v>0.11271890760571712</v>
      </c>
      <c r="X188" s="3">
        <f t="shared" si="124"/>
        <v>0.1127186812981173</v>
      </c>
      <c r="Y188" s="3">
        <f t="shared" si="124"/>
        <v>0.11271641824710864</v>
      </c>
      <c r="Z188" s="3">
        <f t="shared" si="124"/>
        <v>0.11269379023580955</v>
      </c>
      <c r="AA188" s="3">
        <f t="shared" si="124"/>
        <v>0.11246775981604083</v>
      </c>
      <c r="AB188" s="3">
        <f t="shared" si="124"/>
        <v>0.11023224044642844</v>
      </c>
      <c r="AC188" s="3">
        <f t="shared" si="124"/>
        <v>9.0180892969304385E-2</v>
      </c>
      <c r="AD188" s="3">
        <f t="shared" si="124"/>
        <v>1.2110818639591167E-2</v>
      </c>
      <c r="AE188" s="3">
        <f t="shared" si="124"/>
        <v>2.3108044371156503E-11</v>
      </c>
      <c r="AF188" s="3">
        <f t="shared" si="124"/>
        <v>1.4779512691132762E-98</v>
      </c>
      <c r="AG188" s="3"/>
      <c r="AH188" s="3"/>
    </row>
    <row r="189" spans="2:34" x14ac:dyDescent="0.25">
      <c r="B189" s="3">
        <f t="shared" ref="B189:AF189" si="125">$C36*EXP(-B$168/$A36/EXP(-$C$126))</f>
        <v>0.10920012102995319</v>
      </c>
      <c r="C189" s="3">
        <f t="shared" si="125"/>
        <v>0.10920012102995319</v>
      </c>
      <c r="D189" s="3">
        <f t="shared" si="125"/>
        <v>0.10920012102995319</v>
      </c>
      <c r="E189" s="3">
        <f t="shared" si="125"/>
        <v>0.10920012102995319</v>
      </c>
      <c r="F189" s="3">
        <f t="shared" si="125"/>
        <v>0.10920012102995319</v>
      </c>
      <c r="G189" s="3">
        <f t="shared" si="125"/>
        <v>0.10920012102995319</v>
      </c>
      <c r="H189" s="3">
        <f t="shared" si="125"/>
        <v>0.10920012102995319</v>
      </c>
      <c r="I189" s="3">
        <f t="shared" si="125"/>
        <v>0.10920012102995319</v>
      </c>
      <c r="J189" s="3">
        <f t="shared" si="125"/>
        <v>0.10920012102995319</v>
      </c>
      <c r="K189" s="3">
        <f t="shared" si="125"/>
        <v>0.10920012102995319</v>
      </c>
      <c r="L189" s="3">
        <f t="shared" si="125"/>
        <v>0.10920012102995319</v>
      </c>
      <c r="M189" s="3">
        <f t="shared" si="125"/>
        <v>0.10920012102995319</v>
      </c>
      <c r="N189" s="3">
        <f t="shared" si="125"/>
        <v>0.10920012102995319</v>
      </c>
      <c r="O189" s="3">
        <f t="shared" si="125"/>
        <v>0.10920012102995316</v>
      </c>
      <c r="P189" s="3">
        <f t="shared" si="125"/>
        <v>0.10920012102995297</v>
      </c>
      <c r="Q189" s="3">
        <f t="shared" si="125"/>
        <v>0.109200121029951</v>
      </c>
      <c r="R189" s="3">
        <f t="shared" si="125"/>
        <v>0.10920012102993121</v>
      </c>
      <c r="S189" s="3">
        <f t="shared" si="125"/>
        <v>0.10920012102973344</v>
      </c>
      <c r="T189" s="3">
        <f t="shared" si="125"/>
        <v>0.10920012102775568</v>
      </c>
      <c r="U189" s="3">
        <f t="shared" si="125"/>
        <v>0.10920012100797813</v>
      </c>
      <c r="V189" s="3">
        <f t="shared" si="125"/>
        <v>0.10920012081020262</v>
      </c>
      <c r="W189" s="3">
        <f t="shared" si="125"/>
        <v>0.10920011883244754</v>
      </c>
      <c r="X189" s="3">
        <f t="shared" si="125"/>
        <v>0.10920009905489869</v>
      </c>
      <c r="Y189" s="3">
        <f t="shared" si="125"/>
        <v>0.10919990127960717</v>
      </c>
      <c r="Z189" s="3">
        <f t="shared" si="125"/>
        <v>0.10919792354639268</v>
      </c>
      <c r="AA189" s="3">
        <f t="shared" si="125"/>
        <v>0.10917814818418452</v>
      </c>
      <c r="AB189" s="3">
        <f t="shared" si="125"/>
        <v>0.10898059142382358</v>
      </c>
      <c r="AC189" s="3">
        <f t="shared" si="125"/>
        <v>0.10702457870841148</v>
      </c>
      <c r="AD189" s="3">
        <f t="shared" si="125"/>
        <v>8.929501038704564E-2</v>
      </c>
      <c r="AE189" s="3">
        <f t="shared" si="125"/>
        <v>1.4597007926558556E-2</v>
      </c>
      <c r="AF189" s="3">
        <f t="shared" si="125"/>
        <v>1.9889797481987254E-10</v>
      </c>
      <c r="AG189" s="3"/>
      <c r="AH189" s="3"/>
    </row>
    <row r="190" spans="2:34" x14ac:dyDescent="0.25">
      <c r="B190" s="3">
        <f t="shared" ref="B190:AF190" si="126">$C37*EXP(-B$168/$A37/EXP(-$C$126))</f>
        <v>8.559943957224532E-2</v>
      </c>
      <c r="C190" s="3">
        <f t="shared" si="126"/>
        <v>8.559943957224532E-2</v>
      </c>
      <c r="D190" s="3">
        <f t="shared" si="126"/>
        <v>8.559943957224532E-2</v>
      </c>
      <c r="E190" s="3">
        <f t="shared" si="126"/>
        <v>8.559943957224532E-2</v>
      </c>
      <c r="F190" s="3">
        <f t="shared" si="126"/>
        <v>8.559943957224532E-2</v>
      </c>
      <c r="G190" s="3">
        <f t="shared" si="126"/>
        <v>8.559943957224532E-2</v>
      </c>
      <c r="H190" s="3">
        <f t="shared" si="126"/>
        <v>8.559943957224532E-2</v>
      </c>
      <c r="I190" s="3">
        <f t="shared" si="126"/>
        <v>8.559943957224532E-2</v>
      </c>
      <c r="J190" s="3">
        <f t="shared" si="126"/>
        <v>8.559943957224532E-2</v>
      </c>
      <c r="K190" s="3">
        <f t="shared" si="126"/>
        <v>8.559943957224532E-2</v>
      </c>
      <c r="L190" s="3">
        <f t="shared" si="126"/>
        <v>8.559943957224532E-2</v>
      </c>
      <c r="M190" s="3">
        <f t="shared" si="126"/>
        <v>8.559943957224532E-2</v>
      </c>
      <c r="N190" s="3">
        <f t="shared" si="126"/>
        <v>8.559943957224532E-2</v>
      </c>
      <c r="O190" s="3">
        <f t="shared" si="126"/>
        <v>8.559943957224532E-2</v>
      </c>
      <c r="P190" s="3">
        <f t="shared" si="126"/>
        <v>8.5599439572245306E-2</v>
      </c>
      <c r="Q190" s="3">
        <f t="shared" si="126"/>
        <v>8.5599439572245167E-2</v>
      </c>
      <c r="R190" s="3">
        <f t="shared" si="126"/>
        <v>8.5599439572243766E-2</v>
      </c>
      <c r="S190" s="3">
        <f t="shared" si="126"/>
        <v>8.5599439572229777E-2</v>
      </c>
      <c r="T190" s="3">
        <f t="shared" si="126"/>
        <v>8.559943957208993E-2</v>
      </c>
      <c r="U190" s="3">
        <f t="shared" si="126"/>
        <v>8.559943957069141E-2</v>
      </c>
      <c r="V190" s="3">
        <f t="shared" si="126"/>
        <v>8.5599439556706278E-2</v>
      </c>
      <c r="W190" s="3">
        <f t="shared" si="126"/>
        <v>8.5599439416854842E-2</v>
      </c>
      <c r="X190" s="3">
        <f t="shared" si="126"/>
        <v>8.5599438018340565E-2</v>
      </c>
      <c r="Y190" s="3">
        <f t="shared" si="126"/>
        <v>8.5599424033199131E-2</v>
      </c>
      <c r="Z190" s="3">
        <f t="shared" si="126"/>
        <v>8.5599284181910346E-2</v>
      </c>
      <c r="AA190" s="3">
        <f t="shared" si="126"/>
        <v>8.5597885681589214E-2</v>
      </c>
      <c r="AB190" s="3">
        <f t="shared" si="126"/>
        <v>8.5583901934976017E-2</v>
      </c>
      <c r="AC190" s="3">
        <f t="shared" si="126"/>
        <v>8.5444190052729269E-2</v>
      </c>
      <c r="AD190" s="3">
        <f t="shared" si="126"/>
        <v>8.4059554033710085E-2</v>
      </c>
      <c r="AE190" s="3">
        <f t="shared" si="126"/>
        <v>7.1389201445017758E-2</v>
      </c>
      <c r="AF190" s="3">
        <f t="shared" si="126"/>
        <v>1.3934357483470262E-2</v>
      </c>
      <c r="AG190" s="3"/>
      <c r="AH190" s="3"/>
    </row>
    <row r="191" spans="2:34" x14ac:dyDescent="0.25">
      <c r="B191" s="3">
        <f t="shared" ref="B191:AF191" si="127">$C38*EXP(-B$168/$A38/EXP(-$C$126))</f>
        <v>3.0324649856523618E-2</v>
      </c>
      <c r="C191" s="3">
        <f t="shared" si="127"/>
        <v>3.0324649856523618E-2</v>
      </c>
      <c r="D191" s="3">
        <f t="shared" si="127"/>
        <v>3.0324649856523618E-2</v>
      </c>
      <c r="E191" s="3">
        <f t="shared" si="127"/>
        <v>3.0324649856523618E-2</v>
      </c>
      <c r="F191" s="3">
        <f t="shared" si="127"/>
        <v>3.0324649856523618E-2</v>
      </c>
      <c r="G191" s="3">
        <f t="shared" si="127"/>
        <v>3.0324649856523618E-2</v>
      </c>
      <c r="H191" s="3">
        <f t="shared" si="127"/>
        <v>3.0324649856523618E-2</v>
      </c>
      <c r="I191" s="3">
        <f t="shared" si="127"/>
        <v>3.0324649856523618E-2</v>
      </c>
      <c r="J191" s="3">
        <f t="shared" si="127"/>
        <v>3.0324649856523618E-2</v>
      </c>
      <c r="K191" s="3">
        <f t="shared" si="127"/>
        <v>3.0324649856523618E-2</v>
      </c>
      <c r="L191" s="3">
        <f t="shared" si="127"/>
        <v>3.0324649856523618E-2</v>
      </c>
      <c r="M191" s="3">
        <f t="shared" si="127"/>
        <v>3.0324649856523618E-2</v>
      </c>
      <c r="N191" s="3">
        <f t="shared" si="127"/>
        <v>3.0324649856523618E-2</v>
      </c>
      <c r="O191" s="3">
        <f t="shared" si="127"/>
        <v>3.0324649856523618E-2</v>
      </c>
      <c r="P191" s="3">
        <f t="shared" si="127"/>
        <v>3.0324649856523618E-2</v>
      </c>
      <c r="Q191" s="3">
        <f t="shared" si="127"/>
        <v>3.0324649856523615E-2</v>
      </c>
      <c r="R191" s="3">
        <f t="shared" si="127"/>
        <v>3.0324649856523566E-2</v>
      </c>
      <c r="S191" s="3">
        <f t="shared" si="127"/>
        <v>3.0324649856523122E-2</v>
      </c>
      <c r="T191" s="3">
        <f t="shared" si="127"/>
        <v>3.0324649856518653E-2</v>
      </c>
      <c r="U191" s="3">
        <f t="shared" si="127"/>
        <v>3.032464985647396E-2</v>
      </c>
      <c r="V191" s="3">
        <f t="shared" si="127"/>
        <v>3.0324649856027033E-2</v>
      </c>
      <c r="W191" s="3">
        <f t="shared" si="127"/>
        <v>3.032464985155774E-2</v>
      </c>
      <c r="X191" s="3">
        <f t="shared" si="127"/>
        <v>3.0324649806864858E-2</v>
      </c>
      <c r="Y191" s="3">
        <f t="shared" si="127"/>
        <v>3.0324649359936034E-2</v>
      </c>
      <c r="Z191" s="3">
        <f t="shared" si="127"/>
        <v>3.0324644890648129E-2</v>
      </c>
      <c r="AA191" s="3">
        <f t="shared" si="127"/>
        <v>3.0324600197805321E-2</v>
      </c>
      <c r="AB191" s="3">
        <f t="shared" si="127"/>
        <v>3.0324153273000035E-2</v>
      </c>
      <c r="AC191" s="3">
        <f t="shared" si="127"/>
        <v>3.0319684387204594E-2</v>
      </c>
      <c r="AD191" s="3">
        <f t="shared" si="127"/>
        <v>3.0275031735248481E-2</v>
      </c>
      <c r="AE191" s="3">
        <f t="shared" si="127"/>
        <v>2.9832106149576904E-2</v>
      </c>
      <c r="AF191" s="3">
        <f t="shared" si="127"/>
        <v>2.5744057803255626E-2</v>
      </c>
      <c r="AG191" s="3"/>
      <c r="AH191" s="3"/>
    </row>
    <row r="192" spans="2:34" x14ac:dyDescent="0.25">
      <c r="B192" s="3">
        <f t="shared" ref="B192:AF192" si="128">$C39*EXP(-B$168/$A39/EXP(-$C$126))</f>
        <v>3.2131427411944066E-2</v>
      </c>
      <c r="C192" s="3">
        <f t="shared" si="128"/>
        <v>3.2131427411944066E-2</v>
      </c>
      <c r="D192" s="3">
        <f t="shared" si="128"/>
        <v>3.2131427411944066E-2</v>
      </c>
      <c r="E192" s="3">
        <f t="shared" si="128"/>
        <v>3.2131427411944066E-2</v>
      </c>
      <c r="F192" s="3">
        <f t="shared" si="128"/>
        <v>3.2131427411944066E-2</v>
      </c>
      <c r="G192" s="3">
        <f t="shared" si="128"/>
        <v>3.2131427411944066E-2</v>
      </c>
      <c r="H192" s="3">
        <f t="shared" si="128"/>
        <v>3.2131427411944066E-2</v>
      </c>
      <c r="I192" s="3">
        <f t="shared" si="128"/>
        <v>3.2131427411944066E-2</v>
      </c>
      <c r="J192" s="3">
        <f t="shared" si="128"/>
        <v>3.2131427411944066E-2</v>
      </c>
      <c r="K192" s="3">
        <f t="shared" si="128"/>
        <v>3.2131427411944066E-2</v>
      </c>
      <c r="L192" s="3">
        <f t="shared" si="128"/>
        <v>3.2131427411944066E-2</v>
      </c>
      <c r="M192" s="3">
        <f t="shared" si="128"/>
        <v>3.2131427411944066E-2</v>
      </c>
      <c r="N192" s="3">
        <f t="shared" si="128"/>
        <v>3.2131427411944066E-2</v>
      </c>
      <c r="O192" s="3">
        <f t="shared" si="128"/>
        <v>3.2131427411944066E-2</v>
      </c>
      <c r="P192" s="3">
        <f t="shared" si="128"/>
        <v>3.2131427411944066E-2</v>
      </c>
      <c r="Q192" s="3">
        <f t="shared" si="128"/>
        <v>3.2131427411944066E-2</v>
      </c>
      <c r="R192" s="3">
        <f t="shared" si="128"/>
        <v>3.2131427411944052E-2</v>
      </c>
      <c r="S192" s="3">
        <f t="shared" si="128"/>
        <v>3.2131427411943921E-2</v>
      </c>
      <c r="T192" s="3">
        <f t="shared" si="128"/>
        <v>3.2131427411942609E-2</v>
      </c>
      <c r="U192" s="3">
        <f t="shared" si="128"/>
        <v>3.2131427411929515E-2</v>
      </c>
      <c r="V192" s="3">
        <f t="shared" si="128"/>
        <v>3.2131427411798537E-2</v>
      </c>
      <c r="W192" s="3">
        <f t="shared" si="128"/>
        <v>3.21314274104888E-2</v>
      </c>
      <c r="X192" s="3">
        <f t="shared" si="128"/>
        <v>3.2131427397391388E-2</v>
      </c>
      <c r="Y192" s="3">
        <f t="shared" si="128"/>
        <v>3.2131427266417274E-2</v>
      </c>
      <c r="Z192" s="3">
        <f t="shared" si="128"/>
        <v>3.2131425956676209E-2</v>
      </c>
      <c r="AA192" s="3">
        <f t="shared" si="128"/>
        <v>3.2131412859268439E-2</v>
      </c>
      <c r="AB192" s="3">
        <f t="shared" si="128"/>
        <v>3.2131281885484371E-2</v>
      </c>
      <c r="AC192" s="3">
        <f t="shared" si="128"/>
        <v>3.2129972177006423E-2</v>
      </c>
      <c r="AD192" s="3">
        <f t="shared" si="128"/>
        <v>3.2116878028056302E-2</v>
      </c>
      <c r="AE192" s="3">
        <f t="shared" si="128"/>
        <v>3.19862296791932E-2</v>
      </c>
      <c r="AF192" s="3">
        <f t="shared" si="128"/>
        <v>3.0708622920534875E-2</v>
      </c>
      <c r="AG192" s="3"/>
      <c r="AH192" s="3"/>
    </row>
    <row r="193" spans="1:34" x14ac:dyDescent="0.25">
      <c r="B193" s="3">
        <f t="shared" ref="B193:AF193" si="129">$C40*EXP(-B$168/$A40/EXP(-$C$126))</f>
        <v>1.594333716386688E-2</v>
      </c>
      <c r="C193" s="3">
        <f t="shared" si="129"/>
        <v>1.594333716386688E-2</v>
      </c>
      <c r="D193" s="3">
        <f t="shared" si="129"/>
        <v>1.594333716386688E-2</v>
      </c>
      <c r="E193" s="3">
        <f t="shared" si="129"/>
        <v>1.594333716386688E-2</v>
      </c>
      <c r="F193" s="3">
        <f t="shared" si="129"/>
        <v>1.594333716386688E-2</v>
      </c>
      <c r="G193" s="3">
        <f t="shared" si="129"/>
        <v>1.594333716386688E-2</v>
      </c>
      <c r="H193" s="3">
        <f t="shared" si="129"/>
        <v>1.594333716386688E-2</v>
      </c>
      <c r="I193" s="3">
        <f t="shared" si="129"/>
        <v>1.594333716386688E-2</v>
      </c>
      <c r="J193" s="3">
        <f t="shared" si="129"/>
        <v>1.594333716386688E-2</v>
      </c>
      <c r="K193" s="3">
        <f t="shared" si="129"/>
        <v>1.594333716386688E-2</v>
      </c>
      <c r="L193" s="3">
        <f t="shared" si="129"/>
        <v>1.594333716386688E-2</v>
      </c>
      <c r="M193" s="3">
        <f t="shared" si="129"/>
        <v>1.594333716386688E-2</v>
      </c>
      <c r="N193" s="3">
        <f t="shared" si="129"/>
        <v>1.594333716386688E-2</v>
      </c>
      <c r="O193" s="3">
        <f t="shared" si="129"/>
        <v>1.594333716386688E-2</v>
      </c>
      <c r="P193" s="3">
        <f t="shared" si="129"/>
        <v>1.594333716386688E-2</v>
      </c>
      <c r="Q193" s="3">
        <f t="shared" si="129"/>
        <v>1.594333716386688E-2</v>
      </c>
      <c r="R193" s="3">
        <f t="shared" si="129"/>
        <v>1.594333716386688E-2</v>
      </c>
      <c r="S193" s="3">
        <f t="shared" si="129"/>
        <v>1.5943337163866873E-2</v>
      </c>
      <c r="T193" s="3">
        <f t="shared" si="129"/>
        <v>1.5943337163866807E-2</v>
      </c>
      <c r="U193" s="3">
        <f t="shared" si="129"/>
        <v>1.5943337163866159E-2</v>
      </c>
      <c r="V193" s="3">
        <f t="shared" si="129"/>
        <v>1.594333716385966E-2</v>
      </c>
      <c r="W193" s="3">
        <f t="shared" si="129"/>
        <v>1.5943337163794671E-2</v>
      </c>
      <c r="X193" s="3">
        <f t="shared" si="129"/>
        <v>1.5943337163144788E-2</v>
      </c>
      <c r="Y193" s="3">
        <f t="shared" si="129"/>
        <v>1.5943337156645965E-2</v>
      </c>
      <c r="Z193" s="3">
        <f t="shared" si="129"/>
        <v>1.5943337091657742E-2</v>
      </c>
      <c r="AA193" s="3">
        <f t="shared" si="129"/>
        <v>1.5943336441775518E-2</v>
      </c>
      <c r="AB193" s="3">
        <f t="shared" si="129"/>
        <v>1.5943329942954741E-2</v>
      </c>
      <c r="AC193" s="3">
        <f t="shared" si="129"/>
        <v>1.5943264954892674E-2</v>
      </c>
      <c r="AD193" s="3">
        <f t="shared" si="129"/>
        <v>1.5942615088841514E-2</v>
      </c>
      <c r="AE193" s="3">
        <f t="shared" si="129"/>
        <v>1.5936117885063134E-2</v>
      </c>
      <c r="AF193" s="3">
        <f t="shared" si="129"/>
        <v>1.5871291301135754E-2</v>
      </c>
      <c r="AG193" s="3"/>
      <c r="AH193" s="3"/>
    </row>
    <row r="194" spans="1:34" x14ac:dyDescent="0.25">
      <c r="B194" s="3">
        <f t="shared" ref="B194:AF194" si="130">$C41*EXP(-B$168/$A41/EXP(-$C$126))</f>
        <v>9.9907856671704312E-4</v>
      </c>
      <c r="C194" s="3">
        <f t="shared" si="130"/>
        <v>9.9907856671704312E-4</v>
      </c>
      <c r="D194" s="3">
        <f t="shared" si="130"/>
        <v>9.9907856671704312E-4</v>
      </c>
      <c r="E194" s="3">
        <f t="shared" si="130"/>
        <v>9.9907856671704312E-4</v>
      </c>
      <c r="F194" s="3">
        <f t="shared" si="130"/>
        <v>9.9907856671704312E-4</v>
      </c>
      <c r="G194" s="3">
        <f t="shared" si="130"/>
        <v>9.9907856671704312E-4</v>
      </c>
      <c r="H194" s="3">
        <f t="shared" si="130"/>
        <v>9.9907856671704312E-4</v>
      </c>
      <c r="I194" s="3">
        <f t="shared" si="130"/>
        <v>9.9907856671704312E-4</v>
      </c>
      <c r="J194" s="3">
        <f t="shared" si="130"/>
        <v>9.9907856671704312E-4</v>
      </c>
      <c r="K194" s="3">
        <f t="shared" si="130"/>
        <v>9.9907856671704312E-4</v>
      </c>
      <c r="L194" s="3">
        <f t="shared" si="130"/>
        <v>9.9907856671704312E-4</v>
      </c>
      <c r="M194" s="3">
        <f t="shared" si="130"/>
        <v>9.9907856671704312E-4</v>
      </c>
      <c r="N194" s="3">
        <f t="shared" si="130"/>
        <v>9.9907856671704312E-4</v>
      </c>
      <c r="O194" s="3">
        <f t="shared" si="130"/>
        <v>9.9907856671704312E-4</v>
      </c>
      <c r="P194" s="3">
        <f t="shared" si="130"/>
        <v>9.9907856671704312E-4</v>
      </c>
      <c r="Q194" s="3">
        <f t="shared" si="130"/>
        <v>9.9907856671704312E-4</v>
      </c>
      <c r="R194" s="3">
        <f t="shared" si="130"/>
        <v>9.9907856671704312E-4</v>
      </c>
      <c r="S194" s="3">
        <f t="shared" si="130"/>
        <v>9.9907856671704312E-4</v>
      </c>
      <c r="T194" s="3">
        <f t="shared" si="130"/>
        <v>9.9907856671704268E-4</v>
      </c>
      <c r="U194" s="3">
        <f t="shared" si="130"/>
        <v>9.9907856671703856E-4</v>
      </c>
      <c r="V194" s="3">
        <f t="shared" si="130"/>
        <v>9.990785667169978E-4</v>
      </c>
      <c r="W194" s="3">
        <f t="shared" si="130"/>
        <v>9.9907856671659057E-4</v>
      </c>
      <c r="X194" s="3">
        <f t="shared" si="130"/>
        <v>9.9907856671251809E-4</v>
      </c>
      <c r="Y194" s="3">
        <f t="shared" si="130"/>
        <v>9.9907856667179372E-4</v>
      </c>
      <c r="Z194" s="3">
        <f t="shared" si="130"/>
        <v>9.9907856626454939E-4</v>
      </c>
      <c r="AA194" s="3">
        <f t="shared" si="130"/>
        <v>9.9907856219210583E-4</v>
      </c>
      <c r="AB194" s="3">
        <f t="shared" si="130"/>
        <v>9.9907852146767073E-4</v>
      </c>
      <c r="AC194" s="3">
        <f t="shared" si="130"/>
        <v>9.9907811422341049E-4</v>
      </c>
      <c r="AD194" s="3">
        <f t="shared" si="130"/>
        <v>9.9907404178993953E-4</v>
      </c>
      <c r="AE194" s="3">
        <f t="shared" si="130"/>
        <v>9.9903331836821946E-4</v>
      </c>
      <c r="AF194" s="3">
        <f t="shared" si="130"/>
        <v>9.9862617543623115E-4</v>
      </c>
      <c r="AG194" s="3"/>
      <c r="AH194" s="3"/>
    </row>
    <row r="195" spans="1:34" x14ac:dyDescent="0.25">
      <c r="B195" s="3">
        <f t="shared" ref="B195:AF195" si="131">$C42*EXP(-B$168/$A42/EXP(-$C$126))</f>
        <v>3.5389734266527166E-3</v>
      </c>
      <c r="C195" s="3">
        <f t="shared" si="131"/>
        <v>3.5389734266527166E-3</v>
      </c>
      <c r="D195" s="3">
        <f t="shared" si="131"/>
        <v>3.5389734266527166E-3</v>
      </c>
      <c r="E195" s="3">
        <f t="shared" si="131"/>
        <v>3.5389734266527166E-3</v>
      </c>
      <c r="F195" s="3">
        <f t="shared" si="131"/>
        <v>3.5389734266527166E-3</v>
      </c>
      <c r="G195" s="3">
        <f t="shared" si="131"/>
        <v>3.5389734266527166E-3</v>
      </c>
      <c r="H195" s="3">
        <f t="shared" si="131"/>
        <v>3.5389734266527166E-3</v>
      </c>
      <c r="I195" s="3">
        <f t="shared" si="131"/>
        <v>3.5389734266527166E-3</v>
      </c>
      <c r="J195" s="3">
        <f t="shared" si="131"/>
        <v>3.5389734266527166E-3</v>
      </c>
      <c r="K195" s="3">
        <f t="shared" si="131"/>
        <v>3.5389734266527166E-3</v>
      </c>
      <c r="L195" s="3">
        <f t="shared" si="131"/>
        <v>3.5389734266527166E-3</v>
      </c>
      <c r="M195" s="3">
        <f t="shared" si="131"/>
        <v>3.5389734266527166E-3</v>
      </c>
      <c r="N195" s="3">
        <f t="shared" si="131"/>
        <v>3.5389734266527166E-3</v>
      </c>
      <c r="O195" s="3">
        <f t="shared" si="131"/>
        <v>3.5389734266527166E-3</v>
      </c>
      <c r="P195" s="3">
        <f t="shared" si="131"/>
        <v>3.5389734266527166E-3</v>
      </c>
      <c r="Q195" s="3">
        <f t="shared" si="131"/>
        <v>3.5389734266527166E-3</v>
      </c>
      <c r="R195" s="3">
        <f t="shared" si="131"/>
        <v>3.5389734266527166E-3</v>
      </c>
      <c r="S195" s="3">
        <f t="shared" si="131"/>
        <v>3.5389734266527166E-3</v>
      </c>
      <c r="T195" s="3">
        <f t="shared" si="131"/>
        <v>3.5389734266527166E-3</v>
      </c>
      <c r="U195" s="3">
        <f t="shared" si="131"/>
        <v>3.5389734266527148E-3</v>
      </c>
      <c r="V195" s="3">
        <f t="shared" si="131"/>
        <v>3.5389734266527005E-3</v>
      </c>
      <c r="W195" s="3">
        <f t="shared" si="131"/>
        <v>3.5389734266525561E-3</v>
      </c>
      <c r="X195" s="3">
        <f t="shared" si="131"/>
        <v>3.5389734266511141E-3</v>
      </c>
      <c r="Y195" s="3">
        <f t="shared" si="131"/>
        <v>3.5389734266366882E-3</v>
      </c>
      <c r="Z195" s="3">
        <f t="shared" si="131"/>
        <v>3.5389734264924325E-3</v>
      </c>
      <c r="AA195" s="3">
        <f t="shared" si="131"/>
        <v>3.5389734250498763E-3</v>
      </c>
      <c r="AB195" s="3">
        <f t="shared" si="131"/>
        <v>3.5389734106243144E-3</v>
      </c>
      <c r="AC195" s="3">
        <f t="shared" si="131"/>
        <v>3.5389732663686987E-3</v>
      </c>
      <c r="AD195" s="3">
        <f t="shared" si="131"/>
        <v>3.5389718238128648E-3</v>
      </c>
      <c r="AE195" s="3">
        <f t="shared" si="131"/>
        <v>3.5389573982868698E-3</v>
      </c>
      <c r="AF195" s="3">
        <f t="shared" si="131"/>
        <v>3.5388131462609418E-3</v>
      </c>
      <c r="AG195" s="3"/>
      <c r="AH195" s="3"/>
    </row>
    <row r="196" spans="1:34" x14ac:dyDescent="0.25">
      <c r="B196" s="3">
        <f t="shared" ref="B196:AF196" si="132">$C43*EXP(-B$168/$A43/EXP(-$C$126))</f>
        <v>1.6157045586307682E-4</v>
      </c>
      <c r="C196" s="3">
        <f t="shared" si="132"/>
        <v>1.6157045586307682E-4</v>
      </c>
      <c r="D196" s="3">
        <f t="shared" si="132"/>
        <v>1.6157045586307682E-4</v>
      </c>
      <c r="E196" s="3">
        <f t="shared" si="132"/>
        <v>1.6157045586307682E-4</v>
      </c>
      <c r="F196" s="3">
        <f t="shared" si="132"/>
        <v>1.6157045586307682E-4</v>
      </c>
      <c r="G196" s="3">
        <f t="shared" si="132"/>
        <v>1.6157045586307682E-4</v>
      </c>
      <c r="H196" s="3">
        <f t="shared" si="132"/>
        <v>1.6157045586307682E-4</v>
      </c>
      <c r="I196" s="3">
        <f t="shared" si="132"/>
        <v>1.6157045586307682E-4</v>
      </c>
      <c r="J196" s="3">
        <f t="shared" si="132"/>
        <v>1.6157045586307682E-4</v>
      </c>
      <c r="K196" s="3">
        <f t="shared" si="132"/>
        <v>1.6157045586307682E-4</v>
      </c>
      <c r="L196" s="3">
        <f t="shared" si="132"/>
        <v>1.6157045586307682E-4</v>
      </c>
      <c r="M196" s="3">
        <f t="shared" si="132"/>
        <v>1.6157045586307682E-4</v>
      </c>
      <c r="N196" s="3">
        <f t="shared" si="132"/>
        <v>1.6157045586307682E-4</v>
      </c>
      <c r="O196" s="3">
        <f t="shared" si="132"/>
        <v>1.6157045586307682E-4</v>
      </c>
      <c r="P196" s="3">
        <f t="shared" si="132"/>
        <v>1.6157045586307682E-4</v>
      </c>
      <c r="Q196" s="3">
        <f t="shared" si="132"/>
        <v>1.6157045586307682E-4</v>
      </c>
      <c r="R196" s="3">
        <f t="shared" si="132"/>
        <v>1.6157045586307682E-4</v>
      </c>
      <c r="S196" s="3">
        <f t="shared" si="132"/>
        <v>1.6157045586307682E-4</v>
      </c>
      <c r="T196" s="3">
        <f t="shared" si="132"/>
        <v>1.6157045586307682E-4</v>
      </c>
      <c r="U196" s="3">
        <f t="shared" si="132"/>
        <v>1.6157045586307682E-4</v>
      </c>
      <c r="V196" s="3">
        <f t="shared" si="132"/>
        <v>1.6157045586307674E-4</v>
      </c>
      <c r="W196" s="3">
        <f t="shared" si="132"/>
        <v>1.6157045586307609E-4</v>
      </c>
      <c r="X196" s="3">
        <f t="shared" si="132"/>
        <v>1.615704558630695E-4</v>
      </c>
      <c r="Y196" s="3">
        <f t="shared" si="132"/>
        <v>1.6157045586300366E-4</v>
      </c>
      <c r="Z196" s="3">
        <f t="shared" si="132"/>
        <v>1.6157045586234504E-4</v>
      </c>
      <c r="AA196" s="3">
        <f t="shared" si="132"/>
        <v>1.6157045585575911E-4</v>
      </c>
      <c r="AB196" s="3">
        <f t="shared" si="132"/>
        <v>1.6157045578989979E-4</v>
      </c>
      <c r="AC196" s="3">
        <f t="shared" si="132"/>
        <v>1.6157045513130635E-4</v>
      </c>
      <c r="AD196" s="3">
        <f t="shared" si="132"/>
        <v>1.615704485453723E-4</v>
      </c>
      <c r="AE196" s="3">
        <f t="shared" si="132"/>
        <v>1.6157038268604657E-4</v>
      </c>
      <c r="AF196" s="3">
        <f t="shared" si="132"/>
        <v>1.615697240942658E-4</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1.333349737784439E-4</v>
      </c>
      <c r="C198" s="3">
        <f t="shared" si="134"/>
        <v>1.333349737784439E-4</v>
      </c>
      <c r="D198" s="3">
        <f t="shared" si="134"/>
        <v>1.333349737784439E-4</v>
      </c>
      <c r="E198" s="3">
        <f t="shared" si="134"/>
        <v>1.333349737784439E-4</v>
      </c>
      <c r="F198" s="3">
        <f t="shared" si="134"/>
        <v>1.333349737784439E-4</v>
      </c>
      <c r="G198" s="3">
        <f t="shared" si="134"/>
        <v>1.333349737784439E-4</v>
      </c>
      <c r="H198" s="3">
        <f t="shared" si="134"/>
        <v>1.333349737784439E-4</v>
      </c>
      <c r="I198" s="3">
        <f t="shared" si="134"/>
        <v>1.333349737784439E-4</v>
      </c>
      <c r="J198" s="3">
        <f t="shared" si="134"/>
        <v>1.333349737784439E-4</v>
      </c>
      <c r="K198" s="3">
        <f t="shared" si="134"/>
        <v>1.333349737784439E-4</v>
      </c>
      <c r="L198" s="3">
        <f t="shared" si="134"/>
        <v>1.333349737784439E-4</v>
      </c>
      <c r="M198" s="3">
        <f t="shared" si="134"/>
        <v>1.333349737784439E-4</v>
      </c>
      <c r="N198" s="3">
        <f t="shared" si="134"/>
        <v>1.333349737784439E-4</v>
      </c>
      <c r="O198" s="3">
        <f t="shared" si="134"/>
        <v>1.333349737784439E-4</v>
      </c>
      <c r="P198" s="3">
        <f t="shared" si="134"/>
        <v>1.333349737784439E-4</v>
      </c>
      <c r="Q198" s="3">
        <f t="shared" si="134"/>
        <v>1.333349737784439E-4</v>
      </c>
      <c r="R198" s="3">
        <f t="shared" si="134"/>
        <v>1.333349737784439E-4</v>
      </c>
      <c r="S198" s="3">
        <f t="shared" si="134"/>
        <v>1.333349737784439E-4</v>
      </c>
      <c r="T198" s="3">
        <f t="shared" si="134"/>
        <v>1.333349737784439E-4</v>
      </c>
      <c r="U198" s="3">
        <f t="shared" si="134"/>
        <v>1.333349737784439E-4</v>
      </c>
      <c r="V198" s="3">
        <f t="shared" si="134"/>
        <v>1.333349737784439E-4</v>
      </c>
      <c r="W198" s="3">
        <f t="shared" si="134"/>
        <v>1.333349737784439E-4</v>
      </c>
      <c r="X198" s="3">
        <f t="shared" si="134"/>
        <v>1.3333497377844385E-4</v>
      </c>
      <c r="Y198" s="3">
        <f t="shared" si="134"/>
        <v>1.3333497377844331E-4</v>
      </c>
      <c r="Z198" s="3">
        <f t="shared" si="134"/>
        <v>1.3333497377843786E-4</v>
      </c>
      <c r="AA198" s="3">
        <f t="shared" si="134"/>
        <v>1.3333497377838351E-4</v>
      </c>
      <c r="AB198" s="3">
        <f t="shared" si="134"/>
        <v>1.3333497377784E-4</v>
      </c>
      <c r="AC198" s="3">
        <f t="shared" si="134"/>
        <v>1.33334973772405E-4</v>
      </c>
      <c r="AD198" s="3">
        <f t="shared" si="134"/>
        <v>1.3333497371805503E-4</v>
      </c>
      <c r="AE198" s="3">
        <f t="shared" si="134"/>
        <v>1.3333497317455505E-4</v>
      </c>
      <c r="AF198" s="3">
        <f t="shared" si="134"/>
        <v>1.3333496773955557E-4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2.9933424394364084E-4</v>
      </c>
      <c r="C201" s="3">
        <f t="shared" si="137"/>
        <v>2.9933424394364084E-4</v>
      </c>
      <c r="D201" s="3">
        <f t="shared" si="137"/>
        <v>2.9933424394364084E-4</v>
      </c>
      <c r="E201" s="3">
        <f t="shared" si="137"/>
        <v>2.9933424394364084E-4</v>
      </c>
      <c r="F201" s="3">
        <f t="shared" si="137"/>
        <v>2.9933424394364084E-4</v>
      </c>
      <c r="G201" s="3">
        <f t="shared" si="137"/>
        <v>2.9933424394364084E-4</v>
      </c>
      <c r="H201" s="3">
        <f t="shared" si="137"/>
        <v>2.9933424394364084E-4</v>
      </c>
      <c r="I201" s="3">
        <f t="shared" si="137"/>
        <v>2.9933424394364084E-4</v>
      </c>
      <c r="J201" s="3">
        <f t="shared" si="137"/>
        <v>2.9933424394364084E-4</v>
      </c>
      <c r="K201" s="3">
        <f t="shared" si="137"/>
        <v>2.9933424394364084E-4</v>
      </c>
      <c r="L201" s="3">
        <f t="shared" si="137"/>
        <v>2.9933424394364084E-4</v>
      </c>
      <c r="M201" s="3">
        <f t="shared" si="137"/>
        <v>2.9933424394364084E-4</v>
      </c>
      <c r="N201" s="3">
        <f t="shared" si="137"/>
        <v>2.9933424394364084E-4</v>
      </c>
      <c r="O201" s="3">
        <f t="shared" si="137"/>
        <v>2.9933424394364084E-4</v>
      </c>
      <c r="P201" s="3">
        <f t="shared" si="137"/>
        <v>2.9933424394364084E-4</v>
      </c>
      <c r="Q201" s="3">
        <f t="shared" si="137"/>
        <v>2.9933424394364084E-4</v>
      </c>
      <c r="R201" s="3">
        <f t="shared" si="137"/>
        <v>2.9933424394364084E-4</v>
      </c>
      <c r="S201" s="3">
        <f t="shared" si="137"/>
        <v>2.9933424394364084E-4</v>
      </c>
      <c r="T201" s="3">
        <f t="shared" si="137"/>
        <v>2.9933424394364084E-4</v>
      </c>
      <c r="U201" s="3">
        <f t="shared" si="137"/>
        <v>2.9933424394364084E-4</v>
      </c>
      <c r="V201" s="3">
        <f t="shared" si="137"/>
        <v>2.9933424394364084E-4</v>
      </c>
      <c r="W201" s="3">
        <f t="shared" si="137"/>
        <v>2.9933424394364084E-4</v>
      </c>
      <c r="X201" s="3">
        <f t="shared" si="137"/>
        <v>2.9933424394364084E-4</v>
      </c>
      <c r="Y201" s="3">
        <f t="shared" si="137"/>
        <v>2.9933424394364084E-4</v>
      </c>
      <c r="Z201" s="3">
        <f t="shared" si="137"/>
        <v>2.9933424394364084E-4</v>
      </c>
      <c r="AA201" s="3">
        <f t="shared" si="137"/>
        <v>2.9933424394364074E-4</v>
      </c>
      <c r="AB201" s="3">
        <f t="shared" si="137"/>
        <v>2.9933424394363949E-4</v>
      </c>
      <c r="AC201" s="3">
        <f t="shared" si="137"/>
        <v>2.9933424394362729E-4</v>
      </c>
      <c r="AD201" s="3">
        <f t="shared" si="137"/>
        <v>2.9933424394350527E-4</v>
      </c>
      <c r="AE201" s="3">
        <f t="shared" si="137"/>
        <v>2.993342439422851E-4</v>
      </c>
      <c r="AF201" s="3">
        <f t="shared" si="137"/>
        <v>2.9933424393008366E-4</v>
      </c>
      <c r="AG201" s="3"/>
      <c r="AH201" s="3"/>
    </row>
    <row r="202" spans="1:34" x14ac:dyDescent="0.25">
      <c r="A202" s="79">
        <f>AVERAGE(B202:AF202)</f>
        <v>5.8823438471310101E-2</v>
      </c>
      <c r="B202" s="80">
        <f>IF($A$64&lt;=B168,IF($B$64&gt;=B168,ABS((B170-B169)/B169),0),0)</f>
        <v>3.0005767042574905E-3</v>
      </c>
      <c r="C202" s="80">
        <f t="shared" ref="C202:AF202" si="138">IF($A$64&lt;=C168,IF($B$64&gt;=C168,ABS((C170-C169)/C169),0),0)</f>
        <v>3.0116947359234026E-3</v>
      </c>
      <c r="D202" s="80">
        <f t="shared" si="138"/>
        <v>3.0343276217325568E-3</v>
      </c>
      <c r="E202" s="80">
        <f t="shared" si="138"/>
        <v>3.30426473049393E-3</v>
      </c>
      <c r="F202" s="80">
        <f t="shared" si="138"/>
        <v>5.48804900709413E-3</v>
      </c>
      <c r="G202" s="80">
        <f t="shared" si="138"/>
        <v>9.7546581011750729E-3</v>
      </c>
      <c r="H202" s="80">
        <f t="shared" si="138"/>
        <v>9.8282714884548941E-3</v>
      </c>
      <c r="I202" s="80">
        <f t="shared" si="138"/>
        <v>9.8282646075222441E-3</v>
      </c>
      <c r="J202" s="80">
        <f t="shared" si="138"/>
        <v>9.8282328234427976E-3</v>
      </c>
      <c r="K202" s="80">
        <f t="shared" si="138"/>
        <v>9.8282815324541202E-3</v>
      </c>
      <c r="L202" s="80">
        <f t="shared" si="138"/>
        <v>9.8287908236768563E-3</v>
      </c>
      <c r="M202" s="80">
        <f t="shared" si="138"/>
        <v>9.8336157523946748E-3</v>
      </c>
      <c r="N202" s="80">
        <f t="shared" si="138"/>
        <v>9.8818881441659848E-3</v>
      </c>
      <c r="O202" s="80">
        <f t="shared" si="138"/>
        <v>1.0351045699908603E-2</v>
      </c>
      <c r="P202" s="80">
        <f t="shared" si="138"/>
        <v>1.3987314388868421E-2</v>
      </c>
      <c r="Q202" s="80">
        <f t="shared" si="138"/>
        <v>2.6569438711216479E-2</v>
      </c>
      <c r="R202" s="80">
        <f t="shared" si="138"/>
        <v>3.2101397865078027E-2</v>
      </c>
      <c r="S202" s="80">
        <f t="shared" si="138"/>
        <v>3.4088115277446922E-2</v>
      </c>
      <c r="T202" s="80">
        <f t="shared" si="138"/>
        <v>3.4729350767772678E-2</v>
      </c>
      <c r="U202" s="80">
        <f t="shared" si="138"/>
        <v>1.260754526093958E-2</v>
      </c>
      <c r="V202" s="80">
        <f t="shared" si="138"/>
        <v>3.3423356647902691E-2</v>
      </c>
      <c r="W202" s="80">
        <f t="shared" si="138"/>
        <v>7.6543930290248252E-2</v>
      </c>
      <c r="X202" s="80">
        <f t="shared" si="138"/>
        <v>0.12047192646998355</v>
      </c>
      <c r="Y202" s="80">
        <f t="shared" si="138"/>
        <v>0.14728837800900607</v>
      </c>
      <c r="Z202" s="80">
        <f t="shared" si="138"/>
        <v>0.1604883410273778</v>
      </c>
      <c r="AA202" s="80">
        <f t="shared" si="138"/>
        <v>0.14574395701931453</v>
      </c>
      <c r="AB202" s="80">
        <f t="shared" si="138"/>
        <v>6.7541180800983605E-2</v>
      </c>
      <c r="AC202" s="80">
        <f t="shared" si="138"/>
        <v>3.1671303414366303E-2</v>
      </c>
      <c r="AD202" s="80">
        <f t="shared" si="138"/>
        <v>0.14841807670002133</v>
      </c>
      <c r="AE202" s="80">
        <f t="shared" si="138"/>
        <v>0.27320687331318388</v>
      </c>
      <c r="AF202" s="80">
        <f t="shared" si="138"/>
        <v>0.35784414487420618</v>
      </c>
    </row>
    <row r="203" spans="1:34" x14ac:dyDescent="0.25">
      <c r="B203" s="21">
        <f>(B170-B169)^2</f>
        <v>385.53124079705742</v>
      </c>
      <c r="C203" s="21">
        <f t="shared" ref="C203:AF203" si="139">(C170-C169)^2</f>
        <v>388.40004513099785</v>
      </c>
      <c r="D203" s="21">
        <f t="shared" si="139"/>
        <v>394.25557858196657</v>
      </c>
      <c r="E203" s="21">
        <f t="shared" si="139"/>
        <v>467.52114055814508</v>
      </c>
      <c r="F203" s="21">
        <f t="shared" si="139"/>
        <v>1289.6953388275417</v>
      </c>
      <c r="G203" s="21">
        <f t="shared" si="139"/>
        <v>4074.5076069128336</v>
      </c>
      <c r="H203" s="21">
        <f t="shared" si="139"/>
        <v>4136.2356410871653</v>
      </c>
      <c r="I203" s="21">
        <f t="shared" si="139"/>
        <v>4136.2297875315508</v>
      </c>
      <c r="J203" s="21">
        <f t="shared" si="139"/>
        <v>4136.2027255571902</v>
      </c>
      <c r="K203" s="21">
        <f t="shared" si="139"/>
        <v>4136.2436930107242</v>
      </c>
      <c r="L203" s="21">
        <f t="shared" si="139"/>
        <v>4136.6722519768273</v>
      </c>
      <c r="M203" s="21">
        <f t="shared" si="139"/>
        <v>4140.7311445942041</v>
      </c>
      <c r="N203" s="21">
        <f t="shared" si="139"/>
        <v>4181.4502789311291</v>
      </c>
      <c r="O203" s="21">
        <f t="shared" si="139"/>
        <v>4587.5479239733404</v>
      </c>
      <c r="P203" s="21">
        <f t="shared" si="139"/>
        <v>8370.1717508503025</v>
      </c>
      <c r="Q203" s="21">
        <f t="shared" si="139"/>
        <v>29980.054865055256</v>
      </c>
      <c r="R203" s="21">
        <f t="shared" si="139"/>
        <v>42088.190563489174</v>
      </c>
      <c r="S203" s="21">
        <f t="shared" si="139"/>
        <v>45247.614430417903</v>
      </c>
      <c r="T203" s="21">
        <f t="shared" si="139"/>
        <v>44065.990070191139</v>
      </c>
      <c r="U203" s="21">
        <f t="shared" si="139"/>
        <v>5160.6257791913404</v>
      </c>
      <c r="V203" s="21">
        <f t="shared" si="139"/>
        <v>30464.999544929899</v>
      </c>
      <c r="W203" s="21">
        <f t="shared" si="139"/>
        <v>131705.24644087919</v>
      </c>
      <c r="X203" s="21">
        <f t="shared" si="139"/>
        <v>269750.42418925004</v>
      </c>
      <c r="Y203" s="21">
        <f t="shared" si="139"/>
        <v>338865.86659737607</v>
      </c>
      <c r="Z203" s="21">
        <f t="shared" si="139"/>
        <v>341116.66500561644</v>
      </c>
      <c r="AA203" s="21">
        <f t="shared" si="139"/>
        <v>237627.13109966181</v>
      </c>
      <c r="AB203" s="21">
        <f t="shared" si="139"/>
        <v>41992.532090816778</v>
      </c>
      <c r="AC203" s="21">
        <f t="shared" si="139"/>
        <v>7063.0127097142768</v>
      </c>
      <c r="AD203" s="21">
        <f t="shared" si="139"/>
        <v>106938.92055383432</v>
      </c>
      <c r="AE203" s="21">
        <f t="shared" si="139"/>
        <v>211538.02412058835</v>
      </c>
      <c r="AF203" s="21">
        <f t="shared" si="139"/>
        <v>160096.31805088409</v>
      </c>
      <c r="AG203" s="3"/>
      <c r="AH203" s="3"/>
    </row>
    <row r="204" spans="1:34" x14ac:dyDescent="0.25">
      <c r="A204" s="71">
        <f>SUM(B204:AF204)</f>
        <v>2092663.0122602172</v>
      </c>
      <c r="B204" s="60">
        <f>IF($A$64&lt;=B168,IF($B$64&gt;=B168,ABS(B203),0),0)</f>
        <v>385.53124079705742</v>
      </c>
      <c r="C204" s="60">
        <f t="shared" ref="C204" si="140">IF($A$64&lt;=C168,IF($B$64&gt;=C168,ABS(C203),0),0)</f>
        <v>388.40004513099785</v>
      </c>
      <c r="D204" s="60">
        <f t="shared" ref="D204" si="141">IF($A$64&lt;=D168,IF($B$64&gt;=D168,ABS(D203),0),0)</f>
        <v>394.25557858196657</v>
      </c>
      <c r="E204" s="60">
        <f t="shared" ref="E204" si="142">IF($A$64&lt;=E168,IF($B$64&gt;=E168,ABS(E203),0),0)</f>
        <v>467.52114055814508</v>
      </c>
      <c r="F204" s="60">
        <f t="shared" ref="F204" si="143">IF($A$64&lt;=F168,IF($B$64&gt;=F168,ABS(F203),0),0)</f>
        <v>1289.6953388275417</v>
      </c>
      <c r="G204" s="60">
        <f t="shared" ref="G204" si="144">IF($A$64&lt;=G168,IF($B$64&gt;=G168,ABS(G203),0),0)</f>
        <v>4074.5076069128336</v>
      </c>
      <c r="H204" s="60">
        <f t="shared" ref="H204" si="145">IF($A$64&lt;=H168,IF($B$64&gt;=H168,ABS(H203),0),0)</f>
        <v>4136.2356410871653</v>
      </c>
      <c r="I204" s="60">
        <f t="shared" ref="I204" si="146">IF($A$64&lt;=I168,IF($B$64&gt;=I168,ABS(I203),0),0)</f>
        <v>4136.2297875315508</v>
      </c>
      <c r="J204" s="60">
        <f t="shared" ref="J204" si="147">IF($A$64&lt;=J168,IF($B$64&gt;=J168,ABS(J203),0),0)</f>
        <v>4136.2027255571902</v>
      </c>
      <c r="K204" s="60">
        <f t="shared" ref="K204" si="148">IF($A$64&lt;=K168,IF($B$64&gt;=K168,ABS(K203),0),0)</f>
        <v>4136.2436930107242</v>
      </c>
      <c r="L204" s="60">
        <f t="shared" ref="L204" si="149">IF($A$64&lt;=L168,IF($B$64&gt;=L168,ABS(L203),0),0)</f>
        <v>4136.6722519768273</v>
      </c>
      <c r="M204" s="60">
        <f t="shared" ref="M204" si="150">IF($A$64&lt;=M168,IF($B$64&gt;=M168,ABS(M203),0),0)</f>
        <v>4140.7311445942041</v>
      </c>
      <c r="N204" s="60">
        <f t="shared" ref="N204" si="151">IF($A$64&lt;=N168,IF($B$64&gt;=N168,ABS(N203),0),0)</f>
        <v>4181.4502789311291</v>
      </c>
      <c r="O204" s="60">
        <f t="shared" ref="O204" si="152">IF($A$64&lt;=O168,IF($B$64&gt;=O168,ABS(O203),0),0)</f>
        <v>4587.5479239733404</v>
      </c>
      <c r="P204" s="60">
        <f t="shared" ref="P204" si="153">IF($A$64&lt;=P168,IF($B$64&gt;=P168,ABS(P203),0),0)</f>
        <v>8370.1717508503025</v>
      </c>
      <c r="Q204" s="60">
        <f t="shared" ref="Q204" si="154">IF($A$64&lt;=Q168,IF($B$64&gt;=Q168,ABS(Q203),0),0)</f>
        <v>29980.054865055256</v>
      </c>
      <c r="R204" s="60">
        <f t="shared" ref="R204" si="155">IF($A$64&lt;=R168,IF($B$64&gt;=R168,ABS(R203),0),0)</f>
        <v>42088.190563489174</v>
      </c>
      <c r="S204" s="60">
        <f t="shared" ref="S204" si="156">IF($A$64&lt;=S168,IF($B$64&gt;=S168,ABS(S203),0),0)</f>
        <v>45247.614430417903</v>
      </c>
      <c r="T204" s="60">
        <f t="shared" ref="T204" si="157">IF($A$64&lt;=T168,IF($B$64&gt;=T168,ABS(T203),0),0)</f>
        <v>44065.990070191139</v>
      </c>
      <c r="U204" s="60">
        <f t="shared" ref="U204" si="158">IF($A$64&lt;=U168,IF($B$64&gt;=U168,ABS(U203),0),0)</f>
        <v>5160.6257791913404</v>
      </c>
      <c r="V204" s="60">
        <f t="shared" ref="V204" si="159">IF($A$64&lt;=V168,IF($B$64&gt;=V168,ABS(V203),0),0)</f>
        <v>30464.999544929899</v>
      </c>
      <c r="W204" s="60">
        <f t="shared" ref="W204" si="160">IF($A$64&lt;=W168,IF($B$64&gt;=W168,ABS(W203),0),0)</f>
        <v>131705.24644087919</v>
      </c>
      <c r="X204" s="60">
        <f t="shared" ref="X204" si="161">IF($A$64&lt;=X168,IF($B$64&gt;=X168,ABS(X203),0),0)</f>
        <v>269750.42418925004</v>
      </c>
      <c r="Y204" s="60">
        <f t="shared" ref="Y204" si="162">IF($A$64&lt;=Y168,IF($B$64&gt;=Y168,ABS(Y203),0),0)</f>
        <v>338865.86659737607</v>
      </c>
      <c r="Z204" s="60">
        <f t="shared" ref="Z204" si="163">IF($A$64&lt;=Z168,IF($B$64&gt;=Z168,ABS(Z203),0),0)</f>
        <v>341116.66500561644</v>
      </c>
      <c r="AA204" s="60">
        <f t="shared" ref="AA204" si="164">IF($A$64&lt;=AA168,IF($B$64&gt;=AA168,ABS(AA203),0),0)</f>
        <v>237627.13109966181</v>
      </c>
      <c r="AB204" s="60">
        <f t="shared" ref="AB204" si="165">IF($A$64&lt;=AB168,IF($B$64&gt;=AB168,ABS(AB203),0),0)</f>
        <v>41992.532090816778</v>
      </c>
      <c r="AC204" s="60">
        <f t="shared" ref="AC204" si="166">IF($A$64&lt;=AC168,IF($B$64&gt;=AC168,ABS(AC203),0),0)</f>
        <v>7063.0127097142768</v>
      </c>
      <c r="AD204" s="60">
        <f t="shared" ref="AD204" si="167">IF($A$64&lt;=AD168,IF($B$64&gt;=AD168,ABS(AD203),0),0)</f>
        <v>106938.92055383432</v>
      </c>
      <c r="AE204" s="60">
        <f t="shared" ref="AE204" si="168">IF($A$64&lt;=AE168,IF($B$64&gt;=AE168,ABS(AE203),0),0)</f>
        <v>211538.02412058835</v>
      </c>
      <c r="AF204" s="60">
        <f t="shared" ref="AF204" si="169">IF($A$64&lt;=AF168,IF($B$64&gt;=AF168,ABS(AF203),0),0)</f>
        <v>160096.31805088409</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6524.0904126194901</v>
      </c>
      <c r="C208" s="26">
        <f>INDEX(Comparison!$AM$3:$AS$33,G$14,$D$122)</f>
        <v>6524.1443595856636</v>
      </c>
      <c r="D208" s="26">
        <f>INDEX(Comparison!$AM$3:$AS$33,H$14,$D$122)</f>
        <v>6524.1111351538066</v>
      </c>
      <c r="E208" s="26">
        <f>INDEX(Comparison!$AM$3:$AS$33,I$14,$D$122)</f>
        <v>6524.1012603146964</v>
      </c>
      <c r="F208" s="26">
        <f>INDEX(Comparison!$AM$3:$AS$33,J$14,$D$122)</f>
        <v>6524.0981470711258</v>
      </c>
      <c r="G208" s="26">
        <f>INDEX(Comparison!$AM$3:$AS$33,K$14,$D$122)</f>
        <v>6524.0971012165301</v>
      </c>
      <c r="H208" s="26">
        <f>INDEX(Comparison!$AM$3:$AS$33,L$14,$D$122)</f>
        <v>6524.0967607058046</v>
      </c>
      <c r="I208" s="26">
        <f>INDEX(Comparison!$AM$3:$AS$33,M$14,$D$122)</f>
        <v>6524.0967120614177</v>
      </c>
      <c r="J208" s="26">
        <f>INDEX(Comparison!$AM$3:$AS$33,N$14,$D$122)</f>
        <v>6524.0963715507314</v>
      </c>
      <c r="K208" s="26">
        <f>INDEX(Comparison!$AM$3:$AS$33,O$14,$D$122)</f>
        <v>6524.0939393325853</v>
      </c>
      <c r="L208" s="26">
        <f>INDEX(Comparison!$AM$3:$AS$33,P$14,$D$122)</f>
        <v>6524.06939835293</v>
      </c>
      <c r="M208" s="26">
        <f>INDEX(Comparison!$AM$3:$AS$33,Q$14,$D$122)</f>
        <v>6523.8242419120506</v>
      </c>
      <c r="N208" s="26">
        <f>INDEX(Comparison!$AM$3:$AS$33,R$14,$D$122)</f>
        <v>6521.3925487999713</v>
      </c>
      <c r="O208" s="26">
        <f>INDEX(Comparison!$AM$3:$AS$33,S$14,$D$122)</f>
        <v>6498.8766153292054</v>
      </c>
      <c r="P208" s="26">
        <f>INDEX(Comparison!$AM$3:$AS$33,T$14,$D$122)</f>
        <v>6376.7108933957061</v>
      </c>
      <c r="Q208" s="26">
        <f>INDEX(Comparison!$AM$3:$AS$33,U$14,$D$122)</f>
        <v>6230.3639399807598</v>
      </c>
      <c r="R208" s="26">
        <f>INDEX(Comparison!$AM$3:$AS$33,V$14,$D$122)</f>
        <v>6066.3152248046426</v>
      </c>
      <c r="S208" s="26">
        <f>INDEX(Comparison!$AM$3:$AS$33,W$14,$D$122)</f>
        <v>5850.8000974148181</v>
      </c>
      <c r="T208" s="26">
        <f>INDEX(Comparison!$AM$3:$AS$33,X$14,$D$122)</f>
        <v>5524.1383776461034</v>
      </c>
      <c r="U208" s="26">
        <f>INDEX(Comparison!$AM$3:$AS$33,Y$14,$D$122)</f>
        <v>5037.8540321693981</v>
      </c>
      <c r="V208" s="26">
        <f>INDEX(Comparison!$AM$3:$AS$33,Z$14,$D$122)</f>
        <v>4531.1485912762591</v>
      </c>
      <c r="W208" s="26">
        <f>INDEX(Comparison!$AM$3:$AS$33,AA$14,$D$122)</f>
        <v>4100.3073895013431</v>
      </c>
      <c r="X208" s="26">
        <f>INDEX(Comparison!$AM$3:$AS$33,AB$14,$D$122)</f>
        <v>3736.9018653482362</v>
      </c>
      <c r="Y208" s="26">
        <f>INDEX(Comparison!$AM$3:$AS$33,AC$14,$D$122)</f>
        <v>3408.8002756648089</v>
      </c>
      <c r="Z208" s="26">
        <f>INDEX(Comparison!$AM$3:$AS$33,AD$14,$D$122)</f>
        <v>3078.2308446927527</v>
      </c>
      <c r="AA208" s="26">
        <f>INDEX(Comparison!$AM$3:$AS$33,AE$14,$D$122)</f>
        <v>2685.2498641877337</v>
      </c>
      <c r="AB208" s="26">
        <f>INDEX(Comparison!$AM$3:$AS$33,AF$14,$D$122)</f>
        <v>2228.0957655931211</v>
      </c>
      <c r="AC208" s="26">
        <f>INDEX(Comparison!$AM$3:$AS$33,AG$14,$D$122)</f>
        <v>1704.9584752004923</v>
      </c>
      <c r="AD208" s="26">
        <f>INDEX(Comparison!$AM$3:$AS$33,AH$14,$D$122)</f>
        <v>1135.4901421385146</v>
      </c>
      <c r="AE208" s="26">
        <f>INDEX(Comparison!$AM$3:$AS$33,AI$14,$D$122)</f>
        <v>680.51042901870051</v>
      </c>
      <c r="AF208" s="26">
        <f>INDEX(Comparison!$AM$3:$AS$33,AJ$14,$D$122)</f>
        <v>389.33964903055204</v>
      </c>
      <c r="AG208" s="26"/>
      <c r="AH208" s="26"/>
    </row>
    <row r="209" spans="1:34" x14ac:dyDescent="0.25">
      <c r="A209" s="70" t="s">
        <v>22</v>
      </c>
      <c r="B209" s="27">
        <f>($C$17+SUM(B210:B240))*$B$51</f>
        <v>6523.9565834224404</v>
      </c>
      <c r="C209" s="27">
        <f t="shared" ref="C209:AF209" si="170">($C$17+SUM(C210:C240))*$B$51</f>
        <v>6522.7535380889449</v>
      </c>
      <c r="D209" s="27">
        <f t="shared" si="170"/>
        <v>6512.3730697606734</v>
      </c>
      <c r="E209" s="27">
        <f t="shared" si="170"/>
        <v>6481.5497690648572</v>
      </c>
      <c r="F209" s="27">
        <f t="shared" si="170"/>
        <v>6479.4182356509655</v>
      </c>
      <c r="G209" s="27">
        <f t="shared" si="170"/>
        <v>6479.4182333469826</v>
      </c>
      <c r="H209" s="27">
        <f t="shared" si="170"/>
        <v>6479.418210307188</v>
      </c>
      <c r="I209" s="27">
        <f t="shared" si="170"/>
        <v>6479.4179799096664</v>
      </c>
      <c r="J209" s="27">
        <f t="shared" si="170"/>
        <v>6479.415675975928</v>
      </c>
      <c r="K209" s="27">
        <f t="shared" si="170"/>
        <v>6479.3926407855515</v>
      </c>
      <c r="L209" s="27">
        <f t="shared" si="170"/>
        <v>6479.1627028315143</v>
      </c>
      <c r="M209" s="27">
        <f t="shared" si="170"/>
        <v>6476.9039776459522</v>
      </c>
      <c r="N209" s="27">
        <f t="shared" si="170"/>
        <v>6457.7362581170373</v>
      </c>
      <c r="O209" s="27">
        <f t="shared" si="170"/>
        <v>6371.5258777766139</v>
      </c>
      <c r="P209" s="27">
        <f t="shared" si="170"/>
        <v>6208.9756272118393</v>
      </c>
      <c r="Q209" s="27">
        <f t="shared" si="170"/>
        <v>6055.4648214725066</v>
      </c>
      <c r="R209" s="27">
        <f t="shared" si="170"/>
        <v>5866.4959250166849</v>
      </c>
      <c r="S209" s="27">
        <f t="shared" si="170"/>
        <v>5656.4405644957869</v>
      </c>
      <c r="T209" s="27">
        <f t="shared" si="170"/>
        <v>5438.664156498694</v>
      </c>
      <c r="U209" s="27">
        <f t="shared" si="170"/>
        <v>5145.8002177546587</v>
      </c>
      <c r="V209" s="27">
        <f t="shared" si="170"/>
        <v>4874.2799712394044</v>
      </c>
      <c r="W209" s="27">
        <f t="shared" si="170"/>
        <v>4581.5126526182848</v>
      </c>
      <c r="X209" s="27">
        <f t="shared" si="170"/>
        <v>4276.8363266765937</v>
      </c>
      <c r="Y209" s="27">
        <f t="shared" si="170"/>
        <v>3909.7996202032391</v>
      </c>
      <c r="Z209" s="27">
        <f t="shared" si="170"/>
        <v>3348.264818163746</v>
      </c>
      <c r="AA209" s="27">
        <f t="shared" si="170"/>
        <v>2692.7566566261489</v>
      </c>
      <c r="AB209" s="27">
        <f t="shared" si="170"/>
        <v>2004.8226181472232</v>
      </c>
      <c r="AC209" s="27">
        <f t="shared" si="170"/>
        <v>1342.6113951982356</v>
      </c>
      <c r="AD209" s="27">
        <f t="shared" si="170"/>
        <v>804.50119805605652</v>
      </c>
      <c r="AE209" s="27">
        <f t="shared" si="170"/>
        <v>476.62969689604427</v>
      </c>
      <c r="AF209" s="27">
        <f t="shared" si="170"/>
        <v>241.73690644814039</v>
      </c>
      <c r="AG209" s="27"/>
      <c r="AH209" s="27"/>
    </row>
    <row r="210" spans="1:34" x14ac:dyDescent="0.25">
      <c r="B210" s="3">
        <f t="shared" ref="B210:AF210" si="171">$C18*EXP(-B$207/$A18/EXP(-$D$126))</f>
        <v>6.8267500623046184E-3</v>
      </c>
      <c r="C210" s="3">
        <f t="shared" si="171"/>
        <v>6.6423496464392065E-3</v>
      </c>
      <c r="D210" s="3">
        <f t="shared" si="171"/>
        <v>5.0512519352728233E-3</v>
      </c>
      <c r="E210" s="3">
        <f t="shared" si="171"/>
        <v>3.2671720225312643E-4</v>
      </c>
      <c r="F210" s="3">
        <f t="shared" si="171"/>
        <v>4.1869880150364087E-16</v>
      </c>
      <c r="G210" s="3">
        <f t="shared" si="171"/>
        <v>5.0026357299688869E-135</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4.1307711058254058E-3</v>
      </c>
      <c r="C214" s="3">
        <f t="shared" si="175"/>
        <v>4.1307711058041372E-3</v>
      </c>
      <c r="D214" s="3">
        <f t="shared" si="175"/>
        <v>4.1307711055914437E-3</v>
      </c>
      <c r="E214" s="3">
        <f t="shared" si="175"/>
        <v>4.1307711034645131E-3</v>
      </c>
      <c r="F214" s="3">
        <f t="shared" si="175"/>
        <v>4.1307710821952099E-3</v>
      </c>
      <c r="G214" s="3">
        <f t="shared" si="175"/>
        <v>4.1307708695021792E-3</v>
      </c>
      <c r="H214" s="3">
        <f t="shared" si="175"/>
        <v>4.1307687425724722E-3</v>
      </c>
      <c r="I214" s="3">
        <f t="shared" si="175"/>
        <v>4.130747473335636E-3</v>
      </c>
      <c r="J214" s="3">
        <f t="shared" si="175"/>
        <v>4.1305347869905014E-3</v>
      </c>
      <c r="K214" s="3">
        <f t="shared" si="175"/>
        <v>4.1284085257466841E-3</v>
      </c>
      <c r="L214" s="3">
        <f t="shared" si="175"/>
        <v>4.1072060194907211E-3</v>
      </c>
      <c r="M214" s="3">
        <f t="shared" si="175"/>
        <v>3.9010786252829423E-3</v>
      </c>
      <c r="N214" s="3">
        <f t="shared" si="175"/>
        <v>2.3311319685650096E-3</v>
      </c>
      <c r="O214" s="3">
        <f t="shared" si="175"/>
        <v>1.3532823805639983E-5</v>
      </c>
      <c r="P214" s="3">
        <f t="shared" si="175"/>
        <v>5.8830711338905369E-28</v>
      </c>
      <c r="Q214" s="3">
        <f t="shared" si="175"/>
        <v>1.4182762199850826E-251</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2.7999656176944991E-2</v>
      </c>
      <c r="C215" s="3">
        <f t="shared" si="176"/>
        <v>2.7999656176931988E-2</v>
      </c>
      <c r="D215" s="3">
        <f t="shared" si="176"/>
        <v>2.7999656176801935E-2</v>
      </c>
      <c r="E215" s="3">
        <f t="shared" si="176"/>
        <v>2.7999656175501403E-2</v>
      </c>
      <c r="F215" s="3">
        <f t="shared" si="176"/>
        <v>2.799965616249607E-2</v>
      </c>
      <c r="G215" s="3">
        <f t="shared" si="176"/>
        <v>2.7999656032442755E-2</v>
      </c>
      <c r="H215" s="3">
        <f t="shared" si="176"/>
        <v>2.7999654731909622E-2</v>
      </c>
      <c r="I215" s="3">
        <f t="shared" si="176"/>
        <v>2.7999641726581634E-2</v>
      </c>
      <c r="J215" s="3">
        <f t="shared" si="176"/>
        <v>2.7999511673634011E-2</v>
      </c>
      <c r="K215" s="3">
        <f t="shared" si="176"/>
        <v>2.7998211177381188E-2</v>
      </c>
      <c r="L215" s="3">
        <f t="shared" si="176"/>
        <v>2.7985209536625796E-2</v>
      </c>
      <c r="M215" s="3">
        <f t="shared" si="176"/>
        <v>2.7855524736189713E-2</v>
      </c>
      <c r="N215" s="3">
        <f t="shared" si="176"/>
        <v>2.6591274560543075E-2</v>
      </c>
      <c r="O215" s="3">
        <f t="shared" si="176"/>
        <v>1.6711570152215756E-2</v>
      </c>
      <c r="P215" s="3">
        <f t="shared" si="176"/>
        <v>1.6061950305040968E-4</v>
      </c>
      <c r="Q215" s="3">
        <f t="shared" si="176"/>
        <v>1.0804595012848136E-24</v>
      </c>
      <c r="R215" s="3">
        <f t="shared" si="176"/>
        <v>2.0497960094679225E-226</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2.1974033248038014E-2</v>
      </c>
      <c r="C216" s="3">
        <f t="shared" si="177"/>
        <v>2.1974033248037095E-2</v>
      </c>
      <c r="D216" s="3">
        <f t="shared" si="177"/>
        <v>2.197403324802789E-2</v>
      </c>
      <c r="E216" s="3">
        <f t="shared" si="177"/>
        <v>2.1974033247935815E-2</v>
      </c>
      <c r="F216" s="3">
        <f t="shared" si="177"/>
        <v>2.1974033247015103E-2</v>
      </c>
      <c r="G216" s="3">
        <f t="shared" si="177"/>
        <v>2.1974033237807954E-2</v>
      </c>
      <c r="H216" s="3">
        <f t="shared" si="177"/>
        <v>2.1974033145736479E-2</v>
      </c>
      <c r="I216" s="3">
        <f t="shared" si="177"/>
        <v>2.1974032225021749E-2</v>
      </c>
      <c r="J216" s="3">
        <f t="shared" si="177"/>
        <v>2.1974023017876571E-2</v>
      </c>
      <c r="K216" s="3">
        <f t="shared" si="177"/>
        <v>2.1973930946636962E-2</v>
      </c>
      <c r="L216" s="3">
        <f t="shared" si="177"/>
        <v>2.1973010255458468E-2</v>
      </c>
      <c r="M216" s="3">
        <f t="shared" si="177"/>
        <v>2.1963805465101575E-2</v>
      </c>
      <c r="N216" s="3">
        <f t="shared" si="177"/>
        <v>2.1871969375821206E-2</v>
      </c>
      <c r="O216" s="3">
        <f t="shared" si="177"/>
        <v>2.0974465183049566E-2</v>
      </c>
      <c r="P216" s="3">
        <f t="shared" si="177"/>
        <v>1.3794976414257509E-2</v>
      </c>
      <c r="Q216" s="3">
        <f t="shared" si="177"/>
        <v>2.0894001773413939E-4</v>
      </c>
      <c r="R216" s="3">
        <f t="shared" si="177"/>
        <v>1.3274808864350669E-22</v>
      </c>
      <c r="S216" s="3">
        <f t="shared" si="177"/>
        <v>1.4226391991478409E-204</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2.8257721635256982E-2</v>
      </c>
      <c r="C217" s="3">
        <f t="shared" si="178"/>
        <v>2.8257721635256878E-2</v>
      </c>
      <c r="D217" s="3">
        <f t="shared" si="178"/>
        <v>2.8257721635255809E-2</v>
      </c>
      <c r="E217" s="3">
        <f t="shared" si="178"/>
        <v>2.8257721635245127E-2</v>
      </c>
      <c r="F217" s="3">
        <f t="shared" si="178"/>
        <v>2.825772163513832E-2</v>
      </c>
      <c r="G217" s="3">
        <f t="shared" si="178"/>
        <v>2.8257721634070254E-2</v>
      </c>
      <c r="H217" s="3">
        <f t="shared" si="178"/>
        <v>2.8257721623389572E-2</v>
      </c>
      <c r="I217" s="3">
        <f t="shared" si="178"/>
        <v>2.8257721516582731E-2</v>
      </c>
      <c r="J217" s="3">
        <f t="shared" si="178"/>
        <v>2.8257720448514375E-2</v>
      </c>
      <c r="K217" s="3">
        <f t="shared" si="178"/>
        <v>2.8257709767833025E-2</v>
      </c>
      <c r="L217" s="3">
        <f t="shared" si="178"/>
        <v>2.8257602961241586E-2</v>
      </c>
      <c r="M217" s="3">
        <f t="shared" si="178"/>
        <v>2.8256534917530475E-2</v>
      </c>
      <c r="N217" s="3">
        <f t="shared" si="178"/>
        <v>2.8245856700435747E-2</v>
      </c>
      <c r="O217" s="3">
        <f t="shared" si="178"/>
        <v>2.8139296220971239E-2</v>
      </c>
      <c r="P217" s="3">
        <f t="shared" si="178"/>
        <v>2.7095553647818318E-2</v>
      </c>
      <c r="Q217" s="3">
        <f t="shared" si="178"/>
        <v>1.8567182705130202E-2</v>
      </c>
      <c r="R217" s="3">
        <f t="shared" si="178"/>
        <v>4.2386331107345716E-4</v>
      </c>
      <c r="S217" s="3">
        <f t="shared" si="178"/>
        <v>1.629385998823573E-20</v>
      </c>
      <c r="T217" s="3">
        <f t="shared" si="178"/>
        <v>1.1481682092513493E-184</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3.4428387596441817E-2</v>
      </c>
      <c r="C218" s="3">
        <f t="shared" si="179"/>
        <v>3.4428387596441803E-2</v>
      </c>
      <c r="D218" s="3">
        <f t="shared" si="179"/>
        <v>3.4428387596441686E-2</v>
      </c>
      <c r="E218" s="3">
        <f t="shared" si="179"/>
        <v>3.4428387596440513E-2</v>
      </c>
      <c r="F218" s="3">
        <f t="shared" si="179"/>
        <v>3.4428387596428772E-2</v>
      </c>
      <c r="G218" s="3">
        <f t="shared" si="179"/>
        <v>3.4428387596311387E-2</v>
      </c>
      <c r="H218" s="3">
        <f t="shared" si="179"/>
        <v>3.44283875951375E-2</v>
      </c>
      <c r="I218" s="3">
        <f t="shared" si="179"/>
        <v>3.4428387583398661E-2</v>
      </c>
      <c r="J218" s="3">
        <f t="shared" si="179"/>
        <v>3.4428387466010256E-2</v>
      </c>
      <c r="K218" s="3">
        <f t="shared" si="179"/>
        <v>3.4428386292126266E-2</v>
      </c>
      <c r="L218" s="3">
        <f t="shared" si="179"/>
        <v>3.4428374553288517E-2</v>
      </c>
      <c r="M218" s="3">
        <f t="shared" si="179"/>
        <v>3.4428257165131128E-2</v>
      </c>
      <c r="N218" s="3">
        <f t="shared" si="179"/>
        <v>3.4427083305570864E-2</v>
      </c>
      <c r="O218" s="3">
        <f t="shared" si="179"/>
        <v>3.4415346911046606E-2</v>
      </c>
      <c r="P218" s="3">
        <f t="shared" si="179"/>
        <v>3.4298202796216266E-2</v>
      </c>
      <c r="Q218" s="3">
        <f t="shared" si="179"/>
        <v>3.3148469869570325E-2</v>
      </c>
      <c r="R218" s="3">
        <f t="shared" si="179"/>
        <v>2.3571363724767137E-2</v>
      </c>
      <c r="S218" s="3">
        <f t="shared" si="179"/>
        <v>7.7910670439272341E-4</v>
      </c>
      <c r="T218" s="3">
        <f t="shared" si="179"/>
        <v>1.2126047441718003E-18</v>
      </c>
      <c r="U218" s="3">
        <f t="shared" si="179"/>
        <v>1.0114454792432378E-166</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2.9417341850199882E-2</v>
      </c>
      <c r="C219" s="3">
        <f t="shared" si="180"/>
        <v>2.9417341850199882E-2</v>
      </c>
      <c r="D219" s="3">
        <f t="shared" si="180"/>
        <v>2.9417341850199872E-2</v>
      </c>
      <c r="E219" s="3">
        <f t="shared" si="180"/>
        <v>2.9417341850199782E-2</v>
      </c>
      <c r="F219" s="3">
        <f t="shared" si="180"/>
        <v>2.9417341850198876E-2</v>
      </c>
      <c r="G219" s="3">
        <f t="shared" si="180"/>
        <v>2.9417341850189831E-2</v>
      </c>
      <c r="H219" s="3">
        <f t="shared" si="180"/>
        <v>2.9417341850099348E-2</v>
      </c>
      <c r="I219" s="3">
        <f t="shared" si="180"/>
        <v>2.9417341849194534E-2</v>
      </c>
      <c r="J219" s="3">
        <f t="shared" si="180"/>
        <v>2.9417341840146414E-2</v>
      </c>
      <c r="K219" s="3">
        <f t="shared" si="180"/>
        <v>2.9417341749665173E-2</v>
      </c>
      <c r="L219" s="3">
        <f t="shared" si="180"/>
        <v>2.941734084485283E-2</v>
      </c>
      <c r="M219" s="3">
        <f t="shared" si="180"/>
        <v>2.9417331796730919E-2</v>
      </c>
      <c r="N219" s="3">
        <f t="shared" si="180"/>
        <v>2.9417241315664852E-2</v>
      </c>
      <c r="O219" s="3">
        <f t="shared" si="180"/>
        <v>2.9416336520310532E-2</v>
      </c>
      <c r="P219" s="3">
        <f t="shared" si="180"/>
        <v>2.9407290097225255E-2</v>
      </c>
      <c r="Q219" s="3">
        <f t="shared" si="180"/>
        <v>2.9316978738137392E-2</v>
      </c>
      <c r="R219" s="3">
        <f t="shared" si="180"/>
        <v>2.8428979771905886E-2</v>
      </c>
      <c r="S219" s="3">
        <f t="shared" si="180"/>
        <v>2.0901713899085021E-2</v>
      </c>
      <c r="T219" s="3">
        <f t="shared" si="180"/>
        <v>9.6469081284942756E-4</v>
      </c>
      <c r="U219" s="3">
        <f t="shared" si="180"/>
        <v>4.2310735978709312E-17</v>
      </c>
      <c r="V219" s="3">
        <f t="shared" si="180"/>
        <v>1.114486858369608E-150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4.9022148144302696E-2</v>
      </c>
      <c r="C220" s="3">
        <f t="shared" si="181"/>
        <v>4.9022148144302696E-2</v>
      </c>
      <c r="D220" s="3">
        <f t="shared" si="181"/>
        <v>4.9022148144302696E-2</v>
      </c>
      <c r="E220" s="3">
        <f t="shared" si="181"/>
        <v>4.9022148144302682E-2</v>
      </c>
      <c r="F220" s="3">
        <f t="shared" si="181"/>
        <v>4.9022148144302544E-2</v>
      </c>
      <c r="G220" s="3">
        <f t="shared" si="181"/>
        <v>4.9022148144301184E-2</v>
      </c>
      <c r="H220" s="3">
        <f t="shared" si="181"/>
        <v>4.9022148144287583E-2</v>
      </c>
      <c r="I220" s="3">
        <f t="shared" si="181"/>
        <v>4.9022148144151567E-2</v>
      </c>
      <c r="J220" s="3">
        <f t="shared" si="181"/>
        <v>4.9022148142791391E-2</v>
      </c>
      <c r="K220" s="3">
        <f t="shared" si="181"/>
        <v>4.9022148129189667E-2</v>
      </c>
      <c r="L220" s="3">
        <f t="shared" si="181"/>
        <v>4.9022147993172407E-2</v>
      </c>
      <c r="M220" s="3">
        <f t="shared" si="181"/>
        <v>4.9022146632999815E-2</v>
      </c>
      <c r="N220" s="3">
        <f t="shared" si="181"/>
        <v>4.9022133031275963E-2</v>
      </c>
      <c r="O220" s="3">
        <f t="shared" si="181"/>
        <v>4.9021997014245061E-2</v>
      </c>
      <c r="P220" s="3">
        <f t="shared" si="181"/>
        <v>4.9020636864692456E-2</v>
      </c>
      <c r="Q220" s="3">
        <f t="shared" si="181"/>
        <v>4.9007037444600145E-2</v>
      </c>
      <c r="R220" s="3">
        <f t="shared" si="181"/>
        <v>4.8871250574141455E-2</v>
      </c>
      <c r="S220" s="3">
        <f t="shared" si="181"/>
        <v>4.7533903639937022E-2</v>
      </c>
      <c r="T220" s="3">
        <f t="shared" si="181"/>
        <v>3.6016687847013479E-2</v>
      </c>
      <c r="U220" s="3">
        <f t="shared" si="181"/>
        <v>2.2465013111206441E-3</v>
      </c>
      <c r="V220" s="3">
        <f t="shared" si="181"/>
        <v>2.0023303095961264E-15</v>
      </c>
      <c r="W220" s="3">
        <f t="shared" si="181"/>
        <v>6.3361605241683662E-136</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4.1805094553385949E-2</v>
      </c>
      <c r="C221" s="3">
        <f t="shared" si="182"/>
        <v>4.1805094553385949E-2</v>
      </c>
      <c r="D221" s="3">
        <f t="shared" si="182"/>
        <v>4.1805094553385949E-2</v>
      </c>
      <c r="E221" s="3">
        <f t="shared" si="182"/>
        <v>4.1805094553385949E-2</v>
      </c>
      <c r="F221" s="3">
        <f t="shared" si="182"/>
        <v>4.1805094553385935E-2</v>
      </c>
      <c r="G221" s="3">
        <f t="shared" si="182"/>
        <v>4.1805094553385831E-2</v>
      </c>
      <c r="H221" s="3">
        <f t="shared" si="182"/>
        <v>4.180509455338479E-2</v>
      </c>
      <c r="I221" s="3">
        <f t="shared" si="182"/>
        <v>4.180509455337432E-2</v>
      </c>
      <c r="J221" s="3">
        <f t="shared" si="182"/>
        <v>4.1805094553269688E-2</v>
      </c>
      <c r="K221" s="3">
        <f t="shared" si="182"/>
        <v>4.1805094552223337E-2</v>
      </c>
      <c r="L221" s="3">
        <f t="shared" si="182"/>
        <v>4.1805094541759825E-2</v>
      </c>
      <c r="M221" s="3">
        <f t="shared" si="182"/>
        <v>4.1805094437124699E-2</v>
      </c>
      <c r="N221" s="3">
        <f t="shared" si="182"/>
        <v>4.1805093390773485E-2</v>
      </c>
      <c r="O221" s="3">
        <f t="shared" si="182"/>
        <v>4.1805082927262767E-2</v>
      </c>
      <c r="P221" s="3">
        <f t="shared" si="182"/>
        <v>4.180497829229967E-2</v>
      </c>
      <c r="Q221" s="3">
        <f t="shared" si="182"/>
        <v>4.1803931957072708E-2</v>
      </c>
      <c r="R221" s="3">
        <f t="shared" si="182"/>
        <v>4.1793470045072612E-2</v>
      </c>
      <c r="S221" s="3">
        <f t="shared" si="182"/>
        <v>4.168899481873254E-2</v>
      </c>
      <c r="T221" s="3">
        <f t="shared" si="182"/>
        <v>4.0658499551377209E-2</v>
      </c>
      <c r="U221" s="3">
        <f t="shared" si="182"/>
        <v>3.16556025770309E-2</v>
      </c>
      <c r="V221" s="3">
        <f t="shared" si="182"/>
        <v>2.5908541096637452E-3</v>
      </c>
      <c r="W221" s="3">
        <f t="shared" si="182"/>
        <v>3.4943523634640912E-14</v>
      </c>
      <c r="X221" s="3">
        <f t="shared" si="182"/>
        <v>6.9599171841474562E-123</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4.6917367124464961E-2</v>
      </c>
      <c r="C222" s="3">
        <f t="shared" si="183"/>
        <v>4.6917367124464961E-2</v>
      </c>
      <c r="D222" s="3">
        <f t="shared" si="183"/>
        <v>4.6917367124464961E-2</v>
      </c>
      <c r="E222" s="3">
        <f t="shared" si="183"/>
        <v>4.6917367124464961E-2</v>
      </c>
      <c r="F222" s="3">
        <f t="shared" si="183"/>
        <v>4.6917367124464961E-2</v>
      </c>
      <c r="G222" s="3">
        <f t="shared" si="183"/>
        <v>4.6917367124464947E-2</v>
      </c>
      <c r="H222" s="3">
        <f t="shared" si="183"/>
        <v>4.6917367124464843E-2</v>
      </c>
      <c r="I222" s="3">
        <f t="shared" si="183"/>
        <v>4.6917367124463781E-2</v>
      </c>
      <c r="J222" s="3">
        <f t="shared" si="183"/>
        <v>4.6917367124453185E-2</v>
      </c>
      <c r="K222" s="3">
        <f t="shared" si="183"/>
        <v>4.6917367124347256E-2</v>
      </c>
      <c r="L222" s="3">
        <f t="shared" si="183"/>
        <v>4.6917367123287937E-2</v>
      </c>
      <c r="M222" s="3">
        <f t="shared" si="183"/>
        <v>4.6917367112694702E-2</v>
      </c>
      <c r="N222" s="3">
        <f t="shared" si="183"/>
        <v>4.6917367006762377E-2</v>
      </c>
      <c r="O222" s="3">
        <f t="shared" si="183"/>
        <v>4.6917365947439144E-2</v>
      </c>
      <c r="P222" s="3">
        <f t="shared" si="183"/>
        <v>4.6917355354208129E-2</v>
      </c>
      <c r="Q222" s="3">
        <f t="shared" si="183"/>
        <v>4.6917249422029517E-2</v>
      </c>
      <c r="R222" s="3">
        <f t="shared" si="183"/>
        <v>4.6916190113398148E-2</v>
      </c>
      <c r="S222" s="3">
        <f t="shared" si="183"/>
        <v>4.6905598342447813E-2</v>
      </c>
      <c r="T222" s="3">
        <f t="shared" si="183"/>
        <v>4.6799812059464346E-2</v>
      </c>
      <c r="U222" s="3">
        <f t="shared" si="183"/>
        <v>4.5754982747307493E-2</v>
      </c>
      <c r="V222" s="3">
        <f t="shared" si="183"/>
        <v>3.6507430323719933E-2</v>
      </c>
      <c r="W222" s="3">
        <f t="shared" si="183"/>
        <v>3.8177717129978936E-3</v>
      </c>
      <c r="X222" s="3">
        <f t="shared" si="183"/>
        <v>5.9716846258137318E-13</v>
      </c>
      <c r="Y222" s="3">
        <f t="shared" si="183"/>
        <v>5.2355937966895882E-111</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4.7066124559699593E-2</v>
      </c>
      <c r="C223" s="3">
        <f t="shared" si="184"/>
        <v>4.7066124559699593E-2</v>
      </c>
      <c r="D223" s="3">
        <f t="shared" si="184"/>
        <v>4.7066124559699593E-2</v>
      </c>
      <c r="E223" s="3">
        <f t="shared" si="184"/>
        <v>4.7066124559699593E-2</v>
      </c>
      <c r="F223" s="3">
        <f t="shared" si="184"/>
        <v>4.7066124559699593E-2</v>
      </c>
      <c r="G223" s="3">
        <f t="shared" si="184"/>
        <v>4.7066124559699593E-2</v>
      </c>
      <c r="H223" s="3">
        <f t="shared" si="184"/>
        <v>4.7066124559699579E-2</v>
      </c>
      <c r="I223" s="3">
        <f t="shared" si="184"/>
        <v>4.7066124559699489E-2</v>
      </c>
      <c r="J223" s="3">
        <f t="shared" si="184"/>
        <v>4.7066124559698524E-2</v>
      </c>
      <c r="K223" s="3">
        <f t="shared" si="184"/>
        <v>4.7066124559688942E-2</v>
      </c>
      <c r="L223" s="3">
        <f t="shared" si="184"/>
        <v>4.7066124559593081E-2</v>
      </c>
      <c r="M223" s="3">
        <f t="shared" si="184"/>
        <v>4.7066124558634452E-2</v>
      </c>
      <c r="N223" s="3">
        <f t="shared" si="184"/>
        <v>4.7066124549048176E-2</v>
      </c>
      <c r="O223" s="3">
        <f t="shared" si="184"/>
        <v>4.7066124453185421E-2</v>
      </c>
      <c r="P223" s="3">
        <f t="shared" si="184"/>
        <v>4.7066123494557889E-2</v>
      </c>
      <c r="Q223" s="3">
        <f t="shared" si="184"/>
        <v>4.7066113908283684E-2</v>
      </c>
      <c r="R223" s="3">
        <f t="shared" si="184"/>
        <v>4.7066018045649027E-2</v>
      </c>
      <c r="S223" s="3">
        <f t="shared" si="184"/>
        <v>4.7065059430041079E-2</v>
      </c>
      <c r="T223" s="3">
        <f t="shared" si="184"/>
        <v>4.7055474347747483E-2</v>
      </c>
      <c r="U223" s="3">
        <f t="shared" si="184"/>
        <v>4.6959730822522416E-2</v>
      </c>
      <c r="V223" s="3">
        <f t="shared" si="184"/>
        <v>4.6012944920025882E-2</v>
      </c>
      <c r="W223" s="3">
        <f t="shared" si="184"/>
        <v>3.7533955970466611E-2</v>
      </c>
      <c r="X223" s="3">
        <f t="shared" si="184"/>
        <v>4.8962935076401854E-3</v>
      </c>
      <c r="Y223" s="3">
        <f t="shared" si="184"/>
        <v>6.987124438359193E-12</v>
      </c>
      <c r="Z223" s="3">
        <f t="shared" si="184"/>
        <v>2.4468583086458557E-100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5.1874995498084546E-2</v>
      </c>
      <c r="C224" s="3">
        <f t="shared" si="185"/>
        <v>5.1874995498084546E-2</v>
      </c>
      <c r="D224" s="3">
        <f t="shared" si="185"/>
        <v>5.1874995498084546E-2</v>
      </c>
      <c r="E224" s="3">
        <f t="shared" si="185"/>
        <v>5.1874995498084546E-2</v>
      </c>
      <c r="F224" s="3">
        <f t="shared" si="185"/>
        <v>5.1874995498084546E-2</v>
      </c>
      <c r="G224" s="3">
        <f t="shared" si="185"/>
        <v>5.1874995498084546E-2</v>
      </c>
      <c r="H224" s="3">
        <f t="shared" si="185"/>
        <v>5.1874995498084546E-2</v>
      </c>
      <c r="I224" s="3">
        <f t="shared" si="185"/>
        <v>5.1874995498084532E-2</v>
      </c>
      <c r="J224" s="3">
        <f t="shared" si="185"/>
        <v>5.1874995498084442E-2</v>
      </c>
      <c r="K224" s="3">
        <f t="shared" si="185"/>
        <v>5.1874995498083484E-2</v>
      </c>
      <c r="L224" s="3">
        <f t="shared" si="185"/>
        <v>5.1874995498073957E-2</v>
      </c>
      <c r="M224" s="3">
        <f t="shared" si="185"/>
        <v>5.1874995497978645E-2</v>
      </c>
      <c r="N224" s="3">
        <f t="shared" si="185"/>
        <v>5.1874995497025532E-2</v>
      </c>
      <c r="O224" s="3">
        <f t="shared" si="185"/>
        <v>5.1874995487494364E-2</v>
      </c>
      <c r="P224" s="3">
        <f t="shared" si="185"/>
        <v>5.1874995392182675E-2</v>
      </c>
      <c r="Q224" s="3">
        <f t="shared" si="185"/>
        <v>5.1874994439065888E-2</v>
      </c>
      <c r="R224" s="3">
        <f t="shared" si="185"/>
        <v>5.1874984907898963E-2</v>
      </c>
      <c r="S224" s="3">
        <f t="shared" si="185"/>
        <v>5.187488959632601E-2</v>
      </c>
      <c r="T224" s="3">
        <f t="shared" si="185"/>
        <v>5.1873936490227923E-2</v>
      </c>
      <c r="U224" s="3">
        <f t="shared" si="185"/>
        <v>5.1864406392330836E-2</v>
      </c>
      <c r="V224" s="3">
        <f t="shared" si="185"/>
        <v>5.1769201656297129E-2</v>
      </c>
      <c r="W224" s="3">
        <f t="shared" si="185"/>
        <v>5.0826713482731975E-2</v>
      </c>
      <c r="X224" s="3">
        <f t="shared" si="185"/>
        <v>4.2295838364608297E-2</v>
      </c>
      <c r="Y224" s="3">
        <f t="shared" si="185"/>
        <v>6.7352501304443098E-3</v>
      </c>
      <c r="Z224" s="3">
        <f t="shared" si="185"/>
        <v>7.0617874454770612E-11</v>
      </c>
      <c r="AA224" s="3">
        <f t="shared" si="185"/>
        <v>1.1337668812958148E-90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9.3718423694335209E-2</v>
      </c>
      <c r="C225" s="3">
        <f t="shared" si="186"/>
        <v>9.3718423694335209E-2</v>
      </c>
      <c r="D225" s="3">
        <f t="shared" si="186"/>
        <v>9.3718423694335209E-2</v>
      </c>
      <c r="E225" s="3">
        <f t="shared" si="186"/>
        <v>9.3718423694335209E-2</v>
      </c>
      <c r="F225" s="3">
        <f t="shared" si="186"/>
        <v>9.3718423694335209E-2</v>
      </c>
      <c r="G225" s="3">
        <f t="shared" si="186"/>
        <v>9.3718423694335209E-2</v>
      </c>
      <c r="H225" s="3">
        <f t="shared" si="186"/>
        <v>9.3718423694335209E-2</v>
      </c>
      <c r="I225" s="3">
        <f t="shared" si="186"/>
        <v>9.3718423694335209E-2</v>
      </c>
      <c r="J225" s="3">
        <f t="shared" si="186"/>
        <v>9.3718423694335196E-2</v>
      </c>
      <c r="K225" s="3">
        <f t="shared" si="186"/>
        <v>9.3718423694335029E-2</v>
      </c>
      <c r="L225" s="3">
        <f t="shared" si="186"/>
        <v>9.3718423694333489E-2</v>
      </c>
      <c r="M225" s="3">
        <f t="shared" si="186"/>
        <v>9.3718423694317946E-2</v>
      </c>
      <c r="N225" s="3">
        <f t="shared" si="186"/>
        <v>9.3718423694162611E-2</v>
      </c>
      <c r="O225" s="3">
        <f t="shared" si="186"/>
        <v>9.3718423692609312E-2</v>
      </c>
      <c r="P225" s="3">
        <f t="shared" si="186"/>
        <v>9.3718423677076154E-2</v>
      </c>
      <c r="Q225" s="3">
        <f t="shared" si="186"/>
        <v>9.3718423521744615E-2</v>
      </c>
      <c r="R225" s="3">
        <f t="shared" si="186"/>
        <v>9.3718421968429347E-2</v>
      </c>
      <c r="S225" s="3">
        <f t="shared" si="186"/>
        <v>9.3718406435277957E-2</v>
      </c>
      <c r="T225" s="3">
        <f t="shared" si="186"/>
        <v>9.3718251103905748E-2</v>
      </c>
      <c r="U225" s="3">
        <f t="shared" si="186"/>
        <v>9.3716697804343232E-2</v>
      </c>
      <c r="V225" s="3">
        <f t="shared" si="186"/>
        <v>9.3701166224601201E-2</v>
      </c>
      <c r="W225" s="3">
        <f t="shared" si="186"/>
        <v>9.3545991928688066E-2</v>
      </c>
      <c r="X225" s="3">
        <f t="shared" si="186"/>
        <v>9.2008312728090361E-2</v>
      </c>
      <c r="Y225" s="3">
        <f t="shared" si="186"/>
        <v>7.7955343177746134E-2</v>
      </c>
      <c r="Z225" s="3">
        <f t="shared" si="186"/>
        <v>1.4860523181414998E-2</v>
      </c>
      <c r="AA225" s="3">
        <f t="shared" si="186"/>
        <v>9.4170790754415002E-10</v>
      </c>
      <c r="AB225" s="3">
        <f t="shared" si="186"/>
        <v>9.8341628143419702E-82</v>
      </c>
      <c r="AC225" s="3">
        <f t="shared" si="186"/>
        <v>0</v>
      </c>
      <c r="AD225" s="3">
        <f t="shared" si="186"/>
        <v>0</v>
      </c>
      <c r="AE225" s="3">
        <f t="shared" si="186"/>
        <v>0</v>
      </c>
      <c r="AF225" s="3">
        <f t="shared" si="186"/>
        <v>0</v>
      </c>
      <c r="AG225" s="3"/>
      <c r="AH225" s="3"/>
    </row>
    <row r="226" spans="2:34" x14ac:dyDescent="0.25">
      <c r="B226" s="3">
        <f t="shared" ref="B226:AF226" si="187">$C34*EXP(-B$207/$A34/EXP(-$D$126))</f>
        <v>0.10682333377392636</v>
      </c>
      <c r="C226" s="3">
        <f t="shared" si="187"/>
        <v>0.10682333377392636</v>
      </c>
      <c r="D226" s="3">
        <f t="shared" si="187"/>
        <v>0.10682333377392636</v>
      </c>
      <c r="E226" s="3">
        <f t="shared" si="187"/>
        <v>0.10682333377392636</v>
      </c>
      <c r="F226" s="3">
        <f t="shared" si="187"/>
        <v>0.10682333377392636</v>
      </c>
      <c r="G226" s="3">
        <f t="shared" si="187"/>
        <v>0.10682333377392636</v>
      </c>
      <c r="H226" s="3">
        <f t="shared" si="187"/>
        <v>0.10682333377392636</v>
      </c>
      <c r="I226" s="3">
        <f t="shared" si="187"/>
        <v>0.10682333377392636</v>
      </c>
      <c r="J226" s="3">
        <f t="shared" si="187"/>
        <v>0.10682333377392636</v>
      </c>
      <c r="K226" s="3">
        <f t="shared" si="187"/>
        <v>0.10682333377392635</v>
      </c>
      <c r="L226" s="3">
        <f t="shared" si="187"/>
        <v>0.10682333377392618</v>
      </c>
      <c r="M226" s="3">
        <f t="shared" si="187"/>
        <v>0.10682333377392458</v>
      </c>
      <c r="N226" s="3">
        <f t="shared" si="187"/>
        <v>0.10682333377390862</v>
      </c>
      <c r="O226" s="3">
        <f t="shared" si="187"/>
        <v>0.1068233337737489</v>
      </c>
      <c r="P226" s="3">
        <f t="shared" si="187"/>
        <v>0.10682333377215175</v>
      </c>
      <c r="Q226" s="3">
        <f t="shared" si="187"/>
        <v>0.10682333375618018</v>
      </c>
      <c r="R226" s="3">
        <f t="shared" si="187"/>
        <v>0.10682333359646458</v>
      </c>
      <c r="S226" s="3">
        <f t="shared" si="187"/>
        <v>0.10682333199930849</v>
      </c>
      <c r="T226" s="3">
        <f t="shared" si="187"/>
        <v>0.10682331602774905</v>
      </c>
      <c r="U226" s="3">
        <f t="shared" si="187"/>
        <v>0.10682315631228598</v>
      </c>
      <c r="V226" s="3">
        <f t="shared" si="187"/>
        <v>0.10682155917078902</v>
      </c>
      <c r="W226" s="3">
        <f t="shared" si="187"/>
        <v>0.10680558906912135</v>
      </c>
      <c r="X226" s="3">
        <f t="shared" si="187"/>
        <v>0.10664601931001731</v>
      </c>
      <c r="Y226" s="3">
        <f t="shared" si="187"/>
        <v>0.10506337515391274</v>
      </c>
      <c r="Z226" s="3">
        <f t="shared" si="187"/>
        <v>9.0472863645755922E-2</v>
      </c>
      <c r="AA226" s="3">
        <f t="shared" si="187"/>
        <v>2.0285616984844955E-2</v>
      </c>
      <c r="AB226" s="3">
        <f t="shared" si="187"/>
        <v>6.5145896610083072E-9</v>
      </c>
      <c r="AC226" s="3">
        <f t="shared" si="187"/>
        <v>7.6010836173167483E-74</v>
      </c>
      <c r="AD226" s="3">
        <f t="shared" si="187"/>
        <v>0</v>
      </c>
      <c r="AE226" s="3">
        <f t="shared" si="187"/>
        <v>0</v>
      </c>
      <c r="AF226" s="3">
        <f t="shared" si="187"/>
        <v>0</v>
      </c>
      <c r="AG226" s="3"/>
      <c r="AH226" s="3"/>
    </row>
    <row r="227" spans="2:34" x14ac:dyDescent="0.25">
      <c r="B227" s="3">
        <f t="shared" ref="B227:AF227" si="188">$C35*EXP(-B$207/$A35/EXP(-$D$126))</f>
        <v>0.11271893275103405</v>
      </c>
      <c r="C227" s="3">
        <f t="shared" si="188"/>
        <v>0.11271893275103405</v>
      </c>
      <c r="D227" s="3">
        <f t="shared" si="188"/>
        <v>0.11271893275103405</v>
      </c>
      <c r="E227" s="3">
        <f t="shared" si="188"/>
        <v>0.11271893275103405</v>
      </c>
      <c r="F227" s="3">
        <f t="shared" si="188"/>
        <v>0.11271893275103405</v>
      </c>
      <c r="G227" s="3">
        <f t="shared" si="188"/>
        <v>0.11271893275103405</v>
      </c>
      <c r="H227" s="3">
        <f t="shared" si="188"/>
        <v>0.11271893275103405</v>
      </c>
      <c r="I227" s="3">
        <f t="shared" si="188"/>
        <v>0.11271893275103405</v>
      </c>
      <c r="J227" s="3">
        <f t="shared" si="188"/>
        <v>0.11271893275103405</v>
      </c>
      <c r="K227" s="3">
        <f t="shared" si="188"/>
        <v>0.11271893275103405</v>
      </c>
      <c r="L227" s="3">
        <f t="shared" si="188"/>
        <v>0.11271893275103403</v>
      </c>
      <c r="M227" s="3">
        <f t="shared" si="188"/>
        <v>0.11271893275103388</v>
      </c>
      <c r="N227" s="3">
        <f t="shared" si="188"/>
        <v>0.11271893275103236</v>
      </c>
      <c r="O227" s="3">
        <f t="shared" si="188"/>
        <v>0.11271893275101716</v>
      </c>
      <c r="P227" s="3">
        <f t="shared" si="188"/>
        <v>0.11271893275086513</v>
      </c>
      <c r="Q227" s="3">
        <f t="shared" si="188"/>
        <v>0.11271893274934484</v>
      </c>
      <c r="R227" s="3">
        <f t="shared" si="188"/>
        <v>0.112718932734142</v>
      </c>
      <c r="S227" s="3">
        <f t="shared" si="188"/>
        <v>0.11271893258211362</v>
      </c>
      <c r="T227" s="3">
        <f t="shared" si="188"/>
        <v>0.11271893106182973</v>
      </c>
      <c r="U227" s="3">
        <f t="shared" si="188"/>
        <v>0.1127189158589921</v>
      </c>
      <c r="V227" s="3">
        <f t="shared" si="188"/>
        <v>0.1127187638307284</v>
      </c>
      <c r="W227" s="3">
        <f t="shared" si="188"/>
        <v>0.11271724355936905</v>
      </c>
      <c r="X227" s="3">
        <f t="shared" si="188"/>
        <v>0.11270204197346906</v>
      </c>
      <c r="Y227" s="3">
        <f t="shared" si="188"/>
        <v>0.11255013882757692</v>
      </c>
      <c r="Z227" s="3">
        <f t="shared" si="188"/>
        <v>0.11104232263418237</v>
      </c>
      <c r="AA227" s="3">
        <f t="shared" si="188"/>
        <v>9.7031681803886993E-2</v>
      </c>
      <c r="AB227" s="3">
        <f t="shared" si="188"/>
        <v>2.5186265408726677E-2</v>
      </c>
      <c r="AC227" s="3">
        <f t="shared" si="188"/>
        <v>3.4967609427789394E-8</v>
      </c>
      <c r="AD227" s="3">
        <f t="shared" si="188"/>
        <v>9.3043837321630347E-67</v>
      </c>
      <c r="AE227" s="3">
        <f t="shared" si="188"/>
        <v>0</v>
      </c>
      <c r="AF227" s="3">
        <f t="shared" si="188"/>
        <v>0</v>
      </c>
      <c r="AG227" s="3"/>
      <c r="AH227" s="3"/>
    </row>
    <row r="228" spans="2:34" x14ac:dyDescent="0.25">
      <c r="B228" s="3">
        <f t="shared" ref="B228:AF228" si="189">$C36*EXP(-B$207/$A36/EXP(-$D$126))</f>
        <v>0.10920012102995319</v>
      </c>
      <c r="C228" s="3">
        <f t="shared" si="189"/>
        <v>0.10920012102995319</v>
      </c>
      <c r="D228" s="3">
        <f t="shared" si="189"/>
        <v>0.10920012102995319</v>
      </c>
      <c r="E228" s="3">
        <f t="shared" si="189"/>
        <v>0.10920012102995319</v>
      </c>
      <c r="F228" s="3">
        <f t="shared" si="189"/>
        <v>0.10920012102995319</v>
      </c>
      <c r="G228" s="3">
        <f t="shared" si="189"/>
        <v>0.10920012102995319</v>
      </c>
      <c r="H228" s="3">
        <f t="shared" si="189"/>
        <v>0.10920012102995319</v>
      </c>
      <c r="I228" s="3">
        <f t="shared" si="189"/>
        <v>0.10920012102995319</v>
      </c>
      <c r="J228" s="3">
        <f t="shared" si="189"/>
        <v>0.10920012102995319</v>
      </c>
      <c r="K228" s="3">
        <f t="shared" si="189"/>
        <v>0.10920012102995319</v>
      </c>
      <c r="L228" s="3">
        <f t="shared" si="189"/>
        <v>0.10920012102995319</v>
      </c>
      <c r="M228" s="3">
        <f t="shared" si="189"/>
        <v>0.10920012102995318</v>
      </c>
      <c r="N228" s="3">
        <f t="shared" si="189"/>
        <v>0.10920012102995305</v>
      </c>
      <c r="O228" s="3">
        <f t="shared" si="189"/>
        <v>0.1092001210299517</v>
      </c>
      <c r="P228" s="3">
        <f t="shared" si="189"/>
        <v>0.10920012102993842</v>
      </c>
      <c r="Q228" s="3">
        <f t="shared" si="189"/>
        <v>0.10920012102980557</v>
      </c>
      <c r="R228" s="3">
        <f t="shared" si="189"/>
        <v>0.10920012102847695</v>
      </c>
      <c r="S228" s="3">
        <f t="shared" si="189"/>
        <v>0.10920012101519086</v>
      </c>
      <c r="T228" s="3">
        <f t="shared" si="189"/>
        <v>0.10920012088232985</v>
      </c>
      <c r="U228" s="3">
        <f t="shared" si="189"/>
        <v>0.1092001195537198</v>
      </c>
      <c r="V228" s="3">
        <f t="shared" si="189"/>
        <v>0.10920010626762021</v>
      </c>
      <c r="W228" s="3">
        <f t="shared" si="189"/>
        <v>0.10919997340671317</v>
      </c>
      <c r="X228" s="3">
        <f t="shared" si="189"/>
        <v>0.10919864480653343</v>
      </c>
      <c r="Y228" s="3">
        <f t="shared" si="189"/>
        <v>0.10918535969375896</v>
      </c>
      <c r="Z228" s="3">
        <f t="shared" si="189"/>
        <v>0.10905259742829018</v>
      </c>
      <c r="AA228" s="3">
        <f t="shared" si="189"/>
        <v>0.10773382112796431</v>
      </c>
      <c r="AB228" s="3">
        <f t="shared" si="189"/>
        <v>9.5392133107158175E-2</v>
      </c>
      <c r="AC228" s="3">
        <f t="shared" si="189"/>
        <v>2.8256445302242458E-2</v>
      </c>
      <c r="AD228" s="3">
        <f t="shared" si="189"/>
        <v>1.4694918574141915E-7</v>
      </c>
      <c r="AE228" s="3">
        <f t="shared" si="189"/>
        <v>2.1264920435596595E-60</v>
      </c>
      <c r="AF228" s="3">
        <f t="shared" si="189"/>
        <v>0</v>
      </c>
      <c r="AG228" s="3"/>
      <c r="AH228" s="3"/>
    </row>
    <row r="229" spans="2:34" x14ac:dyDescent="0.25">
      <c r="B229" s="3">
        <f t="shared" ref="B229:AF229" si="190">$C37*EXP(-B$207/$A37/EXP(-$D$126))</f>
        <v>8.559943957224532E-2</v>
      </c>
      <c r="C229" s="3">
        <f t="shared" si="190"/>
        <v>8.559943957224532E-2</v>
      </c>
      <c r="D229" s="3">
        <f t="shared" si="190"/>
        <v>8.559943957224532E-2</v>
      </c>
      <c r="E229" s="3">
        <f t="shared" si="190"/>
        <v>8.559943957224532E-2</v>
      </c>
      <c r="F229" s="3">
        <f t="shared" si="190"/>
        <v>8.559943957224532E-2</v>
      </c>
      <c r="G229" s="3">
        <f t="shared" si="190"/>
        <v>8.559943957224532E-2</v>
      </c>
      <c r="H229" s="3">
        <f t="shared" si="190"/>
        <v>8.559943957224532E-2</v>
      </c>
      <c r="I229" s="3">
        <f t="shared" si="190"/>
        <v>8.559943957224532E-2</v>
      </c>
      <c r="J229" s="3">
        <f t="shared" si="190"/>
        <v>8.559943957224532E-2</v>
      </c>
      <c r="K229" s="3">
        <f t="shared" si="190"/>
        <v>8.559943957224532E-2</v>
      </c>
      <c r="L229" s="3">
        <f t="shared" si="190"/>
        <v>8.559943957224532E-2</v>
      </c>
      <c r="M229" s="3">
        <f t="shared" si="190"/>
        <v>8.559943957224532E-2</v>
      </c>
      <c r="N229" s="3">
        <f t="shared" si="190"/>
        <v>8.5599439572245306E-2</v>
      </c>
      <c r="O229" s="3">
        <f t="shared" si="190"/>
        <v>8.5599439572245209E-2</v>
      </c>
      <c r="P229" s="3">
        <f t="shared" si="190"/>
        <v>8.5599439572244279E-2</v>
      </c>
      <c r="Q229" s="3">
        <f t="shared" si="190"/>
        <v>8.5599439572234884E-2</v>
      </c>
      <c r="R229" s="3">
        <f t="shared" si="190"/>
        <v>8.5599439572140931E-2</v>
      </c>
      <c r="S229" s="3">
        <f t="shared" si="190"/>
        <v>8.5599439571201447E-2</v>
      </c>
      <c r="T229" s="3">
        <f t="shared" si="190"/>
        <v>8.5599439561806545E-2</v>
      </c>
      <c r="U229" s="3">
        <f t="shared" si="190"/>
        <v>8.5599439467857599E-2</v>
      </c>
      <c r="V229" s="3">
        <f t="shared" si="190"/>
        <v>8.5599438528368113E-2</v>
      </c>
      <c r="W229" s="3">
        <f t="shared" si="190"/>
        <v>8.5599429133473792E-2</v>
      </c>
      <c r="X229" s="3">
        <f t="shared" si="190"/>
        <v>8.5599335184587275E-2</v>
      </c>
      <c r="Y229" s="3">
        <f t="shared" si="190"/>
        <v>8.559839570139334E-2</v>
      </c>
      <c r="Z229" s="3">
        <f t="shared" si="190"/>
        <v>8.5589001436549295E-2</v>
      </c>
      <c r="AA229" s="3">
        <f t="shared" si="190"/>
        <v>8.5495115474613873E-2</v>
      </c>
      <c r="AB229" s="3">
        <f t="shared" si="190"/>
        <v>8.4561901553354676E-2</v>
      </c>
      <c r="AC229" s="3">
        <f t="shared" si="190"/>
        <v>7.5772063147835175E-2</v>
      </c>
      <c r="AD229" s="3">
        <f t="shared" si="190"/>
        <v>2.5284410547650127E-2</v>
      </c>
      <c r="AE229" s="3">
        <f t="shared" si="190"/>
        <v>4.3280278076739415E-7</v>
      </c>
      <c r="AF229" s="3">
        <f t="shared" si="190"/>
        <v>9.3467824131490347E-55</v>
      </c>
      <c r="AG229" s="3"/>
      <c r="AH229" s="3"/>
    </row>
    <row r="230" spans="2:34" x14ac:dyDescent="0.25">
      <c r="B230" s="3">
        <f t="shared" ref="B230:AF230" si="191">$C38*EXP(-B$207/$A38/EXP(-$D$126))</f>
        <v>3.0324649856523618E-2</v>
      </c>
      <c r="C230" s="3">
        <f t="shared" si="191"/>
        <v>3.0324649856523618E-2</v>
      </c>
      <c r="D230" s="3">
        <f t="shared" si="191"/>
        <v>3.0324649856523618E-2</v>
      </c>
      <c r="E230" s="3">
        <f t="shared" si="191"/>
        <v>3.0324649856523618E-2</v>
      </c>
      <c r="F230" s="3">
        <f t="shared" si="191"/>
        <v>3.0324649856523618E-2</v>
      </c>
      <c r="G230" s="3">
        <f t="shared" si="191"/>
        <v>3.0324649856523618E-2</v>
      </c>
      <c r="H230" s="3">
        <f t="shared" si="191"/>
        <v>3.0324649856523618E-2</v>
      </c>
      <c r="I230" s="3">
        <f t="shared" si="191"/>
        <v>3.0324649856523618E-2</v>
      </c>
      <c r="J230" s="3">
        <f t="shared" si="191"/>
        <v>3.0324649856523618E-2</v>
      </c>
      <c r="K230" s="3">
        <f t="shared" si="191"/>
        <v>3.0324649856523618E-2</v>
      </c>
      <c r="L230" s="3">
        <f t="shared" si="191"/>
        <v>3.0324649856523618E-2</v>
      </c>
      <c r="M230" s="3">
        <f t="shared" si="191"/>
        <v>3.0324649856523618E-2</v>
      </c>
      <c r="N230" s="3">
        <f t="shared" si="191"/>
        <v>3.0324649856523618E-2</v>
      </c>
      <c r="O230" s="3">
        <f t="shared" si="191"/>
        <v>3.0324649856523615E-2</v>
      </c>
      <c r="P230" s="3">
        <f t="shared" si="191"/>
        <v>3.0324649856523583E-2</v>
      </c>
      <c r="Q230" s="3">
        <f t="shared" si="191"/>
        <v>3.0324649856523285E-2</v>
      </c>
      <c r="R230" s="3">
        <f t="shared" si="191"/>
        <v>3.032464985652028E-2</v>
      </c>
      <c r="S230" s="3">
        <f t="shared" si="191"/>
        <v>3.0324649856490256E-2</v>
      </c>
      <c r="T230" s="3">
        <f t="shared" si="191"/>
        <v>3.032464985619002E-2</v>
      </c>
      <c r="U230" s="3">
        <f t="shared" si="191"/>
        <v>3.0324649853187658E-2</v>
      </c>
      <c r="V230" s="3">
        <f t="shared" si="191"/>
        <v>3.0324649823164015E-2</v>
      </c>
      <c r="W230" s="3">
        <f t="shared" si="191"/>
        <v>3.0324649522927582E-2</v>
      </c>
      <c r="X230" s="3">
        <f t="shared" si="191"/>
        <v>3.0324646520563426E-2</v>
      </c>
      <c r="Y230" s="3">
        <f t="shared" si="191"/>
        <v>3.0324616496938198E-2</v>
      </c>
      <c r="Z230" s="3">
        <f t="shared" si="191"/>
        <v>3.0324316262320843E-2</v>
      </c>
      <c r="AA230" s="3">
        <f t="shared" si="191"/>
        <v>3.0321314079631543E-2</v>
      </c>
      <c r="AB230" s="3">
        <f t="shared" si="191"/>
        <v>3.0291308595179454E-2</v>
      </c>
      <c r="AC230" s="3">
        <f t="shared" si="191"/>
        <v>2.9992882023886416E-2</v>
      </c>
      <c r="AD230" s="3">
        <f t="shared" si="191"/>
        <v>2.7165633516780988E-2</v>
      </c>
      <c r="AE230" s="3">
        <f t="shared" si="191"/>
        <v>1.0093370602876869E-2</v>
      </c>
      <c r="AF230" s="3">
        <f t="shared" si="191"/>
        <v>5.0605770597805243E-7</v>
      </c>
      <c r="AG230" s="3"/>
      <c r="AH230" s="3"/>
    </row>
    <row r="231" spans="2:34" x14ac:dyDescent="0.25">
      <c r="B231" s="3">
        <f t="shared" ref="B231:AF231" si="192">$C39*EXP(-B$207/$A39/EXP(-$D$126))</f>
        <v>3.2131427411944066E-2</v>
      </c>
      <c r="C231" s="3">
        <f t="shared" si="192"/>
        <v>3.2131427411944066E-2</v>
      </c>
      <c r="D231" s="3">
        <f t="shared" si="192"/>
        <v>3.2131427411944066E-2</v>
      </c>
      <c r="E231" s="3">
        <f t="shared" si="192"/>
        <v>3.2131427411944066E-2</v>
      </c>
      <c r="F231" s="3">
        <f t="shared" si="192"/>
        <v>3.2131427411944066E-2</v>
      </c>
      <c r="G231" s="3">
        <f t="shared" si="192"/>
        <v>3.2131427411944066E-2</v>
      </c>
      <c r="H231" s="3">
        <f t="shared" si="192"/>
        <v>3.2131427411944066E-2</v>
      </c>
      <c r="I231" s="3">
        <f t="shared" si="192"/>
        <v>3.2131427411944066E-2</v>
      </c>
      <c r="J231" s="3">
        <f t="shared" si="192"/>
        <v>3.2131427411944066E-2</v>
      </c>
      <c r="K231" s="3">
        <f t="shared" si="192"/>
        <v>3.2131427411944066E-2</v>
      </c>
      <c r="L231" s="3">
        <f t="shared" si="192"/>
        <v>3.2131427411944066E-2</v>
      </c>
      <c r="M231" s="3">
        <f t="shared" si="192"/>
        <v>3.2131427411944066E-2</v>
      </c>
      <c r="N231" s="3">
        <f t="shared" si="192"/>
        <v>3.2131427411944066E-2</v>
      </c>
      <c r="O231" s="3">
        <f t="shared" si="192"/>
        <v>3.2131427411944066E-2</v>
      </c>
      <c r="P231" s="3">
        <f t="shared" si="192"/>
        <v>3.2131427411944052E-2</v>
      </c>
      <c r="Q231" s="3">
        <f t="shared" si="192"/>
        <v>3.2131427411943969E-2</v>
      </c>
      <c r="R231" s="3">
        <f t="shared" si="192"/>
        <v>3.2131427411943088E-2</v>
      </c>
      <c r="S231" s="3">
        <f t="shared" si="192"/>
        <v>3.2131427411934289E-2</v>
      </c>
      <c r="T231" s="3">
        <f t="shared" si="192"/>
        <v>3.2131427411846304E-2</v>
      </c>
      <c r="U231" s="3">
        <f t="shared" si="192"/>
        <v>3.2131427410966452E-2</v>
      </c>
      <c r="V231" s="3">
        <f t="shared" si="192"/>
        <v>3.2131427402167914E-2</v>
      </c>
      <c r="W231" s="3">
        <f t="shared" si="192"/>
        <v>3.2131427314182545E-2</v>
      </c>
      <c r="X231" s="3">
        <f t="shared" si="192"/>
        <v>3.2131426434328828E-2</v>
      </c>
      <c r="Y231" s="3">
        <f t="shared" si="192"/>
        <v>3.2131417635793011E-2</v>
      </c>
      <c r="Z231" s="3">
        <f t="shared" si="192"/>
        <v>3.2131329650567343E-2</v>
      </c>
      <c r="AA231" s="3">
        <f t="shared" si="192"/>
        <v>3.2130449811561698E-2</v>
      </c>
      <c r="AB231" s="3">
        <f t="shared" si="192"/>
        <v>3.2121652746471281E-2</v>
      </c>
      <c r="AC231" s="3">
        <f t="shared" si="192"/>
        <v>3.2033814458025334E-2</v>
      </c>
      <c r="AD231" s="3">
        <f t="shared" si="192"/>
        <v>3.1168534690360725E-2</v>
      </c>
      <c r="AE231" s="3">
        <f t="shared" si="192"/>
        <v>2.3702474207858412E-2</v>
      </c>
      <c r="AF231" s="3">
        <f t="shared" si="192"/>
        <v>1.5330864821039903E-3</v>
      </c>
      <c r="AG231" s="3"/>
      <c r="AH231" s="3"/>
    </row>
    <row r="232" spans="2:34" x14ac:dyDescent="0.25">
      <c r="B232" s="3">
        <f t="shared" ref="B232:AF232" si="193">$C40*EXP(-B$207/$A40/EXP(-$D$126))</f>
        <v>1.594333716386688E-2</v>
      </c>
      <c r="C232" s="3">
        <f t="shared" si="193"/>
        <v>1.594333716386688E-2</v>
      </c>
      <c r="D232" s="3">
        <f t="shared" si="193"/>
        <v>1.594333716386688E-2</v>
      </c>
      <c r="E232" s="3">
        <f t="shared" si="193"/>
        <v>1.594333716386688E-2</v>
      </c>
      <c r="F232" s="3">
        <f t="shared" si="193"/>
        <v>1.594333716386688E-2</v>
      </c>
      <c r="G232" s="3">
        <f t="shared" si="193"/>
        <v>1.594333716386688E-2</v>
      </c>
      <c r="H232" s="3">
        <f t="shared" si="193"/>
        <v>1.594333716386688E-2</v>
      </c>
      <c r="I232" s="3">
        <f t="shared" si="193"/>
        <v>1.594333716386688E-2</v>
      </c>
      <c r="J232" s="3">
        <f t="shared" si="193"/>
        <v>1.594333716386688E-2</v>
      </c>
      <c r="K232" s="3">
        <f t="shared" si="193"/>
        <v>1.594333716386688E-2</v>
      </c>
      <c r="L232" s="3">
        <f t="shared" si="193"/>
        <v>1.594333716386688E-2</v>
      </c>
      <c r="M232" s="3">
        <f t="shared" si="193"/>
        <v>1.594333716386688E-2</v>
      </c>
      <c r="N232" s="3">
        <f t="shared" si="193"/>
        <v>1.594333716386688E-2</v>
      </c>
      <c r="O232" s="3">
        <f t="shared" si="193"/>
        <v>1.594333716386688E-2</v>
      </c>
      <c r="P232" s="3">
        <f t="shared" si="193"/>
        <v>1.594333716386688E-2</v>
      </c>
      <c r="Q232" s="3">
        <f t="shared" si="193"/>
        <v>1.5943337163866873E-2</v>
      </c>
      <c r="R232" s="3">
        <f t="shared" si="193"/>
        <v>1.5943337163866832E-2</v>
      </c>
      <c r="S232" s="3">
        <f t="shared" si="193"/>
        <v>1.5943337163866395E-2</v>
      </c>
      <c r="T232" s="3">
        <f t="shared" si="193"/>
        <v>1.594333716386203E-2</v>
      </c>
      <c r="U232" s="3">
        <f t="shared" si="193"/>
        <v>1.594333716381837E-2</v>
      </c>
      <c r="V232" s="3">
        <f t="shared" si="193"/>
        <v>1.5943337163381796E-2</v>
      </c>
      <c r="W232" s="3">
        <f t="shared" si="193"/>
        <v>1.5943337159016038E-2</v>
      </c>
      <c r="X232" s="3">
        <f t="shared" si="193"/>
        <v>1.5943337115358454E-2</v>
      </c>
      <c r="Y232" s="3">
        <f t="shared" si="193"/>
        <v>1.594333667878263E-2</v>
      </c>
      <c r="Z232" s="3">
        <f t="shared" si="193"/>
        <v>1.5943332313025041E-2</v>
      </c>
      <c r="AA232" s="3">
        <f t="shared" si="193"/>
        <v>1.5943288655514896E-2</v>
      </c>
      <c r="AB232" s="3">
        <f t="shared" si="193"/>
        <v>1.5942852086988479E-2</v>
      </c>
      <c r="AC232" s="3">
        <f t="shared" si="193"/>
        <v>1.5938487059161021E-2</v>
      </c>
      <c r="AD232" s="3">
        <f t="shared" si="193"/>
        <v>1.5894902457996678E-2</v>
      </c>
      <c r="AE232" s="3">
        <f t="shared" si="193"/>
        <v>1.546555809989881E-2</v>
      </c>
      <c r="AF232" s="3">
        <f t="shared" si="193"/>
        <v>1.1760963279622973E-2</v>
      </c>
      <c r="AG232" s="3"/>
      <c r="AH232" s="3"/>
    </row>
    <row r="233" spans="2:34" x14ac:dyDescent="0.25">
      <c r="B233" s="3">
        <f t="shared" ref="B233:AF233" si="194">$C41*EXP(-B$207/$A41/EXP(-$D$126))</f>
        <v>9.9907856671704312E-4</v>
      </c>
      <c r="C233" s="3">
        <f t="shared" si="194"/>
        <v>9.9907856671704312E-4</v>
      </c>
      <c r="D233" s="3">
        <f t="shared" si="194"/>
        <v>9.9907856671704312E-4</v>
      </c>
      <c r="E233" s="3">
        <f t="shared" si="194"/>
        <v>9.9907856671704312E-4</v>
      </c>
      <c r="F233" s="3">
        <f t="shared" si="194"/>
        <v>9.9907856671704312E-4</v>
      </c>
      <c r="G233" s="3">
        <f t="shared" si="194"/>
        <v>9.9907856671704312E-4</v>
      </c>
      <c r="H233" s="3">
        <f t="shared" si="194"/>
        <v>9.9907856671704312E-4</v>
      </c>
      <c r="I233" s="3">
        <f t="shared" si="194"/>
        <v>9.9907856671704312E-4</v>
      </c>
      <c r="J233" s="3">
        <f t="shared" si="194"/>
        <v>9.9907856671704312E-4</v>
      </c>
      <c r="K233" s="3">
        <f t="shared" si="194"/>
        <v>9.9907856671704312E-4</v>
      </c>
      <c r="L233" s="3">
        <f t="shared" si="194"/>
        <v>9.9907856671704312E-4</v>
      </c>
      <c r="M233" s="3">
        <f t="shared" si="194"/>
        <v>9.9907856671704312E-4</v>
      </c>
      <c r="N233" s="3">
        <f t="shared" si="194"/>
        <v>9.9907856671704312E-4</v>
      </c>
      <c r="O233" s="3">
        <f t="shared" si="194"/>
        <v>9.9907856671704312E-4</v>
      </c>
      <c r="P233" s="3">
        <f t="shared" si="194"/>
        <v>9.9907856671704312E-4</v>
      </c>
      <c r="Q233" s="3">
        <f t="shared" si="194"/>
        <v>9.9907856671704312E-4</v>
      </c>
      <c r="R233" s="3">
        <f t="shared" si="194"/>
        <v>9.9907856671704268E-4</v>
      </c>
      <c r="S233" s="3">
        <f t="shared" si="194"/>
        <v>9.9907856671704008E-4</v>
      </c>
      <c r="T233" s="3">
        <f t="shared" si="194"/>
        <v>9.9907856671701276E-4</v>
      </c>
      <c r="U233" s="3">
        <f t="shared" si="194"/>
        <v>9.9907856671673911E-4</v>
      </c>
      <c r="V233" s="3">
        <f t="shared" si="194"/>
        <v>9.9907856671400345E-4</v>
      </c>
      <c r="W233" s="3">
        <f t="shared" si="194"/>
        <v>9.9907856668664556E-4</v>
      </c>
      <c r="X233" s="3">
        <f t="shared" si="194"/>
        <v>9.9907856641306839E-4</v>
      </c>
      <c r="Y233" s="3">
        <f t="shared" si="194"/>
        <v>9.9907856367729498E-4</v>
      </c>
      <c r="Z233" s="3">
        <f t="shared" si="194"/>
        <v>9.9907853631956279E-4</v>
      </c>
      <c r="AA233" s="3">
        <f t="shared" si="194"/>
        <v>9.9907826274228152E-4</v>
      </c>
      <c r="AB233" s="3">
        <f t="shared" si="194"/>
        <v>9.9907552697358942E-4</v>
      </c>
      <c r="AC233" s="3">
        <f t="shared" si="194"/>
        <v>9.9904816969868739E-4</v>
      </c>
      <c r="AD233" s="3">
        <f t="shared" si="194"/>
        <v>9.9877463814750014E-4</v>
      </c>
      <c r="AE233" s="3">
        <f t="shared" si="194"/>
        <v>9.9604343824783955E-4</v>
      </c>
      <c r="AF233" s="3">
        <f t="shared" si="194"/>
        <v>9.691388610249095E-4</v>
      </c>
      <c r="AG233" s="3"/>
      <c r="AH233" s="3"/>
    </row>
    <row r="234" spans="2:34" x14ac:dyDescent="0.25">
      <c r="B234" s="3">
        <f t="shared" ref="B234:AF234" si="195">$C42*EXP(-B$207/$A42/EXP(-$D$126))</f>
        <v>3.5389734266527166E-3</v>
      </c>
      <c r="C234" s="3">
        <f t="shared" si="195"/>
        <v>3.5389734266527166E-3</v>
      </c>
      <c r="D234" s="3">
        <f t="shared" si="195"/>
        <v>3.5389734266527166E-3</v>
      </c>
      <c r="E234" s="3">
        <f t="shared" si="195"/>
        <v>3.5389734266527166E-3</v>
      </c>
      <c r="F234" s="3">
        <f t="shared" si="195"/>
        <v>3.5389734266527166E-3</v>
      </c>
      <c r="G234" s="3">
        <f t="shared" si="195"/>
        <v>3.5389734266527166E-3</v>
      </c>
      <c r="H234" s="3">
        <f t="shared" si="195"/>
        <v>3.5389734266527166E-3</v>
      </c>
      <c r="I234" s="3">
        <f t="shared" si="195"/>
        <v>3.5389734266527166E-3</v>
      </c>
      <c r="J234" s="3">
        <f t="shared" si="195"/>
        <v>3.5389734266527166E-3</v>
      </c>
      <c r="K234" s="3">
        <f t="shared" si="195"/>
        <v>3.5389734266527166E-3</v>
      </c>
      <c r="L234" s="3">
        <f t="shared" si="195"/>
        <v>3.5389734266527166E-3</v>
      </c>
      <c r="M234" s="3">
        <f t="shared" si="195"/>
        <v>3.5389734266527166E-3</v>
      </c>
      <c r="N234" s="3">
        <f t="shared" si="195"/>
        <v>3.5389734266527166E-3</v>
      </c>
      <c r="O234" s="3">
        <f t="shared" si="195"/>
        <v>3.5389734266527166E-3</v>
      </c>
      <c r="P234" s="3">
        <f t="shared" si="195"/>
        <v>3.5389734266527166E-3</v>
      </c>
      <c r="Q234" s="3">
        <f t="shared" si="195"/>
        <v>3.5389734266527166E-3</v>
      </c>
      <c r="R234" s="3">
        <f t="shared" si="195"/>
        <v>3.5389734266527166E-3</v>
      </c>
      <c r="S234" s="3">
        <f t="shared" si="195"/>
        <v>3.5389734266527153E-3</v>
      </c>
      <c r="T234" s="3">
        <f t="shared" si="195"/>
        <v>3.5389734266527062E-3</v>
      </c>
      <c r="U234" s="3">
        <f t="shared" si="195"/>
        <v>3.538973426652609E-3</v>
      </c>
      <c r="V234" s="3">
        <f t="shared" si="195"/>
        <v>3.5389734266516402E-3</v>
      </c>
      <c r="W234" s="3">
        <f t="shared" si="195"/>
        <v>3.5389734266419491E-3</v>
      </c>
      <c r="X234" s="3">
        <f t="shared" si="195"/>
        <v>3.5389734265450414E-3</v>
      </c>
      <c r="Y234" s="3">
        <f t="shared" si="195"/>
        <v>3.5389734255759655E-3</v>
      </c>
      <c r="Z234" s="3">
        <f t="shared" si="195"/>
        <v>3.5389734158852073E-3</v>
      </c>
      <c r="AA234" s="3">
        <f t="shared" si="195"/>
        <v>3.5389733189776259E-3</v>
      </c>
      <c r="AB234" s="3">
        <f t="shared" si="195"/>
        <v>3.538972349901959E-3</v>
      </c>
      <c r="AC234" s="3">
        <f t="shared" si="195"/>
        <v>3.5389626591598835E-3</v>
      </c>
      <c r="AD234" s="3">
        <f t="shared" si="195"/>
        <v>3.538865753198602E-3</v>
      </c>
      <c r="AE234" s="3">
        <f t="shared" si="195"/>
        <v>3.5378968395182856E-3</v>
      </c>
      <c r="AF234" s="3">
        <f t="shared" si="195"/>
        <v>3.528222281190469E-3</v>
      </c>
      <c r="AG234" s="3"/>
      <c r="AH234" s="3"/>
    </row>
    <row r="235" spans="2:34" x14ac:dyDescent="0.25">
      <c r="B235" s="3">
        <f t="shared" ref="B235:AF235" si="196">$C43*EXP(-B$207/$A43/EXP(-$D$126))</f>
        <v>1.6157045586307682E-4</v>
      </c>
      <c r="C235" s="3">
        <f t="shared" si="196"/>
        <v>1.6157045586307682E-4</v>
      </c>
      <c r="D235" s="3">
        <f t="shared" si="196"/>
        <v>1.6157045586307682E-4</v>
      </c>
      <c r="E235" s="3">
        <f t="shared" si="196"/>
        <v>1.6157045586307682E-4</v>
      </c>
      <c r="F235" s="3">
        <f t="shared" si="196"/>
        <v>1.6157045586307682E-4</v>
      </c>
      <c r="G235" s="3">
        <f t="shared" si="196"/>
        <v>1.6157045586307682E-4</v>
      </c>
      <c r="H235" s="3">
        <f t="shared" si="196"/>
        <v>1.6157045586307682E-4</v>
      </c>
      <c r="I235" s="3">
        <f t="shared" si="196"/>
        <v>1.6157045586307682E-4</v>
      </c>
      <c r="J235" s="3">
        <f t="shared" si="196"/>
        <v>1.6157045586307682E-4</v>
      </c>
      <c r="K235" s="3">
        <f t="shared" si="196"/>
        <v>1.6157045586307682E-4</v>
      </c>
      <c r="L235" s="3">
        <f t="shared" si="196"/>
        <v>1.6157045586307682E-4</v>
      </c>
      <c r="M235" s="3">
        <f t="shared" si="196"/>
        <v>1.6157045586307682E-4</v>
      </c>
      <c r="N235" s="3">
        <f t="shared" si="196"/>
        <v>1.6157045586307682E-4</v>
      </c>
      <c r="O235" s="3">
        <f t="shared" si="196"/>
        <v>1.6157045586307682E-4</v>
      </c>
      <c r="P235" s="3">
        <f t="shared" si="196"/>
        <v>1.6157045586307682E-4</v>
      </c>
      <c r="Q235" s="3">
        <f t="shared" si="196"/>
        <v>1.6157045586307682E-4</v>
      </c>
      <c r="R235" s="3">
        <f t="shared" si="196"/>
        <v>1.6157045586307682E-4</v>
      </c>
      <c r="S235" s="3">
        <f t="shared" si="196"/>
        <v>1.6157045586307682E-4</v>
      </c>
      <c r="T235" s="3">
        <f t="shared" si="196"/>
        <v>1.6157045586307677E-4</v>
      </c>
      <c r="U235" s="3">
        <f t="shared" si="196"/>
        <v>1.6157045586307633E-4</v>
      </c>
      <c r="V235" s="3">
        <f t="shared" si="196"/>
        <v>1.6157045586307191E-4</v>
      </c>
      <c r="W235" s="3">
        <f t="shared" si="196"/>
        <v>1.6157045586302768E-4</v>
      </c>
      <c r="X235" s="3">
        <f t="shared" si="196"/>
        <v>1.6157045586258524E-4</v>
      </c>
      <c r="Y235" s="3">
        <f t="shared" si="196"/>
        <v>1.6157045585816094E-4</v>
      </c>
      <c r="Z235" s="3">
        <f t="shared" si="196"/>
        <v>1.6157045581391817E-4</v>
      </c>
      <c r="AA235" s="3">
        <f t="shared" si="196"/>
        <v>1.6157045537149039E-4</v>
      </c>
      <c r="AB235" s="3">
        <f t="shared" si="196"/>
        <v>1.6157045094721242E-4</v>
      </c>
      <c r="AC235" s="3">
        <f t="shared" si="196"/>
        <v>1.6157040670443962E-4</v>
      </c>
      <c r="AD235" s="3">
        <f t="shared" si="196"/>
        <v>1.6156996427737786E-4</v>
      </c>
      <c r="AE235" s="3">
        <f t="shared" si="196"/>
        <v>1.6156554007339198E-4</v>
      </c>
      <c r="AF235" s="3">
        <f t="shared" si="196"/>
        <v>1.6152130469602471E-4</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1.333349737784439E-4</v>
      </c>
      <c r="C237" s="3">
        <f t="shared" si="198"/>
        <v>1.333349737784439E-4</v>
      </c>
      <c r="D237" s="3">
        <f t="shared" si="198"/>
        <v>1.333349737784439E-4</v>
      </c>
      <c r="E237" s="3">
        <f t="shared" si="198"/>
        <v>1.333349737784439E-4</v>
      </c>
      <c r="F237" s="3">
        <f t="shared" si="198"/>
        <v>1.333349737784439E-4</v>
      </c>
      <c r="G237" s="3">
        <f t="shared" si="198"/>
        <v>1.333349737784439E-4</v>
      </c>
      <c r="H237" s="3">
        <f t="shared" si="198"/>
        <v>1.333349737784439E-4</v>
      </c>
      <c r="I237" s="3">
        <f t="shared" si="198"/>
        <v>1.333349737784439E-4</v>
      </c>
      <c r="J237" s="3">
        <f t="shared" si="198"/>
        <v>1.333349737784439E-4</v>
      </c>
      <c r="K237" s="3">
        <f t="shared" si="198"/>
        <v>1.333349737784439E-4</v>
      </c>
      <c r="L237" s="3">
        <f t="shared" si="198"/>
        <v>1.333349737784439E-4</v>
      </c>
      <c r="M237" s="3">
        <f t="shared" si="198"/>
        <v>1.333349737784439E-4</v>
      </c>
      <c r="N237" s="3">
        <f t="shared" si="198"/>
        <v>1.333349737784439E-4</v>
      </c>
      <c r="O237" s="3">
        <f t="shared" si="198"/>
        <v>1.333349737784439E-4</v>
      </c>
      <c r="P237" s="3">
        <f t="shared" si="198"/>
        <v>1.333349737784439E-4</v>
      </c>
      <c r="Q237" s="3">
        <f t="shared" si="198"/>
        <v>1.333349737784439E-4</v>
      </c>
      <c r="R237" s="3">
        <f t="shared" si="198"/>
        <v>1.333349737784439E-4</v>
      </c>
      <c r="S237" s="3">
        <f t="shared" si="198"/>
        <v>1.333349737784439E-4</v>
      </c>
      <c r="T237" s="3">
        <f t="shared" si="198"/>
        <v>1.333349737784439E-4</v>
      </c>
      <c r="U237" s="3">
        <f t="shared" si="198"/>
        <v>1.333349737784439E-4</v>
      </c>
      <c r="V237" s="3">
        <f t="shared" si="198"/>
        <v>1.3333497377844385E-4</v>
      </c>
      <c r="W237" s="3">
        <f t="shared" si="198"/>
        <v>1.3333497377844349E-4</v>
      </c>
      <c r="X237" s="3">
        <f t="shared" si="198"/>
        <v>1.3333497377843984E-4</v>
      </c>
      <c r="Y237" s="3">
        <f t="shared" si="198"/>
        <v>1.3333497377840335E-4</v>
      </c>
      <c r="Z237" s="3">
        <f t="shared" si="198"/>
        <v>1.3333497377803822E-4</v>
      </c>
      <c r="AA237" s="3">
        <f t="shared" si="198"/>
        <v>1.3333497377438712E-4</v>
      </c>
      <c r="AB237" s="3">
        <f t="shared" si="198"/>
        <v>1.3333497373787604E-4</v>
      </c>
      <c r="AC237" s="3">
        <f t="shared" si="198"/>
        <v>1.3333497337276537E-4</v>
      </c>
      <c r="AD237" s="3">
        <f t="shared" si="198"/>
        <v>1.3333496972165858E-4</v>
      </c>
      <c r="AE237" s="3">
        <f t="shared" si="198"/>
        <v>1.3333493321059648E-4</v>
      </c>
      <c r="AF237" s="3">
        <f t="shared" si="198"/>
        <v>1.3333456810052507E-4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2.9933424394364084E-4</v>
      </c>
      <c r="C240" s="3">
        <f t="shared" si="201"/>
        <v>2.9933424394364084E-4</v>
      </c>
      <c r="D240" s="3">
        <f t="shared" si="201"/>
        <v>2.9933424394364084E-4</v>
      </c>
      <c r="E240" s="3">
        <f t="shared" si="201"/>
        <v>2.9933424394364084E-4</v>
      </c>
      <c r="F240" s="3">
        <f t="shared" si="201"/>
        <v>2.9933424394364084E-4</v>
      </c>
      <c r="G240" s="3">
        <f t="shared" si="201"/>
        <v>2.9933424394364084E-4</v>
      </c>
      <c r="H240" s="3">
        <f t="shared" si="201"/>
        <v>2.9933424394364084E-4</v>
      </c>
      <c r="I240" s="3">
        <f t="shared" si="201"/>
        <v>2.9933424394364084E-4</v>
      </c>
      <c r="J240" s="3">
        <f t="shared" si="201"/>
        <v>2.9933424394364084E-4</v>
      </c>
      <c r="K240" s="3">
        <f t="shared" si="201"/>
        <v>2.9933424394364084E-4</v>
      </c>
      <c r="L240" s="3">
        <f t="shared" si="201"/>
        <v>2.9933424394364084E-4</v>
      </c>
      <c r="M240" s="3">
        <f t="shared" si="201"/>
        <v>2.9933424394364084E-4</v>
      </c>
      <c r="N240" s="3">
        <f t="shared" si="201"/>
        <v>2.9933424394364084E-4</v>
      </c>
      <c r="O240" s="3">
        <f t="shared" si="201"/>
        <v>2.9933424394364084E-4</v>
      </c>
      <c r="P240" s="3">
        <f t="shared" si="201"/>
        <v>2.9933424394364084E-4</v>
      </c>
      <c r="Q240" s="3">
        <f t="shared" si="201"/>
        <v>2.9933424394364084E-4</v>
      </c>
      <c r="R240" s="3">
        <f t="shared" si="201"/>
        <v>2.9933424394364084E-4</v>
      </c>
      <c r="S240" s="3">
        <f t="shared" si="201"/>
        <v>2.9933424394364084E-4</v>
      </c>
      <c r="T240" s="3">
        <f t="shared" si="201"/>
        <v>2.9933424394364084E-4</v>
      </c>
      <c r="U240" s="3">
        <f t="shared" si="201"/>
        <v>2.9933424394364084E-4</v>
      </c>
      <c r="V240" s="3">
        <f t="shared" si="201"/>
        <v>2.9933424394364084E-4</v>
      </c>
      <c r="W240" s="3">
        <f t="shared" si="201"/>
        <v>2.9933424394364084E-4</v>
      </c>
      <c r="X240" s="3">
        <f t="shared" si="201"/>
        <v>2.9933424394364084E-4</v>
      </c>
      <c r="Y240" s="3">
        <f t="shared" si="201"/>
        <v>2.9933424394364074E-4</v>
      </c>
      <c r="Z240" s="3">
        <f t="shared" si="201"/>
        <v>2.9933424394363992E-4</v>
      </c>
      <c r="AA240" s="3">
        <f t="shared" si="201"/>
        <v>2.9933424394363174E-4</v>
      </c>
      <c r="AB240" s="3">
        <f t="shared" si="201"/>
        <v>2.9933424394354977E-4</v>
      </c>
      <c r="AC240" s="3">
        <f t="shared" si="201"/>
        <v>2.9933424394273012E-4</v>
      </c>
      <c r="AD240" s="3">
        <f t="shared" si="201"/>
        <v>2.9933424393453344E-4</v>
      </c>
      <c r="AE240" s="3">
        <f t="shared" si="201"/>
        <v>2.9933424385256683E-4</v>
      </c>
      <c r="AF240" s="3">
        <f t="shared" si="201"/>
        <v>2.9933424303290099E-4</v>
      </c>
      <c r="AG240" s="3"/>
      <c r="AH240" s="3"/>
    </row>
    <row r="241" spans="1:34" x14ac:dyDescent="0.25">
      <c r="A241" s="79">
        <f>AVERAGE(B241:AF241)</f>
        <v>6.8016714744482537E-2</v>
      </c>
      <c r="B241" s="80">
        <f>IF($A$64&lt;=B207,IF($B$64&gt;=B207,ABS((B209-B208)/B208),0),0)</f>
        <v>2.0513081301076248E-5</v>
      </c>
      <c r="C241" s="80">
        <f t="shared" ref="C241:AF241" si="202">IF($A$64&lt;=C207,IF($B$64&gt;=C207,ABS((C209-C208)/C208),0),0)</f>
        <v>2.1318067474628975E-4</v>
      </c>
      <c r="D241" s="80">
        <f t="shared" si="202"/>
        <v>1.7991823177083966E-3</v>
      </c>
      <c r="E241" s="80">
        <f t="shared" si="202"/>
        <v>6.5221996949487507E-3</v>
      </c>
      <c r="F241" s="80">
        <f t="shared" si="202"/>
        <v>6.8484425606347718E-3</v>
      </c>
      <c r="G241" s="80">
        <f t="shared" si="202"/>
        <v>6.8482837052220389E-3</v>
      </c>
      <c r="H241" s="80">
        <f t="shared" si="202"/>
        <v>6.8482354013681265E-3</v>
      </c>
      <c r="I241" s="80">
        <f t="shared" si="202"/>
        <v>6.848263311172496E-3</v>
      </c>
      <c r="J241" s="80">
        <f t="shared" si="202"/>
        <v>6.8485646180274171E-3</v>
      </c>
      <c r="K241" s="80">
        <f t="shared" si="202"/>
        <v>6.8517251533638515E-3</v>
      </c>
      <c r="L241" s="80">
        <f t="shared" si="202"/>
        <v>6.8832338804907384E-3</v>
      </c>
      <c r="M241" s="80">
        <f t="shared" si="202"/>
        <v>7.1921410703649977E-3</v>
      </c>
      <c r="N241" s="80">
        <f t="shared" si="202"/>
        <v>9.761149970131406E-3</v>
      </c>
      <c r="O241" s="80">
        <f t="shared" si="202"/>
        <v>1.9595807874272193E-2</v>
      </c>
      <c r="P241" s="80">
        <f t="shared" si="202"/>
        <v>2.6304354860683502E-2</v>
      </c>
      <c r="Q241" s="80">
        <f t="shared" si="202"/>
        <v>2.8072054890070083E-2</v>
      </c>
      <c r="R241" s="80">
        <f t="shared" si="202"/>
        <v>3.2939155382317391E-2</v>
      </c>
      <c r="S241" s="80">
        <f t="shared" si="202"/>
        <v>3.3219308416452153E-2</v>
      </c>
      <c r="T241" s="80">
        <f t="shared" si="202"/>
        <v>1.5472860255146431E-2</v>
      </c>
      <c r="U241" s="80">
        <f t="shared" si="202"/>
        <v>2.1427017316493546E-2</v>
      </c>
      <c r="V241" s="80">
        <f t="shared" si="202"/>
        <v>7.5727240687663622E-2</v>
      </c>
      <c r="W241" s="80">
        <f t="shared" si="202"/>
        <v>0.11735833863310997</v>
      </c>
      <c r="X241" s="80">
        <f t="shared" si="202"/>
        <v>0.14448719307699609</v>
      </c>
      <c r="Y241" s="80">
        <f t="shared" si="202"/>
        <v>0.14697233748630864</v>
      </c>
      <c r="Z241" s="80">
        <f t="shared" si="202"/>
        <v>8.7723756630067207E-2</v>
      </c>
      <c r="AA241" s="80">
        <f t="shared" si="202"/>
        <v>2.7955657082533642E-3</v>
      </c>
      <c r="AB241" s="80">
        <f t="shared" si="202"/>
        <v>0.10020805698468815</v>
      </c>
      <c r="AC241" s="80">
        <f t="shared" si="202"/>
        <v>0.21252545752449892</v>
      </c>
      <c r="AD241" s="80">
        <f t="shared" si="202"/>
        <v>0.2914943351767838</v>
      </c>
      <c r="AE241" s="80">
        <f t="shared" si="202"/>
        <v>0.29959971725437523</v>
      </c>
      <c r="AF241" s="80">
        <f t="shared" si="202"/>
        <v>0.3791104834812985</v>
      </c>
    </row>
    <row r="242" spans="1:34" x14ac:dyDescent="0.25">
      <c r="B242" s="21">
        <f>(B209-B208)^2</f>
        <v>1.7910253982950219E-2</v>
      </c>
      <c r="C242" s="21">
        <f t="shared" ref="C242:AF242" si="203">(C209-C208)^2</f>
        <v>1.9343844357347677</v>
      </c>
      <c r="D242" s="21">
        <f t="shared" si="203"/>
        <v>137.78217917347087</v>
      </c>
      <c r="E242" s="21">
        <f t="shared" si="203"/>
        <v>1810.6294075851483</v>
      </c>
      <c r="F242" s="21">
        <f t="shared" si="203"/>
        <v>1996.2944845133754</v>
      </c>
      <c r="G242" s="21">
        <f t="shared" si="203"/>
        <v>1996.2012341044842</v>
      </c>
      <c r="H242" s="21">
        <f t="shared" si="203"/>
        <v>1996.1728657217243</v>
      </c>
      <c r="I242" s="21">
        <f t="shared" si="203"/>
        <v>1996.1891066879371</v>
      </c>
      <c r="J242" s="21">
        <f t="shared" si="203"/>
        <v>1996.3645570482556</v>
      </c>
      <c r="K242" s="21">
        <f t="shared" si="203"/>
        <v>1998.2060917910399</v>
      </c>
      <c r="L242" s="21">
        <f t="shared" si="203"/>
        <v>2016.6113026531382</v>
      </c>
      <c r="M242" s="21">
        <f t="shared" si="203"/>
        <v>2201.5111988005156</v>
      </c>
      <c r="N242" s="21">
        <f t="shared" si="203"/>
        <v>4052.1233435101917</v>
      </c>
      <c r="O242" s="21">
        <f t="shared" si="203"/>
        <v>16218.210355189027</v>
      </c>
      <c r="P242" s="21">
        <f t="shared" si="203"/>
        <v>28135.119521772638</v>
      </c>
      <c r="Q242" s="21">
        <f t="shared" si="203"/>
        <v>30589.701654963996</v>
      </c>
      <c r="R242" s="21">
        <f t="shared" si="203"/>
        <v>39927.752567749747</v>
      </c>
      <c r="S242" s="21">
        <f t="shared" si="203"/>
        <v>37775.628036503957</v>
      </c>
      <c r="T242" s="21">
        <f t="shared" si="203"/>
        <v>7305.8424807562624</v>
      </c>
      <c r="U242" s="21">
        <f t="shared" si="203"/>
        <v>11652.37898240751</v>
      </c>
      <c r="V242" s="21">
        <f t="shared" si="203"/>
        <v>117739.14391541237</v>
      </c>
      <c r="W242" s="21">
        <f t="shared" si="203"/>
        <v>231558.50525144514</v>
      </c>
      <c r="X242" s="21">
        <f t="shared" si="203"/>
        <v>291529.22252994351</v>
      </c>
      <c r="Y242" s="21">
        <f t="shared" si="203"/>
        <v>251000.34322793674</v>
      </c>
      <c r="Z242" s="21">
        <f t="shared" si="203"/>
        <v>72918.346828533089</v>
      </c>
      <c r="AA242" s="21">
        <f t="shared" si="203"/>
        <v>56.351932713448107</v>
      </c>
      <c r="AB242" s="21">
        <f t="shared" si="203"/>
        <v>49850.898370397641</v>
      </c>
      <c r="AC242" s="21">
        <f t="shared" si="203"/>
        <v>131295.40638616181</v>
      </c>
      <c r="AD242" s="21">
        <f t="shared" si="203"/>
        <v>109553.68110482053</v>
      </c>
      <c r="AE242" s="21">
        <f t="shared" si="203"/>
        <v>41567.352930870315</v>
      </c>
      <c r="AF242" s="21">
        <f t="shared" si="203"/>
        <v>21786.569617849676</v>
      </c>
      <c r="AG242" s="3"/>
      <c r="AH242" s="3"/>
    </row>
    <row r="243" spans="1:34" x14ac:dyDescent="0.25">
      <c r="A243" s="71">
        <f>SUM(B243:AF243)</f>
        <v>1512660.4937617064</v>
      </c>
      <c r="B243" s="60">
        <f>IF($A$64&lt;=B207,IF($B$64&gt;=B207,ABS(B242),0),0)</f>
        <v>1.7910253982950219E-2</v>
      </c>
      <c r="C243" s="60">
        <f t="shared" ref="C243" si="204">IF($A$64&lt;=C207,IF($B$64&gt;=C207,ABS(C242),0),0)</f>
        <v>1.9343844357347677</v>
      </c>
      <c r="D243" s="60">
        <f t="shared" ref="D243" si="205">IF($A$64&lt;=D207,IF($B$64&gt;=D207,ABS(D242),0),0)</f>
        <v>137.78217917347087</v>
      </c>
      <c r="E243" s="60">
        <f t="shared" ref="E243" si="206">IF($A$64&lt;=E207,IF($B$64&gt;=E207,ABS(E242),0),0)</f>
        <v>1810.6294075851483</v>
      </c>
      <c r="F243" s="60">
        <f t="shared" ref="F243" si="207">IF($A$64&lt;=F207,IF($B$64&gt;=F207,ABS(F242),0),0)</f>
        <v>1996.2944845133754</v>
      </c>
      <c r="G243" s="60">
        <f t="shared" ref="G243" si="208">IF($A$64&lt;=G207,IF($B$64&gt;=G207,ABS(G242),0),0)</f>
        <v>1996.2012341044842</v>
      </c>
      <c r="H243" s="60">
        <f t="shared" ref="H243" si="209">IF($A$64&lt;=H207,IF($B$64&gt;=H207,ABS(H242),0),0)</f>
        <v>1996.1728657217243</v>
      </c>
      <c r="I243" s="60">
        <f t="shared" ref="I243" si="210">IF($A$64&lt;=I207,IF($B$64&gt;=I207,ABS(I242),0),0)</f>
        <v>1996.1891066879371</v>
      </c>
      <c r="J243" s="60">
        <f t="shared" ref="J243" si="211">IF($A$64&lt;=J207,IF($B$64&gt;=J207,ABS(J242),0),0)</f>
        <v>1996.3645570482556</v>
      </c>
      <c r="K243" s="60">
        <f t="shared" ref="K243" si="212">IF($A$64&lt;=K207,IF($B$64&gt;=K207,ABS(K242),0),0)</f>
        <v>1998.2060917910399</v>
      </c>
      <c r="L243" s="60">
        <f t="shared" ref="L243" si="213">IF($A$64&lt;=L207,IF($B$64&gt;=L207,ABS(L242),0),0)</f>
        <v>2016.6113026531382</v>
      </c>
      <c r="M243" s="60">
        <f t="shared" ref="M243" si="214">IF($A$64&lt;=M207,IF($B$64&gt;=M207,ABS(M242),0),0)</f>
        <v>2201.5111988005156</v>
      </c>
      <c r="N243" s="60">
        <f t="shared" ref="N243" si="215">IF($A$64&lt;=N207,IF($B$64&gt;=N207,ABS(N242),0),0)</f>
        <v>4052.1233435101917</v>
      </c>
      <c r="O243" s="60">
        <f t="shared" ref="O243" si="216">IF($A$64&lt;=O207,IF($B$64&gt;=O207,ABS(O242),0),0)</f>
        <v>16218.210355189027</v>
      </c>
      <c r="P243" s="60">
        <f t="shared" ref="P243" si="217">IF($A$64&lt;=P207,IF($B$64&gt;=P207,ABS(P242),0),0)</f>
        <v>28135.119521772638</v>
      </c>
      <c r="Q243" s="60">
        <f t="shared" ref="Q243" si="218">IF($A$64&lt;=Q207,IF($B$64&gt;=Q207,ABS(Q242),0),0)</f>
        <v>30589.701654963996</v>
      </c>
      <c r="R243" s="60">
        <f t="shared" ref="R243" si="219">IF($A$64&lt;=R207,IF($B$64&gt;=R207,ABS(R242),0),0)</f>
        <v>39927.752567749747</v>
      </c>
      <c r="S243" s="60">
        <f t="shared" ref="S243" si="220">IF($A$64&lt;=S207,IF($B$64&gt;=S207,ABS(S242),0),0)</f>
        <v>37775.628036503957</v>
      </c>
      <c r="T243" s="60">
        <f t="shared" ref="T243" si="221">IF($A$64&lt;=T207,IF($B$64&gt;=T207,ABS(T242),0),0)</f>
        <v>7305.8424807562624</v>
      </c>
      <c r="U243" s="60">
        <f t="shared" ref="U243" si="222">IF($A$64&lt;=U207,IF($B$64&gt;=U207,ABS(U242),0),0)</f>
        <v>11652.37898240751</v>
      </c>
      <c r="V243" s="60">
        <f t="shared" ref="V243" si="223">IF($A$64&lt;=V207,IF($B$64&gt;=V207,ABS(V242),0),0)</f>
        <v>117739.14391541237</v>
      </c>
      <c r="W243" s="60">
        <f t="shared" ref="W243" si="224">IF($A$64&lt;=W207,IF($B$64&gt;=W207,ABS(W242),0),0)</f>
        <v>231558.50525144514</v>
      </c>
      <c r="X243" s="60">
        <f t="shared" ref="X243" si="225">IF($A$64&lt;=X207,IF($B$64&gt;=X207,ABS(X242),0),0)</f>
        <v>291529.22252994351</v>
      </c>
      <c r="Y243" s="60">
        <f t="shared" ref="Y243" si="226">IF($A$64&lt;=Y207,IF($B$64&gt;=Y207,ABS(Y242),0),0)</f>
        <v>251000.34322793674</v>
      </c>
      <c r="Z243" s="60">
        <f t="shared" ref="Z243" si="227">IF($A$64&lt;=Z207,IF($B$64&gt;=Z207,ABS(Z242),0),0)</f>
        <v>72918.346828533089</v>
      </c>
      <c r="AA243" s="60">
        <f t="shared" ref="AA243" si="228">IF($A$64&lt;=AA207,IF($B$64&gt;=AA207,ABS(AA242),0),0)</f>
        <v>56.351932713448107</v>
      </c>
      <c r="AB243" s="60">
        <f t="shared" ref="AB243" si="229">IF($A$64&lt;=AB207,IF($B$64&gt;=AB207,ABS(AB242),0),0)</f>
        <v>49850.898370397641</v>
      </c>
      <c r="AC243" s="60">
        <f t="shared" ref="AC243" si="230">IF($A$64&lt;=AC207,IF($B$64&gt;=AC207,ABS(AC242),0),0)</f>
        <v>131295.40638616181</v>
      </c>
      <c r="AD243" s="60">
        <f t="shared" ref="AD243" si="231">IF($A$64&lt;=AD207,IF($B$64&gt;=AD207,ABS(AD242),0),0)</f>
        <v>109553.68110482053</v>
      </c>
      <c r="AE243" s="60">
        <f t="shared" ref="AE243" si="232">IF($A$64&lt;=AE207,IF($B$64&gt;=AE207,ABS(AE242),0),0)</f>
        <v>41567.352930870315</v>
      </c>
      <c r="AF243" s="60">
        <f t="shared" ref="AF243" si="233">IF($A$64&lt;=AF207,IF($B$64&gt;=AF207,ABS(AF242),0),0)</f>
        <v>21786.569617849676</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6503.9509699618966</v>
      </c>
      <c r="C247" s="26">
        <f>INDEX(Comparison!$AM$3:$AS$33,G$14,$E$122)</f>
        <v>6504.0043184804708</v>
      </c>
      <c r="D247" s="26">
        <f>INDEX(Comparison!$AM$3:$AS$33,H$14,$E$122)</f>
        <v>6503.9713230315656</v>
      </c>
      <c r="E247" s="26">
        <f>INDEX(Comparison!$AM$3:$AS$33,I$14,$E$122)</f>
        <v>6503.9615090652051</v>
      </c>
      <c r="F247" s="26">
        <f>INDEX(Comparison!$AM$3:$AS$33,J$14,$E$122)</f>
        <v>6503.9584150129849</v>
      </c>
      <c r="G247" s="26">
        <f>INDEX(Comparison!$AM$3:$AS$33,K$14,$E$122)</f>
        <v>6503.9573030886877</v>
      </c>
      <c r="H247" s="26">
        <f>INDEX(Comparison!$AM$3:$AS$33,L$14,$E$122)</f>
        <v>6503.9546441408229</v>
      </c>
      <c r="I247" s="26">
        <f>INDEX(Comparison!$AM$3:$AS$33,M$14,$E$122)</f>
        <v>6503.932647473689</v>
      </c>
      <c r="J247" s="26">
        <f>INDEX(Comparison!$AM$3:$AS$33,N$14,$E$122)</f>
        <v>6503.7133657579243</v>
      </c>
      <c r="K247" s="26">
        <f>INDEX(Comparison!$AM$3:$AS$33,O$14,$E$122)</f>
        <v>6501.5374241274303</v>
      </c>
      <c r="L247" s="26">
        <f>INDEX(Comparison!$AM$3:$AS$33,P$14,$E$122)</f>
        <v>6481.233154233405</v>
      </c>
      <c r="M247" s="26">
        <f>INDEX(Comparison!$AM$3:$AS$33,Q$14,$E$122)</f>
        <v>6364.7007036045688</v>
      </c>
      <c r="N247" s="26">
        <f>INDEX(Comparison!$AM$3:$AS$33,R$14,$E$122)</f>
        <v>6219.55344224686</v>
      </c>
      <c r="O247" s="26">
        <f>INDEX(Comparison!$AM$3:$AS$33,S$14,$E$122)</f>
        <v>6059.9785511387736</v>
      </c>
      <c r="P247" s="26">
        <f>INDEX(Comparison!$AM$3:$AS$33,T$14,$E$122)</f>
        <v>5870.6317266704709</v>
      </c>
      <c r="Q247" s="26">
        <f>INDEX(Comparison!$AM$3:$AS$33,U$14,$E$122)</f>
        <v>5669.1325406322439</v>
      </c>
      <c r="R247" s="26">
        <f>INDEX(Comparison!$AM$3:$AS$33,V$14,$E$122)</f>
        <v>5423.4324257349326</v>
      </c>
      <c r="S247" s="26">
        <f>INDEX(Comparison!$AM$3:$AS$33,W$14,$E$122)</f>
        <v>5064.9009314494624</v>
      </c>
      <c r="T247" s="26">
        <f>INDEX(Comparison!$AM$3:$AS$33,X$14,$E$122)</f>
        <v>4580.1850776889687</v>
      </c>
      <c r="U247" s="26">
        <f>INDEX(Comparison!$AM$3:$AS$33,Y$14,$E$122)</f>
        <v>4085.8663253030418</v>
      </c>
      <c r="V247" s="26">
        <f>INDEX(Comparison!$AM$3:$AS$33,Z$14,$E$122)</f>
        <v>3641.7022773125063</v>
      </c>
      <c r="W247" s="26">
        <f>INDEX(Comparison!$AM$3:$AS$33,AA$14,$E$122)</f>
        <v>3231.6591203117327</v>
      </c>
      <c r="X247" s="26">
        <f>INDEX(Comparison!$AM$3:$AS$33,AB$14,$E$122)</f>
        <v>2785.7203085552951</v>
      </c>
      <c r="Y247" s="26">
        <f>INDEX(Comparison!$AM$3:$AS$33,AC$14,$E$122)</f>
        <v>2295.1533050928924</v>
      </c>
      <c r="Z247" s="26">
        <f>INDEX(Comparison!$AM$3:$AS$33,AD$14,$E$122)</f>
        <v>1754.5150163075152</v>
      </c>
      <c r="AA247" s="26">
        <f>INDEX(Comparison!$AM$3:$AS$33,AE$14,$E$122)</f>
        <v>1171.8757952014325</v>
      </c>
      <c r="AB247" s="26">
        <f>INDEX(Comparison!$AM$3:$AS$33,AF$14,$E$122)</f>
        <v>704.46209389908893</v>
      </c>
      <c r="AC247" s="26">
        <f>INDEX(Comparison!$AM$3:$AS$33,AG$14,$E$122)</f>
        <v>403.25761176970258</v>
      </c>
      <c r="AD247" s="26">
        <f>INDEX(Comparison!$AM$3:$AS$33,AH$14,$E$122)</f>
        <v>227.19076746573165</v>
      </c>
      <c r="AE247" s="26">
        <f>INDEX(Comparison!$AM$3:$AS$33,AI$14,$E$122)</f>
        <v>157.01371189082064</v>
      </c>
      <c r="AF247" s="26">
        <f>INDEX(Comparison!$AM$3:$AS$33,AJ$14,$E$122)</f>
        <v>136.97082983111966</v>
      </c>
      <c r="AG247" s="26"/>
      <c r="AH247" s="26"/>
    </row>
    <row r="248" spans="1:34" x14ac:dyDescent="0.25">
      <c r="A248" s="70" t="s">
        <v>22</v>
      </c>
      <c r="B248" s="27">
        <f>($C$17+SUM(B249:B279))*$B$51</f>
        <v>6484.582288351703</v>
      </c>
      <c r="C248" s="27">
        <f t="shared" ref="C248:AF248" si="234">($C$17+SUM(C249:C279))*$B$51</f>
        <v>6479.4182357444433</v>
      </c>
      <c r="D248" s="27">
        <f t="shared" si="234"/>
        <v>6479.4182340915122</v>
      </c>
      <c r="E248" s="27">
        <f t="shared" si="234"/>
        <v>6479.4182177524935</v>
      </c>
      <c r="F248" s="27">
        <f t="shared" si="234"/>
        <v>6479.4180543625107</v>
      </c>
      <c r="G248" s="27">
        <f t="shared" si="234"/>
        <v>6479.4164204835461</v>
      </c>
      <c r="H248" s="27">
        <f t="shared" si="234"/>
        <v>6479.4000837796093</v>
      </c>
      <c r="I248" s="27">
        <f t="shared" si="234"/>
        <v>6479.2369250438114</v>
      </c>
      <c r="J248" s="27">
        <f t="shared" si="234"/>
        <v>6477.6259026914813</v>
      </c>
      <c r="K248" s="27">
        <f t="shared" si="234"/>
        <v>6463.3316362383212</v>
      </c>
      <c r="L248" s="27">
        <f t="shared" si="234"/>
        <v>6391.6772330412441</v>
      </c>
      <c r="M248" s="27">
        <f t="shared" si="234"/>
        <v>6228.119408943614</v>
      </c>
      <c r="N248" s="27">
        <f t="shared" si="234"/>
        <v>6077.7354359731025</v>
      </c>
      <c r="O248" s="27">
        <f t="shared" si="234"/>
        <v>5893.1865738817651</v>
      </c>
      <c r="P248" s="27">
        <f t="shared" si="234"/>
        <v>5683.943524226549</v>
      </c>
      <c r="Q248" s="27">
        <f t="shared" si="234"/>
        <v>5473.8164499066525</v>
      </c>
      <c r="R248" s="27">
        <f t="shared" si="234"/>
        <v>5186.8804988050751</v>
      </c>
      <c r="S248" s="27">
        <f t="shared" si="234"/>
        <v>4915.5756124990357</v>
      </c>
      <c r="T248" s="27">
        <f t="shared" si="234"/>
        <v>4627.2690135119465</v>
      </c>
      <c r="U248" s="27">
        <f t="shared" si="234"/>
        <v>4327.0596278050634</v>
      </c>
      <c r="V248" s="27">
        <f t="shared" si="234"/>
        <v>3977.0770373300256</v>
      </c>
      <c r="W248" s="27">
        <f t="shared" si="234"/>
        <v>3449.6353132844652</v>
      </c>
      <c r="X248" s="27">
        <f t="shared" si="234"/>
        <v>2806.1440119628101</v>
      </c>
      <c r="Y248" s="27">
        <f t="shared" si="234"/>
        <v>2121.5883770030973</v>
      </c>
      <c r="Z248" s="27">
        <f t="shared" si="234"/>
        <v>1450.0921786658014</v>
      </c>
      <c r="AA248" s="27">
        <f t="shared" si="234"/>
        <v>882.43543647296144</v>
      </c>
      <c r="AB248" s="27">
        <f t="shared" si="234"/>
        <v>516.76531082361362</v>
      </c>
      <c r="AC248" s="27">
        <f t="shared" si="234"/>
        <v>263.22011583981765</v>
      </c>
      <c r="AD248" s="27">
        <f t="shared" si="234"/>
        <v>165.53125063380807</v>
      </c>
      <c r="AE248" s="27">
        <f t="shared" si="234"/>
        <v>144.99950746852593</v>
      </c>
      <c r="AF248" s="27">
        <f t="shared" si="234"/>
        <v>128.12356717080706</v>
      </c>
      <c r="AG248" s="27"/>
      <c r="AH248" s="27"/>
    </row>
    <row r="249" spans="1:34" x14ac:dyDescent="0.25">
      <c r="B249" s="3">
        <f t="shared" ref="B249:AF249" si="235">$C18*EXP(-B$246/$A18/EXP(-$E$126))</f>
        <v>7.9153577623329878E-4</v>
      </c>
      <c r="C249" s="3">
        <f t="shared" si="235"/>
        <v>2.9166693247372413E-12</v>
      </c>
      <c r="D249" s="3">
        <f t="shared" si="235"/>
        <v>1.3460266047590433E-96</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4.1307711041518305E-3</v>
      </c>
      <c r="C253" s="3">
        <f t="shared" si="239"/>
        <v>4.1307710890683821E-3</v>
      </c>
      <c r="D253" s="3">
        <f t="shared" si="239"/>
        <v>4.1307709382339009E-3</v>
      </c>
      <c r="E253" s="3">
        <f t="shared" si="239"/>
        <v>4.1307694298893891E-3</v>
      </c>
      <c r="F253" s="3">
        <f t="shared" si="239"/>
        <v>4.130754346474563E-3</v>
      </c>
      <c r="G253" s="3">
        <f t="shared" si="239"/>
        <v>4.1306035153554979E-3</v>
      </c>
      <c r="H253" s="3">
        <f t="shared" si="239"/>
        <v>4.1290955070427864E-3</v>
      </c>
      <c r="I253" s="3">
        <f t="shared" si="239"/>
        <v>4.1140456708301304E-3</v>
      </c>
      <c r="J253" s="3">
        <f t="shared" si="239"/>
        <v>3.9665315311388271E-3</v>
      </c>
      <c r="K253" s="3">
        <f t="shared" si="239"/>
        <v>2.7531440487868234E-3</v>
      </c>
      <c r="L253" s="3">
        <f t="shared" si="239"/>
        <v>7.1451142043088613E-5</v>
      </c>
      <c r="M253" s="3">
        <f t="shared" si="239"/>
        <v>9.9040214609006142E-21</v>
      </c>
      <c r="N253" s="3">
        <f t="shared" si="239"/>
        <v>2.5931972517919439E-179</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2.7999656175921667E-2</v>
      </c>
      <c r="C254" s="3">
        <f t="shared" si="240"/>
        <v>2.7999656166698739E-2</v>
      </c>
      <c r="D254" s="3">
        <f t="shared" si="240"/>
        <v>2.7999656074469463E-2</v>
      </c>
      <c r="E254" s="3">
        <f t="shared" si="240"/>
        <v>2.7999655152176714E-2</v>
      </c>
      <c r="F254" s="3">
        <f t="shared" si="240"/>
        <v>2.7999645929250892E-2</v>
      </c>
      <c r="G254" s="3">
        <f t="shared" si="240"/>
        <v>2.7999553700159757E-2</v>
      </c>
      <c r="H254" s="3">
        <f t="shared" si="240"/>
        <v>2.7998631425957043E-2</v>
      </c>
      <c r="I254" s="3">
        <f t="shared" si="240"/>
        <v>2.7989410354592702E-2</v>
      </c>
      <c r="J254" s="3">
        <f t="shared" si="240"/>
        <v>2.7897366503789354E-2</v>
      </c>
      <c r="K254" s="3">
        <f t="shared" si="240"/>
        <v>2.6993412693563812E-2</v>
      </c>
      <c r="L254" s="3">
        <f t="shared" si="240"/>
        <v>1.9417962561349696E-2</v>
      </c>
      <c r="M254" s="3">
        <f t="shared" si="240"/>
        <v>7.2054698985750539E-4</v>
      </c>
      <c r="N254" s="3">
        <f t="shared" si="240"/>
        <v>3.5665539370927694E-18</v>
      </c>
      <c r="O254" s="3">
        <f t="shared" si="240"/>
        <v>3.1485723452918057E-161</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2.1974033247965569E-2</v>
      </c>
      <c r="C255" s="3">
        <f t="shared" si="241"/>
        <v>2.1974033247312629E-2</v>
      </c>
      <c r="D255" s="3">
        <f t="shared" si="241"/>
        <v>2.1974033240783241E-2</v>
      </c>
      <c r="E255" s="3">
        <f t="shared" si="241"/>
        <v>2.1974033175489363E-2</v>
      </c>
      <c r="F255" s="3">
        <f t="shared" si="241"/>
        <v>2.197403252255058E-2</v>
      </c>
      <c r="G255" s="3">
        <f t="shared" si="241"/>
        <v>2.1974025993163823E-2</v>
      </c>
      <c r="H255" s="3">
        <f t="shared" si="241"/>
        <v>2.1973960699402956E-2</v>
      </c>
      <c r="I255" s="3">
        <f t="shared" si="241"/>
        <v>2.1973307772464975E-2</v>
      </c>
      <c r="J255" s="3">
        <f t="shared" si="241"/>
        <v>2.1966779570036975E-2</v>
      </c>
      <c r="K255" s="3">
        <f t="shared" si="241"/>
        <v>2.1901604123728661E-2</v>
      </c>
      <c r="L255" s="3">
        <f t="shared" si="241"/>
        <v>2.126039120913284E-2</v>
      </c>
      <c r="M255" s="3">
        <f t="shared" si="241"/>
        <v>1.5795177867724181E-2</v>
      </c>
      <c r="N255" s="3">
        <f t="shared" si="241"/>
        <v>8.0920249369813193E-4</v>
      </c>
      <c r="O255" s="3">
        <f t="shared" si="241"/>
        <v>1.0078226833105733E-16</v>
      </c>
      <c r="P255" s="3">
        <f t="shared" si="241"/>
        <v>9.0500982361210603E-146</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2.8257721635248579E-2</v>
      </c>
      <c r="C256" s="3">
        <f t="shared" si="242"/>
        <v>2.8257721635172837E-2</v>
      </c>
      <c r="D256" s="3">
        <f t="shared" si="242"/>
        <v>2.8257721634415402E-2</v>
      </c>
      <c r="E256" s="3">
        <f t="shared" si="242"/>
        <v>2.825772162684103E-2</v>
      </c>
      <c r="F256" s="3">
        <f t="shared" si="242"/>
        <v>2.8257721551097344E-2</v>
      </c>
      <c r="G256" s="3">
        <f t="shared" si="242"/>
        <v>2.8257720793660512E-2</v>
      </c>
      <c r="H256" s="3">
        <f t="shared" si="242"/>
        <v>2.8257713219293268E-2</v>
      </c>
      <c r="I256" s="3">
        <f t="shared" si="242"/>
        <v>2.8257637475732501E-2</v>
      </c>
      <c r="J256" s="3">
        <f t="shared" si="242"/>
        <v>2.8256880051291258E-2</v>
      </c>
      <c r="K256" s="3">
        <f t="shared" si="242"/>
        <v>2.8249306923409212E-2</v>
      </c>
      <c r="L256" s="3">
        <f t="shared" si="242"/>
        <v>2.8173687186972995E-2</v>
      </c>
      <c r="M256" s="3">
        <f t="shared" si="242"/>
        <v>2.7428534225317151E-2</v>
      </c>
      <c r="N256" s="3">
        <f t="shared" si="242"/>
        <v>2.097933475303056E-2</v>
      </c>
      <c r="O256" s="3">
        <f t="shared" si="242"/>
        <v>1.4377482381750491E-3</v>
      </c>
      <c r="P256" s="3">
        <f t="shared" si="242"/>
        <v>3.2854446675556174E-15</v>
      </c>
      <c r="Q256" s="3">
        <f t="shared" si="242"/>
        <v>1.2755787916345061E-131</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3.4428387596440894E-2</v>
      </c>
      <c r="C257" s="3">
        <f t="shared" si="243"/>
        <v>3.4428387596432568E-2</v>
      </c>
      <c r="D257" s="3">
        <f t="shared" si="243"/>
        <v>3.4428387596349322E-2</v>
      </c>
      <c r="E257" s="3">
        <f t="shared" si="243"/>
        <v>3.4428387595516842E-2</v>
      </c>
      <c r="F257" s="3">
        <f t="shared" si="243"/>
        <v>3.4428387587192064E-2</v>
      </c>
      <c r="G257" s="3">
        <f t="shared" si="243"/>
        <v>3.4428387503944301E-2</v>
      </c>
      <c r="H257" s="3">
        <f t="shared" si="243"/>
        <v>3.4428386671466707E-2</v>
      </c>
      <c r="I257" s="3">
        <f t="shared" si="243"/>
        <v>3.4428378346691851E-2</v>
      </c>
      <c r="J257" s="3">
        <f t="shared" si="243"/>
        <v>3.4428295099053971E-2</v>
      </c>
      <c r="K257" s="3">
        <f t="shared" si="243"/>
        <v>3.4427462633746193E-2</v>
      </c>
      <c r="L257" s="3">
        <f t="shared" si="243"/>
        <v>3.4419139087669262E-2</v>
      </c>
      <c r="M257" s="3">
        <f t="shared" si="243"/>
        <v>3.4336014228010886E-2</v>
      </c>
      <c r="N257" s="3">
        <f t="shared" si="243"/>
        <v>3.3515727428958128E-2</v>
      </c>
      <c r="O257" s="3">
        <f t="shared" si="243"/>
        <v>2.6316997874798815E-2</v>
      </c>
      <c r="P257" s="3">
        <f t="shared" si="243"/>
        <v>2.3448404714474561E-3</v>
      </c>
      <c r="Q257" s="3">
        <f t="shared" si="243"/>
        <v>7.3940581306643513E-14</v>
      </c>
      <c r="R257" s="3">
        <f t="shared" si="243"/>
        <v>7.1875098561181847E-119</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2.9417341850199809E-2</v>
      </c>
      <c r="C258" s="3">
        <f t="shared" si="244"/>
        <v>2.9417341850199171E-2</v>
      </c>
      <c r="D258" s="3">
        <f t="shared" si="244"/>
        <v>2.9417341850192753E-2</v>
      </c>
      <c r="E258" s="3">
        <f t="shared" si="244"/>
        <v>2.9417341850128585E-2</v>
      </c>
      <c r="F258" s="3">
        <f t="shared" si="244"/>
        <v>2.9417341849486925E-2</v>
      </c>
      <c r="G258" s="3">
        <f t="shared" si="244"/>
        <v>2.9417341843070311E-2</v>
      </c>
      <c r="H258" s="3">
        <f t="shared" si="244"/>
        <v>2.9417341778904173E-2</v>
      </c>
      <c r="I258" s="3">
        <f t="shared" si="244"/>
        <v>2.941734113724281E-2</v>
      </c>
      <c r="J258" s="3">
        <f t="shared" si="244"/>
        <v>2.9417334720629941E-2</v>
      </c>
      <c r="K258" s="3">
        <f t="shared" si="244"/>
        <v>2.9417270554578243E-2</v>
      </c>
      <c r="L258" s="3">
        <f t="shared" si="244"/>
        <v>2.9416628901759057E-2</v>
      </c>
      <c r="M258" s="3">
        <f t="shared" si="244"/>
        <v>2.9410213143286002E-2</v>
      </c>
      <c r="N258" s="3">
        <f t="shared" si="244"/>
        <v>2.9346132468353773E-2</v>
      </c>
      <c r="O258" s="3">
        <f t="shared" si="244"/>
        <v>2.8712954988764566E-2</v>
      </c>
      <c r="P258" s="3">
        <f t="shared" si="244"/>
        <v>2.308596619490973E-2</v>
      </c>
      <c r="Q258" s="3">
        <f t="shared" si="244"/>
        <v>2.6064518581499197E-3</v>
      </c>
      <c r="R258" s="3">
        <f t="shared" si="244"/>
        <v>8.7713457828117359E-13</v>
      </c>
      <c r="S258" s="3">
        <f t="shared" si="244"/>
        <v>1.6339225796210217E-107</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4.9022148144302682E-2</v>
      </c>
      <c r="C259" s="3">
        <f t="shared" si="245"/>
        <v>4.9022148144302585E-2</v>
      </c>
      <c r="D259" s="3">
        <f t="shared" si="245"/>
        <v>4.9022148144301621E-2</v>
      </c>
      <c r="E259" s="3">
        <f t="shared" si="245"/>
        <v>4.9022148144291983E-2</v>
      </c>
      <c r="F259" s="3">
        <f t="shared" si="245"/>
        <v>4.9022148144195518E-2</v>
      </c>
      <c r="G259" s="3">
        <f t="shared" si="245"/>
        <v>4.9022148143230936E-2</v>
      </c>
      <c r="H259" s="3">
        <f t="shared" si="245"/>
        <v>4.9022148133585068E-2</v>
      </c>
      <c r="I259" s="3">
        <f t="shared" si="245"/>
        <v>4.9022148037126366E-2</v>
      </c>
      <c r="J259" s="3">
        <f t="shared" si="245"/>
        <v>4.9022147072539393E-2</v>
      </c>
      <c r="K259" s="3">
        <f t="shared" si="245"/>
        <v>4.9022137426670706E-2</v>
      </c>
      <c r="L259" s="3">
        <f t="shared" si="245"/>
        <v>4.9022040968088272E-2</v>
      </c>
      <c r="M259" s="3">
        <f t="shared" si="245"/>
        <v>4.9021076392702666E-2</v>
      </c>
      <c r="N259" s="3">
        <f t="shared" si="245"/>
        <v>4.9011431682648356E-2</v>
      </c>
      <c r="O259" s="3">
        <f t="shared" si="245"/>
        <v>4.8915088886326834E-2</v>
      </c>
      <c r="P259" s="3">
        <f t="shared" si="245"/>
        <v>4.7962015806425999E-2</v>
      </c>
      <c r="Q259" s="3">
        <f t="shared" si="245"/>
        <v>3.9395193335214254E-2</v>
      </c>
      <c r="R259" s="3">
        <f t="shared" si="245"/>
        <v>5.5068255534368908E-3</v>
      </c>
      <c r="S259" s="3">
        <f t="shared" si="245"/>
        <v>1.5684914207806214E-11</v>
      </c>
      <c r="T259" s="3">
        <f t="shared" si="245"/>
        <v>5.5117617058298594E-97</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4.1805094553385949E-2</v>
      </c>
      <c r="C260" s="3">
        <f t="shared" si="246"/>
        <v>4.1805094553385942E-2</v>
      </c>
      <c r="D260" s="3">
        <f t="shared" si="246"/>
        <v>4.1805094553385866E-2</v>
      </c>
      <c r="E260" s="3">
        <f t="shared" si="246"/>
        <v>4.1805094553385123E-2</v>
      </c>
      <c r="F260" s="3">
        <f t="shared" si="246"/>
        <v>4.1805094553377706E-2</v>
      </c>
      <c r="G260" s="3">
        <f t="shared" si="246"/>
        <v>4.1805094553303501E-2</v>
      </c>
      <c r="H260" s="3">
        <f t="shared" si="246"/>
        <v>4.1805094552561463E-2</v>
      </c>
      <c r="I260" s="3">
        <f t="shared" si="246"/>
        <v>4.1805094545141107E-2</v>
      </c>
      <c r="J260" s="3">
        <f t="shared" si="246"/>
        <v>4.1805094470937526E-2</v>
      </c>
      <c r="K260" s="3">
        <f t="shared" si="246"/>
        <v>4.1805093728901732E-2</v>
      </c>
      <c r="L260" s="3">
        <f t="shared" si="246"/>
        <v>4.1805086308544508E-2</v>
      </c>
      <c r="M260" s="3">
        <f t="shared" si="246"/>
        <v>4.1805012105044698E-2</v>
      </c>
      <c r="N260" s="3">
        <f t="shared" si="246"/>
        <v>4.1804270077290658E-2</v>
      </c>
      <c r="O260" s="3">
        <f t="shared" si="246"/>
        <v>4.179685052410529E-2</v>
      </c>
      <c r="P260" s="3">
        <f t="shared" si="246"/>
        <v>4.1722727380210357E-2</v>
      </c>
      <c r="Q260" s="3">
        <f t="shared" si="246"/>
        <v>4.098868742150976E-2</v>
      </c>
      <c r="R260" s="3">
        <f t="shared" si="246"/>
        <v>3.432236623530175E-2</v>
      </c>
      <c r="S260" s="3">
        <f t="shared" si="246"/>
        <v>5.8171373855382654E-3</v>
      </c>
      <c r="T260" s="3">
        <f t="shared" si="246"/>
        <v>1.1377067055269499E-10</v>
      </c>
      <c r="U260" s="3">
        <f t="shared" si="246"/>
        <v>9.316231834618804E-88</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4.6917367124464961E-2</v>
      </c>
      <c r="C261" s="3">
        <f t="shared" si="247"/>
        <v>4.6917367124464961E-2</v>
      </c>
      <c r="D261" s="3">
        <f t="shared" si="247"/>
        <v>4.6917367124464947E-2</v>
      </c>
      <c r="E261" s="3">
        <f t="shared" si="247"/>
        <v>4.6917367124464877E-2</v>
      </c>
      <c r="F261" s="3">
        <f t="shared" si="247"/>
        <v>4.6917367124464128E-2</v>
      </c>
      <c r="G261" s="3">
        <f t="shared" si="247"/>
        <v>4.6917367124456613E-2</v>
      </c>
      <c r="H261" s="3">
        <f t="shared" si="247"/>
        <v>4.6917367124381486E-2</v>
      </c>
      <c r="I261" s="3">
        <f t="shared" si="247"/>
        <v>4.6917367123630253E-2</v>
      </c>
      <c r="J261" s="3">
        <f t="shared" si="247"/>
        <v>4.6917367116117902E-2</v>
      </c>
      <c r="K261" s="3">
        <f t="shared" si="247"/>
        <v>4.6917367040994397E-2</v>
      </c>
      <c r="L261" s="3">
        <f t="shared" si="247"/>
        <v>4.6917366289759295E-2</v>
      </c>
      <c r="M261" s="3">
        <f t="shared" si="247"/>
        <v>4.6917358777408984E-2</v>
      </c>
      <c r="N261" s="3">
        <f t="shared" si="247"/>
        <v>4.691728365397204E-2</v>
      </c>
      <c r="O261" s="3">
        <f t="shared" si="247"/>
        <v>4.6916532426218314E-2</v>
      </c>
      <c r="P261" s="3">
        <f t="shared" si="247"/>
        <v>4.6909020810215141E-2</v>
      </c>
      <c r="Q261" s="3">
        <f t="shared" si="247"/>
        <v>4.6833970764415422E-2</v>
      </c>
      <c r="R261" s="3">
        <f t="shared" si="247"/>
        <v>4.6090042728137375E-2</v>
      </c>
      <c r="S261" s="3">
        <f t="shared" si="247"/>
        <v>3.927067924714784E-2</v>
      </c>
      <c r="T261" s="3">
        <f t="shared" si="247"/>
        <v>7.9192022935622008E-3</v>
      </c>
      <c r="U261" s="3">
        <f t="shared" si="247"/>
        <v>8.8066690475496582E-10</v>
      </c>
      <c r="V261" s="3">
        <f t="shared" si="247"/>
        <v>2.5474992535566504E-79</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4.7066124559699593E-2</v>
      </c>
      <c r="C262" s="3">
        <f t="shared" si="248"/>
        <v>4.7066124559699593E-2</v>
      </c>
      <c r="D262" s="3">
        <f t="shared" si="248"/>
        <v>4.7066124559699593E-2</v>
      </c>
      <c r="E262" s="3">
        <f t="shared" si="248"/>
        <v>4.7066124559699586E-2</v>
      </c>
      <c r="F262" s="3">
        <f t="shared" si="248"/>
        <v>4.7066124559699517E-2</v>
      </c>
      <c r="G262" s="3">
        <f t="shared" si="248"/>
        <v>4.7066124559698837E-2</v>
      </c>
      <c r="H262" s="3">
        <f t="shared" si="248"/>
        <v>4.7066124559692037E-2</v>
      </c>
      <c r="I262" s="3">
        <f t="shared" si="248"/>
        <v>4.7066124559624056E-2</v>
      </c>
      <c r="J262" s="3">
        <f t="shared" si="248"/>
        <v>4.7066124558944232E-2</v>
      </c>
      <c r="K262" s="3">
        <f t="shared" si="248"/>
        <v>4.7066124552145976E-2</v>
      </c>
      <c r="L262" s="3">
        <f t="shared" si="248"/>
        <v>4.706612448416346E-2</v>
      </c>
      <c r="M262" s="3">
        <f t="shared" si="248"/>
        <v>4.7066123804338243E-2</v>
      </c>
      <c r="N262" s="3">
        <f t="shared" si="248"/>
        <v>4.7066117006086643E-2</v>
      </c>
      <c r="O262" s="3">
        <f t="shared" si="248"/>
        <v>4.7066049023624636E-2</v>
      </c>
      <c r="P262" s="3">
        <f t="shared" si="248"/>
        <v>4.7065369204405245E-2</v>
      </c>
      <c r="Q262" s="3">
        <f t="shared" si="248"/>
        <v>4.7058571552247651E-2</v>
      </c>
      <c r="R262" s="3">
        <f t="shared" si="248"/>
        <v>4.6990649005458178E-2</v>
      </c>
      <c r="S262" s="3">
        <f t="shared" si="248"/>
        <v>4.6316792281593515E-2</v>
      </c>
      <c r="T262" s="3">
        <f t="shared" si="248"/>
        <v>4.0087482553817583E-2</v>
      </c>
      <c r="U262" s="3">
        <f t="shared" si="248"/>
        <v>9.4560961799318114E-3</v>
      </c>
      <c r="V262" s="3">
        <f t="shared" si="248"/>
        <v>5.0436257131035279E-9</v>
      </c>
      <c r="W262" s="3">
        <f t="shared" si="248"/>
        <v>9.398370097807285E-72</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5.1874995498084546E-2</v>
      </c>
      <c r="C263" s="3">
        <f t="shared" si="249"/>
        <v>5.1874995498084546E-2</v>
      </c>
      <c r="D263" s="3">
        <f t="shared" si="249"/>
        <v>5.1874995498084546E-2</v>
      </c>
      <c r="E263" s="3">
        <f t="shared" si="249"/>
        <v>5.1874995498084546E-2</v>
      </c>
      <c r="F263" s="3">
        <f t="shared" si="249"/>
        <v>5.1874995498084539E-2</v>
      </c>
      <c r="G263" s="3">
        <f t="shared" si="249"/>
        <v>5.187499549808447E-2</v>
      </c>
      <c r="H263" s="3">
        <f t="shared" si="249"/>
        <v>5.1874995498083797E-2</v>
      </c>
      <c r="I263" s="3">
        <f t="shared" si="249"/>
        <v>5.1874995498077038E-2</v>
      </c>
      <c r="J263" s="3">
        <f t="shared" si="249"/>
        <v>5.1874995498009446E-2</v>
      </c>
      <c r="K263" s="3">
        <f t="shared" si="249"/>
        <v>5.1874995497333522E-2</v>
      </c>
      <c r="L263" s="3">
        <f t="shared" si="249"/>
        <v>5.1874995490574359E-2</v>
      </c>
      <c r="M263" s="3">
        <f t="shared" si="249"/>
        <v>5.1874995422982635E-2</v>
      </c>
      <c r="N263" s="3">
        <f t="shared" si="249"/>
        <v>5.1874994747065445E-2</v>
      </c>
      <c r="O263" s="3">
        <f t="shared" si="249"/>
        <v>5.1874987987894028E-2</v>
      </c>
      <c r="P263" s="3">
        <f t="shared" si="249"/>
        <v>5.1874920396228305E-2</v>
      </c>
      <c r="Q263" s="3">
        <f t="shared" si="249"/>
        <v>5.187424448441489E-2</v>
      </c>
      <c r="R263" s="3">
        <f t="shared" si="249"/>
        <v>5.186748585064084E-2</v>
      </c>
      <c r="S263" s="3">
        <f t="shared" si="249"/>
        <v>5.179994792556563E-2</v>
      </c>
      <c r="T263" s="3">
        <f t="shared" si="249"/>
        <v>5.1129386682725986E-2</v>
      </c>
      <c r="U263" s="3">
        <f t="shared" si="249"/>
        <v>4.4883135002398329E-2</v>
      </c>
      <c r="V263" s="3">
        <f t="shared" si="249"/>
        <v>1.2195769042461028E-2</v>
      </c>
      <c r="W263" s="3">
        <f t="shared" si="249"/>
        <v>2.6758962126074713E-8</v>
      </c>
      <c r="X263" s="3">
        <f t="shared" si="249"/>
        <v>6.9194249045759888E-65</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9.3718423694335209E-2</v>
      </c>
      <c r="C264" s="3">
        <f t="shared" si="250"/>
        <v>9.3718423694335209E-2</v>
      </c>
      <c r="D264" s="3">
        <f t="shared" si="250"/>
        <v>9.3718423694335209E-2</v>
      </c>
      <c r="E264" s="3">
        <f t="shared" si="250"/>
        <v>9.3718423694335209E-2</v>
      </c>
      <c r="F264" s="3">
        <f t="shared" si="250"/>
        <v>9.3718423694335209E-2</v>
      </c>
      <c r="G264" s="3">
        <f t="shared" si="250"/>
        <v>9.3718423694335196E-2</v>
      </c>
      <c r="H264" s="3">
        <f t="shared" si="250"/>
        <v>9.3718423694335085E-2</v>
      </c>
      <c r="I264" s="3">
        <f t="shared" si="250"/>
        <v>9.3718423694333988E-2</v>
      </c>
      <c r="J264" s="3">
        <f t="shared" si="250"/>
        <v>9.3718423694322969E-2</v>
      </c>
      <c r="K264" s="3">
        <f t="shared" si="250"/>
        <v>9.3718423694212821E-2</v>
      </c>
      <c r="L264" s="3">
        <f t="shared" si="250"/>
        <v>9.3718423693111258E-2</v>
      </c>
      <c r="M264" s="3">
        <f t="shared" si="250"/>
        <v>9.3718423682095695E-2</v>
      </c>
      <c r="N264" s="3">
        <f t="shared" si="250"/>
        <v>9.3718423571939977E-2</v>
      </c>
      <c r="O264" s="3">
        <f t="shared" si="250"/>
        <v>9.371842247038295E-2</v>
      </c>
      <c r="P264" s="3">
        <f t="shared" si="250"/>
        <v>9.3718411454813369E-2</v>
      </c>
      <c r="Q264" s="3">
        <f t="shared" si="250"/>
        <v>9.3718301299188761E-2</v>
      </c>
      <c r="R264" s="3">
        <f t="shared" si="250"/>
        <v>9.3717199750063776E-2</v>
      </c>
      <c r="S264" s="3">
        <f t="shared" si="250"/>
        <v>9.3706184970897083E-2</v>
      </c>
      <c r="T264" s="3">
        <f t="shared" si="250"/>
        <v>9.3596108356586494E-2</v>
      </c>
      <c r="U264" s="3">
        <f t="shared" si="250"/>
        <v>9.2502429091567306E-2</v>
      </c>
      <c r="V264" s="3">
        <f t="shared" si="250"/>
        <v>8.2244449043045481E-2</v>
      </c>
      <c r="W264" s="3">
        <f t="shared" si="250"/>
        <v>2.5388741750512919E-2</v>
      </c>
      <c r="X264" s="3">
        <f t="shared" si="250"/>
        <v>1.9952026023390462E-7</v>
      </c>
      <c r="Y264" s="3">
        <f t="shared" si="250"/>
        <v>1.792442562310946E-58</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0.10682333377392636</v>
      </c>
      <c r="C265" s="3">
        <f t="shared" si="251"/>
        <v>0.10682333377392636</v>
      </c>
      <c r="D265" s="3">
        <f t="shared" si="251"/>
        <v>0.10682333377392636</v>
      </c>
      <c r="E265" s="3">
        <f t="shared" si="251"/>
        <v>0.10682333377392636</v>
      </c>
      <c r="F265" s="3">
        <f t="shared" si="251"/>
        <v>0.10682333377392636</v>
      </c>
      <c r="G265" s="3">
        <f t="shared" si="251"/>
        <v>0.10682333377392636</v>
      </c>
      <c r="H265" s="3">
        <f t="shared" si="251"/>
        <v>0.10682333377392635</v>
      </c>
      <c r="I265" s="3">
        <f t="shared" si="251"/>
        <v>0.10682333377392624</v>
      </c>
      <c r="J265" s="3">
        <f t="shared" si="251"/>
        <v>0.1068233337739251</v>
      </c>
      <c r="K265" s="3">
        <f t="shared" si="251"/>
        <v>0.10682333377391377</v>
      </c>
      <c r="L265" s="3">
        <f t="shared" si="251"/>
        <v>0.10682333377380052</v>
      </c>
      <c r="M265" s="3">
        <f t="shared" si="251"/>
        <v>0.10682333377266787</v>
      </c>
      <c r="N265" s="3">
        <f t="shared" si="251"/>
        <v>0.10682333376134139</v>
      </c>
      <c r="O265" s="3">
        <f t="shared" si="251"/>
        <v>0.10682333364807664</v>
      </c>
      <c r="P265" s="3">
        <f t="shared" si="251"/>
        <v>0.10682333251542926</v>
      </c>
      <c r="Q265" s="3">
        <f t="shared" si="251"/>
        <v>0.10682332118895599</v>
      </c>
      <c r="R265" s="3">
        <f t="shared" si="251"/>
        <v>0.10682320792428938</v>
      </c>
      <c r="S265" s="3">
        <f t="shared" si="251"/>
        <v>0.10682207528422853</v>
      </c>
      <c r="T265" s="3">
        <f t="shared" si="251"/>
        <v>0.10681074954411131</v>
      </c>
      <c r="U265" s="3">
        <f t="shared" si="251"/>
        <v>0.10669755816616379</v>
      </c>
      <c r="V265" s="3">
        <f t="shared" si="251"/>
        <v>0.10557222088083246</v>
      </c>
      <c r="W265" s="3">
        <f t="shared" si="251"/>
        <v>9.4951412654526959E-2</v>
      </c>
      <c r="X265" s="3">
        <f t="shared" si="251"/>
        <v>3.2886613715660235E-2</v>
      </c>
      <c r="Y265" s="3">
        <f t="shared" si="251"/>
        <v>8.1695178223265906E-7</v>
      </c>
      <c r="Z265" s="3">
        <f t="shared" si="251"/>
        <v>7.3108706253556864E-53</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0.11271893275103405</v>
      </c>
      <c r="C266" s="3">
        <f t="shared" si="252"/>
        <v>0.11271893275103405</v>
      </c>
      <c r="D266" s="3">
        <f t="shared" si="252"/>
        <v>0.11271893275103405</v>
      </c>
      <c r="E266" s="3">
        <f t="shared" si="252"/>
        <v>0.11271893275103405</v>
      </c>
      <c r="F266" s="3">
        <f t="shared" si="252"/>
        <v>0.11271893275103405</v>
      </c>
      <c r="G266" s="3">
        <f t="shared" si="252"/>
        <v>0.11271893275103405</v>
      </c>
      <c r="H266" s="3">
        <f t="shared" si="252"/>
        <v>0.11271893275103405</v>
      </c>
      <c r="I266" s="3">
        <f t="shared" si="252"/>
        <v>0.11271893275103403</v>
      </c>
      <c r="J266" s="3">
        <f t="shared" si="252"/>
        <v>0.11271893275103392</v>
      </c>
      <c r="K266" s="3">
        <f t="shared" si="252"/>
        <v>0.11271893275103284</v>
      </c>
      <c r="L266" s="3">
        <f t="shared" si="252"/>
        <v>0.11271893275102207</v>
      </c>
      <c r="M266" s="3">
        <f t="shared" si="252"/>
        <v>0.11271893275091426</v>
      </c>
      <c r="N266" s="3">
        <f t="shared" si="252"/>
        <v>0.11271893274983613</v>
      </c>
      <c r="O266" s="3">
        <f t="shared" si="252"/>
        <v>0.1127189327390548</v>
      </c>
      <c r="P266" s="3">
        <f t="shared" si="252"/>
        <v>0.11271893263124157</v>
      </c>
      <c r="Q266" s="3">
        <f t="shared" si="252"/>
        <v>0.11271893155310926</v>
      </c>
      <c r="R266" s="3">
        <f t="shared" si="252"/>
        <v>0.11271892077178672</v>
      </c>
      <c r="S266" s="3">
        <f t="shared" si="252"/>
        <v>0.11271881295861809</v>
      </c>
      <c r="T266" s="3">
        <f t="shared" si="252"/>
        <v>0.11271773483260346</v>
      </c>
      <c r="U266" s="3">
        <f t="shared" si="252"/>
        <v>0.11270695413960043</v>
      </c>
      <c r="V266" s="3">
        <f t="shared" si="252"/>
        <v>0.11259920390384295</v>
      </c>
      <c r="W266" s="3">
        <f t="shared" si="252"/>
        <v>0.11152735096083974</v>
      </c>
      <c r="X266" s="3">
        <f t="shared" si="252"/>
        <v>0.10135427114439546</v>
      </c>
      <c r="Y266" s="3">
        <f t="shared" si="252"/>
        <v>3.8944733472835807E-2</v>
      </c>
      <c r="Z266" s="3">
        <f t="shared" si="252"/>
        <v>2.7322192499234113E-6</v>
      </c>
      <c r="AA266" s="3">
        <f t="shared" si="252"/>
        <v>7.891937829788622E-48</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0.10920012102995319</v>
      </c>
      <c r="C267" s="3">
        <f t="shared" si="253"/>
        <v>0.10920012102995319</v>
      </c>
      <c r="D267" s="3">
        <f t="shared" si="253"/>
        <v>0.10920012102995319</v>
      </c>
      <c r="E267" s="3">
        <f t="shared" si="253"/>
        <v>0.10920012102995319</v>
      </c>
      <c r="F267" s="3">
        <f t="shared" si="253"/>
        <v>0.10920012102995319</v>
      </c>
      <c r="G267" s="3">
        <f t="shared" si="253"/>
        <v>0.10920012102995319</v>
      </c>
      <c r="H267" s="3">
        <f t="shared" si="253"/>
        <v>0.10920012102995319</v>
      </c>
      <c r="I267" s="3">
        <f t="shared" si="253"/>
        <v>0.10920012102995319</v>
      </c>
      <c r="J267" s="3">
        <f t="shared" si="253"/>
        <v>0.10920012102995318</v>
      </c>
      <c r="K267" s="3">
        <f t="shared" si="253"/>
        <v>0.10920012102995308</v>
      </c>
      <c r="L267" s="3">
        <f t="shared" si="253"/>
        <v>0.10920012102995215</v>
      </c>
      <c r="M267" s="3">
        <f t="shared" si="253"/>
        <v>0.10920012102994271</v>
      </c>
      <c r="N267" s="3">
        <f t="shared" si="253"/>
        <v>0.1092001210298485</v>
      </c>
      <c r="O267" s="3">
        <f t="shared" si="253"/>
        <v>0.10920012102890631</v>
      </c>
      <c r="P267" s="3">
        <f t="shared" si="253"/>
        <v>0.10920012101948426</v>
      </c>
      <c r="Q267" s="3">
        <f t="shared" si="253"/>
        <v>0.10920012092526386</v>
      </c>
      <c r="R267" s="3">
        <f t="shared" si="253"/>
        <v>0.10920011998305995</v>
      </c>
      <c r="S267" s="3">
        <f t="shared" si="253"/>
        <v>0.10920011056102126</v>
      </c>
      <c r="T267" s="3">
        <f t="shared" si="253"/>
        <v>0.109200016340679</v>
      </c>
      <c r="U267" s="3">
        <f t="shared" si="253"/>
        <v>0.10919907414172761</v>
      </c>
      <c r="V267" s="3">
        <f t="shared" si="253"/>
        <v>0.10918965259932333</v>
      </c>
      <c r="W267" s="3">
        <f t="shared" si="253"/>
        <v>0.10909548187196838</v>
      </c>
      <c r="X267" s="3">
        <f t="shared" si="253"/>
        <v>0.10815823003089849</v>
      </c>
      <c r="Y267" s="3">
        <f t="shared" si="253"/>
        <v>9.9217353476124315E-2</v>
      </c>
      <c r="Z267" s="3">
        <f t="shared" si="253"/>
        <v>4.1866659219155729E-2</v>
      </c>
      <c r="AA267" s="3">
        <f t="shared" si="253"/>
        <v>7.4933323789266551E-6</v>
      </c>
      <c r="AB267" s="3">
        <f t="shared" si="253"/>
        <v>2.5277952371768976E-43</v>
      </c>
      <c r="AC267" s="3">
        <f t="shared" si="253"/>
        <v>0</v>
      </c>
      <c r="AD267" s="3">
        <f t="shared" si="253"/>
        <v>0</v>
      </c>
      <c r="AE267" s="3">
        <f t="shared" si="253"/>
        <v>0</v>
      </c>
      <c r="AF267" s="3">
        <f t="shared" si="253"/>
        <v>0</v>
      </c>
      <c r="AG267" s="3"/>
      <c r="AH267" s="3"/>
    </row>
    <row r="268" spans="2:34" x14ac:dyDescent="0.25">
      <c r="B268" s="3">
        <f t="shared" ref="B268:AF268" si="254">$C37*EXP(-B$246/$A37/EXP(-$E$126))</f>
        <v>8.559943957224532E-2</v>
      </c>
      <c r="C268" s="3">
        <f t="shared" si="254"/>
        <v>8.559943957224532E-2</v>
      </c>
      <c r="D268" s="3">
        <f t="shared" si="254"/>
        <v>8.559943957224532E-2</v>
      </c>
      <c r="E268" s="3">
        <f t="shared" si="254"/>
        <v>8.559943957224532E-2</v>
      </c>
      <c r="F268" s="3">
        <f t="shared" si="254"/>
        <v>8.559943957224532E-2</v>
      </c>
      <c r="G268" s="3">
        <f t="shared" si="254"/>
        <v>8.559943957224532E-2</v>
      </c>
      <c r="H268" s="3">
        <f t="shared" si="254"/>
        <v>8.559943957224532E-2</v>
      </c>
      <c r="I268" s="3">
        <f t="shared" si="254"/>
        <v>8.559943957224532E-2</v>
      </c>
      <c r="J268" s="3">
        <f t="shared" si="254"/>
        <v>8.559943957224532E-2</v>
      </c>
      <c r="K268" s="3">
        <f t="shared" si="254"/>
        <v>8.5599439572245306E-2</v>
      </c>
      <c r="L268" s="3">
        <f t="shared" si="254"/>
        <v>8.5599439572245251E-2</v>
      </c>
      <c r="M268" s="3">
        <f t="shared" si="254"/>
        <v>8.5599439572244584E-2</v>
      </c>
      <c r="N268" s="3">
        <f t="shared" si="254"/>
        <v>8.5599439572237923E-2</v>
      </c>
      <c r="O268" s="3">
        <f t="shared" si="254"/>
        <v>8.5599439572171282E-2</v>
      </c>
      <c r="P268" s="3">
        <f t="shared" si="254"/>
        <v>8.5599439571505037E-2</v>
      </c>
      <c r="Q268" s="3">
        <f t="shared" si="254"/>
        <v>8.5599439564842505E-2</v>
      </c>
      <c r="R268" s="3">
        <f t="shared" si="254"/>
        <v>8.5599439498217189E-2</v>
      </c>
      <c r="S268" s="3">
        <f t="shared" si="254"/>
        <v>8.5599438831964011E-2</v>
      </c>
      <c r="T268" s="3">
        <f t="shared" si="254"/>
        <v>8.5599432169432457E-2</v>
      </c>
      <c r="U268" s="3">
        <f t="shared" si="254"/>
        <v>8.5599365544145517E-2</v>
      </c>
      <c r="V268" s="3">
        <f t="shared" si="254"/>
        <v>8.5598699294128208E-2</v>
      </c>
      <c r="W268" s="3">
        <f t="shared" si="254"/>
        <v>8.5592037079159675E-2</v>
      </c>
      <c r="X268" s="3">
        <f t="shared" si="254"/>
        <v>8.552544344171896E-2</v>
      </c>
      <c r="Y268" s="3">
        <f t="shared" si="254"/>
        <v>8.4862350097730993E-2</v>
      </c>
      <c r="Z268" s="3">
        <f t="shared" si="254"/>
        <v>7.8507699868048106E-2</v>
      </c>
      <c r="AA268" s="3">
        <f t="shared" si="254"/>
        <v>3.6048254728475448E-2</v>
      </c>
      <c r="AB268" s="3">
        <f t="shared" si="254"/>
        <v>1.5017724767452243E-5</v>
      </c>
      <c r="AC268" s="3">
        <f t="shared" si="254"/>
        <v>2.3648473631368777E-39</v>
      </c>
      <c r="AD268" s="3">
        <f t="shared" si="254"/>
        <v>0</v>
      </c>
      <c r="AE268" s="3">
        <f t="shared" si="254"/>
        <v>0</v>
      </c>
      <c r="AF268" s="3">
        <f t="shared" si="254"/>
        <v>0</v>
      </c>
      <c r="AG268" s="3"/>
      <c r="AH268" s="3"/>
    </row>
    <row r="269" spans="2:34" x14ac:dyDescent="0.25">
      <c r="B269" s="3">
        <f t="shared" ref="B269:AF269" si="255">$C38*EXP(-B$246/$A38/EXP(-$E$126))</f>
        <v>3.0324649856523618E-2</v>
      </c>
      <c r="C269" s="3">
        <f t="shared" si="255"/>
        <v>3.0324649856523618E-2</v>
      </c>
      <c r="D269" s="3">
        <f t="shared" si="255"/>
        <v>3.0324649856523618E-2</v>
      </c>
      <c r="E269" s="3">
        <f t="shared" si="255"/>
        <v>3.0324649856523618E-2</v>
      </c>
      <c r="F269" s="3">
        <f t="shared" si="255"/>
        <v>3.0324649856523618E-2</v>
      </c>
      <c r="G269" s="3">
        <f t="shared" si="255"/>
        <v>3.0324649856523618E-2</v>
      </c>
      <c r="H269" s="3">
        <f t="shared" si="255"/>
        <v>3.0324649856523618E-2</v>
      </c>
      <c r="I269" s="3">
        <f t="shared" si="255"/>
        <v>3.0324649856523618E-2</v>
      </c>
      <c r="J269" s="3">
        <f t="shared" si="255"/>
        <v>3.0324649856523618E-2</v>
      </c>
      <c r="K269" s="3">
        <f t="shared" si="255"/>
        <v>3.0324649856523618E-2</v>
      </c>
      <c r="L269" s="3">
        <f t="shared" si="255"/>
        <v>3.0324649856523615E-2</v>
      </c>
      <c r="M269" s="3">
        <f t="shared" si="255"/>
        <v>3.0324649856523594E-2</v>
      </c>
      <c r="N269" s="3">
        <f t="shared" si="255"/>
        <v>3.0324649856523382E-2</v>
      </c>
      <c r="O269" s="3">
        <f t="shared" si="255"/>
        <v>3.0324649856521252E-2</v>
      </c>
      <c r="P269" s="3">
        <f t="shared" si="255"/>
        <v>3.032464985649996E-2</v>
      </c>
      <c r="Q269" s="3">
        <f t="shared" si="255"/>
        <v>3.0324649856287043E-2</v>
      </c>
      <c r="R269" s="3">
        <f t="shared" si="255"/>
        <v>3.0324649854157868E-2</v>
      </c>
      <c r="S269" s="3">
        <f t="shared" si="255"/>
        <v>3.032464983286615E-2</v>
      </c>
      <c r="T269" s="3">
        <f t="shared" si="255"/>
        <v>3.0324649619948942E-2</v>
      </c>
      <c r="U269" s="3">
        <f t="shared" si="255"/>
        <v>3.032464749077695E-2</v>
      </c>
      <c r="V269" s="3">
        <f t="shared" si="255"/>
        <v>3.0324626199065233E-2</v>
      </c>
      <c r="W269" s="3">
        <f t="shared" si="255"/>
        <v>3.0324413282770302E-2</v>
      </c>
      <c r="X269" s="3">
        <f t="shared" si="255"/>
        <v>3.0322284202040663E-2</v>
      </c>
      <c r="Y269" s="3">
        <f t="shared" si="255"/>
        <v>3.0301001614578712E-2</v>
      </c>
      <c r="Z269" s="3">
        <f t="shared" si="255"/>
        <v>3.0088995592001996E-2</v>
      </c>
      <c r="AA269" s="3">
        <f t="shared" si="255"/>
        <v>2.8048830115521652E-2</v>
      </c>
      <c r="AB269" s="3">
        <f t="shared" si="255"/>
        <v>1.3899057947454581E-2</v>
      </c>
      <c r="AC269" s="3">
        <f t="shared" si="255"/>
        <v>1.2407706185317342E-5</v>
      </c>
      <c r="AD269" s="3">
        <f t="shared" si="255"/>
        <v>3.9879789141782287E-36</v>
      </c>
      <c r="AE269" s="3">
        <f t="shared" si="255"/>
        <v>0</v>
      </c>
      <c r="AF269" s="3">
        <f t="shared" si="255"/>
        <v>0</v>
      </c>
      <c r="AG269" s="3"/>
      <c r="AH269" s="3"/>
    </row>
    <row r="270" spans="2:34" x14ac:dyDescent="0.25">
      <c r="B270" s="3">
        <f t="shared" ref="B270:AF270" si="256">$C39*EXP(-B$246/$A39/EXP(-$E$126))</f>
        <v>3.2131427411944066E-2</v>
      </c>
      <c r="C270" s="3">
        <f t="shared" si="256"/>
        <v>3.2131427411944066E-2</v>
      </c>
      <c r="D270" s="3">
        <f t="shared" si="256"/>
        <v>3.2131427411944066E-2</v>
      </c>
      <c r="E270" s="3">
        <f t="shared" si="256"/>
        <v>3.2131427411944066E-2</v>
      </c>
      <c r="F270" s="3">
        <f t="shared" si="256"/>
        <v>3.2131427411944066E-2</v>
      </c>
      <c r="G270" s="3">
        <f t="shared" si="256"/>
        <v>3.2131427411944066E-2</v>
      </c>
      <c r="H270" s="3">
        <f t="shared" si="256"/>
        <v>3.2131427411944066E-2</v>
      </c>
      <c r="I270" s="3">
        <f t="shared" si="256"/>
        <v>3.2131427411944066E-2</v>
      </c>
      <c r="J270" s="3">
        <f t="shared" si="256"/>
        <v>3.2131427411944066E-2</v>
      </c>
      <c r="K270" s="3">
        <f t="shared" si="256"/>
        <v>3.2131427411944066E-2</v>
      </c>
      <c r="L270" s="3">
        <f t="shared" si="256"/>
        <v>3.2131427411944066E-2</v>
      </c>
      <c r="M270" s="3">
        <f t="shared" si="256"/>
        <v>3.2131427411944059E-2</v>
      </c>
      <c r="N270" s="3">
        <f t="shared" si="256"/>
        <v>3.2131427411943997E-2</v>
      </c>
      <c r="O270" s="3">
        <f t="shared" si="256"/>
        <v>3.2131427411943372E-2</v>
      </c>
      <c r="P270" s="3">
        <f t="shared" si="256"/>
        <v>3.2131427411937134E-2</v>
      </c>
      <c r="Q270" s="3">
        <f t="shared" si="256"/>
        <v>3.2131427411874733E-2</v>
      </c>
      <c r="R270" s="3">
        <f t="shared" si="256"/>
        <v>3.2131427411250774E-2</v>
      </c>
      <c r="S270" s="3">
        <f t="shared" si="256"/>
        <v>3.2131427405011161E-2</v>
      </c>
      <c r="T270" s="3">
        <f t="shared" si="256"/>
        <v>3.2131427342615003E-2</v>
      </c>
      <c r="U270" s="3">
        <f t="shared" si="256"/>
        <v>3.2131426718653433E-2</v>
      </c>
      <c r="V270" s="3">
        <f t="shared" si="256"/>
        <v>3.2131420479038365E-2</v>
      </c>
      <c r="W270" s="3">
        <f t="shared" si="256"/>
        <v>3.2131358082954344E-2</v>
      </c>
      <c r="X270" s="3">
        <f t="shared" si="256"/>
        <v>3.2130734128778322E-2</v>
      </c>
      <c r="Y270" s="3">
        <f t="shared" si="256"/>
        <v>3.2124495253385378E-2</v>
      </c>
      <c r="Z270" s="3">
        <f t="shared" si="256"/>
        <v>3.2062173088335352E-2</v>
      </c>
      <c r="AA270" s="3">
        <f t="shared" si="256"/>
        <v>3.1445562728858401E-2</v>
      </c>
      <c r="AB270" s="3">
        <f t="shared" si="256"/>
        <v>2.5895454473573255E-2</v>
      </c>
      <c r="AC270" s="3">
        <f t="shared" si="256"/>
        <v>3.7141992838956727E-3</v>
      </c>
      <c r="AD270" s="3">
        <f t="shared" si="256"/>
        <v>1.3686167375593863E-11</v>
      </c>
      <c r="AE270" s="3">
        <f t="shared" si="256"/>
        <v>6.3160898112418694E-96</v>
      </c>
      <c r="AF270" s="3">
        <f t="shared" si="256"/>
        <v>0</v>
      </c>
      <c r="AG270" s="3"/>
      <c r="AH270" s="3"/>
    </row>
    <row r="271" spans="2:34" x14ac:dyDescent="0.25">
      <c r="B271" s="3">
        <f t="shared" ref="B271:AF271" si="257">$C40*EXP(-B$246/$A40/EXP(-$E$126))</f>
        <v>1.594333716386688E-2</v>
      </c>
      <c r="C271" s="3">
        <f t="shared" si="257"/>
        <v>1.594333716386688E-2</v>
      </c>
      <c r="D271" s="3">
        <f t="shared" si="257"/>
        <v>1.594333716386688E-2</v>
      </c>
      <c r="E271" s="3">
        <f t="shared" si="257"/>
        <v>1.594333716386688E-2</v>
      </c>
      <c r="F271" s="3">
        <f t="shared" si="257"/>
        <v>1.594333716386688E-2</v>
      </c>
      <c r="G271" s="3">
        <f t="shared" si="257"/>
        <v>1.594333716386688E-2</v>
      </c>
      <c r="H271" s="3">
        <f t="shared" si="257"/>
        <v>1.594333716386688E-2</v>
      </c>
      <c r="I271" s="3">
        <f t="shared" si="257"/>
        <v>1.594333716386688E-2</v>
      </c>
      <c r="J271" s="3">
        <f t="shared" si="257"/>
        <v>1.594333716386688E-2</v>
      </c>
      <c r="K271" s="3">
        <f t="shared" si="257"/>
        <v>1.594333716386688E-2</v>
      </c>
      <c r="L271" s="3">
        <f t="shared" si="257"/>
        <v>1.594333716386688E-2</v>
      </c>
      <c r="M271" s="3">
        <f t="shared" si="257"/>
        <v>1.594333716386688E-2</v>
      </c>
      <c r="N271" s="3">
        <f t="shared" si="257"/>
        <v>1.5943337163866877E-2</v>
      </c>
      <c r="O271" s="3">
        <f t="shared" si="257"/>
        <v>1.5943337163866846E-2</v>
      </c>
      <c r="P271" s="3">
        <f t="shared" si="257"/>
        <v>1.5943337163866537E-2</v>
      </c>
      <c r="Q271" s="3">
        <f t="shared" si="257"/>
        <v>1.5943337163863442E-2</v>
      </c>
      <c r="R271" s="3">
        <f t="shared" si="257"/>
        <v>1.5943337163832481E-2</v>
      </c>
      <c r="S271" s="3">
        <f t="shared" si="257"/>
        <v>1.5943337163522874E-2</v>
      </c>
      <c r="T271" s="3">
        <f t="shared" si="257"/>
        <v>1.594333716042683E-2</v>
      </c>
      <c r="U271" s="3">
        <f t="shared" si="257"/>
        <v>1.5943337129466398E-2</v>
      </c>
      <c r="V271" s="3">
        <f t="shared" si="257"/>
        <v>1.5943336819862045E-2</v>
      </c>
      <c r="W271" s="3">
        <f t="shared" si="257"/>
        <v>1.5943333723818863E-2</v>
      </c>
      <c r="X271" s="3">
        <f t="shared" si="257"/>
        <v>1.5943302763420108E-2</v>
      </c>
      <c r="Y271" s="3">
        <f t="shared" si="257"/>
        <v>1.5942993162739266E-2</v>
      </c>
      <c r="Z271" s="3">
        <f t="shared" si="257"/>
        <v>1.5939897486576558E-2</v>
      </c>
      <c r="AA271" s="3">
        <f t="shared" si="257"/>
        <v>1.5908973765777108E-2</v>
      </c>
      <c r="AB271" s="3">
        <f t="shared" si="257"/>
        <v>1.560301702336921E-2</v>
      </c>
      <c r="AC271" s="3">
        <f t="shared" si="257"/>
        <v>1.2849101174082072E-2</v>
      </c>
      <c r="AD271" s="3">
        <f t="shared" si="257"/>
        <v>1.8429536515059792E-3</v>
      </c>
      <c r="AE271" s="3">
        <f t="shared" si="257"/>
        <v>6.7909582152300031E-12</v>
      </c>
      <c r="AF271" s="3">
        <f t="shared" si="257"/>
        <v>3.1339892911343513E-96</v>
      </c>
      <c r="AG271" s="3"/>
      <c r="AH271" s="3"/>
    </row>
    <row r="272" spans="2:34" x14ac:dyDescent="0.25">
      <c r="B272" s="3">
        <f t="shared" ref="B272:AF272" si="258">$C41*EXP(-B$246/$A41/EXP(-$E$126))</f>
        <v>9.9907856671704312E-4</v>
      </c>
      <c r="C272" s="3">
        <f t="shared" si="258"/>
        <v>9.9907856671704312E-4</v>
      </c>
      <c r="D272" s="3">
        <f t="shared" si="258"/>
        <v>9.9907856671704312E-4</v>
      </c>
      <c r="E272" s="3">
        <f t="shared" si="258"/>
        <v>9.9907856671704312E-4</v>
      </c>
      <c r="F272" s="3">
        <f t="shared" si="258"/>
        <v>9.9907856671704312E-4</v>
      </c>
      <c r="G272" s="3">
        <f t="shared" si="258"/>
        <v>9.9907856671704312E-4</v>
      </c>
      <c r="H272" s="3">
        <f t="shared" si="258"/>
        <v>9.9907856671704312E-4</v>
      </c>
      <c r="I272" s="3">
        <f t="shared" si="258"/>
        <v>9.9907856671704312E-4</v>
      </c>
      <c r="J272" s="3">
        <f t="shared" si="258"/>
        <v>9.9907856671704312E-4</v>
      </c>
      <c r="K272" s="3">
        <f t="shared" si="258"/>
        <v>9.9907856671704312E-4</v>
      </c>
      <c r="L272" s="3">
        <f t="shared" si="258"/>
        <v>9.9907856671704312E-4</v>
      </c>
      <c r="M272" s="3">
        <f t="shared" si="258"/>
        <v>9.9907856671704312E-4</v>
      </c>
      <c r="N272" s="3">
        <f t="shared" si="258"/>
        <v>9.9907856671704312E-4</v>
      </c>
      <c r="O272" s="3">
        <f t="shared" si="258"/>
        <v>9.990785667170429E-4</v>
      </c>
      <c r="P272" s="3">
        <f t="shared" si="258"/>
        <v>9.9907856671704095E-4</v>
      </c>
      <c r="Q272" s="3">
        <f t="shared" si="258"/>
        <v>9.9907856671702165E-4</v>
      </c>
      <c r="R272" s="3">
        <f t="shared" si="258"/>
        <v>9.9907856671682758E-4</v>
      </c>
      <c r="S272" s="3">
        <f t="shared" si="258"/>
        <v>9.9907856671488729E-4</v>
      </c>
      <c r="T272" s="3">
        <f t="shared" si="258"/>
        <v>9.9907856669548636E-4</v>
      </c>
      <c r="U272" s="3">
        <f t="shared" si="258"/>
        <v>9.9907856650147467E-4</v>
      </c>
      <c r="V272" s="3">
        <f t="shared" si="258"/>
        <v>9.9907856456135972E-4</v>
      </c>
      <c r="W272" s="3">
        <f t="shared" si="258"/>
        <v>9.9907854516021019E-4</v>
      </c>
      <c r="X272" s="3">
        <f t="shared" si="258"/>
        <v>9.990783511487336E-4</v>
      </c>
      <c r="Y272" s="3">
        <f t="shared" si="258"/>
        <v>9.9907641103603962E-4</v>
      </c>
      <c r="Z272" s="3">
        <f t="shared" si="258"/>
        <v>9.9905701011631428E-4</v>
      </c>
      <c r="AA272" s="3">
        <f t="shared" si="258"/>
        <v>9.9886302163875351E-4</v>
      </c>
      <c r="AB272" s="3">
        <f t="shared" si="258"/>
        <v>9.9692520734452335E-4</v>
      </c>
      <c r="AC272" s="3">
        <f t="shared" si="258"/>
        <v>9.7775263258551579E-4</v>
      </c>
      <c r="AD272" s="3">
        <f t="shared" si="258"/>
        <v>8.051803366297659E-4</v>
      </c>
      <c r="AE272" s="3">
        <f t="shared" si="258"/>
        <v>1.1548745872636106E-4</v>
      </c>
      <c r="AF272" s="3">
        <f t="shared" si="258"/>
        <v>4.2555085742549562E-13</v>
      </c>
      <c r="AG272" s="3"/>
      <c r="AH272" s="3"/>
    </row>
    <row r="273" spans="1:34" x14ac:dyDescent="0.25">
      <c r="B273" s="3">
        <f t="shared" ref="B273:AF273" si="259">$C42*EXP(-B$246/$A42/EXP(-$E$126))</f>
        <v>3.5389734266527166E-3</v>
      </c>
      <c r="C273" s="3">
        <f t="shared" si="259"/>
        <v>3.5389734266527166E-3</v>
      </c>
      <c r="D273" s="3">
        <f t="shared" si="259"/>
        <v>3.5389734266527166E-3</v>
      </c>
      <c r="E273" s="3">
        <f t="shared" si="259"/>
        <v>3.5389734266527166E-3</v>
      </c>
      <c r="F273" s="3">
        <f t="shared" si="259"/>
        <v>3.5389734266527166E-3</v>
      </c>
      <c r="G273" s="3">
        <f t="shared" si="259"/>
        <v>3.5389734266527166E-3</v>
      </c>
      <c r="H273" s="3">
        <f t="shared" si="259"/>
        <v>3.5389734266527166E-3</v>
      </c>
      <c r="I273" s="3">
        <f t="shared" si="259"/>
        <v>3.5389734266527166E-3</v>
      </c>
      <c r="J273" s="3">
        <f t="shared" si="259"/>
        <v>3.5389734266527166E-3</v>
      </c>
      <c r="K273" s="3">
        <f t="shared" si="259"/>
        <v>3.5389734266527166E-3</v>
      </c>
      <c r="L273" s="3">
        <f t="shared" si="259"/>
        <v>3.5389734266527166E-3</v>
      </c>
      <c r="M273" s="3">
        <f t="shared" si="259"/>
        <v>3.5389734266527166E-3</v>
      </c>
      <c r="N273" s="3">
        <f t="shared" si="259"/>
        <v>3.5389734266527166E-3</v>
      </c>
      <c r="O273" s="3">
        <f t="shared" si="259"/>
        <v>3.5389734266527166E-3</v>
      </c>
      <c r="P273" s="3">
        <f t="shared" si="259"/>
        <v>3.5389734266527157E-3</v>
      </c>
      <c r="Q273" s="3">
        <f t="shared" si="259"/>
        <v>3.5389734266527092E-3</v>
      </c>
      <c r="R273" s="3">
        <f t="shared" si="259"/>
        <v>3.5389734266526402E-3</v>
      </c>
      <c r="S273" s="3">
        <f t="shared" si="259"/>
        <v>3.5389734266519533E-3</v>
      </c>
      <c r="T273" s="3">
        <f t="shared" si="259"/>
        <v>3.5389734266450803E-3</v>
      </c>
      <c r="U273" s="3">
        <f t="shared" si="259"/>
        <v>3.5389734265763571E-3</v>
      </c>
      <c r="V273" s="3">
        <f t="shared" si="259"/>
        <v>3.5389734258891221E-3</v>
      </c>
      <c r="W273" s="3">
        <f t="shared" si="259"/>
        <v>3.5389734190167743E-3</v>
      </c>
      <c r="X273" s="3">
        <f t="shared" si="259"/>
        <v>3.5389733502932974E-3</v>
      </c>
      <c r="Y273" s="3">
        <f t="shared" si="259"/>
        <v>3.5389726630585963E-3</v>
      </c>
      <c r="Z273" s="3">
        <f t="shared" si="259"/>
        <v>3.5389657907189255E-3</v>
      </c>
      <c r="AA273" s="3">
        <f t="shared" si="259"/>
        <v>3.5388970680562165E-3</v>
      </c>
      <c r="AB273" s="3">
        <f t="shared" si="259"/>
        <v>3.5382099148231921E-3</v>
      </c>
      <c r="AC273" s="3">
        <f t="shared" si="259"/>
        <v>3.5313457166294472E-3</v>
      </c>
      <c r="AD273" s="3">
        <f t="shared" si="259"/>
        <v>3.4634319059913127E-3</v>
      </c>
      <c r="AE273" s="3">
        <f t="shared" si="259"/>
        <v>2.8521398716013723E-3</v>
      </c>
      <c r="AF273" s="3">
        <f t="shared" si="259"/>
        <v>4.0908399114921389E-4</v>
      </c>
      <c r="AG273" s="3"/>
      <c r="AH273" s="3"/>
    </row>
    <row r="274" spans="1:34" x14ac:dyDescent="0.25">
      <c r="B274" s="3">
        <f t="shared" ref="B274:AF274" si="260">$C43*EXP(-B$246/$A43/EXP(-$E$126))</f>
        <v>1.6157045586307682E-4</v>
      </c>
      <c r="C274" s="3">
        <f t="shared" si="260"/>
        <v>1.6157045586307682E-4</v>
      </c>
      <c r="D274" s="3">
        <f t="shared" si="260"/>
        <v>1.6157045586307682E-4</v>
      </c>
      <c r="E274" s="3">
        <f t="shared" si="260"/>
        <v>1.6157045586307682E-4</v>
      </c>
      <c r="F274" s="3">
        <f t="shared" si="260"/>
        <v>1.6157045586307682E-4</v>
      </c>
      <c r="G274" s="3">
        <f t="shared" si="260"/>
        <v>1.6157045586307682E-4</v>
      </c>
      <c r="H274" s="3">
        <f t="shared" si="260"/>
        <v>1.6157045586307682E-4</v>
      </c>
      <c r="I274" s="3">
        <f t="shared" si="260"/>
        <v>1.6157045586307682E-4</v>
      </c>
      <c r="J274" s="3">
        <f t="shared" si="260"/>
        <v>1.6157045586307682E-4</v>
      </c>
      <c r="K274" s="3">
        <f t="shared" si="260"/>
        <v>1.6157045586307682E-4</v>
      </c>
      <c r="L274" s="3">
        <f t="shared" si="260"/>
        <v>1.6157045586307682E-4</v>
      </c>
      <c r="M274" s="3">
        <f t="shared" si="260"/>
        <v>1.6157045586307682E-4</v>
      </c>
      <c r="N274" s="3">
        <f t="shared" si="260"/>
        <v>1.6157045586307682E-4</v>
      </c>
      <c r="O274" s="3">
        <f t="shared" si="260"/>
        <v>1.6157045586307682E-4</v>
      </c>
      <c r="P274" s="3">
        <f t="shared" si="260"/>
        <v>1.6157045586307682E-4</v>
      </c>
      <c r="Q274" s="3">
        <f t="shared" si="260"/>
        <v>1.6157045586307679E-4</v>
      </c>
      <c r="R274" s="3">
        <f t="shared" si="260"/>
        <v>1.6157045586307647E-4</v>
      </c>
      <c r="S274" s="3">
        <f t="shared" si="260"/>
        <v>1.6157045586307335E-4</v>
      </c>
      <c r="T274" s="3">
        <f t="shared" si="260"/>
        <v>1.6157045586304196E-4</v>
      </c>
      <c r="U274" s="3">
        <f t="shared" si="260"/>
        <v>1.6157045586272819E-4</v>
      </c>
      <c r="V274" s="3">
        <f t="shared" si="260"/>
        <v>1.6157045585959065E-4</v>
      </c>
      <c r="W274" s="3">
        <f t="shared" si="260"/>
        <v>1.6157045582821522E-4</v>
      </c>
      <c r="X274" s="3">
        <f t="shared" si="260"/>
        <v>1.6157045551446085E-4</v>
      </c>
      <c r="Y274" s="3">
        <f t="shared" si="260"/>
        <v>1.6157045237691722E-4</v>
      </c>
      <c r="Z274" s="3">
        <f t="shared" si="260"/>
        <v>1.6157042100148415E-4</v>
      </c>
      <c r="AA274" s="3">
        <f t="shared" si="260"/>
        <v>1.6157010724748841E-4</v>
      </c>
      <c r="AB274" s="3">
        <f t="shared" si="260"/>
        <v>1.6156696974104135E-4</v>
      </c>
      <c r="AC274" s="3">
        <f t="shared" si="260"/>
        <v>1.6153559802734848E-4</v>
      </c>
      <c r="AD274" s="3">
        <f t="shared" si="260"/>
        <v>1.6122221572757045E-4</v>
      </c>
      <c r="AE274" s="3">
        <f t="shared" si="260"/>
        <v>1.581216371073516E-4</v>
      </c>
      <c r="AF274" s="3">
        <f t="shared" si="260"/>
        <v>1.3021333694380183E-4</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1.333349737784439E-4</v>
      </c>
      <c r="C276" s="3">
        <f t="shared" si="262"/>
        <v>1.333349737784439E-4</v>
      </c>
      <c r="D276" s="3">
        <f t="shared" si="262"/>
        <v>1.333349737784439E-4</v>
      </c>
      <c r="E276" s="3">
        <f t="shared" si="262"/>
        <v>1.333349737784439E-4</v>
      </c>
      <c r="F276" s="3">
        <f t="shared" si="262"/>
        <v>1.333349737784439E-4</v>
      </c>
      <c r="G276" s="3">
        <f t="shared" si="262"/>
        <v>1.333349737784439E-4</v>
      </c>
      <c r="H276" s="3">
        <f t="shared" si="262"/>
        <v>1.333349737784439E-4</v>
      </c>
      <c r="I276" s="3">
        <f t="shared" si="262"/>
        <v>1.333349737784439E-4</v>
      </c>
      <c r="J276" s="3">
        <f t="shared" si="262"/>
        <v>1.333349737784439E-4</v>
      </c>
      <c r="K276" s="3">
        <f t="shared" si="262"/>
        <v>1.333349737784439E-4</v>
      </c>
      <c r="L276" s="3">
        <f t="shared" si="262"/>
        <v>1.333349737784439E-4</v>
      </c>
      <c r="M276" s="3">
        <f t="shared" si="262"/>
        <v>1.333349737784439E-4</v>
      </c>
      <c r="N276" s="3">
        <f t="shared" si="262"/>
        <v>1.333349737784439E-4</v>
      </c>
      <c r="O276" s="3">
        <f t="shared" si="262"/>
        <v>1.333349737784439E-4</v>
      </c>
      <c r="P276" s="3">
        <f t="shared" si="262"/>
        <v>1.333349737784439E-4</v>
      </c>
      <c r="Q276" s="3">
        <f t="shared" si="262"/>
        <v>1.333349737784439E-4</v>
      </c>
      <c r="R276" s="3">
        <f t="shared" si="262"/>
        <v>1.333349737784439E-4</v>
      </c>
      <c r="S276" s="3">
        <f t="shared" si="262"/>
        <v>1.3333497377844387E-4</v>
      </c>
      <c r="T276" s="3">
        <f t="shared" si="262"/>
        <v>1.3333497377844363E-4</v>
      </c>
      <c r="U276" s="3">
        <f t="shared" si="262"/>
        <v>1.3333497377844103E-4</v>
      </c>
      <c r="V276" s="3">
        <f t="shared" si="262"/>
        <v>1.3333497377841514E-4</v>
      </c>
      <c r="W276" s="3">
        <f t="shared" si="262"/>
        <v>1.3333497377815621E-4</v>
      </c>
      <c r="X276" s="3">
        <f t="shared" si="262"/>
        <v>1.3333497377556697E-4</v>
      </c>
      <c r="Y276" s="3">
        <f t="shared" si="262"/>
        <v>1.333349737496746E-4</v>
      </c>
      <c r="Z276" s="3">
        <f t="shared" si="262"/>
        <v>1.3333497349075083E-4</v>
      </c>
      <c r="AA276" s="3">
        <f t="shared" si="262"/>
        <v>1.3333497090151325E-4</v>
      </c>
      <c r="AB276" s="3">
        <f t="shared" si="262"/>
        <v>1.3333494500913999E-4</v>
      </c>
      <c r="AC276" s="3">
        <f t="shared" si="262"/>
        <v>1.3333468608568415E-4</v>
      </c>
      <c r="AD276" s="3">
        <f t="shared" si="262"/>
        <v>1.3333209687877988E-4</v>
      </c>
      <c r="AE276" s="3">
        <f t="shared" si="262"/>
        <v>1.3330620757494476E-4</v>
      </c>
      <c r="AF276" s="3">
        <f t="shared" si="262"/>
        <v>1.3304759085878628E-4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2.9933424394364084E-4</v>
      </c>
      <c r="C279" s="3">
        <f t="shared" si="265"/>
        <v>2.9933424394364084E-4</v>
      </c>
      <c r="D279" s="3">
        <f t="shared" si="265"/>
        <v>2.9933424394364084E-4</v>
      </c>
      <c r="E279" s="3">
        <f t="shared" si="265"/>
        <v>2.9933424394364084E-4</v>
      </c>
      <c r="F279" s="3">
        <f t="shared" si="265"/>
        <v>2.9933424394364084E-4</v>
      </c>
      <c r="G279" s="3">
        <f t="shared" si="265"/>
        <v>2.9933424394364084E-4</v>
      </c>
      <c r="H279" s="3">
        <f t="shared" si="265"/>
        <v>2.9933424394364084E-4</v>
      </c>
      <c r="I279" s="3">
        <f t="shared" si="265"/>
        <v>2.9933424394364084E-4</v>
      </c>
      <c r="J279" s="3">
        <f t="shared" si="265"/>
        <v>2.9933424394364084E-4</v>
      </c>
      <c r="K279" s="3">
        <f t="shared" si="265"/>
        <v>2.9933424394364084E-4</v>
      </c>
      <c r="L279" s="3">
        <f t="shared" si="265"/>
        <v>2.9933424394364084E-4</v>
      </c>
      <c r="M279" s="3">
        <f t="shared" si="265"/>
        <v>2.9933424394364084E-4</v>
      </c>
      <c r="N279" s="3">
        <f t="shared" si="265"/>
        <v>2.9933424394364084E-4</v>
      </c>
      <c r="O279" s="3">
        <f t="shared" si="265"/>
        <v>2.9933424394364084E-4</v>
      </c>
      <c r="P279" s="3">
        <f t="shared" si="265"/>
        <v>2.9933424394364084E-4</v>
      </c>
      <c r="Q279" s="3">
        <f t="shared" si="265"/>
        <v>2.9933424394364084E-4</v>
      </c>
      <c r="R279" s="3">
        <f t="shared" si="265"/>
        <v>2.9933424394364084E-4</v>
      </c>
      <c r="S279" s="3">
        <f t="shared" si="265"/>
        <v>2.9933424394364084E-4</v>
      </c>
      <c r="T279" s="3">
        <f t="shared" si="265"/>
        <v>2.9933424394364084E-4</v>
      </c>
      <c r="U279" s="3">
        <f t="shared" si="265"/>
        <v>2.9933424394364084E-4</v>
      </c>
      <c r="V279" s="3">
        <f t="shared" si="265"/>
        <v>2.9933424394364079E-4</v>
      </c>
      <c r="W279" s="3">
        <f t="shared" si="265"/>
        <v>2.9933424394364019E-4</v>
      </c>
      <c r="X279" s="3">
        <f t="shared" si="265"/>
        <v>2.9933424394363439E-4</v>
      </c>
      <c r="Y279" s="3">
        <f t="shared" si="265"/>
        <v>2.9933424394357628E-4</v>
      </c>
      <c r="Z279" s="3">
        <f t="shared" si="265"/>
        <v>2.9933424394299499E-4</v>
      </c>
      <c r="AA279" s="3">
        <f t="shared" si="265"/>
        <v>2.993342439371822E-4</v>
      </c>
      <c r="AB279" s="3">
        <f t="shared" si="265"/>
        <v>2.9933424387905433E-4</v>
      </c>
      <c r="AC279" s="3">
        <f t="shared" si="265"/>
        <v>2.9933424329777586E-4</v>
      </c>
      <c r="AD279" s="3">
        <f t="shared" si="265"/>
        <v>2.9933423748499131E-4</v>
      </c>
      <c r="AE279" s="3">
        <f t="shared" si="265"/>
        <v>2.9933417935715175E-4</v>
      </c>
      <c r="AF279" s="3">
        <f t="shared" si="265"/>
        <v>2.993335980793767E-4</v>
      </c>
      <c r="AG279" s="3"/>
      <c r="AH279" s="3"/>
    </row>
    <row r="280" spans="1:34" x14ac:dyDescent="0.25">
      <c r="A280" s="79">
        <f>AVERAGE(B280:AF280)</f>
        <v>1.8583082638052483E-2</v>
      </c>
      <c r="B280" s="80">
        <f>IF($D$61&lt;=B246,IF($E$61&gt;=B246,ABS((B248-B247)/B247),0),0)</f>
        <v>2.9779870266006992E-3</v>
      </c>
      <c r="C280" s="80">
        <f t="shared" ref="C280:AF280" si="266">IF($D$61&lt;=C246,IF($E$61&gt;=C246,ABS((C248-C247)/C247),0),0)</f>
        <v>3.7801455122298466E-3</v>
      </c>
      <c r="D280" s="80">
        <f t="shared" si="266"/>
        <v>3.7750918201479625E-3</v>
      </c>
      <c r="E280" s="80">
        <f t="shared" si="266"/>
        <v>3.7735911072817913E-3</v>
      </c>
      <c r="F280" s="80">
        <f t="shared" si="266"/>
        <v>3.7731423057423127E-3</v>
      </c>
      <c r="G280" s="80">
        <f t="shared" si="266"/>
        <v>3.7732232026626814E-3</v>
      </c>
      <c r="H280" s="80">
        <f t="shared" si="266"/>
        <v>3.7753277359235437E-3</v>
      </c>
      <c r="I280" s="80">
        <f t="shared" si="266"/>
        <v>3.7970446141489672E-3</v>
      </c>
      <c r="J280" s="80">
        <f t="shared" si="266"/>
        <v>4.0111643301799817E-3</v>
      </c>
      <c r="K280" s="80">
        <f t="shared" si="266"/>
        <v>5.8764235897998769E-3</v>
      </c>
      <c r="L280" s="80">
        <f t="shared" si="266"/>
        <v>1.3817728673078958E-2</v>
      </c>
      <c r="M280" s="80">
        <f t="shared" si="266"/>
        <v>2.1459185753008585E-2</v>
      </c>
      <c r="N280" s="80">
        <f t="shared" si="266"/>
        <v>2.2801959592540232E-2</v>
      </c>
      <c r="O280" s="80">
        <f t="shared" si="266"/>
        <v>2.7523526007474968E-2</v>
      </c>
      <c r="P280" s="80">
        <f t="shared" si="266"/>
        <v>3.1800360018461274E-2</v>
      </c>
      <c r="Q280" s="80">
        <f t="shared" si="266"/>
        <v>3.4452553247909967E-2</v>
      </c>
      <c r="R280" s="80">
        <f t="shared" si="266"/>
        <v>4.3616645024908224E-2</v>
      </c>
      <c r="S280" s="80">
        <f t="shared" si="266"/>
        <v>2.9482377043788113E-2</v>
      </c>
      <c r="T280" s="80">
        <f t="shared" si="266"/>
        <v>1.0279919921213092E-2</v>
      </c>
      <c r="U280" s="80">
        <f t="shared" si="266"/>
        <v>5.9031129092098421E-2</v>
      </c>
      <c r="V280" s="80">
        <f t="shared" si="266"/>
        <v>9.2092855065850757E-2</v>
      </c>
      <c r="W280" s="80">
        <f t="shared" si="266"/>
        <v>6.7450243004499172E-2</v>
      </c>
      <c r="X280" s="80">
        <f t="shared" si="266"/>
        <v>7.3315699874072805E-3</v>
      </c>
      <c r="Y280" s="80">
        <f t="shared" si="266"/>
        <v>7.5622368102670312E-2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375.14582731705025</v>
      </c>
      <c r="C281" s="21">
        <f t="shared" ref="C281:AF281" si="267">(C248-C247)^2</f>
        <v>604.47546430278908</v>
      </c>
      <c r="D281" s="21">
        <f t="shared" si="267"/>
        <v>602.85417649817191</v>
      </c>
      <c r="E281" s="21">
        <f t="shared" si="267"/>
        <v>602.37314846062065</v>
      </c>
      <c r="F281" s="21">
        <f t="shared" si="267"/>
        <v>602.22930085534313</v>
      </c>
      <c r="G281" s="21">
        <f t="shared" si="267"/>
        <v>602.25491903934312</v>
      </c>
      <c r="H281" s="21">
        <f t="shared" si="267"/>
        <v>602.92643453248161</v>
      </c>
      <c r="I281" s="21">
        <f t="shared" si="267"/>
        <v>609.87870633355988</v>
      </c>
      <c r="J281" s="21">
        <f t="shared" si="267"/>
        <v>680.55572924302646</v>
      </c>
      <c r="K281" s="21">
        <f t="shared" si="267"/>
        <v>1459.6822282276003</v>
      </c>
      <c r="L281" s="21">
        <f t="shared" si="267"/>
        <v>8020.2630205765327</v>
      </c>
      <c r="M281" s="21">
        <f t="shared" si="267"/>
        <v>18654.450051262582</v>
      </c>
      <c r="N281" s="21">
        <f t="shared" si="267"/>
        <v>20112.346903463498</v>
      </c>
      <c r="O281" s="21">
        <f t="shared" si="267"/>
        <v>27819.563677302445</v>
      </c>
      <c r="P281" s="21">
        <f t="shared" si="267"/>
        <v>34852.484931742772</v>
      </c>
      <c r="Q281" s="21">
        <f t="shared" si="267"/>
        <v>38148.375296327489</v>
      </c>
      <c r="R281" s="21">
        <f t="shared" si="267"/>
        <v>55956.814134228633</v>
      </c>
      <c r="S281" s="21">
        <f t="shared" si="267"/>
        <v>22298.050879646653</v>
      </c>
      <c r="T281" s="21">
        <f t="shared" si="267"/>
        <v>2216.8970125822889</v>
      </c>
      <c r="U281" s="21">
        <f t="shared" si="267"/>
        <v>58174.209171831724</v>
      </c>
      <c r="V281" s="21">
        <f t="shared" si="267"/>
        <v>112476.22965680866</v>
      </c>
      <c r="W281" s="21">
        <f t="shared" si="267"/>
        <v>47513.620702885877</v>
      </c>
      <c r="X281" s="21">
        <f t="shared" si="267"/>
        <v>417.12766087813776</v>
      </c>
      <c r="Y281" s="21">
        <f t="shared" si="267"/>
        <v>30124.784262815745</v>
      </c>
      <c r="Z281" s="21">
        <f t="shared" si="267"/>
        <v>92673.264077833272</v>
      </c>
      <c r="AA281" s="21">
        <f t="shared" si="267"/>
        <v>83775.721260866034</v>
      </c>
      <c r="AB281" s="21">
        <f t="shared" si="267"/>
        <v>35230.082376882034</v>
      </c>
      <c r="AC281" s="21">
        <f t="shared" si="267"/>
        <v>19610.500266312538</v>
      </c>
      <c r="AD281" s="21">
        <f t="shared" si="267"/>
        <v>3801.8960159462677</v>
      </c>
      <c r="AE281" s="21">
        <f t="shared" si="267"/>
        <v>144.34110790068578</v>
      </c>
      <c r="AF281" s="21">
        <f t="shared" si="267"/>
        <v>78.274056580561492</v>
      </c>
      <c r="AG281" s="3"/>
      <c r="AH281" s="3"/>
    </row>
    <row r="282" spans="1:34" s="3" customFormat="1" x14ac:dyDescent="0.25">
      <c r="A282" s="71">
        <f>SUM(B282:AF282)</f>
        <v>483527.59329716302</v>
      </c>
      <c r="B282" s="21">
        <f>IF($D$61&lt;=B246,IF($E$61&gt;=B246,ABS(B281),0),0)</f>
        <v>375.14582731705025</v>
      </c>
      <c r="C282" s="21">
        <f t="shared" ref="C282:AF282" si="268">IF($D$61&lt;=C246,IF($E$61&gt;=C246,ABS(C281),0),0)</f>
        <v>604.47546430278908</v>
      </c>
      <c r="D282" s="21">
        <f t="shared" si="268"/>
        <v>602.85417649817191</v>
      </c>
      <c r="E282" s="21">
        <f t="shared" si="268"/>
        <v>602.37314846062065</v>
      </c>
      <c r="F282" s="21">
        <f t="shared" si="268"/>
        <v>602.22930085534313</v>
      </c>
      <c r="G282" s="21">
        <f t="shared" si="268"/>
        <v>602.25491903934312</v>
      </c>
      <c r="H282" s="21">
        <f t="shared" si="268"/>
        <v>602.92643453248161</v>
      </c>
      <c r="I282" s="21">
        <f t="shared" si="268"/>
        <v>609.87870633355988</v>
      </c>
      <c r="J282" s="21">
        <f t="shared" si="268"/>
        <v>680.55572924302646</v>
      </c>
      <c r="K282" s="21">
        <f t="shared" si="268"/>
        <v>1459.6822282276003</v>
      </c>
      <c r="L282" s="21">
        <f t="shared" si="268"/>
        <v>8020.2630205765327</v>
      </c>
      <c r="M282" s="21">
        <f t="shared" si="268"/>
        <v>18654.450051262582</v>
      </c>
      <c r="N282" s="21">
        <f t="shared" si="268"/>
        <v>20112.346903463498</v>
      </c>
      <c r="O282" s="21">
        <f t="shared" si="268"/>
        <v>27819.563677302445</v>
      </c>
      <c r="P282" s="21">
        <f t="shared" si="268"/>
        <v>34852.484931742772</v>
      </c>
      <c r="Q282" s="21">
        <f t="shared" si="268"/>
        <v>38148.375296327489</v>
      </c>
      <c r="R282" s="21">
        <f t="shared" si="268"/>
        <v>55956.814134228633</v>
      </c>
      <c r="S282" s="21">
        <f t="shared" si="268"/>
        <v>22298.050879646653</v>
      </c>
      <c r="T282" s="21">
        <f t="shared" si="268"/>
        <v>2216.8970125822889</v>
      </c>
      <c r="U282" s="21">
        <f t="shared" si="268"/>
        <v>58174.209171831724</v>
      </c>
      <c r="V282" s="21">
        <f t="shared" si="268"/>
        <v>112476.22965680866</v>
      </c>
      <c r="W282" s="21">
        <f t="shared" si="268"/>
        <v>47513.620702885877</v>
      </c>
      <c r="X282" s="21">
        <f t="shared" si="268"/>
        <v>417.12766087813776</v>
      </c>
      <c r="Y282" s="21">
        <f t="shared" si="268"/>
        <v>30124.784262815745</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6479.0859474371819</v>
      </c>
      <c r="C286" s="26">
        <f>INDEX(Comparison!$AM$3:$AS$33,G$14,$F$122)</f>
        <v>6479.1324839978006</v>
      </c>
      <c r="D286" s="26">
        <f>INDEX(Comparison!$AM$3:$AS$33,H$14,$F$122)</f>
        <v>6479.041978197979</v>
      </c>
      <c r="E286" s="26">
        <f>INDEX(Comparison!$AM$3:$AS$33,I$14,$F$122)</f>
        <v>6478.4539559822069</v>
      </c>
      <c r="F286" s="26">
        <f>INDEX(Comparison!$AM$3:$AS$33,J$14,$F$122)</f>
        <v>6472.7726535549082</v>
      </c>
      <c r="G286" s="26">
        <f>INDEX(Comparison!$AM$3:$AS$33,K$14,$F$122)</f>
        <v>6425.3224026678754</v>
      </c>
      <c r="H286" s="26">
        <f>INDEX(Comparison!$AM$3:$AS$33,L$14,$F$122)</f>
        <v>6280.1372572444334</v>
      </c>
      <c r="I286" s="26">
        <f>INDEX(Comparison!$AM$3:$AS$33,M$14,$F$122)</f>
        <v>6130.7451181848783</v>
      </c>
      <c r="J286" s="26">
        <f>INDEX(Comparison!$AM$3:$AS$33,N$14,$F$122)</f>
        <v>5959.459898848826</v>
      </c>
      <c r="K286" s="26">
        <f>INDEX(Comparison!$AM$3:$AS$33,O$14,$F$122)</f>
        <v>5758.6320512376351</v>
      </c>
      <c r="L286" s="26">
        <f>INDEX(Comparison!$AM$3:$AS$33,P$14,$F$122)</f>
        <v>5553.7107715147085</v>
      </c>
      <c r="M286" s="26">
        <f>INDEX(Comparison!$AM$3:$AS$33,Q$14,$F$122)</f>
        <v>5296.2160470219478</v>
      </c>
      <c r="N286" s="26">
        <f>INDEX(Comparison!$AM$3:$AS$33,R$14,$F$122)</f>
        <v>5014.3504980568096</v>
      </c>
      <c r="O286" s="26">
        <f>INDEX(Comparison!$AM$3:$AS$33,S$14,$F$122)</f>
        <v>4737.7084148388376</v>
      </c>
      <c r="P286" s="26">
        <f>INDEX(Comparison!$AM$3:$AS$33,T$14,$F$122)</f>
        <v>4438.626264954587</v>
      </c>
      <c r="Q286" s="26">
        <f>INDEX(Comparison!$AM$3:$AS$33,U$14,$F$122)</f>
        <v>4115.3629839514006</v>
      </c>
      <c r="R286" s="26">
        <f>INDEX(Comparison!$AM$3:$AS$33,V$14,$F$122)</f>
        <v>3662.5886079597385</v>
      </c>
      <c r="S286" s="26">
        <f>INDEX(Comparison!$AM$3:$AS$33,W$14,$F$122)</f>
        <v>3039.7716426269371</v>
      </c>
      <c r="T286" s="26">
        <f>INDEX(Comparison!$AM$3:$AS$33,X$14,$F$122)</f>
        <v>2356.5178874385392</v>
      </c>
      <c r="U286" s="26">
        <f>INDEX(Comparison!$AM$3:$AS$33,Y$14,$F$122)</f>
        <v>1664.6092730189016</v>
      </c>
      <c r="V286" s="26">
        <f>INDEX(Comparison!$AM$3:$AS$33,Z$14,$F$122)</f>
        <v>1039.9214556238178</v>
      </c>
      <c r="W286" s="26">
        <f>INDEX(Comparison!$AM$3:$AS$33,AA$14,$F$122)</f>
        <v>595.89522173414423</v>
      </c>
      <c r="X286" s="26">
        <f>INDEX(Comparison!$AM$3:$AS$33,AB$14,$F$122)</f>
        <v>331.71701217899948</v>
      </c>
      <c r="Y286" s="26">
        <f>INDEX(Comparison!$AM$3:$AS$33,AC$14,$F$122)</f>
        <v>192.72704730170403</v>
      </c>
      <c r="Z286" s="26">
        <f>INDEX(Comparison!$AM$3:$AS$33,AD$14,$F$122)</f>
        <v>148.89299884614732</v>
      </c>
      <c r="AA286" s="26">
        <f>INDEX(Comparison!$AM$3:$AS$33,AE$14,$F$122)</f>
        <v>134.12130031566326</v>
      </c>
      <c r="AB286" s="26">
        <f>INDEX(Comparison!$AM$3:$AS$33,AF$14,$F$122)</f>
        <v>124.90206072555479</v>
      </c>
      <c r="AC286" s="26">
        <f>INDEX(Comparison!$AM$3:$AS$33,AG$14,$F$122)</f>
        <v>124.64007063602084</v>
      </c>
      <c r="AD286" s="26">
        <f>INDEX(Comparison!$AM$3:$AS$33,AH$14,$F$122)</f>
        <v>123.89500698166064</v>
      </c>
      <c r="AE286" s="26">
        <f>INDEX(Comparison!$AM$3:$AS$33,AI$14,$F$122)</f>
        <v>123.88320178471095</v>
      </c>
      <c r="AF286" s="26">
        <f>INDEX(Comparison!$AM$3:$AS$33,AJ$14,$F$122)</f>
        <v>123.47472292148701</v>
      </c>
      <c r="AG286" s="26"/>
      <c r="AH286" s="26"/>
    </row>
    <row r="287" spans="1:34" x14ac:dyDescent="0.25">
      <c r="A287" s="70" t="s">
        <v>22</v>
      </c>
      <c r="B287" s="27">
        <f>($C$17+SUM(B288:B318))*$B$51</f>
        <v>6479.4173945529619</v>
      </c>
      <c r="C287" s="27">
        <f t="shared" ref="C287:AF287" si="269">($C$17+SUM(C288:C318))*$B$51</f>
        <v>6479.4098228195207</v>
      </c>
      <c r="D287" s="27">
        <f t="shared" si="269"/>
        <v>6479.3341502590447</v>
      </c>
      <c r="E287" s="27">
        <f t="shared" si="269"/>
        <v>6478.5818754761995</v>
      </c>
      <c r="F287" s="27">
        <f t="shared" si="269"/>
        <v>6471.4788373329711</v>
      </c>
      <c r="G287" s="27">
        <f t="shared" si="269"/>
        <v>6425.6189297582268</v>
      </c>
      <c r="H287" s="27">
        <f t="shared" si="269"/>
        <v>6280.1239131582124</v>
      </c>
      <c r="I287" s="27">
        <f t="shared" si="269"/>
        <v>6130.6774443708528</v>
      </c>
      <c r="J287" s="27">
        <f t="shared" si="269"/>
        <v>5959.6559172302123</v>
      </c>
      <c r="K287" s="27">
        <f t="shared" si="269"/>
        <v>5758.2425150743247</v>
      </c>
      <c r="L287" s="27">
        <f t="shared" si="269"/>
        <v>5554.3880744306261</v>
      </c>
      <c r="M287" s="27">
        <f t="shared" si="269"/>
        <v>5295.2415940429019</v>
      </c>
      <c r="N287" s="27">
        <f t="shared" si="269"/>
        <v>5015.5679803859994</v>
      </c>
      <c r="O287" s="27">
        <f t="shared" si="269"/>
        <v>4736.435925626256</v>
      </c>
      <c r="P287" s="27">
        <f t="shared" si="269"/>
        <v>4439.7821344897247</v>
      </c>
      <c r="Q287" s="27">
        <f t="shared" si="269"/>
        <v>4114.482093759294</v>
      </c>
      <c r="R287" s="27">
        <f t="shared" si="269"/>
        <v>3663.1860443652358</v>
      </c>
      <c r="S287" s="27">
        <f t="shared" si="269"/>
        <v>3039.4429041258445</v>
      </c>
      <c r="T287" s="27">
        <f t="shared" si="269"/>
        <v>2356.7012920723628</v>
      </c>
      <c r="U287" s="27">
        <f t="shared" si="269"/>
        <v>1664.5395302595082</v>
      </c>
      <c r="V287" s="27">
        <f t="shared" si="269"/>
        <v>1039.9636185057504</v>
      </c>
      <c r="W287" s="27">
        <f t="shared" si="269"/>
        <v>595.88243595375889</v>
      </c>
      <c r="X287" s="27">
        <f t="shared" si="269"/>
        <v>331.74100175048466</v>
      </c>
      <c r="Y287" s="27">
        <f t="shared" si="269"/>
        <v>192.69302956134098</v>
      </c>
      <c r="Z287" s="27">
        <f t="shared" si="269"/>
        <v>148.94473177079385</v>
      </c>
      <c r="AA287" s="27">
        <f t="shared" si="269"/>
        <v>134.05438569726942</v>
      </c>
      <c r="AB287" s="27">
        <f t="shared" si="269"/>
        <v>124.98719161186438</v>
      </c>
      <c r="AC287" s="27">
        <f t="shared" si="269"/>
        <v>124.52409545935109</v>
      </c>
      <c r="AD287" s="27">
        <f t="shared" si="269"/>
        <v>124.05520618752429</v>
      </c>
      <c r="AE287" s="27">
        <f t="shared" si="269"/>
        <v>123.71773980879216</v>
      </c>
      <c r="AF287" s="27">
        <f t="shared" si="269"/>
        <v>123.55129642426324</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4.1306934360832116E-3</v>
      </c>
      <c r="C292" s="3">
        <f t="shared" si="274"/>
        <v>4.1299944740970183E-3</v>
      </c>
      <c r="D292" s="3">
        <f t="shared" si="274"/>
        <v>4.1230113559271083E-3</v>
      </c>
      <c r="E292" s="3">
        <f t="shared" si="274"/>
        <v>4.0538262908457112E-3</v>
      </c>
      <c r="F292" s="3">
        <f t="shared" si="274"/>
        <v>3.4227184406467413E-3</v>
      </c>
      <c r="G292" s="3">
        <f t="shared" si="274"/>
        <v>6.3013205428907252E-4</v>
      </c>
      <c r="H292" s="3">
        <f t="shared" si="274"/>
        <v>2.8186136380696226E-11</v>
      </c>
      <c r="I292" s="3">
        <f t="shared" si="274"/>
        <v>9.0380619720014605E-85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2.7999608684586529E-2</v>
      </c>
      <c r="C293" s="3">
        <f t="shared" si="275"/>
        <v>2.7999181256972316E-2</v>
      </c>
      <c r="D293" s="3">
        <f t="shared" si="275"/>
        <v>2.7994907339682719E-2</v>
      </c>
      <c r="E293" s="3">
        <f t="shared" si="275"/>
        <v>2.7952204031777346E-2</v>
      </c>
      <c r="F293" s="3">
        <f t="shared" si="275"/>
        <v>2.7528737276713077E-2</v>
      </c>
      <c r="G293" s="3">
        <f t="shared" si="275"/>
        <v>2.3631355024318932E-2</v>
      </c>
      <c r="H293" s="3">
        <f t="shared" si="275"/>
        <v>5.1346632049944054E-3</v>
      </c>
      <c r="I293" s="3">
        <f t="shared" si="275"/>
        <v>1.2043295387240122E-9</v>
      </c>
      <c r="J293" s="3">
        <f t="shared" si="275"/>
        <v>6.0684684558470492E-76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2.1974029885805515E-2</v>
      </c>
      <c r="C294" s="3">
        <f t="shared" si="276"/>
        <v>2.1973999625735232E-2</v>
      </c>
      <c r="D294" s="3">
        <f t="shared" si="276"/>
        <v>2.1973697027324265E-2</v>
      </c>
      <c r="E294" s="3">
        <f t="shared" si="276"/>
        <v>2.1970671272390514E-2</v>
      </c>
      <c r="F294" s="3">
        <f t="shared" si="276"/>
        <v>2.1940436628969006E-2</v>
      </c>
      <c r="G294" s="3">
        <f t="shared" si="276"/>
        <v>2.1640369158173477E-2</v>
      </c>
      <c r="H294" s="3">
        <f t="shared" si="276"/>
        <v>1.8856394458174958E-2</v>
      </c>
      <c r="I294" s="3">
        <f t="shared" si="276"/>
        <v>4.7577163995449071E-3</v>
      </c>
      <c r="J294" s="3">
        <f t="shared" si="276"/>
        <v>4.9750507184876748E-9</v>
      </c>
      <c r="K294" s="3">
        <f t="shared" si="276"/>
        <v>7.7765528857849534E-69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2.8257721245223646E-2</v>
      </c>
      <c r="C295" s="3">
        <f t="shared" si="277"/>
        <v>2.8257717734923752E-2</v>
      </c>
      <c r="D295" s="3">
        <f t="shared" si="277"/>
        <v>2.8257682631948781E-2</v>
      </c>
      <c r="E295" s="3">
        <f t="shared" si="277"/>
        <v>2.8257331604597386E-2</v>
      </c>
      <c r="F295" s="3">
        <f t="shared" si="277"/>
        <v>2.825382157090706E-2</v>
      </c>
      <c r="G295" s="3">
        <f t="shared" si="277"/>
        <v>2.8218745205342077E-2</v>
      </c>
      <c r="H295" s="3">
        <f t="shared" si="277"/>
        <v>2.7870367702082021E-2</v>
      </c>
      <c r="I295" s="3">
        <f t="shared" si="277"/>
        <v>2.461459541629038E-2</v>
      </c>
      <c r="J295" s="3">
        <f t="shared" si="277"/>
        <v>7.1071050423530489E-3</v>
      </c>
      <c r="K295" s="3">
        <f t="shared" si="277"/>
        <v>2.8621544098049083E-8</v>
      </c>
      <c r="L295" s="3">
        <f t="shared" si="277"/>
        <v>3.2114141287484391E-62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3.4428387553574344E-2</v>
      </c>
      <c r="C296" s="3">
        <f t="shared" si="278"/>
        <v>3.4428387167767097E-2</v>
      </c>
      <c r="D296" s="3">
        <f t="shared" si="278"/>
        <v>3.4428383309694846E-2</v>
      </c>
      <c r="E296" s="3">
        <f t="shared" si="278"/>
        <v>3.4428344728996134E-2</v>
      </c>
      <c r="F296" s="3">
        <f t="shared" si="278"/>
        <v>3.4427958924386826E-2</v>
      </c>
      <c r="G296" s="3">
        <f t="shared" si="278"/>
        <v>3.4424101116069084E-2</v>
      </c>
      <c r="H296" s="3">
        <f t="shared" si="278"/>
        <v>3.4385546800567629E-2</v>
      </c>
      <c r="I296" s="3">
        <f t="shared" si="278"/>
        <v>3.4002370587947812E-2</v>
      </c>
      <c r="J296" s="3">
        <f t="shared" si="278"/>
        <v>3.0397776050958215E-2</v>
      </c>
      <c r="K296" s="3">
        <f t="shared" si="278"/>
        <v>9.9121521182703089E-3</v>
      </c>
      <c r="L296" s="3">
        <f t="shared" si="278"/>
        <v>1.3471918013280251E-7</v>
      </c>
      <c r="M296" s="3">
        <f t="shared" si="278"/>
        <v>2.8976382034739178E-56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2.9417341846895723E-2</v>
      </c>
      <c r="C297" s="3">
        <f t="shared" si="279"/>
        <v>2.9417341817158271E-2</v>
      </c>
      <c r="D297" s="3">
        <f t="shared" si="279"/>
        <v>2.9417341519783775E-2</v>
      </c>
      <c r="E297" s="3">
        <f t="shared" si="279"/>
        <v>2.9417338546038986E-2</v>
      </c>
      <c r="F297" s="3">
        <f t="shared" si="279"/>
        <v>2.9417308808607642E-2</v>
      </c>
      <c r="G297" s="3">
        <f t="shared" si="279"/>
        <v>2.9417011435947518E-2</v>
      </c>
      <c r="H297" s="3">
        <f t="shared" si="279"/>
        <v>2.9414037874675135E-2</v>
      </c>
      <c r="I297" s="3">
        <f t="shared" si="279"/>
        <v>2.9384318788654645E-2</v>
      </c>
      <c r="J297" s="3">
        <f t="shared" si="279"/>
        <v>2.908877443404196E-2</v>
      </c>
      <c r="K297" s="3">
        <f t="shared" si="279"/>
        <v>2.6291986082634368E-2</v>
      </c>
      <c r="L297" s="3">
        <f t="shared" si="279"/>
        <v>9.5676017857337509E-3</v>
      </c>
      <c r="M297" s="3">
        <f t="shared" si="279"/>
        <v>3.8958306138143647E-7</v>
      </c>
      <c r="N297" s="3">
        <f t="shared" si="279"/>
        <v>4.881685693254726E-51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4.9022148143805989E-2</v>
      </c>
      <c r="C298" s="3">
        <f t="shared" si="280"/>
        <v>4.9022148139335663E-2</v>
      </c>
      <c r="D298" s="3">
        <f t="shared" si="280"/>
        <v>4.9022148094632408E-2</v>
      </c>
      <c r="E298" s="3">
        <f t="shared" si="280"/>
        <v>4.9022147647599781E-2</v>
      </c>
      <c r="F298" s="3">
        <f t="shared" si="280"/>
        <v>4.9022143177273748E-2</v>
      </c>
      <c r="G298" s="3">
        <f t="shared" si="280"/>
        <v>4.902209847403588E-2</v>
      </c>
      <c r="H298" s="3">
        <f t="shared" si="280"/>
        <v>4.9021651443899257E-2</v>
      </c>
      <c r="I298" s="3">
        <f t="shared" si="280"/>
        <v>4.9017181366731361E-2</v>
      </c>
      <c r="J298" s="3">
        <f t="shared" si="280"/>
        <v>4.8972503007330095E-2</v>
      </c>
      <c r="K298" s="3">
        <f t="shared" si="280"/>
        <v>4.8527953097527804E-2</v>
      </c>
      <c r="L298" s="3">
        <f t="shared" si="280"/>
        <v>4.4298466226602065E-2</v>
      </c>
      <c r="M298" s="3">
        <f t="shared" si="280"/>
        <v>1.7797371002066006E-2</v>
      </c>
      <c r="N298" s="3">
        <f t="shared" si="280"/>
        <v>1.9499680490753465E-6</v>
      </c>
      <c r="O298" s="3">
        <f t="shared" si="280"/>
        <v>4.8612047203704585E-46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4.1805094553347737E-2</v>
      </c>
      <c r="C299" s="3">
        <f t="shared" si="281"/>
        <v>4.1805094553003845E-2</v>
      </c>
      <c r="D299" s="3">
        <f t="shared" si="281"/>
        <v>4.1805094549564922E-2</v>
      </c>
      <c r="E299" s="3">
        <f t="shared" si="281"/>
        <v>4.1805094515175674E-2</v>
      </c>
      <c r="F299" s="3">
        <f t="shared" si="281"/>
        <v>4.180509417128319E-2</v>
      </c>
      <c r="G299" s="3">
        <f t="shared" si="281"/>
        <v>4.180509073235851E-2</v>
      </c>
      <c r="H299" s="3">
        <f t="shared" si="281"/>
        <v>4.1805056343127311E-2</v>
      </c>
      <c r="I299" s="3">
        <f t="shared" si="281"/>
        <v>4.1804712452371162E-2</v>
      </c>
      <c r="J299" s="3">
        <f t="shared" si="281"/>
        <v>4.1801273700393389E-2</v>
      </c>
      <c r="K299" s="3">
        <f t="shared" si="281"/>
        <v>4.1766901734253709E-2</v>
      </c>
      <c r="L299" s="3">
        <f t="shared" si="281"/>
        <v>4.1424732713070567E-2</v>
      </c>
      <c r="M299" s="3">
        <f t="shared" si="281"/>
        <v>3.8153488967333456E-2</v>
      </c>
      <c r="N299" s="3">
        <f t="shared" si="281"/>
        <v>1.6760219178057294E-2</v>
      </c>
      <c r="O299" s="3">
        <f t="shared" si="281"/>
        <v>4.4847067143964419E-6</v>
      </c>
      <c r="P299" s="3">
        <f t="shared" si="281"/>
        <v>8.4387394466403138E-42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4.6917367124461089E-2</v>
      </c>
      <c r="C300" s="3">
        <f t="shared" si="282"/>
        <v>4.6917367124426276E-2</v>
      </c>
      <c r="D300" s="3">
        <f t="shared" si="282"/>
        <v>4.6917367124078117E-2</v>
      </c>
      <c r="E300" s="3">
        <f t="shared" si="282"/>
        <v>4.6917367120596562E-2</v>
      </c>
      <c r="F300" s="3">
        <f t="shared" si="282"/>
        <v>4.6917367085780974E-2</v>
      </c>
      <c r="G300" s="3">
        <f t="shared" si="282"/>
        <v>4.691736673762513E-2</v>
      </c>
      <c r="H300" s="3">
        <f t="shared" si="282"/>
        <v>4.6917363256066776E-2</v>
      </c>
      <c r="I300" s="3">
        <f t="shared" si="282"/>
        <v>4.6917328440497404E-2</v>
      </c>
      <c r="J300" s="3">
        <f t="shared" si="282"/>
        <v>4.6916980286224687E-2</v>
      </c>
      <c r="K300" s="3">
        <f t="shared" si="282"/>
        <v>4.6913498885587414E-2</v>
      </c>
      <c r="L300" s="3">
        <f t="shared" si="282"/>
        <v>4.6878699084304122E-2</v>
      </c>
      <c r="M300" s="3">
        <f t="shared" si="282"/>
        <v>4.6532117687952332E-2</v>
      </c>
      <c r="N300" s="3">
        <f t="shared" si="282"/>
        <v>4.320415186958966E-2</v>
      </c>
      <c r="O300" s="3">
        <f t="shared" si="282"/>
        <v>2.0570845669781474E-2</v>
      </c>
      <c r="P300" s="3">
        <f t="shared" si="282"/>
        <v>1.2317392064071706E-5</v>
      </c>
      <c r="Q300" s="3">
        <f t="shared" si="282"/>
        <v>7.2976823993956987E-38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4.7066124559699246E-2</v>
      </c>
      <c r="C301" s="3">
        <f t="shared" si="283"/>
        <v>4.7066124559696089E-2</v>
      </c>
      <c r="D301" s="3">
        <f t="shared" si="283"/>
        <v>4.7066124559664586E-2</v>
      </c>
      <c r="E301" s="3">
        <f t="shared" si="283"/>
        <v>4.7066124559349526E-2</v>
      </c>
      <c r="F301" s="3">
        <f t="shared" si="283"/>
        <v>4.7066124556198914E-2</v>
      </c>
      <c r="G301" s="3">
        <f t="shared" si="283"/>
        <v>4.7066124524692783E-2</v>
      </c>
      <c r="H301" s="3">
        <f t="shared" si="283"/>
        <v>4.7066124209631452E-2</v>
      </c>
      <c r="I301" s="3">
        <f t="shared" si="283"/>
        <v>4.706612105901832E-2</v>
      </c>
      <c r="J301" s="3">
        <f t="shared" si="283"/>
        <v>4.7066089552898573E-2</v>
      </c>
      <c r="K301" s="3">
        <f t="shared" si="283"/>
        <v>4.7065774492861111E-2</v>
      </c>
      <c r="L301" s="3">
        <f t="shared" si="283"/>
        <v>4.7062624008479645E-2</v>
      </c>
      <c r="M301" s="3">
        <f t="shared" si="283"/>
        <v>4.7031130761111581E-2</v>
      </c>
      <c r="N301" s="3">
        <f t="shared" si="283"/>
        <v>4.6717355065035451E-2</v>
      </c>
      <c r="O301" s="3">
        <f t="shared" si="283"/>
        <v>4.3692461353820058E-2</v>
      </c>
      <c r="P301" s="3">
        <f t="shared" si="283"/>
        <v>2.2371193243121226E-2</v>
      </c>
      <c r="Q301" s="3">
        <f t="shared" si="283"/>
        <v>2.7702281259706013E-5</v>
      </c>
      <c r="R301" s="3">
        <f t="shared" si="283"/>
        <v>2.3484395451050383E-34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5.1874995498084511E-2</v>
      </c>
      <c r="C302" s="3">
        <f t="shared" si="284"/>
        <v>5.1874995498084199E-2</v>
      </c>
      <c r="D302" s="3">
        <f t="shared" si="284"/>
        <v>5.187499549808107E-2</v>
      </c>
      <c r="E302" s="3">
        <f t="shared" si="284"/>
        <v>5.187499549804974E-2</v>
      </c>
      <c r="F302" s="3">
        <f t="shared" si="284"/>
        <v>5.1874995497736491E-2</v>
      </c>
      <c r="G302" s="3">
        <f t="shared" si="284"/>
        <v>5.187499549460399E-2</v>
      </c>
      <c r="H302" s="3">
        <f t="shared" si="284"/>
        <v>5.1874995463278971E-2</v>
      </c>
      <c r="I302" s="3">
        <f t="shared" si="284"/>
        <v>5.1874995150028802E-2</v>
      </c>
      <c r="J302" s="3">
        <f t="shared" si="284"/>
        <v>5.1874992017527176E-2</v>
      </c>
      <c r="K302" s="3">
        <f t="shared" si="284"/>
        <v>5.1874960692521406E-2</v>
      </c>
      <c r="L302" s="3">
        <f t="shared" si="284"/>
        <v>5.1874647443503979E-2</v>
      </c>
      <c r="M302" s="3">
        <f t="shared" si="284"/>
        <v>5.1871515057364023E-2</v>
      </c>
      <c r="N302" s="3">
        <f t="shared" si="284"/>
        <v>5.1840201597068661E-2</v>
      </c>
      <c r="O302" s="3">
        <f t="shared" si="284"/>
        <v>5.1528104784402097E-2</v>
      </c>
      <c r="P302" s="3">
        <f t="shared" si="284"/>
        <v>4.8508633962851454E-2</v>
      </c>
      <c r="Q302" s="3">
        <f t="shared" si="284"/>
        <v>2.6519650688915538E-2</v>
      </c>
      <c r="R302" s="3">
        <f t="shared" si="284"/>
        <v>6.3249244906143492E-5</v>
      </c>
      <c r="S302" s="3">
        <f t="shared" si="284"/>
        <v>3.7664378259995259E-31</v>
      </c>
      <c r="T302" s="3">
        <f t="shared" si="284"/>
        <v>2.1119584967473011E-293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9.3718423694335196E-2</v>
      </c>
      <c r="C303" s="3">
        <f t="shared" si="285"/>
        <v>9.3718423694335154E-2</v>
      </c>
      <c r="D303" s="3">
        <f t="shared" si="285"/>
        <v>9.371842369433464E-2</v>
      </c>
      <c r="E303" s="3">
        <f t="shared" si="285"/>
        <v>9.3718423694329533E-2</v>
      </c>
      <c r="F303" s="3">
        <f t="shared" si="285"/>
        <v>9.3718423694278477E-2</v>
      </c>
      <c r="G303" s="3">
        <f t="shared" si="285"/>
        <v>9.3718423693767983E-2</v>
      </c>
      <c r="H303" s="3">
        <f t="shared" si="285"/>
        <v>9.3718423688662872E-2</v>
      </c>
      <c r="I303" s="3">
        <f t="shared" si="285"/>
        <v>9.3718423637611806E-2</v>
      </c>
      <c r="J303" s="3">
        <f t="shared" si="285"/>
        <v>9.3718423127101144E-2</v>
      </c>
      <c r="K303" s="3">
        <f t="shared" si="285"/>
        <v>9.3718418021994723E-2</v>
      </c>
      <c r="L303" s="3">
        <f t="shared" si="285"/>
        <v>9.3718366970945807E-2</v>
      </c>
      <c r="M303" s="3">
        <f t="shared" si="285"/>
        <v>9.3717856461986146E-2</v>
      </c>
      <c r="N303" s="3">
        <f t="shared" si="285"/>
        <v>9.3712751525335258E-2</v>
      </c>
      <c r="O303" s="3">
        <f t="shared" si="285"/>
        <v>9.366171745032649E-2</v>
      </c>
      <c r="P303" s="3">
        <f t="shared" si="285"/>
        <v>9.3152902772731708E-2</v>
      </c>
      <c r="Q303" s="3">
        <f t="shared" si="285"/>
        <v>8.8214331758234038E-2</v>
      </c>
      <c r="R303" s="3">
        <f t="shared" si="285"/>
        <v>5.1164261274067341E-2</v>
      </c>
      <c r="S303" s="3">
        <f t="shared" si="285"/>
        <v>2.2041558663116556E-4</v>
      </c>
      <c r="T303" s="3">
        <f t="shared" si="285"/>
        <v>4.8528653898889051E-28</v>
      </c>
      <c r="U303" s="3">
        <f t="shared" si="285"/>
        <v>1.298846029408735E-264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0.10682333377392636</v>
      </c>
      <c r="C304" s="3">
        <f t="shared" si="286"/>
        <v>0.10682333377392636</v>
      </c>
      <c r="D304" s="3">
        <f t="shared" si="286"/>
        <v>0.1068233337739263</v>
      </c>
      <c r="E304" s="3">
        <f t="shared" si="286"/>
        <v>0.10682333377392578</v>
      </c>
      <c r="F304" s="3">
        <f t="shared" si="286"/>
        <v>0.10682333377392053</v>
      </c>
      <c r="G304" s="3">
        <f t="shared" si="286"/>
        <v>0.10682333377386803</v>
      </c>
      <c r="H304" s="3">
        <f t="shared" si="286"/>
        <v>0.10682333377334312</v>
      </c>
      <c r="I304" s="3">
        <f t="shared" si="286"/>
        <v>0.10682333376809393</v>
      </c>
      <c r="J304" s="3">
        <f t="shared" si="286"/>
        <v>0.10682333371560199</v>
      </c>
      <c r="K304" s="3">
        <f t="shared" si="286"/>
        <v>0.10682333319068267</v>
      </c>
      <c r="L304" s="3">
        <f t="shared" si="286"/>
        <v>0.10682332794148963</v>
      </c>
      <c r="M304" s="3">
        <f t="shared" si="286"/>
        <v>0.10682327544957343</v>
      </c>
      <c r="N304" s="3">
        <f t="shared" si="286"/>
        <v>0.10682275053183002</v>
      </c>
      <c r="O304" s="3">
        <f t="shared" si="286"/>
        <v>0.10681750149626017</v>
      </c>
      <c r="P304" s="3">
        <f t="shared" si="286"/>
        <v>0.10676502532440568</v>
      </c>
      <c r="Q304" s="3">
        <f t="shared" si="286"/>
        <v>0.10624167941481892</v>
      </c>
      <c r="R304" s="3">
        <f t="shared" si="286"/>
        <v>0.10114726055527069</v>
      </c>
      <c r="S304" s="3">
        <f t="shared" si="286"/>
        <v>6.1879401227862223E-2</v>
      </c>
      <c r="T304" s="3">
        <f t="shared" si="286"/>
        <v>4.5442883327343787E-4</v>
      </c>
      <c r="U304" s="3">
        <f t="shared" si="286"/>
        <v>2.0733071550596467E-25</v>
      </c>
      <c r="V304" s="3">
        <f t="shared" si="286"/>
        <v>8.1029156438482832E-239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0.11271893275103405</v>
      </c>
      <c r="C305" s="3">
        <f t="shared" si="287"/>
        <v>0.11271893275103405</v>
      </c>
      <c r="D305" s="3">
        <f t="shared" si="287"/>
        <v>0.11271893275103405</v>
      </c>
      <c r="E305" s="3">
        <f t="shared" si="287"/>
        <v>0.11271893275103399</v>
      </c>
      <c r="F305" s="3">
        <f t="shared" si="287"/>
        <v>0.11271893275103349</v>
      </c>
      <c r="G305" s="3">
        <f t="shared" si="287"/>
        <v>0.1127189327510285</v>
      </c>
      <c r="H305" s="3">
        <f t="shared" si="287"/>
        <v>0.11271893275097854</v>
      </c>
      <c r="I305" s="3">
        <f t="shared" si="287"/>
        <v>0.11271893275047888</v>
      </c>
      <c r="J305" s="3">
        <f t="shared" si="287"/>
        <v>0.11271893274548234</v>
      </c>
      <c r="K305" s="3">
        <f t="shared" si="287"/>
        <v>0.11271893269551686</v>
      </c>
      <c r="L305" s="3">
        <f t="shared" si="287"/>
        <v>0.11271893219586228</v>
      </c>
      <c r="M305" s="3">
        <f t="shared" si="287"/>
        <v>0.11271892719931642</v>
      </c>
      <c r="N305" s="3">
        <f t="shared" si="287"/>
        <v>0.11271887723387009</v>
      </c>
      <c r="O305" s="3">
        <f t="shared" si="287"/>
        <v>0.11271837758062488</v>
      </c>
      <c r="P305" s="3">
        <f t="shared" si="287"/>
        <v>0.11271338116998691</v>
      </c>
      <c r="Q305" s="3">
        <f t="shared" si="287"/>
        <v>0.11266342924302308</v>
      </c>
      <c r="R305" s="3">
        <f t="shared" si="287"/>
        <v>0.1121651259197671</v>
      </c>
      <c r="S305" s="3">
        <f t="shared" si="287"/>
        <v>0.10730171645694563</v>
      </c>
      <c r="T305" s="3">
        <f t="shared" si="287"/>
        <v>6.8880276096639714E-2</v>
      </c>
      <c r="U305" s="3">
        <f t="shared" si="287"/>
        <v>8.1842140515812911E-4</v>
      </c>
      <c r="V305" s="3">
        <f t="shared" si="287"/>
        <v>4.5898445997419289E-23</v>
      </c>
      <c r="W305" s="3">
        <f t="shared" si="287"/>
        <v>1.4125635774865979E-215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0.10920012102995319</v>
      </c>
      <c r="C306" s="3">
        <f t="shared" si="288"/>
        <v>0.10920012102995319</v>
      </c>
      <c r="D306" s="3">
        <f t="shared" si="288"/>
        <v>0.10920012102995319</v>
      </c>
      <c r="E306" s="3">
        <f t="shared" si="288"/>
        <v>0.10920012102995319</v>
      </c>
      <c r="F306" s="3">
        <f t="shared" si="288"/>
        <v>0.10920012102995315</v>
      </c>
      <c r="G306" s="3">
        <f t="shared" si="288"/>
        <v>0.1092001210299527</v>
      </c>
      <c r="H306" s="3">
        <f t="shared" si="288"/>
        <v>0.10920012102994835</v>
      </c>
      <c r="I306" s="3">
        <f t="shared" si="288"/>
        <v>0.10920012102990467</v>
      </c>
      <c r="J306" s="3">
        <f t="shared" si="288"/>
        <v>0.10920012102946801</v>
      </c>
      <c r="K306" s="3">
        <f t="shared" si="288"/>
        <v>0.10920012102510142</v>
      </c>
      <c r="L306" s="3">
        <f t="shared" si="288"/>
        <v>0.10920012098143549</v>
      </c>
      <c r="M306" s="3">
        <f t="shared" si="288"/>
        <v>0.10920012054477617</v>
      </c>
      <c r="N306" s="3">
        <f t="shared" si="288"/>
        <v>0.10920011617818311</v>
      </c>
      <c r="O306" s="3">
        <f t="shared" si="288"/>
        <v>0.10920007251226205</v>
      </c>
      <c r="P306" s="3">
        <f t="shared" si="288"/>
        <v>0.10919963585401177</v>
      </c>
      <c r="Q306" s="3">
        <f t="shared" si="288"/>
        <v>0.10919526936754151</v>
      </c>
      <c r="R306" s="3">
        <f t="shared" si="288"/>
        <v>0.10915161410466054</v>
      </c>
      <c r="S306" s="3">
        <f t="shared" si="288"/>
        <v>0.10871602023893646</v>
      </c>
      <c r="T306" s="3">
        <f t="shared" si="288"/>
        <v>0.10445455442398779</v>
      </c>
      <c r="U306" s="3">
        <f t="shared" si="288"/>
        <v>7.0027033784034728E-2</v>
      </c>
      <c r="V306" s="3">
        <f t="shared" si="288"/>
        <v>1.2842489840815606E-3</v>
      </c>
      <c r="W306" s="3">
        <f t="shared" si="288"/>
        <v>5.5269333962153658E-21</v>
      </c>
      <c r="X306" s="3">
        <f t="shared" si="288"/>
        <v>1.2045760745809243E-194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8.559943957224532E-2</v>
      </c>
      <c r="C307" s="3">
        <f t="shared" si="289"/>
        <v>8.559943957224532E-2</v>
      </c>
      <c r="D307" s="3">
        <f t="shared" si="289"/>
        <v>8.559943957224532E-2</v>
      </c>
      <c r="E307" s="3">
        <f t="shared" si="289"/>
        <v>8.559943957224532E-2</v>
      </c>
      <c r="F307" s="3">
        <f t="shared" si="289"/>
        <v>8.559943957224532E-2</v>
      </c>
      <c r="G307" s="3">
        <f t="shared" si="289"/>
        <v>8.5599439572245278E-2</v>
      </c>
      <c r="H307" s="3">
        <f t="shared" si="289"/>
        <v>8.5599439572244973E-2</v>
      </c>
      <c r="I307" s="3">
        <f t="shared" si="289"/>
        <v>8.5599439572241892E-2</v>
      </c>
      <c r="J307" s="3">
        <f t="shared" si="289"/>
        <v>8.5599439572211014E-2</v>
      </c>
      <c r="K307" s="3">
        <f t="shared" si="289"/>
        <v>8.5599439571902233E-2</v>
      </c>
      <c r="L307" s="3">
        <f t="shared" si="289"/>
        <v>8.5599439568814523E-2</v>
      </c>
      <c r="M307" s="3">
        <f t="shared" si="289"/>
        <v>8.5599439537937388E-2</v>
      </c>
      <c r="N307" s="3">
        <f t="shared" si="289"/>
        <v>8.5599439229165949E-2</v>
      </c>
      <c r="O307" s="3">
        <f t="shared" si="289"/>
        <v>8.5599436141451601E-2</v>
      </c>
      <c r="P307" s="3">
        <f t="shared" si="289"/>
        <v>8.5599405264314352E-2</v>
      </c>
      <c r="Q307" s="3">
        <f t="shared" si="289"/>
        <v>8.5599096493554447E-2</v>
      </c>
      <c r="R307" s="3">
        <f t="shared" si="289"/>
        <v>8.5596008847212857E-2</v>
      </c>
      <c r="S307" s="3">
        <f t="shared" si="289"/>
        <v>8.556513850873386E-2</v>
      </c>
      <c r="T307" s="3">
        <f t="shared" si="289"/>
        <v>8.5257046800949865E-2</v>
      </c>
      <c r="U307" s="3">
        <f t="shared" si="289"/>
        <v>8.2236488865051013E-2</v>
      </c>
      <c r="V307" s="3">
        <f t="shared" si="289"/>
        <v>5.733334809874794E-2</v>
      </c>
      <c r="W307" s="3">
        <f t="shared" si="289"/>
        <v>1.5553736904447262E-3</v>
      </c>
      <c r="X307" s="3">
        <f t="shared" si="289"/>
        <v>3.358220379937116E-19</v>
      </c>
      <c r="Y307" s="3">
        <f t="shared" si="289"/>
        <v>7.3935606030491529E-176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3.0324649856523618E-2</v>
      </c>
      <c r="C308" s="3">
        <f t="shared" si="290"/>
        <v>3.0324649856523618E-2</v>
      </c>
      <c r="D308" s="3">
        <f t="shared" si="290"/>
        <v>3.0324649856523618E-2</v>
      </c>
      <c r="E308" s="3">
        <f t="shared" si="290"/>
        <v>3.0324649856523618E-2</v>
      </c>
      <c r="F308" s="3">
        <f t="shared" si="290"/>
        <v>3.0324649856523618E-2</v>
      </c>
      <c r="G308" s="3">
        <f t="shared" si="290"/>
        <v>3.0324649856523618E-2</v>
      </c>
      <c r="H308" s="3">
        <f t="shared" si="290"/>
        <v>3.0324649856523608E-2</v>
      </c>
      <c r="I308" s="3">
        <f t="shared" si="290"/>
        <v>3.0324649856523507E-2</v>
      </c>
      <c r="J308" s="3">
        <f t="shared" si="290"/>
        <v>3.0324649856522522E-2</v>
      </c>
      <c r="K308" s="3">
        <f t="shared" si="290"/>
        <v>3.0324649856512651E-2</v>
      </c>
      <c r="L308" s="3">
        <f t="shared" si="290"/>
        <v>3.0324649856413977E-2</v>
      </c>
      <c r="M308" s="3">
        <f t="shared" si="290"/>
        <v>3.0324649855427224E-2</v>
      </c>
      <c r="N308" s="3">
        <f t="shared" si="290"/>
        <v>3.0324649845559694E-2</v>
      </c>
      <c r="O308" s="3">
        <f t="shared" si="290"/>
        <v>3.0324649746884362E-2</v>
      </c>
      <c r="P308" s="3">
        <f t="shared" si="290"/>
        <v>3.0324648760131079E-2</v>
      </c>
      <c r="Q308" s="3">
        <f t="shared" si="290"/>
        <v>3.0324638892600016E-2</v>
      </c>
      <c r="R308" s="3">
        <f t="shared" si="290"/>
        <v>3.0324540217465987E-2</v>
      </c>
      <c r="S308" s="3">
        <f t="shared" si="290"/>
        <v>3.0323553483785175E-2</v>
      </c>
      <c r="T308" s="3">
        <f t="shared" si="290"/>
        <v>3.0313687912713917E-2</v>
      </c>
      <c r="U308" s="3">
        <f t="shared" si="290"/>
        <v>3.0215208563280391E-2</v>
      </c>
      <c r="V308" s="3">
        <f t="shared" si="290"/>
        <v>2.9247840699179562E-2</v>
      </c>
      <c r="W308" s="3">
        <f t="shared" si="290"/>
        <v>2.112398894333516E-2</v>
      </c>
      <c r="X308" s="3">
        <f t="shared" si="290"/>
        <v>8.1582528266486195E-4</v>
      </c>
      <c r="Y308" s="3">
        <f t="shared" si="290"/>
        <v>6.0229526112202914E-18</v>
      </c>
      <c r="Z308" s="3">
        <f t="shared" si="290"/>
        <v>2.8968920139931914E-159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3.2131427411944066E-2</v>
      </c>
      <c r="C309" s="3">
        <f t="shared" si="291"/>
        <v>3.2131427411944066E-2</v>
      </c>
      <c r="D309" s="3">
        <f t="shared" si="291"/>
        <v>3.2131427411944066E-2</v>
      </c>
      <c r="E309" s="3">
        <f t="shared" si="291"/>
        <v>3.2131427411944066E-2</v>
      </c>
      <c r="F309" s="3">
        <f t="shared" si="291"/>
        <v>3.2131427411944066E-2</v>
      </c>
      <c r="G309" s="3">
        <f t="shared" si="291"/>
        <v>3.2131427411944066E-2</v>
      </c>
      <c r="H309" s="3">
        <f t="shared" si="291"/>
        <v>3.2131427411944059E-2</v>
      </c>
      <c r="I309" s="3">
        <f t="shared" si="291"/>
        <v>3.2131427411944032E-2</v>
      </c>
      <c r="J309" s="3">
        <f t="shared" si="291"/>
        <v>3.2131427411943747E-2</v>
      </c>
      <c r="K309" s="3">
        <f t="shared" si="291"/>
        <v>3.2131427411940854E-2</v>
      </c>
      <c r="L309" s="3">
        <f t="shared" si="291"/>
        <v>3.2131427411911932E-2</v>
      </c>
      <c r="M309" s="3">
        <f t="shared" si="291"/>
        <v>3.2131427411622768E-2</v>
      </c>
      <c r="N309" s="3">
        <f t="shared" si="291"/>
        <v>3.2131427408731046E-2</v>
      </c>
      <c r="O309" s="3">
        <f t="shared" si="291"/>
        <v>3.2131427379813886E-2</v>
      </c>
      <c r="P309" s="3">
        <f t="shared" si="291"/>
        <v>3.2131427090642262E-2</v>
      </c>
      <c r="Q309" s="3">
        <f t="shared" si="291"/>
        <v>3.213142419892618E-2</v>
      </c>
      <c r="R309" s="3">
        <f t="shared" si="291"/>
        <v>3.2131395281779648E-2</v>
      </c>
      <c r="S309" s="3">
        <f t="shared" si="291"/>
        <v>3.2131106111745696E-2</v>
      </c>
      <c r="T309" s="3">
        <f t="shared" si="291"/>
        <v>3.2128214554535239E-2</v>
      </c>
      <c r="U309" s="3">
        <f t="shared" si="291"/>
        <v>3.2099313290576192E-2</v>
      </c>
      <c r="V309" s="3">
        <f t="shared" si="291"/>
        <v>3.1811726712554902E-2</v>
      </c>
      <c r="W309" s="3">
        <f t="shared" si="291"/>
        <v>2.907383064439403E-2</v>
      </c>
      <c r="X309" s="3">
        <f t="shared" si="291"/>
        <v>1.1820950289360975E-2</v>
      </c>
      <c r="Y309" s="3">
        <f t="shared" si="291"/>
        <v>1.4593307631228228E-6</v>
      </c>
      <c r="Z309" s="3">
        <f t="shared" si="291"/>
        <v>1.1999612006360092E-45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1.594333716386688E-2</v>
      </c>
      <c r="C310" s="3">
        <f t="shared" si="292"/>
        <v>1.594333716386688E-2</v>
      </c>
      <c r="D310" s="3">
        <f t="shared" si="292"/>
        <v>1.594333716386688E-2</v>
      </c>
      <c r="E310" s="3">
        <f t="shared" si="292"/>
        <v>1.594333716386688E-2</v>
      </c>
      <c r="F310" s="3">
        <f t="shared" si="292"/>
        <v>1.594333716386688E-2</v>
      </c>
      <c r="G310" s="3">
        <f t="shared" si="292"/>
        <v>1.594333716386688E-2</v>
      </c>
      <c r="H310" s="3">
        <f t="shared" si="292"/>
        <v>1.594333716386688E-2</v>
      </c>
      <c r="I310" s="3">
        <f t="shared" si="292"/>
        <v>1.5943337163866877E-2</v>
      </c>
      <c r="J310" s="3">
        <f t="shared" si="292"/>
        <v>1.5943337163866863E-2</v>
      </c>
      <c r="K310" s="3">
        <f t="shared" si="292"/>
        <v>1.5943337163866721E-2</v>
      </c>
      <c r="L310" s="3">
        <f t="shared" si="292"/>
        <v>1.5943337163865284E-2</v>
      </c>
      <c r="M310" s="3">
        <f t="shared" si="292"/>
        <v>1.5943337163850938E-2</v>
      </c>
      <c r="N310" s="3">
        <f t="shared" si="292"/>
        <v>1.5943337163707452E-2</v>
      </c>
      <c r="O310" s="3">
        <f t="shared" si="292"/>
        <v>1.5943337162272607E-2</v>
      </c>
      <c r="P310" s="3">
        <f t="shared" si="292"/>
        <v>1.5943337147924161E-2</v>
      </c>
      <c r="Q310" s="3">
        <f t="shared" si="292"/>
        <v>1.5943337004439697E-2</v>
      </c>
      <c r="R310" s="3">
        <f t="shared" si="292"/>
        <v>1.5943335569595114E-2</v>
      </c>
      <c r="S310" s="3">
        <f t="shared" si="292"/>
        <v>1.5943321221156406E-2</v>
      </c>
      <c r="T310" s="3">
        <f t="shared" si="292"/>
        <v>1.5943177737479504E-2</v>
      </c>
      <c r="U310" s="3">
        <f t="shared" si="292"/>
        <v>1.5941742971729955E-2</v>
      </c>
      <c r="V310" s="3">
        <f t="shared" si="292"/>
        <v>1.5927402413812825E-2</v>
      </c>
      <c r="W310" s="3">
        <f t="shared" si="292"/>
        <v>1.5784704434093078E-2</v>
      </c>
      <c r="X310" s="3">
        <f t="shared" si="292"/>
        <v>1.442618401809413E-2</v>
      </c>
      <c r="Y310" s="3">
        <f t="shared" si="292"/>
        <v>5.8654535836317814E-3</v>
      </c>
      <c r="Z310" s="3">
        <f t="shared" si="292"/>
        <v>7.2410733864321037E-7</v>
      </c>
      <c r="AA310" s="3">
        <f t="shared" si="292"/>
        <v>5.9541039867362965E-46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9.9907856671704312E-4</v>
      </c>
      <c r="C311" s="3">
        <f t="shared" si="293"/>
        <v>9.9907856671704312E-4</v>
      </c>
      <c r="D311" s="3">
        <f t="shared" si="293"/>
        <v>9.9907856671704312E-4</v>
      </c>
      <c r="E311" s="3">
        <f t="shared" si="293"/>
        <v>9.9907856671704312E-4</v>
      </c>
      <c r="F311" s="3">
        <f t="shared" si="293"/>
        <v>9.9907856671704312E-4</v>
      </c>
      <c r="G311" s="3">
        <f t="shared" si="293"/>
        <v>9.9907856671704312E-4</v>
      </c>
      <c r="H311" s="3">
        <f t="shared" si="293"/>
        <v>9.9907856671704312E-4</v>
      </c>
      <c r="I311" s="3">
        <f t="shared" si="293"/>
        <v>9.9907856671704312E-4</v>
      </c>
      <c r="J311" s="3">
        <f t="shared" si="293"/>
        <v>9.990785667170429E-4</v>
      </c>
      <c r="K311" s="3">
        <f t="shared" si="293"/>
        <v>9.9907856671704203E-4</v>
      </c>
      <c r="L311" s="3">
        <f t="shared" si="293"/>
        <v>9.9907856671703314E-4</v>
      </c>
      <c r="M311" s="3">
        <f t="shared" si="293"/>
        <v>9.9907856671694315E-4</v>
      </c>
      <c r="N311" s="3">
        <f t="shared" si="293"/>
        <v>9.9907856671604413E-4</v>
      </c>
      <c r="O311" s="3">
        <f t="shared" si="293"/>
        <v>9.9907856670705284E-4</v>
      </c>
      <c r="P311" s="3">
        <f t="shared" si="293"/>
        <v>9.9907856661713909E-4</v>
      </c>
      <c r="Q311" s="3">
        <f t="shared" si="293"/>
        <v>9.9907856571800329E-4</v>
      </c>
      <c r="R311" s="3">
        <f t="shared" si="293"/>
        <v>9.9907855672664507E-4</v>
      </c>
      <c r="S311" s="3">
        <f t="shared" si="293"/>
        <v>9.9907846681306848E-4</v>
      </c>
      <c r="T311" s="3">
        <f t="shared" si="293"/>
        <v>9.9907756767774738E-4</v>
      </c>
      <c r="U311" s="3">
        <f t="shared" si="293"/>
        <v>9.9906857636904004E-4</v>
      </c>
      <c r="V311" s="3">
        <f t="shared" si="293"/>
        <v>9.9897866773235376E-4</v>
      </c>
      <c r="W311" s="3">
        <f t="shared" si="293"/>
        <v>9.9808002625582275E-4</v>
      </c>
      <c r="X311" s="3">
        <f t="shared" si="293"/>
        <v>9.8913795273717882E-4</v>
      </c>
      <c r="Y311" s="3">
        <f t="shared" si="293"/>
        <v>9.0400717891473792E-4</v>
      </c>
      <c r="Z311" s="3">
        <f t="shared" si="293"/>
        <v>3.6755472830124199E-4</v>
      </c>
      <c r="AA311" s="3">
        <f t="shared" si="293"/>
        <v>4.5375702376822141E-8</v>
      </c>
      <c r="AB311" s="3">
        <f t="shared" si="293"/>
        <v>3.7310994655713345E-47</v>
      </c>
      <c r="AC311" s="3">
        <f t="shared" si="293"/>
        <v>0</v>
      </c>
      <c r="AD311" s="3">
        <f t="shared" si="293"/>
        <v>0</v>
      </c>
      <c r="AE311" s="3">
        <f t="shared" si="293"/>
        <v>0</v>
      </c>
      <c r="AF311" s="3">
        <f t="shared" si="293"/>
        <v>0</v>
      </c>
      <c r="AG311" s="3"/>
      <c r="AH311" s="3"/>
    </row>
    <row r="312" spans="1:34" x14ac:dyDescent="0.25">
      <c r="B312" s="3">
        <f t="shared" ref="B312:AF312" si="294">$C42*EXP(-B$285/$A42/EXP(-$F$126))</f>
        <v>3.5389734266527166E-3</v>
      </c>
      <c r="C312" s="3">
        <f t="shared" si="294"/>
        <v>3.5389734266527166E-3</v>
      </c>
      <c r="D312" s="3">
        <f t="shared" si="294"/>
        <v>3.5389734266527166E-3</v>
      </c>
      <c r="E312" s="3">
        <f t="shared" si="294"/>
        <v>3.5389734266527166E-3</v>
      </c>
      <c r="F312" s="3">
        <f t="shared" si="294"/>
        <v>3.5389734266527166E-3</v>
      </c>
      <c r="G312" s="3">
        <f t="shared" si="294"/>
        <v>3.5389734266527166E-3</v>
      </c>
      <c r="H312" s="3">
        <f t="shared" si="294"/>
        <v>3.5389734266527166E-3</v>
      </c>
      <c r="I312" s="3">
        <f t="shared" si="294"/>
        <v>3.5389734266527166E-3</v>
      </c>
      <c r="J312" s="3">
        <f t="shared" si="294"/>
        <v>3.5389734266527166E-3</v>
      </c>
      <c r="K312" s="3">
        <f t="shared" si="294"/>
        <v>3.5389734266527161E-3</v>
      </c>
      <c r="L312" s="3">
        <f t="shared" si="294"/>
        <v>3.5389734266527131E-3</v>
      </c>
      <c r="M312" s="3">
        <f t="shared" si="294"/>
        <v>3.538973426652681E-3</v>
      </c>
      <c r="N312" s="3">
        <f t="shared" si="294"/>
        <v>3.5389734266523627E-3</v>
      </c>
      <c r="O312" s="3">
        <f t="shared" si="294"/>
        <v>3.5389734266491777E-3</v>
      </c>
      <c r="P312" s="3">
        <f t="shared" si="294"/>
        <v>3.5389734266173282E-3</v>
      </c>
      <c r="Q312" s="3">
        <f t="shared" si="294"/>
        <v>3.538973426298833E-3</v>
      </c>
      <c r="R312" s="3">
        <f t="shared" si="294"/>
        <v>3.5389734231138802E-3</v>
      </c>
      <c r="S312" s="3">
        <f t="shared" si="294"/>
        <v>3.5389733912643559E-3</v>
      </c>
      <c r="T312" s="3">
        <f t="shared" si="294"/>
        <v>3.5389730727691253E-3</v>
      </c>
      <c r="U312" s="3">
        <f t="shared" si="294"/>
        <v>3.5389698878183972E-3</v>
      </c>
      <c r="V312" s="3">
        <f t="shared" si="294"/>
        <v>3.5389380384687604E-3</v>
      </c>
      <c r="W312" s="3">
        <f t="shared" si="294"/>
        <v>3.5386195607367181E-3</v>
      </c>
      <c r="X312" s="3">
        <f t="shared" si="294"/>
        <v>3.5354363593234589E-3</v>
      </c>
      <c r="Y312" s="3">
        <f t="shared" si="294"/>
        <v>3.5037614124114828E-3</v>
      </c>
      <c r="Z312" s="3">
        <f t="shared" si="294"/>
        <v>3.202208004717043E-3</v>
      </c>
      <c r="AA312" s="3">
        <f t="shared" si="294"/>
        <v>1.3019660911883567E-3</v>
      </c>
      <c r="AB312" s="3">
        <f t="shared" si="294"/>
        <v>1.607315082886331E-7</v>
      </c>
      <c r="AC312" s="3">
        <f t="shared" si="294"/>
        <v>1.3216439928487414E-46</v>
      </c>
      <c r="AD312" s="3">
        <f t="shared" si="294"/>
        <v>0</v>
      </c>
      <c r="AE312" s="3">
        <f t="shared" si="294"/>
        <v>0</v>
      </c>
      <c r="AF312" s="3">
        <f t="shared" si="294"/>
        <v>0</v>
      </c>
      <c r="AG312" s="3"/>
      <c r="AH312" s="3"/>
    </row>
    <row r="313" spans="1:34" x14ac:dyDescent="0.25">
      <c r="B313" s="3">
        <f t="shared" ref="B313:AF313" si="295">$C43*EXP(-B$285/$A43/EXP(-$F$126))</f>
        <v>1.6157045586307682E-4</v>
      </c>
      <c r="C313" s="3">
        <f t="shared" si="295"/>
        <v>1.6157045586307682E-4</v>
      </c>
      <c r="D313" s="3">
        <f t="shared" si="295"/>
        <v>1.6157045586307682E-4</v>
      </c>
      <c r="E313" s="3">
        <f t="shared" si="295"/>
        <v>1.6157045586307682E-4</v>
      </c>
      <c r="F313" s="3">
        <f t="shared" si="295"/>
        <v>1.6157045586307682E-4</v>
      </c>
      <c r="G313" s="3">
        <f t="shared" si="295"/>
        <v>1.6157045586307682E-4</v>
      </c>
      <c r="H313" s="3">
        <f t="shared" si="295"/>
        <v>1.6157045586307682E-4</v>
      </c>
      <c r="I313" s="3">
        <f t="shared" si="295"/>
        <v>1.6157045586307682E-4</v>
      </c>
      <c r="J313" s="3">
        <f t="shared" si="295"/>
        <v>1.6157045586307682E-4</v>
      </c>
      <c r="K313" s="3">
        <f t="shared" si="295"/>
        <v>1.6157045586307682E-4</v>
      </c>
      <c r="L313" s="3">
        <f t="shared" si="295"/>
        <v>1.6157045586307679E-4</v>
      </c>
      <c r="M313" s="3">
        <f t="shared" si="295"/>
        <v>1.6157045586307666E-4</v>
      </c>
      <c r="N313" s="3">
        <f t="shared" si="295"/>
        <v>1.6157045586307519E-4</v>
      </c>
      <c r="O313" s="3">
        <f t="shared" si="295"/>
        <v>1.6157045586306067E-4</v>
      </c>
      <c r="P313" s="3">
        <f t="shared" si="295"/>
        <v>1.6157045586291525E-4</v>
      </c>
      <c r="Q313" s="3">
        <f t="shared" si="295"/>
        <v>1.615704558614612E-4</v>
      </c>
      <c r="R313" s="3">
        <f t="shared" si="295"/>
        <v>1.6157045584692039E-4</v>
      </c>
      <c r="S313" s="3">
        <f t="shared" si="295"/>
        <v>1.6157045570151262E-4</v>
      </c>
      <c r="T313" s="3">
        <f t="shared" si="295"/>
        <v>1.6157045424743495E-4</v>
      </c>
      <c r="U313" s="3">
        <f t="shared" si="295"/>
        <v>1.6157043970665906E-4</v>
      </c>
      <c r="V313" s="3">
        <f t="shared" si="295"/>
        <v>1.6157029429897184E-4</v>
      </c>
      <c r="W313" s="3">
        <f t="shared" si="295"/>
        <v>1.6156884022929701E-4</v>
      </c>
      <c r="X313" s="3">
        <f t="shared" si="295"/>
        <v>1.6155430025226278E-4</v>
      </c>
      <c r="Y313" s="3">
        <f t="shared" si="295"/>
        <v>1.6140897242934924E-4</v>
      </c>
      <c r="Z313" s="3">
        <f t="shared" si="295"/>
        <v>1.5996286504310438E-4</v>
      </c>
      <c r="AA313" s="3">
        <f t="shared" si="295"/>
        <v>1.461955614568952E-4</v>
      </c>
      <c r="AB313" s="3">
        <f t="shared" si="295"/>
        <v>5.9440755696924261E-5</v>
      </c>
      <c r="AC313" s="3">
        <f t="shared" si="295"/>
        <v>7.3381345195115453E-9</v>
      </c>
      <c r="AD313" s="3">
        <f t="shared" si="295"/>
        <v>6.0339142646583921E-48</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1.333349737784439E-4</v>
      </c>
      <c r="C315" s="3">
        <f t="shared" si="297"/>
        <v>1.333349737784439E-4</v>
      </c>
      <c r="D315" s="3">
        <f t="shared" si="297"/>
        <v>1.333349737784439E-4</v>
      </c>
      <c r="E315" s="3">
        <f t="shared" si="297"/>
        <v>1.333349737784439E-4</v>
      </c>
      <c r="F315" s="3">
        <f t="shared" si="297"/>
        <v>1.333349737784439E-4</v>
      </c>
      <c r="G315" s="3">
        <f t="shared" si="297"/>
        <v>1.333349737784439E-4</v>
      </c>
      <c r="H315" s="3">
        <f t="shared" si="297"/>
        <v>1.333349737784439E-4</v>
      </c>
      <c r="I315" s="3">
        <f t="shared" si="297"/>
        <v>1.333349737784439E-4</v>
      </c>
      <c r="J315" s="3">
        <f t="shared" si="297"/>
        <v>1.333349737784439E-4</v>
      </c>
      <c r="K315" s="3">
        <f t="shared" si="297"/>
        <v>1.333349737784439E-4</v>
      </c>
      <c r="L315" s="3">
        <f t="shared" si="297"/>
        <v>1.333349737784439E-4</v>
      </c>
      <c r="M315" s="3">
        <f t="shared" si="297"/>
        <v>1.333349737784439E-4</v>
      </c>
      <c r="N315" s="3">
        <f t="shared" si="297"/>
        <v>1.3333497377844387E-4</v>
      </c>
      <c r="O315" s="3">
        <f t="shared" si="297"/>
        <v>1.3333497377844377E-4</v>
      </c>
      <c r="P315" s="3">
        <f t="shared" si="297"/>
        <v>1.3333497377844257E-4</v>
      </c>
      <c r="Q315" s="3">
        <f t="shared" si="297"/>
        <v>1.3333497377843057E-4</v>
      </c>
      <c r="R315" s="3">
        <f t="shared" si="297"/>
        <v>1.3333497377831057E-4</v>
      </c>
      <c r="S315" s="3">
        <f t="shared" si="297"/>
        <v>1.333349737771106E-4</v>
      </c>
      <c r="T315" s="3">
        <f t="shared" si="297"/>
        <v>1.3333497376511093E-4</v>
      </c>
      <c r="U315" s="3">
        <f t="shared" si="297"/>
        <v>1.3333497364511409E-4</v>
      </c>
      <c r="V315" s="3">
        <f t="shared" si="297"/>
        <v>1.333349724451459E-4</v>
      </c>
      <c r="W315" s="3">
        <f t="shared" si="297"/>
        <v>1.3333496044546462E-4</v>
      </c>
      <c r="X315" s="3">
        <f t="shared" si="297"/>
        <v>1.3333484044871115E-4</v>
      </c>
      <c r="Y315" s="3">
        <f t="shared" si="297"/>
        <v>1.3333364048711589E-4</v>
      </c>
      <c r="Z315" s="3">
        <f t="shared" si="297"/>
        <v>1.333216414651026E-4</v>
      </c>
      <c r="AA315" s="3">
        <f t="shared" si="297"/>
        <v>1.3320171061911997E-4</v>
      </c>
      <c r="AB315" s="3">
        <f t="shared" si="297"/>
        <v>1.3200831985101338E-4</v>
      </c>
      <c r="AC315" s="3">
        <f t="shared" si="297"/>
        <v>1.2064694160360215E-4</v>
      </c>
      <c r="AD315" s="3">
        <f t="shared" si="297"/>
        <v>4.9053099218441229E-5</v>
      </c>
      <c r="AE315" s="3">
        <f t="shared" si="297"/>
        <v>6.0557480544025833E-9</v>
      </c>
      <c r="AF315" s="3">
        <f t="shared" si="297"/>
        <v>4.9794487238521339E-48</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2.9933424394364084E-4</v>
      </c>
      <c r="C318" s="3">
        <f t="shared" si="300"/>
        <v>2.9933424394364084E-4</v>
      </c>
      <c r="D318" s="3">
        <f t="shared" si="300"/>
        <v>2.9933424394364084E-4</v>
      </c>
      <c r="E318" s="3">
        <f t="shared" si="300"/>
        <v>2.9933424394364084E-4</v>
      </c>
      <c r="F318" s="3">
        <f t="shared" si="300"/>
        <v>2.9933424394364084E-4</v>
      </c>
      <c r="G318" s="3">
        <f t="shared" si="300"/>
        <v>2.9933424394364084E-4</v>
      </c>
      <c r="H318" s="3">
        <f t="shared" si="300"/>
        <v>2.9933424394364084E-4</v>
      </c>
      <c r="I318" s="3">
        <f t="shared" si="300"/>
        <v>2.9933424394364084E-4</v>
      </c>
      <c r="J318" s="3">
        <f t="shared" si="300"/>
        <v>2.9933424394364084E-4</v>
      </c>
      <c r="K318" s="3">
        <f t="shared" si="300"/>
        <v>2.9933424394364084E-4</v>
      </c>
      <c r="L318" s="3">
        <f t="shared" si="300"/>
        <v>2.9933424394364084E-4</v>
      </c>
      <c r="M318" s="3">
        <f t="shared" si="300"/>
        <v>2.9933424394364084E-4</v>
      </c>
      <c r="N318" s="3">
        <f t="shared" si="300"/>
        <v>2.9933424394364084E-4</v>
      </c>
      <c r="O318" s="3">
        <f t="shared" si="300"/>
        <v>2.9933424394364084E-4</v>
      </c>
      <c r="P318" s="3">
        <f t="shared" si="300"/>
        <v>2.9933424394364084E-4</v>
      </c>
      <c r="Q318" s="3">
        <f t="shared" si="300"/>
        <v>2.9933424394364079E-4</v>
      </c>
      <c r="R318" s="3">
        <f t="shared" si="300"/>
        <v>2.9933424394364052E-4</v>
      </c>
      <c r="S318" s="3">
        <f t="shared" si="300"/>
        <v>2.9933424394363786E-4</v>
      </c>
      <c r="T318" s="3">
        <f t="shared" si="300"/>
        <v>2.9933424394361092E-4</v>
      </c>
      <c r="U318" s="3">
        <f t="shared" si="300"/>
        <v>2.993342439433415E-4</v>
      </c>
      <c r="V318" s="3">
        <f t="shared" si="300"/>
        <v>2.9933424394064763E-4</v>
      </c>
      <c r="W318" s="3">
        <f t="shared" si="300"/>
        <v>2.9933424391370857E-4</v>
      </c>
      <c r="X318" s="3">
        <f t="shared" si="300"/>
        <v>2.9933424364431821E-4</v>
      </c>
      <c r="Y318" s="3">
        <f t="shared" si="300"/>
        <v>2.9933424095041457E-4</v>
      </c>
      <c r="Z318" s="3">
        <f t="shared" si="300"/>
        <v>2.9933421401137959E-4</v>
      </c>
      <c r="AA318" s="3">
        <f t="shared" si="300"/>
        <v>2.9933394462116291E-4</v>
      </c>
      <c r="AB318" s="3">
        <f t="shared" si="300"/>
        <v>2.9933125073233009E-4</v>
      </c>
      <c r="AC318" s="3">
        <f t="shared" si="300"/>
        <v>2.9930431317738389E-4</v>
      </c>
      <c r="AD318" s="3">
        <f t="shared" si="300"/>
        <v>2.9903507092165447E-4</v>
      </c>
      <c r="AE318" s="3">
        <f t="shared" si="300"/>
        <v>2.963559334592353E-4</v>
      </c>
      <c r="AF318" s="3">
        <f t="shared" si="300"/>
        <v>2.7084987551004644E-4</v>
      </c>
      <c r="AG318" s="3"/>
      <c r="AH318" s="3"/>
    </row>
    <row r="319" spans="1:34" x14ac:dyDescent="0.25">
      <c r="A319" s="79">
        <f>AVERAGE(B319:AF319)</f>
        <v>2.6514125975367234E-4</v>
      </c>
      <c r="B319" s="80">
        <f>IF($A$64&lt;=B285,IF($B$64&gt;=B285,ABS((B287-B286)/B286),0),0)</f>
        <v>5.1156462264738142E-5</v>
      </c>
      <c r="C319" s="80">
        <f t="shared" ref="C319:AF319" si="301">IF($A$64&lt;=C285,IF($B$64&gt;=C285,ABS((C287-C286)/C286),0),0)</f>
        <v>4.2804931432583459E-5</v>
      </c>
      <c r="D319" s="80">
        <f t="shared" si="301"/>
        <v>4.5094947995219948E-5</v>
      </c>
      <c r="E319" s="80">
        <f t="shared" si="301"/>
        <v>1.9745373643413947E-5</v>
      </c>
      <c r="F319" s="80">
        <f t="shared" si="301"/>
        <v>1.9988593624194008E-4</v>
      </c>
      <c r="G319" s="80">
        <f t="shared" si="301"/>
        <v>4.6149760551832343E-5</v>
      </c>
      <c r="H319" s="80">
        <f t="shared" si="301"/>
        <v>2.1248080534506049E-6</v>
      </c>
      <c r="I319" s="80">
        <f t="shared" si="301"/>
        <v>1.103843215154689E-5</v>
      </c>
      <c r="J319" s="80">
        <f t="shared" si="301"/>
        <v>3.2891970868719661E-5</v>
      </c>
      <c r="K319" s="80">
        <f t="shared" si="301"/>
        <v>6.7643870947901448E-5</v>
      </c>
      <c r="L319" s="80">
        <f t="shared" si="301"/>
        <v>1.2195502138705744E-4</v>
      </c>
      <c r="M319" s="80">
        <f t="shared" si="301"/>
        <v>1.8399041322981845E-4</v>
      </c>
      <c r="N319" s="80">
        <f t="shared" si="301"/>
        <v>2.4279960678090062E-4</v>
      </c>
      <c r="O319" s="80">
        <f t="shared" si="301"/>
        <v>2.6858749022968105E-4</v>
      </c>
      <c r="P319" s="80">
        <f t="shared" si="301"/>
        <v>2.6041154765923502E-4</v>
      </c>
      <c r="Q319" s="80">
        <f t="shared" si="301"/>
        <v>2.1404920915645901E-4</v>
      </c>
      <c r="R319" s="80">
        <f t="shared" si="301"/>
        <v>1.631186216761931E-4</v>
      </c>
      <c r="S319" s="80">
        <f t="shared" si="301"/>
        <v>1.0814578848052476E-4</v>
      </c>
      <c r="T319" s="80">
        <f t="shared" si="301"/>
        <v>7.7828661857904123E-5</v>
      </c>
      <c r="U319" s="80">
        <f t="shared" si="301"/>
        <v>4.1897375272298421E-5</v>
      </c>
      <c r="V319" s="80">
        <f t="shared" si="301"/>
        <v>4.0544294672102925E-5</v>
      </c>
      <c r="W319" s="80">
        <f t="shared" si="301"/>
        <v>2.1456423745326445E-5</v>
      </c>
      <c r="X319" s="80">
        <f t="shared" si="301"/>
        <v>7.2319388528162005E-5</v>
      </c>
      <c r="Y319" s="80">
        <f t="shared" si="301"/>
        <v>1.7650734984696697E-4</v>
      </c>
      <c r="Z319" s="80">
        <f t="shared" si="301"/>
        <v>3.4745035057011392E-4</v>
      </c>
      <c r="AA319" s="80">
        <f t="shared" si="301"/>
        <v>4.9891119633011405E-4</v>
      </c>
      <c r="AB319" s="80">
        <f t="shared" si="301"/>
        <v>6.8158111895881275E-4</v>
      </c>
      <c r="AC319" s="80">
        <f t="shared" si="301"/>
        <v>9.3048067188942173E-4</v>
      </c>
      <c r="AD319" s="80">
        <f t="shared" si="301"/>
        <v>1.2930239060187595E-3</v>
      </c>
      <c r="AE319" s="80">
        <f t="shared" si="301"/>
        <v>1.3356288305038672E-3</v>
      </c>
      <c r="AF319" s="80">
        <f t="shared" si="301"/>
        <v>6.2015529141877719E-4</v>
      </c>
    </row>
    <row r="320" spans="1:34" x14ac:dyDescent="0.25">
      <c r="B320" s="21">
        <f>(B287-B286)^2</f>
        <v>0.10985719055892405</v>
      </c>
      <c r="C320" s="21">
        <f t="shared" ref="C320:AF320" si="302">(C287-C286)^2</f>
        <v>7.6916822033121154E-2</v>
      </c>
      <c r="D320" s="21">
        <f t="shared" si="302"/>
        <v>8.5364513267370268E-2</v>
      </c>
      <c r="E320" s="21">
        <f t="shared" si="302"/>
        <v>1.6363396943302844E-2</v>
      </c>
      <c r="F320" s="21">
        <f t="shared" si="302"/>
        <v>1.673960416147461</v>
      </c>
      <c r="G320" s="21">
        <f t="shared" si="302"/>
        <v>8.7928315312294933E-2</v>
      </c>
      <c r="H320" s="21">
        <f t="shared" si="302"/>
        <v>1.7806463707263246E-4</v>
      </c>
      <c r="I320" s="21">
        <f t="shared" si="302"/>
        <v>4.579745104759462E-3</v>
      </c>
      <c r="J320" s="21">
        <f t="shared" si="302"/>
        <v>3.8423205841280894E-2</v>
      </c>
      <c r="K320" s="21">
        <f t="shared" si="302"/>
        <v>0.15173842252656133</v>
      </c>
      <c r="L320" s="21">
        <f t="shared" si="302"/>
        <v>0.45873923991049381</v>
      </c>
      <c r="M320" s="21">
        <f t="shared" si="302"/>
        <v>0.94955860837155348</v>
      </c>
      <c r="N320" s="21">
        <f t="shared" si="302"/>
        <v>1.4822632218894363</v>
      </c>
      <c r="O320" s="21">
        <f t="shared" si="302"/>
        <v>1.6192287961365508</v>
      </c>
      <c r="P320" s="21">
        <f t="shared" si="302"/>
        <v>1.3360343822595668</v>
      </c>
      <c r="Q320" s="21">
        <f t="shared" si="302"/>
        <v>0.77596753054953682</v>
      </c>
      <c r="R320" s="21">
        <f t="shared" si="302"/>
        <v>0.35693025861355743</v>
      </c>
      <c r="S320" s="21">
        <f t="shared" si="302"/>
        <v>0.10806900210062911</v>
      </c>
      <c r="T320" s="21">
        <f t="shared" si="302"/>
        <v>3.36372597079529E-2</v>
      </c>
      <c r="U320" s="21">
        <f t="shared" si="302"/>
        <v>4.8640524878085832E-3</v>
      </c>
      <c r="V320" s="21">
        <f t="shared" si="302"/>
        <v>1.7777086128669441E-3</v>
      </c>
      <c r="W320" s="21">
        <f t="shared" si="302"/>
        <v>1.6347618006222332E-4</v>
      </c>
      <c r="X320" s="21">
        <f t="shared" si="302"/>
        <v>5.7549954004227873E-4</v>
      </c>
      <c r="Y320" s="21">
        <f t="shared" si="302"/>
        <v>1.1572066594082095E-3</v>
      </c>
      <c r="Z320" s="21">
        <f t="shared" si="302"/>
        <v>2.6762954924834945E-3</v>
      </c>
      <c r="AA320" s="21">
        <f t="shared" si="302"/>
        <v>4.4775661547929698E-3</v>
      </c>
      <c r="AB320" s="21">
        <f t="shared" si="302"/>
        <v>7.247267803855522E-3</v>
      </c>
      <c r="AC320" s="21">
        <f t="shared" si="302"/>
        <v>1.3450241603579645E-2</v>
      </c>
      <c r="AD320" s="21">
        <f t="shared" si="302"/>
        <v>2.5663785559343576E-2</v>
      </c>
      <c r="AE320" s="21">
        <f t="shared" si="302"/>
        <v>2.7377665474949606E-2</v>
      </c>
      <c r="AF320" s="21">
        <f t="shared" si="302"/>
        <v>5.8635013274209273E-3</v>
      </c>
      <c r="AG320" s="3"/>
      <c r="AH320" s="3"/>
    </row>
    <row r="321" spans="1:34" x14ac:dyDescent="0.25">
      <c r="A321" s="71">
        <f>SUM(B321:AF321)</f>
        <v>9.4610326588080422</v>
      </c>
      <c r="B321" s="60">
        <f>IF($A$64&lt;=B285,IF($B$64&gt;=B285,ABS(B320),0),0)</f>
        <v>0.10985719055892405</v>
      </c>
      <c r="C321" s="60">
        <f t="shared" ref="C321" si="303">IF($A$64&lt;=C285,IF($B$64&gt;=C285,ABS(C320),0),0)</f>
        <v>7.6916822033121154E-2</v>
      </c>
      <c r="D321" s="60">
        <f t="shared" ref="D321" si="304">IF($A$64&lt;=D285,IF($B$64&gt;=D285,ABS(D320),0),0)</f>
        <v>8.5364513267370268E-2</v>
      </c>
      <c r="E321" s="60">
        <f t="shared" ref="E321" si="305">IF($A$64&lt;=E285,IF($B$64&gt;=E285,ABS(E320),0),0)</f>
        <v>1.6363396943302844E-2</v>
      </c>
      <c r="F321" s="60">
        <f t="shared" ref="F321" si="306">IF($A$64&lt;=F285,IF($B$64&gt;=F285,ABS(F320),0),0)</f>
        <v>1.673960416147461</v>
      </c>
      <c r="G321" s="60">
        <f t="shared" ref="G321" si="307">IF($A$64&lt;=G285,IF($B$64&gt;=G285,ABS(G320),0),0)</f>
        <v>8.7928315312294933E-2</v>
      </c>
      <c r="H321" s="60">
        <f t="shared" ref="H321" si="308">IF($A$64&lt;=H285,IF($B$64&gt;=H285,ABS(H320),0),0)</f>
        <v>1.7806463707263246E-4</v>
      </c>
      <c r="I321" s="60">
        <f t="shared" ref="I321" si="309">IF($A$64&lt;=I285,IF($B$64&gt;=I285,ABS(I320),0),0)</f>
        <v>4.579745104759462E-3</v>
      </c>
      <c r="J321" s="60">
        <f t="shared" ref="J321" si="310">IF($A$64&lt;=J285,IF($B$64&gt;=J285,ABS(J320),0),0)</f>
        <v>3.8423205841280894E-2</v>
      </c>
      <c r="K321" s="60">
        <f t="shared" ref="K321" si="311">IF($A$64&lt;=K285,IF($B$64&gt;=K285,ABS(K320),0),0)</f>
        <v>0.15173842252656133</v>
      </c>
      <c r="L321" s="60">
        <f t="shared" ref="L321" si="312">IF($A$64&lt;=L285,IF($B$64&gt;=L285,ABS(L320),0),0)</f>
        <v>0.45873923991049381</v>
      </c>
      <c r="M321" s="60">
        <f t="shared" ref="M321" si="313">IF($A$64&lt;=M285,IF($B$64&gt;=M285,ABS(M320),0),0)</f>
        <v>0.94955860837155348</v>
      </c>
      <c r="N321" s="60">
        <f t="shared" ref="N321" si="314">IF($A$64&lt;=N285,IF($B$64&gt;=N285,ABS(N320),0),0)</f>
        <v>1.4822632218894363</v>
      </c>
      <c r="O321" s="60">
        <f t="shared" ref="O321" si="315">IF($A$64&lt;=O285,IF($B$64&gt;=O285,ABS(O320),0),0)</f>
        <v>1.6192287961365508</v>
      </c>
      <c r="P321" s="60">
        <f t="shared" ref="P321" si="316">IF($A$64&lt;=P285,IF($B$64&gt;=P285,ABS(P320),0),0)</f>
        <v>1.3360343822595668</v>
      </c>
      <c r="Q321" s="60">
        <f t="shared" ref="Q321" si="317">IF($A$64&lt;=Q285,IF($B$64&gt;=Q285,ABS(Q320),0),0)</f>
        <v>0.77596753054953682</v>
      </c>
      <c r="R321" s="60">
        <f t="shared" ref="R321" si="318">IF($A$64&lt;=R285,IF($B$64&gt;=R285,ABS(R320),0),0)</f>
        <v>0.35693025861355743</v>
      </c>
      <c r="S321" s="60">
        <f t="shared" ref="S321" si="319">IF($A$64&lt;=S285,IF($B$64&gt;=S285,ABS(S320),0),0)</f>
        <v>0.10806900210062911</v>
      </c>
      <c r="T321" s="60">
        <f t="shared" ref="T321" si="320">IF($A$64&lt;=T285,IF($B$64&gt;=T285,ABS(T320),0),0)</f>
        <v>3.36372597079529E-2</v>
      </c>
      <c r="U321" s="60">
        <f t="shared" ref="U321" si="321">IF($A$64&lt;=U285,IF($B$64&gt;=U285,ABS(U320),0),0)</f>
        <v>4.8640524878085832E-3</v>
      </c>
      <c r="V321" s="60">
        <f t="shared" ref="V321" si="322">IF($A$64&lt;=V285,IF($B$64&gt;=V285,ABS(V320),0),0)</f>
        <v>1.7777086128669441E-3</v>
      </c>
      <c r="W321" s="60">
        <f t="shared" ref="W321" si="323">IF($A$64&lt;=W285,IF($B$64&gt;=W285,ABS(W320),0),0)</f>
        <v>1.6347618006222332E-4</v>
      </c>
      <c r="X321" s="60">
        <f t="shared" ref="X321" si="324">IF($A$64&lt;=X285,IF($B$64&gt;=X285,ABS(X320),0),0)</f>
        <v>5.7549954004227873E-4</v>
      </c>
      <c r="Y321" s="60">
        <f t="shared" ref="Y321" si="325">IF($A$64&lt;=Y285,IF($B$64&gt;=Y285,ABS(Y320),0),0)</f>
        <v>1.1572066594082095E-3</v>
      </c>
      <c r="Z321" s="60">
        <f t="shared" ref="Z321" si="326">IF($A$64&lt;=Z285,IF($B$64&gt;=Z285,ABS(Z320),0),0)</f>
        <v>2.6762954924834945E-3</v>
      </c>
      <c r="AA321" s="60">
        <f t="shared" ref="AA321" si="327">IF($A$64&lt;=AA285,IF($B$64&gt;=AA285,ABS(AA320),0),0)</f>
        <v>4.4775661547929698E-3</v>
      </c>
      <c r="AB321" s="60">
        <f t="shared" ref="AB321" si="328">IF($A$64&lt;=AB285,IF($B$64&gt;=AB285,ABS(AB320),0),0)</f>
        <v>7.247267803855522E-3</v>
      </c>
      <c r="AC321" s="60">
        <f t="shared" ref="AC321" si="329">IF($A$64&lt;=AC285,IF($B$64&gt;=AC285,ABS(AC320),0),0)</f>
        <v>1.3450241603579645E-2</v>
      </c>
      <c r="AD321" s="60">
        <f t="shared" ref="AD321" si="330">IF($A$64&lt;=AD285,IF($B$64&gt;=AD285,ABS(AD320),0),0)</f>
        <v>2.5663785559343576E-2</v>
      </c>
      <c r="AE321" s="60">
        <f t="shared" ref="AE321" si="331">IF($A$64&lt;=AE285,IF($B$64&gt;=AE285,ABS(AE320),0),0)</f>
        <v>2.7377665474949606E-2</v>
      </c>
      <c r="AF321" s="60">
        <f t="shared" ref="AF321" si="332">IF($A$64&lt;=AF285,IF($B$64&gt;=AF285,ABS(AF320),0),0)</f>
        <v>5.8635013274209273E-3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5863.6829549380891</v>
      </c>
      <c r="C325" s="26">
        <f>INDEX(Comparison!$AM$3:$AS$33,G$14,$G$122)</f>
        <v>5609.1927579282792</v>
      </c>
      <c r="D325" s="26">
        <f>INDEX(Comparison!$AM$3:$AS$33,H$14,$G$122)</f>
        <v>5370.7345311781783</v>
      </c>
      <c r="E325" s="26">
        <f>INDEX(Comparison!$AM$3:$AS$33,I$14,$G$122)</f>
        <v>5097.9534912421213</v>
      </c>
      <c r="F325" s="26">
        <f>INDEX(Comparison!$AM$3:$AS$33,J$14,$G$122)</f>
        <v>4821.046341164677</v>
      </c>
      <c r="G325" s="26">
        <f>INDEX(Comparison!$AM$3:$AS$33,K$14,$G$122)</f>
        <v>4535.3452020984814</v>
      </c>
      <c r="H325" s="26">
        <f>INDEX(Comparison!$AM$3:$AS$33,L$14,$G$122)</f>
        <v>4228.4929725950406</v>
      </c>
      <c r="I325" s="26">
        <f>INDEX(Comparison!$AM$3:$AS$33,M$14,$G$122)</f>
        <v>3871.0057883923755</v>
      </c>
      <c r="J325" s="26">
        <f>INDEX(Comparison!$AM$3:$AS$33,N$14,$G$122)</f>
        <v>3401.7561264704505</v>
      </c>
      <c r="K325" s="26">
        <f>INDEX(Comparison!$AM$3:$AS$33,O$14,$G$122)</f>
        <v>2827.0529060658037</v>
      </c>
      <c r="L325" s="26">
        <f>INDEX(Comparison!$AM$3:$AS$33,P$14,$G$122)</f>
        <v>2150.7951483518323</v>
      </c>
      <c r="M325" s="26">
        <f>INDEX(Comparison!$AM$3:$AS$33,Q$14,$G$122)</f>
        <v>1410.5199057082755</v>
      </c>
      <c r="N325" s="26">
        <f>INDEX(Comparison!$AM$3:$AS$33,R$14,$G$122)</f>
        <v>826.67973456797017</v>
      </c>
      <c r="O325" s="26">
        <f>INDEX(Comparison!$AM$3:$AS$33,S$14,$G$122)</f>
        <v>463.10914863390207</v>
      </c>
      <c r="P325" s="26">
        <f>INDEX(Comparison!$AM$3:$AS$33,T$14,$G$122)</f>
        <v>257.27368574751409</v>
      </c>
      <c r="Q325" s="26">
        <f>INDEX(Comparison!$AM$3:$AS$33,U$14,$G$122)</f>
        <v>179.98076982609024</v>
      </c>
      <c r="R325" s="26">
        <f>INDEX(Comparison!$AM$3:$AS$33,V$14,$G$122)</f>
        <v>157.55849658546879</v>
      </c>
      <c r="S325" s="26">
        <f>INDEX(Comparison!$AM$3:$AS$33,W$14,$G$122)</f>
        <v>143.13037816485394</v>
      </c>
      <c r="T325" s="26">
        <f>INDEX(Comparison!$AM$3:$AS$33,X$14,$G$122)</f>
        <v>139.03929298884987</v>
      </c>
      <c r="U325" s="26">
        <f>INDEX(Comparison!$AM$3:$AS$33,Y$14,$G$122)</f>
        <v>135.60631839895524</v>
      </c>
      <c r="V325" s="26">
        <f>INDEX(Comparison!$AM$3:$AS$33,Z$14,$G$122)</f>
        <v>132.22937471479068</v>
      </c>
      <c r="W325" s="26">
        <f>INDEX(Comparison!$AM$3:$AS$33,AA$14,$G$122)</f>
        <v>129.58780540541244</v>
      </c>
      <c r="X325" s="26">
        <f>INDEX(Comparison!$AM$3:$AS$33,AB$14,$G$122)</f>
        <v>127.7135675720335</v>
      </c>
      <c r="Y325" s="26">
        <f>INDEX(Comparison!$AM$3:$AS$33,AC$14,$G$122)</f>
        <v>126.4367312836393</v>
      </c>
      <c r="Z325" s="26">
        <f>INDEX(Comparison!$AM$3:$AS$33,AD$14,$G$122)</f>
        <v>125.52960401951817</v>
      </c>
      <c r="AA325" s="26">
        <f>INDEX(Comparison!$AM$3:$AS$33,AE$14,$G$122)</f>
        <v>124.83927834622055</v>
      </c>
      <c r="AB325" s="26">
        <f>INDEX(Comparison!$AM$3:$AS$33,AF$14,$G$122)</f>
        <v>124.70417941781746</v>
      </c>
      <c r="AC325" s="26">
        <f>INDEX(Comparison!$AM$3:$AS$33,AG$14,$G$122)</f>
        <v>123.9260383626436</v>
      </c>
      <c r="AD325" s="26">
        <f>INDEX(Comparison!$AM$3:$AS$33,AH$14,$G$122)</f>
        <v>123.91358498832378</v>
      </c>
      <c r="AE325" s="26">
        <f>INDEX(Comparison!$AM$3:$AS$33,AI$14,$G$122)</f>
        <v>123.65466987195585</v>
      </c>
      <c r="AF325" s="26">
        <f>INDEX(Comparison!$AM$3:$AS$33,AJ$14,$G$122)</f>
        <v>123.64094316844046</v>
      </c>
      <c r="AG325" s="26"/>
      <c r="AH325" s="26"/>
    </row>
    <row r="326" spans="1:34" x14ac:dyDescent="0.25">
      <c r="A326" s="77" t="s">
        <v>22</v>
      </c>
      <c r="B326" s="27">
        <f>($C$17+SUM(B327:B357))*$B$51</f>
        <v>5878.2915621547418</v>
      </c>
      <c r="C326" s="27">
        <f t="shared" ref="C326:AF326" si="333">($C$17+SUM(C327:C357))*$B$51</f>
        <v>5668.3099655904261</v>
      </c>
      <c r="D326" s="27">
        <f t="shared" si="333"/>
        <v>5454.2630542005545</v>
      </c>
      <c r="E326" s="27">
        <f t="shared" si="333"/>
        <v>5163.3248931699945</v>
      </c>
      <c r="F326" s="27">
        <f t="shared" si="333"/>
        <v>4892.1650242228352</v>
      </c>
      <c r="G326" s="27">
        <f t="shared" si="333"/>
        <v>4601.2872165816907</v>
      </c>
      <c r="H326" s="27">
        <f t="shared" si="333"/>
        <v>4298.7881737288408</v>
      </c>
      <c r="I326" s="27">
        <f t="shared" si="333"/>
        <v>3939.8087984066592</v>
      </c>
      <c r="J326" s="27">
        <f t="shared" si="333"/>
        <v>3392.9725260585324</v>
      </c>
      <c r="K326" s="27">
        <f t="shared" si="333"/>
        <v>2742.9786599301992</v>
      </c>
      <c r="L326" s="27">
        <f t="shared" si="333"/>
        <v>2056.7912072799268</v>
      </c>
      <c r="M326" s="27">
        <f t="shared" si="333"/>
        <v>1390.6096329909549</v>
      </c>
      <c r="N326" s="27">
        <f t="shared" si="333"/>
        <v>839.37269780256054</v>
      </c>
      <c r="O326" s="27">
        <f t="shared" si="333"/>
        <v>495.02488614892343</v>
      </c>
      <c r="P326" s="27">
        <f t="shared" si="333"/>
        <v>250.56928815321163</v>
      </c>
      <c r="Q326" s="27">
        <f t="shared" si="333"/>
        <v>160.81373848953393</v>
      </c>
      <c r="R326" s="27">
        <f t="shared" si="333"/>
        <v>143.89560366385481</v>
      </c>
      <c r="S326" s="27">
        <f t="shared" si="333"/>
        <v>127.11283347090746</v>
      </c>
      <c r="T326" s="27">
        <f t="shared" si="333"/>
        <v>124.66199114475852</v>
      </c>
      <c r="U326" s="27">
        <f t="shared" si="333"/>
        <v>124.40661750733743</v>
      </c>
      <c r="V326" s="27">
        <f t="shared" si="333"/>
        <v>123.79594552081552</v>
      </c>
      <c r="W326" s="27">
        <f t="shared" si="333"/>
        <v>123.68680227143453</v>
      </c>
      <c r="X326" s="27">
        <f t="shared" si="333"/>
        <v>123.28837449863741</v>
      </c>
      <c r="Y326" s="27">
        <f t="shared" si="333"/>
        <v>121.92771597351938</v>
      </c>
      <c r="Z326" s="27">
        <f t="shared" si="333"/>
        <v>121.78424683700113</v>
      </c>
      <c r="AA326" s="27">
        <f t="shared" si="333"/>
        <v>121.7842468369922</v>
      </c>
      <c r="AB326" s="27">
        <f t="shared" si="333"/>
        <v>121.7842468369922</v>
      </c>
      <c r="AC326" s="27">
        <f t="shared" si="333"/>
        <v>121.7842468369922</v>
      </c>
      <c r="AD326" s="27">
        <f t="shared" si="333"/>
        <v>121.7842468369922</v>
      </c>
      <c r="AE326" s="27">
        <f t="shared" si="333"/>
        <v>121.7842468369922</v>
      </c>
      <c r="AF326" s="27">
        <f t="shared" si="333"/>
        <v>121.7842468369922</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1.2794164536811029E-194</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9.8000651824283039E-20</v>
      </c>
      <c r="C333" s="3">
        <f t="shared" si="340"/>
        <v>6.8407173655986023E-176</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7.6906206461528691E-4</v>
      </c>
      <c r="C334" s="3">
        <f t="shared" si="341"/>
        <v>6.3005666734079492E-18</v>
      </c>
      <c r="D334" s="3">
        <f t="shared" si="341"/>
        <v>8.5814728610847683E-159</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2.4872807556291343E-2</v>
      </c>
      <c r="C335" s="3">
        <f t="shared" si="342"/>
        <v>1.3335151199342511E-3</v>
      </c>
      <c r="D335" s="3">
        <f t="shared" si="342"/>
        <v>2.6165515170238405E-16</v>
      </c>
      <c r="E335" s="3">
        <f t="shared" si="342"/>
        <v>2.2133125508554029E-143</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2.8567138851863086E-2</v>
      </c>
      <c r="C336" s="3">
        <f t="shared" si="343"/>
        <v>2.1939999382191207E-2</v>
      </c>
      <c r="D336" s="3">
        <f t="shared" si="343"/>
        <v>1.5665175477195335E-3</v>
      </c>
      <c r="E336" s="3">
        <f t="shared" si="343"/>
        <v>5.3941347958693806E-15</v>
      </c>
      <c r="F336" s="3">
        <f t="shared" si="343"/>
        <v>1.2641165111182035E-129</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4.8892628226452559E-2</v>
      </c>
      <c r="C337" s="3">
        <f t="shared" si="344"/>
        <v>4.7742239999279353E-2</v>
      </c>
      <c r="D337" s="3">
        <f t="shared" si="344"/>
        <v>3.7626764378954916E-2</v>
      </c>
      <c r="E337" s="3">
        <f t="shared" si="344"/>
        <v>3.4788659603889305E-3</v>
      </c>
      <c r="F337" s="3">
        <f t="shared" si="344"/>
        <v>1.5879832450760616E-13</v>
      </c>
      <c r="G337" s="3">
        <f t="shared" si="344"/>
        <v>6.2363160386362562E-117</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4.179511887240113E-2</v>
      </c>
      <c r="C338" s="3">
        <f t="shared" si="345"/>
        <v>4.1705444794871233E-2</v>
      </c>
      <c r="D338" s="3">
        <f t="shared" si="345"/>
        <v>4.0819218275470207E-2</v>
      </c>
      <c r="E338" s="3">
        <f t="shared" si="345"/>
        <v>3.2929409503739793E-2</v>
      </c>
      <c r="F338" s="3">
        <f t="shared" si="345"/>
        <v>3.8439394582017177E-3</v>
      </c>
      <c r="G338" s="3">
        <f t="shared" si="345"/>
        <v>1.8059365971002149E-12</v>
      </c>
      <c r="H338" s="3">
        <f t="shared" si="345"/>
        <v>9.4615458826722579E-106</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4.6916357079489338E-2</v>
      </c>
      <c r="C339" s="3">
        <f t="shared" si="346"/>
        <v>4.6907267653151348E-2</v>
      </c>
      <c r="D339" s="3">
        <f t="shared" si="346"/>
        <v>4.681647018611753E-2</v>
      </c>
      <c r="E339" s="3">
        <f t="shared" si="346"/>
        <v>4.5918106115669502E-2</v>
      </c>
      <c r="F339" s="3">
        <f t="shared" si="346"/>
        <v>3.7830055575545488E-2</v>
      </c>
      <c r="G339" s="3">
        <f t="shared" si="346"/>
        <v>5.4496310257367928E-3</v>
      </c>
      <c r="H339" s="3">
        <f t="shared" si="346"/>
        <v>2.0973373636564309E-11</v>
      </c>
      <c r="I339" s="3">
        <f t="shared" si="346"/>
        <v>1.4951344336668332E-95</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4.7066033155454996E-2</v>
      </c>
      <c r="C340" s="3">
        <f t="shared" si="347"/>
        <v>4.7065210525241589E-2</v>
      </c>
      <c r="D340" s="3">
        <f t="shared" si="347"/>
        <v>4.7056985013861873E-2</v>
      </c>
      <c r="E340" s="3">
        <f t="shared" si="347"/>
        <v>4.6974808924393582E-2</v>
      </c>
      <c r="F340" s="3">
        <f t="shared" si="347"/>
        <v>4.6160899595643547E-2</v>
      </c>
      <c r="G340" s="3">
        <f t="shared" si="347"/>
        <v>3.8758474949578146E-2</v>
      </c>
      <c r="H340" s="3">
        <f t="shared" si="347"/>
        <v>6.7497990656001398E-3</v>
      </c>
      <c r="I340" s="3">
        <f t="shared" si="347"/>
        <v>1.7319385815937544E-10</v>
      </c>
      <c r="J340" s="3">
        <f t="shared" si="347"/>
        <v>2.1426385311801526E-86</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5.1874986410196451E-2</v>
      </c>
      <c r="C341" s="3">
        <f t="shared" si="348"/>
        <v>5.1874904619275256E-2</v>
      </c>
      <c r="D341" s="3">
        <f t="shared" si="348"/>
        <v>5.1874086717155966E-2</v>
      </c>
      <c r="E341" s="3">
        <f t="shared" si="348"/>
        <v>5.1865908405193797E-2</v>
      </c>
      <c r="F341" s="3">
        <f t="shared" si="348"/>
        <v>5.1784196167280805E-2</v>
      </c>
      <c r="G341" s="3">
        <f t="shared" si="348"/>
        <v>5.0974120782100722E-2</v>
      </c>
      <c r="H341" s="3">
        <f t="shared" si="348"/>
        <v>4.3538632917411495E-2</v>
      </c>
      <c r="I341" s="3">
        <f t="shared" si="348"/>
        <v>8.9975700289107001E-3</v>
      </c>
      <c r="J341" s="3">
        <f t="shared" si="348"/>
        <v>1.2782909276790906E-9</v>
      </c>
      <c r="K341" s="3">
        <f t="shared" si="348"/>
        <v>4.2822736659725228E-78</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9.3718422213262084E-2</v>
      </c>
      <c r="C342" s="3">
        <f t="shared" si="349"/>
        <v>9.3718408883605081E-2</v>
      </c>
      <c r="D342" s="3">
        <f t="shared" si="349"/>
        <v>9.3718275587139258E-2</v>
      </c>
      <c r="E342" s="3">
        <f t="shared" si="349"/>
        <v>9.371694263290839E-2</v>
      </c>
      <c r="F342" s="3">
        <f t="shared" si="349"/>
        <v>9.370361413327799E-2</v>
      </c>
      <c r="G342" s="3">
        <f t="shared" si="349"/>
        <v>9.3570433349955712E-2</v>
      </c>
      <c r="H342" s="3">
        <f t="shared" si="349"/>
        <v>9.2248992180390066E-2</v>
      </c>
      <c r="I342" s="3">
        <f t="shared" si="349"/>
        <v>8.0018705986429461E-2</v>
      </c>
      <c r="J342" s="3">
        <f t="shared" si="349"/>
        <v>1.9297029536024746E-2</v>
      </c>
      <c r="K342" s="3">
        <f t="shared" si="349"/>
        <v>1.2837481708617994E-8</v>
      </c>
      <c r="L342" s="3">
        <f t="shared" si="349"/>
        <v>2.1795839444048995E-70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0.10682333362163886</v>
      </c>
      <c r="C343" s="3">
        <f t="shared" si="350"/>
        <v>0.10682333225105141</v>
      </c>
      <c r="D343" s="3">
        <f t="shared" si="350"/>
        <v>0.10682331854517783</v>
      </c>
      <c r="E343" s="3">
        <f t="shared" si="350"/>
        <v>0.10682318148653888</v>
      </c>
      <c r="F343" s="3">
        <f t="shared" si="350"/>
        <v>0.10682181090982105</v>
      </c>
      <c r="G343" s="3">
        <f t="shared" si="350"/>
        <v>0.10680810610977802</v>
      </c>
      <c r="H343" s="3">
        <f t="shared" si="350"/>
        <v>0.10667115477696541</v>
      </c>
      <c r="I343" s="3">
        <f t="shared" si="350"/>
        <v>0.10531126247713159</v>
      </c>
      <c r="J343" s="3">
        <f t="shared" si="350"/>
        <v>9.263029444287417E-2</v>
      </c>
      <c r="K343" s="3">
        <f t="shared" si="350"/>
        <v>2.5676468923041741E-2</v>
      </c>
      <c r="L343" s="3">
        <f t="shared" si="350"/>
        <v>6.8763478513931317E-8</v>
      </c>
      <c r="M343" s="3">
        <f t="shared" si="350"/>
        <v>1.3049180360820813E-63</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0.11271893273653827</v>
      </c>
      <c r="C344" s="3">
        <f t="shared" si="351"/>
        <v>0.11271893260607625</v>
      </c>
      <c r="D344" s="3">
        <f t="shared" si="351"/>
        <v>0.1127189313014561</v>
      </c>
      <c r="E344" s="3">
        <f t="shared" si="351"/>
        <v>0.11271891825525537</v>
      </c>
      <c r="F344" s="3">
        <f t="shared" si="351"/>
        <v>0.11271878779333114</v>
      </c>
      <c r="G344" s="3">
        <f t="shared" si="351"/>
        <v>0.11271748318239377</v>
      </c>
      <c r="H344" s="3">
        <f t="shared" si="351"/>
        <v>0.11270443790346979</v>
      </c>
      <c r="I344" s="3">
        <f t="shared" si="351"/>
        <v>0.11257406812364722</v>
      </c>
      <c r="J344" s="3">
        <f t="shared" si="351"/>
        <v>0.11127863582884984</v>
      </c>
      <c r="K344" s="3">
        <f t="shared" si="351"/>
        <v>9.9116536250569209E-2</v>
      </c>
      <c r="L344" s="3">
        <f t="shared" si="351"/>
        <v>3.1152245283610772E-2</v>
      </c>
      <c r="M344" s="3">
        <f t="shared" si="351"/>
        <v>2.9303650362187635E-7</v>
      </c>
      <c r="N344" s="3">
        <f t="shared" si="351"/>
        <v>1.5894447118024286E-57</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0.10920012102868637</v>
      </c>
      <c r="C345" s="3">
        <f t="shared" si="352"/>
        <v>0.109200121017285</v>
      </c>
      <c r="D345" s="3">
        <f t="shared" si="352"/>
        <v>0.10920012090327133</v>
      </c>
      <c r="E345" s="3">
        <f t="shared" si="352"/>
        <v>0.10920011976313464</v>
      </c>
      <c r="F345" s="3">
        <f t="shared" si="352"/>
        <v>0.10920010836176824</v>
      </c>
      <c r="G345" s="3">
        <f t="shared" si="352"/>
        <v>0.10919999434816995</v>
      </c>
      <c r="H345" s="3">
        <f t="shared" si="352"/>
        <v>0.109198854218734</v>
      </c>
      <c r="I345" s="3">
        <f t="shared" si="352"/>
        <v>0.1091874535790632</v>
      </c>
      <c r="J345" s="3">
        <f t="shared" si="352"/>
        <v>0.10907351262593236</v>
      </c>
      <c r="K345" s="3">
        <f t="shared" si="352"/>
        <v>0.10794062224130606</v>
      </c>
      <c r="L345" s="3">
        <f t="shared" si="352"/>
        <v>9.7239136946793731E-2</v>
      </c>
      <c r="M345" s="3">
        <f t="shared" si="352"/>
        <v>3.4229683093210776E-2</v>
      </c>
      <c r="N345" s="3">
        <f t="shared" si="352"/>
        <v>1.0000476787313013E-6</v>
      </c>
      <c r="O345" s="3">
        <f t="shared" si="352"/>
        <v>4.5310513472190061E-52</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8.5599439572155739E-2</v>
      </c>
      <c r="C346" s="3">
        <f t="shared" si="353"/>
        <v>8.5599439571349523E-2</v>
      </c>
      <c r="D346" s="3">
        <f t="shared" si="353"/>
        <v>8.5599439563287374E-2</v>
      </c>
      <c r="E346" s="3">
        <f t="shared" si="353"/>
        <v>8.5599439482665782E-2</v>
      </c>
      <c r="F346" s="3">
        <f t="shared" si="353"/>
        <v>8.5599438676449952E-2</v>
      </c>
      <c r="G346" s="3">
        <f t="shared" si="353"/>
        <v>8.5599430614292107E-2</v>
      </c>
      <c r="H346" s="3">
        <f t="shared" si="353"/>
        <v>8.5599349992755369E-2</v>
      </c>
      <c r="I346" s="3">
        <f t="shared" si="353"/>
        <v>8.5598543781564299E-2</v>
      </c>
      <c r="J346" s="3">
        <f t="shared" si="353"/>
        <v>8.5590482087270089E-2</v>
      </c>
      <c r="K346" s="3">
        <f t="shared" si="353"/>
        <v>8.5509906891423293E-2</v>
      </c>
      <c r="L346" s="3">
        <f t="shared" si="353"/>
        <v>8.4708315130896938E-2</v>
      </c>
      <c r="M346" s="3">
        <f t="shared" si="353"/>
        <v>7.7094277753246121E-2</v>
      </c>
      <c r="N346" s="3">
        <f t="shared" si="353"/>
        <v>3.0059596721197023E-2</v>
      </c>
      <c r="O346" s="3">
        <f t="shared" si="353"/>
        <v>2.4411429181684256E-6</v>
      </c>
      <c r="P346" s="3">
        <f t="shared" si="353"/>
        <v>3.045746613795425E-47</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3.0324649856520756E-2</v>
      </c>
      <c r="C347" s="3">
        <f t="shared" si="354"/>
        <v>3.0324649856494992E-2</v>
      </c>
      <c r="D347" s="3">
        <f t="shared" si="354"/>
        <v>3.0324649856237347E-2</v>
      </c>
      <c r="E347" s="3">
        <f t="shared" si="354"/>
        <v>3.0324649853660891E-2</v>
      </c>
      <c r="F347" s="3">
        <f t="shared" si="354"/>
        <v>3.0324649827896323E-2</v>
      </c>
      <c r="G347" s="3">
        <f t="shared" si="354"/>
        <v>3.0324649570250693E-2</v>
      </c>
      <c r="H347" s="3">
        <f t="shared" si="354"/>
        <v>3.0324646993794491E-2</v>
      </c>
      <c r="I347" s="3">
        <f t="shared" si="354"/>
        <v>3.0324621229244519E-2</v>
      </c>
      <c r="J347" s="3">
        <f t="shared" si="354"/>
        <v>3.0324363584948725E-2</v>
      </c>
      <c r="K347" s="3">
        <f t="shared" si="354"/>
        <v>3.0321787262382719E-2</v>
      </c>
      <c r="L347" s="3">
        <f t="shared" si="354"/>
        <v>3.02960360721297E-2</v>
      </c>
      <c r="M347" s="3">
        <f t="shared" si="354"/>
        <v>3.0039723935423285E-2</v>
      </c>
      <c r="N347" s="3">
        <f t="shared" si="354"/>
        <v>2.7592891741228129E-2</v>
      </c>
      <c r="O347" s="3">
        <f t="shared" si="354"/>
        <v>1.179804410418148E-2</v>
      </c>
      <c r="P347" s="3">
        <f t="shared" si="354"/>
        <v>2.4095614063725685E-6</v>
      </c>
      <c r="Q347" s="3">
        <f t="shared" si="354"/>
        <v>3.0424106348650877E-43</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3.2131427411943227E-2</v>
      </c>
      <c r="C348" s="3">
        <f t="shared" si="355"/>
        <v>3.2131427411935677E-2</v>
      </c>
      <c r="D348" s="3">
        <f t="shared" si="355"/>
        <v>3.2131427411860175E-2</v>
      </c>
      <c r="E348" s="3">
        <f t="shared" si="355"/>
        <v>3.2131427411105133E-2</v>
      </c>
      <c r="F348" s="3">
        <f t="shared" si="355"/>
        <v>3.2131427403554735E-2</v>
      </c>
      <c r="G348" s="3">
        <f t="shared" si="355"/>
        <v>3.213142732805075E-2</v>
      </c>
      <c r="H348" s="3">
        <f t="shared" si="355"/>
        <v>3.2131426573010914E-2</v>
      </c>
      <c r="I348" s="3">
        <f t="shared" si="355"/>
        <v>3.2131419022613517E-2</v>
      </c>
      <c r="J348" s="3">
        <f t="shared" si="355"/>
        <v>3.213134351873715E-2</v>
      </c>
      <c r="K348" s="3">
        <f t="shared" si="355"/>
        <v>3.2130588489731618E-2</v>
      </c>
      <c r="L348" s="3">
        <f t="shared" si="355"/>
        <v>3.2123039175408104E-2</v>
      </c>
      <c r="M348" s="3">
        <f t="shared" si="355"/>
        <v>3.2047643520572322E-2</v>
      </c>
      <c r="N348" s="3">
        <f t="shared" si="355"/>
        <v>3.1303351581580173E-2</v>
      </c>
      <c r="O348" s="3">
        <f t="shared" si="355"/>
        <v>2.4747892315663347E-2</v>
      </c>
      <c r="P348" s="3">
        <f t="shared" si="355"/>
        <v>2.3605434777475716E-3</v>
      </c>
      <c r="Q348" s="3">
        <f t="shared" si="355"/>
        <v>1.471464763542574E-13</v>
      </c>
      <c r="R348" s="3">
        <f t="shared" si="355"/>
        <v>1.303552403827501E-115</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1.5943337163866839E-2</v>
      </c>
      <c r="C349" s="3">
        <f t="shared" si="356"/>
        <v>1.5943337163866464E-2</v>
      </c>
      <c r="D349" s="3">
        <f t="shared" si="356"/>
        <v>1.5943337163862717E-2</v>
      </c>
      <c r="E349" s="3">
        <f t="shared" si="356"/>
        <v>1.5943337163825254E-2</v>
      </c>
      <c r="F349" s="3">
        <f t="shared" si="356"/>
        <v>1.5943337163450609E-2</v>
      </c>
      <c r="G349" s="3">
        <f t="shared" si="356"/>
        <v>1.5943337159704165E-2</v>
      </c>
      <c r="H349" s="3">
        <f t="shared" si="356"/>
        <v>1.5943337122239741E-2</v>
      </c>
      <c r="I349" s="3">
        <f t="shared" si="356"/>
        <v>1.5943336747595484E-2</v>
      </c>
      <c r="J349" s="3">
        <f t="shared" si="356"/>
        <v>1.5943333001153415E-2</v>
      </c>
      <c r="K349" s="3">
        <f t="shared" si="356"/>
        <v>1.5943295536781144E-2</v>
      </c>
      <c r="L349" s="3">
        <f t="shared" si="356"/>
        <v>1.5942920897900361E-2</v>
      </c>
      <c r="M349" s="3">
        <f t="shared" si="356"/>
        <v>1.5939174993242197E-2</v>
      </c>
      <c r="N349" s="3">
        <f t="shared" si="356"/>
        <v>1.5901764319563551E-2</v>
      </c>
      <c r="O349" s="3">
        <f t="shared" si="356"/>
        <v>1.553245307859176E-2</v>
      </c>
      <c r="P349" s="3">
        <f t="shared" si="356"/>
        <v>1.2279690728492864E-2</v>
      </c>
      <c r="Q349" s="3">
        <f t="shared" si="356"/>
        <v>1.1712813151184987E-3</v>
      </c>
      <c r="R349" s="3">
        <f t="shared" si="356"/>
        <v>7.3012812500163671E-14</v>
      </c>
      <c r="S349" s="3">
        <f t="shared" si="356"/>
        <v>6.4681146027348432E-116</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9.990785667170429E-4</v>
      </c>
      <c r="C350" s="3">
        <f t="shared" si="357"/>
        <v>9.9907856671704052E-4</v>
      </c>
      <c r="D350" s="3">
        <f t="shared" si="357"/>
        <v>9.990785667170171E-4</v>
      </c>
      <c r="E350" s="3">
        <f t="shared" si="357"/>
        <v>9.9907856671678226E-4</v>
      </c>
      <c r="F350" s="3">
        <f t="shared" si="357"/>
        <v>9.9907856671443453E-4</v>
      </c>
      <c r="G350" s="3">
        <f t="shared" si="357"/>
        <v>9.9907856669095765E-4</v>
      </c>
      <c r="H350" s="3">
        <f t="shared" si="357"/>
        <v>9.990785664561895E-4</v>
      </c>
      <c r="I350" s="3">
        <f t="shared" si="357"/>
        <v>9.9907856410850625E-4</v>
      </c>
      <c r="J350" s="3">
        <f t="shared" si="357"/>
        <v>9.9907854063167444E-4</v>
      </c>
      <c r="K350" s="3">
        <f t="shared" si="357"/>
        <v>9.990783058633863E-4</v>
      </c>
      <c r="L350" s="3">
        <f t="shared" si="357"/>
        <v>9.9907595818353933E-4</v>
      </c>
      <c r="M350" s="3">
        <f t="shared" si="357"/>
        <v>9.9905248168848668E-4</v>
      </c>
      <c r="N350" s="3">
        <f t="shared" si="357"/>
        <v>9.9881774707687621E-4</v>
      </c>
      <c r="O350" s="3">
        <f t="shared" si="357"/>
        <v>9.964734322164034E-4</v>
      </c>
      <c r="P350" s="3">
        <f t="shared" si="357"/>
        <v>9.7333079015155357E-4</v>
      </c>
      <c r="Q350" s="3">
        <f t="shared" si="357"/>
        <v>7.6949861165550703E-4</v>
      </c>
      <c r="R350" s="3">
        <f t="shared" si="357"/>
        <v>7.3397560717910798E-5</v>
      </c>
      <c r="S350" s="3">
        <f t="shared" si="357"/>
        <v>4.5752990929630193E-15</v>
      </c>
      <c r="T350" s="3">
        <f t="shared" si="357"/>
        <v>4.0532007823979179E-117</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3.5389734266527166E-3</v>
      </c>
      <c r="C351" s="3">
        <f t="shared" si="358"/>
        <v>3.5389734266527157E-3</v>
      </c>
      <c r="D351" s="3">
        <f t="shared" si="358"/>
        <v>3.538973426652707E-3</v>
      </c>
      <c r="E351" s="3">
        <f t="shared" si="358"/>
        <v>3.5389734266526242E-3</v>
      </c>
      <c r="F351" s="3">
        <f t="shared" si="358"/>
        <v>3.5389734266517924E-3</v>
      </c>
      <c r="G351" s="3">
        <f t="shared" si="358"/>
        <v>3.5389734266434766E-3</v>
      </c>
      <c r="H351" s="3">
        <f t="shared" si="358"/>
        <v>3.5389734265603161E-3</v>
      </c>
      <c r="I351" s="3">
        <f t="shared" si="358"/>
        <v>3.5389734257287109E-3</v>
      </c>
      <c r="J351" s="3">
        <f t="shared" si="358"/>
        <v>3.5389734174126599E-3</v>
      </c>
      <c r="K351" s="3">
        <f t="shared" si="358"/>
        <v>3.5389733342521489E-3</v>
      </c>
      <c r="L351" s="3">
        <f t="shared" si="358"/>
        <v>3.538972502647147E-3</v>
      </c>
      <c r="M351" s="3">
        <f t="shared" si="358"/>
        <v>3.5389641866078797E-3</v>
      </c>
      <c r="N351" s="3">
        <f t="shared" si="358"/>
        <v>3.5388810272899735E-3</v>
      </c>
      <c r="O351" s="3">
        <f t="shared" si="358"/>
        <v>3.5380495415785599E-3</v>
      </c>
      <c r="P351" s="3">
        <f t="shared" si="358"/>
        <v>3.5297454218913738E-3</v>
      </c>
      <c r="Q351" s="3">
        <f t="shared" si="358"/>
        <v>3.4477686905126145E-3</v>
      </c>
      <c r="R351" s="3">
        <f t="shared" si="358"/>
        <v>2.7257467322550086E-3</v>
      </c>
      <c r="S351" s="3">
        <f t="shared" si="358"/>
        <v>2.5999158185862877E-4</v>
      </c>
      <c r="T351" s="3">
        <f t="shared" si="358"/>
        <v>1.6206795389666513E-14</v>
      </c>
      <c r="U351" s="3">
        <f t="shared" si="358"/>
        <v>1.4357399247317409E-116</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1.6157045586307682E-4</v>
      </c>
      <c r="C352" s="3">
        <f t="shared" si="359"/>
        <v>1.6157045586307682E-4</v>
      </c>
      <c r="D352" s="3">
        <f t="shared" si="359"/>
        <v>1.6157045586307679E-4</v>
      </c>
      <c r="E352" s="3">
        <f t="shared" si="359"/>
        <v>1.6157045586307639E-4</v>
      </c>
      <c r="F352" s="3">
        <f t="shared" si="359"/>
        <v>1.6157045586307259E-4</v>
      </c>
      <c r="G352" s="3">
        <f t="shared" si="359"/>
        <v>1.6157045586303462E-4</v>
      </c>
      <c r="H352" s="3">
        <f t="shared" si="359"/>
        <v>1.6157045586265498E-4</v>
      </c>
      <c r="I352" s="3">
        <f t="shared" si="359"/>
        <v>1.615704558588583E-4</v>
      </c>
      <c r="J352" s="3">
        <f t="shared" si="359"/>
        <v>1.6157045582089171E-4</v>
      </c>
      <c r="K352" s="3">
        <f t="shared" si="359"/>
        <v>1.6157045544122563E-4</v>
      </c>
      <c r="L352" s="3">
        <f t="shared" si="359"/>
        <v>1.6157045164456483E-4</v>
      </c>
      <c r="M352" s="3">
        <f t="shared" si="359"/>
        <v>1.615704136779618E-4</v>
      </c>
      <c r="N352" s="3">
        <f t="shared" si="359"/>
        <v>1.6157003401242226E-4</v>
      </c>
      <c r="O352" s="3">
        <f t="shared" si="359"/>
        <v>1.6156623740609509E-4</v>
      </c>
      <c r="P352" s="3">
        <f t="shared" si="359"/>
        <v>1.6152827624921694E-4</v>
      </c>
      <c r="Q352" s="3">
        <f t="shared" si="359"/>
        <v>1.6114915489348831E-4</v>
      </c>
      <c r="R352" s="3">
        <f t="shared" si="359"/>
        <v>1.5740653909443193E-4</v>
      </c>
      <c r="S352" s="3">
        <f t="shared" si="359"/>
        <v>1.2444290730780633E-4</v>
      </c>
      <c r="T352" s="3">
        <f t="shared" si="359"/>
        <v>1.1869814586653377E-5</v>
      </c>
      <c r="U352" s="3">
        <f t="shared" si="359"/>
        <v>7.3991494241445467E-16</v>
      </c>
      <c r="V352" s="3">
        <f t="shared" si="359"/>
        <v>6.5548148056916953E-118</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1.333349737784439E-4</v>
      </c>
      <c r="C354" s="3">
        <f t="shared" si="361"/>
        <v>1.333349737784439E-4</v>
      </c>
      <c r="D354" s="3">
        <f t="shared" si="361"/>
        <v>1.333349737784439E-4</v>
      </c>
      <c r="E354" s="3">
        <f t="shared" si="361"/>
        <v>1.333349737784439E-4</v>
      </c>
      <c r="F354" s="3">
        <f t="shared" si="361"/>
        <v>1.3333497377844387E-4</v>
      </c>
      <c r="G354" s="3">
        <f t="shared" si="361"/>
        <v>1.3333497377844355E-4</v>
      </c>
      <c r="H354" s="3">
        <f t="shared" si="361"/>
        <v>1.3333497377844043E-4</v>
      </c>
      <c r="I354" s="3">
        <f t="shared" si="361"/>
        <v>1.3333497377840907E-4</v>
      </c>
      <c r="J354" s="3">
        <f t="shared" si="361"/>
        <v>1.3333497377809576E-4</v>
      </c>
      <c r="K354" s="3">
        <f t="shared" si="361"/>
        <v>1.3333497377496261E-4</v>
      </c>
      <c r="L354" s="3">
        <f t="shared" si="361"/>
        <v>1.333349737436309E-4</v>
      </c>
      <c r="M354" s="3">
        <f t="shared" si="361"/>
        <v>1.3333497343031393E-4</v>
      </c>
      <c r="N354" s="3">
        <f t="shared" si="361"/>
        <v>1.3333497029714415E-4</v>
      </c>
      <c r="O354" s="3">
        <f t="shared" si="361"/>
        <v>1.3333493896545057E-4</v>
      </c>
      <c r="P354" s="3">
        <f t="shared" si="361"/>
        <v>1.3333462564891945E-4</v>
      </c>
      <c r="Q354" s="3">
        <f t="shared" si="361"/>
        <v>1.333314925241017E-4</v>
      </c>
      <c r="R354" s="3">
        <f t="shared" si="361"/>
        <v>1.3330016532489371E-4</v>
      </c>
      <c r="S354" s="3">
        <f t="shared" si="361"/>
        <v>1.329872978779654E-4</v>
      </c>
      <c r="T354" s="3">
        <f t="shared" si="361"/>
        <v>1.2989872839436583E-4</v>
      </c>
      <c r="U354" s="3">
        <f t="shared" si="361"/>
        <v>1.0269570444773087E-4</v>
      </c>
      <c r="V354" s="3">
        <f t="shared" si="361"/>
        <v>9.7954877221343502E-6</v>
      </c>
      <c r="W354" s="3">
        <f t="shared" si="361"/>
        <v>6.1061002098500493E-16</v>
      </c>
      <c r="X354" s="3">
        <f t="shared" si="361"/>
        <v>5.4093185265264036E-118</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2.9933424394364084E-4</v>
      </c>
      <c r="C357" s="3">
        <f t="shared" si="364"/>
        <v>2.9933424394364084E-4</v>
      </c>
      <c r="D357" s="3">
        <f t="shared" si="364"/>
        <v>2.9933424394364084E-4</v>
      </c>
      <c r="E357" s="3">
        <f t="shared" si="364"/>
        <v>2.9933424394364084E-4</v>
      </c>
      <c r="F357" s="3">
        <f t="shared" si="364"/>
        <v>2.9933424394364084E-4</v>
      </c>
      <c r="G357" s="3">
        <f t="shared" si="364"/>
        <v>2.9933424394364084E-4</v>
      </c>
      <c r="H357" s="3">
        <f t="shared" si="364"/>
        <v>2.9933424394364084E-4</v>
      </c>
      <c r="I357" s="3">
        <f t="shared" si="364"/>
        <v>2.9933424394364079E-4</v>
      </c>
      <c r="J357" s="3">
        <f t="shared" si="364"/>
        <v>2.9933424394364003E-4</v>
      </c>
      <c r="K357" s="3">
        <f t="shared" si="364"/>
        <v>2.9933424394363304E-4</v>
      </c>
      <c r="L357" s="3">
        <f t="shared" si="364"/>
        <v>2.9933424394356267E-4</v>
      </c>
      <c r="M357" s="3">
        <f t="shared" si="364"/>
        <v>2.993342439428593E-4</v>
      </c>
      <c r="N357" s="3">
        <f t="shared" si="364"/>
        <v>2.9933424393582537E-4</v>
      </c>
      <c r="O357" s="3">
        <f t="shared" si="364"/>
        <v>2.993342438654864E-4</v>
      </c>
      <c r="P357" s="3">
        <f t="shared" si="364"/>
        <v>2.9933424316209631E-4</v>
      </c>
      <c r="Q357" s="3">
        <f t="shared" si="364"/>
        <v>2.9933423612819529E-4</v>
      </c>
      <c r="R357" s="3">
        <f t="shared" si="364"/>
        <v>2.9933416578919461E-4</v>
      </c>
      <c r="S357" s="3">
        <f t="shared" si="364"/>
        <v>2.993334624000965E-4</v>
      </c>
      <c r="T357" s="3">
        <f t="shared" si="364"/>
        <v>2.9932642860002194E-4</v>
      </c>
      <c r="U357" s="3">
        <f t="shared" si="364"/>
        <v>2.9925609968912888E-4</v>
      </c>
      <c r="V357" s="3">
        <f t="shared" si="364"/>
        <v>2.985537187756524E-4</v>
      </c>
      <c r="W357" s="3">
        <f t="shared" si="364"/>
        <v>2.9161994449991807E-4</v>
      </c>
      <c r="X357" s="3">
        <f t="shared" si="364"/>
        <v>2.305497213221852E-4</v>
      </c>
      <c r="Y357" s="3">
        <f t="shared" si="364"/>
        <v>2.1990666276624982E-5</v>
      </c>
      <c r="Z357" s="3">
        <f t="shared" si="364"/>
        <v>1.3708068018198115E-15</v>
      </c>
      <c r="AA357" s="3">
        <f t="shared" si="364"/>
        <v>1.2143807626036999E-117</v>
      </c>
      <c r="AB357" s="3">
        <f t="shared" si="364"/>
        <v>0</v>
      </c>
      <c r="AC357" s="3">
        <f t="shared" si="364"/>
        <v>0</v>
      </c>
      <c r="AD357" s="3">
        <f t="shared" si="364"/>
        <v>0</v>
      </c>
      <c r="AE357" s="3">
        <f t="shared" si="364"/>
        <v>0</v>
      </c>
      <c r="AF357" s="3">
        <f t="shared" si="364"/>
        <v>0</v>
      </c>
      <c r="AG357" s="3"/>
      <c r="AH357" s="3"/>
    </row>
    <row r="358" spans="1:34" x14ac:dyDescent="0.25">
      <c r="A358" s="79">
        <f>AVERAGE(B358:AF358)</f>
        <v>3.6085268450540352E-2</v>
      </c>
      <c r="B358" s="80">
        <f>IF($A$64&lt;=B324,IF($B$64&gt;=B324,ABS((B326-B325)/B325),0),0)</f>
        <v>2.4913705820929595E-3</v>
      </c>
      <c r="C358" s="80">
        <f t="shared" ref="C358:AF358" si="365">IF($A$64&lt;=C324,IF($B$64&gt;=C324,ABS((C326-C325)/C325),0),0)</f>
        <v>1.053934321985781E-2</v>
      </c>
      <c r="D358" s="80">
        <f t="shared" si="365"/>
        <v>1.5552532439925418E-2</v>
      </c>
      <c r="E358" s="80">
        <f t="shared" si="365"/>
        <v>1.2823067538802789E-2</v>
      </c>
      <c r="F358" s="80">
        <f t="shared" si="365"/>
        <v>1.4751711148451077E-2</v>
      </c>
      <c r="G358" s="80">
        <f t="shared" si="365"/>
        <v>1.4539580019774071E-2</v>
      </c>
      <c r="H358" s="80">
        <f t="shared" si="365"/>
        <v>1.6624173574222547E-2</v>
      </c>
      <c r="I358" s="80">
        <f t="shared" si="365"/>
        <v>1.7773936226237862E-2</v>
      </c>
      <c r="J358" s="80">
        <f t="shared" si="365"/>
        <v>2.5820782223538348E-3</v>
      </c>
      <c r="K358" s="80">
        <f t="shared" si="365"/>
        <v>2.9739183852984279E-2</v>
      </c>
      <c r="L358" s="80">
        <f t="shared" si="365"/>
        <v>4.3706598996162561E-2</v>
      </c>
      <c r="M358" s="80">
        <f t="shared" si="365"/>
        <v>1.4115555999419159E-2</v>
      </c>
      <c r="N358" s="80">
        <f t="shared" si="365"/>
        <v>1.5354148292051475E-2</v>
      </c>
      <c r="O358" s="80">
        <f t="shared" si="365"/>
        <v>6.8916231970730199E-2</v>
      </c>
      <c r="P358" s="80">
        <f t="shared" si="365"/>
        <v>2.6059398864764174E-2</v>
      </c>
      <c r="Q358" s="80">
        <f t="shared" si="365"/>
        <v>0.10649488473172332</v>
      </c>
      <c r="R358" s="80">
        <f t="shared" si="365"/>
        <v>8.6716319447757831E-2</v>
      </c>
      <c r="S358" s="80">
        <f t="shared" si="365"/>
        <v>0.11190877086552427</v>
      </c>
      <c r="T358" s="80">
        <f t="shared" si="365"/>
        <v>0.10340459545665501</v>
      </c>
      <c r="U358" s="80">
        <f t="shared" si="365"/>
        <v>8.2589816048749071E-2</v>
      </c>
      <c r="V358" s="80">
        <f t="shared" si="365"/>
        <v>6.3778787521044114E-2</v>
      </c>
      <c r="W358" s="80">
        <f t="shared" si="365"/>
        <v>4.5536716325403903E-2</v>
      </c>
      <c r="X358" s="80">
        <f t="shared" si="365"/>
        <v>3.4649357601729928E-2</v>
      </c>
      <c r="Y358" s="80">
        <f t="shared" si="365"/>
        <v>3.5662226192835621E-2</v>
      </c>
      <c r="Z358" s="80">
        <f t="shared" si="365"/>
        <v>2.9836445448634466E-2</v>
      </c>
      <c r="AA358" s="80">
        <f t="shared" si="365"/>
        <v>2.4471717152639617E-2</v>
      </c>
      <c r="AB358" s="80">
        <f t="shared" si="365"/>
        <v>2.3414873458588087E-2</v>
      </c>
      <c r="AC358" s="80">
        <f t="shared" si="365"/>
        <v>1.7282820898251384E-2</v>
      </c>
      <c r="AD358" s="80">
        <f t="shared" si="365"/>
        <v>1.7184057353616437E-2</v>
      </c>
      <c r="AE358" s="80">
        <f t="shared" si="365"/>
        <v>1.512618194606374E-2</v>
      </c>
      <c r="AF358" s="80">
        <f t="shared" si="365"/>
        <v>1.5016840569703666E-2</v>
      </c>
    </row>
    <row r="359" spans="1:34" x14ac:dyDescent="0.25">
      <c r="B359" s="21">
        <f>(B326-B325)^2</f>
        <v>213.41140481043652</v>
      </c>
      <c r="C359" s="21">
        <f t="shared" ref="C359:AF359" si="366">(C326-C325)^2</f>
        <v>3494.8442417694046</v>
      </c>
      <c r="D359" s="21">
        <f t="shared" si="366"/>
        <v>6977.0141582996393</v>
      </c>
      <c r="E359" s="21">
        <f t="shared" si="366"/>
        <v>4273.4201900155431</v>
      </c>
      <c r="F359" s="21">
        <f t="shared" si="366"/>
        <v>5057.8670799267638</v>
      </c>
      <c r="G359" s="21">
        <f t="shared" si="366"/>
        <v>4348.3492741037817</v>
      </c>
      <c r="H359" s="21">
        <f t="shared" si="366"/>
        <v>4941.4153024414272</v>
      </c>
      <c r="I359" s="21">
        <f t="shared" si="366"/>
        <v>4733.8541870256231</v>
      </c>
      <c r="J359" s="21">
        <f t="shared" si="366"/>
        <v>77.151636196247594</v>
      </c>
      <c r="K359" s="21">
        <f t="shared" si="366"/>
        <v>7068.4788632701957</v>
      </c>
      <c r="L359" s="21">
        <f t="shared" si="366"/>
        <v>8836.7409370502828</v>
      </c>
      <c r="M359" s="21">
        <f t="shared" si="366"/>
        <v>396.41895967808085</v>
      </c>
      <c r="N359" s="21">
        <f t="shared" si="366"/>
        <v>161.11131567466271</v>
      </c>
      <c r="O359" s="21">
        <f t="shared" si="366"/>
        <v>1018.614301127742</v>
      </c>
      <c r="P359" s="21">
        <f t="shared" si="366"/>
        <v>44.94894710248866</v>
      </c>
      <c r="Q359" s="21">
        <f t="shared" si="366"/>
        <v>367.37509025653139</v>
      </c>
      <c r="R359" s="21">
        <f t="shared" si="366"/>
        <v>186.67464298748922</v>
      </c>
      <c r="S359" s="21">
        <f t="shared" si="366"/>
        <v>256.56173802257291</v>
      </c>
      <c r="T359" s="21">
        <f t="shared" si="366"/>
        <v>206.7068083161125</v>
      </c>
      <c r="U359" s="21">
        <f t="shared" si="366"/>
        <v>125.43330006170474</v>
      </c>
      <c r="V359" s="21">
        <f t="shared" si="366"/>
        <v>71.122727969792479</v>
      </c>
      <c r="W359" s="21">
        <f t="shared" si="366"/>
        <v>34.821837987217101</v>
      </c>
      <c r="X359" s="21">
        <f t="shared" si="366"/>
        <v>19.582333736832712</v>
      </c>
      <c r="Y359" s="21">
        <f t="shared" si="366"/>
        <v>20.331219066895844</v>
      </c>
      <c r="Z359" s="21">
        <f t="shared" si="366"/>
        <v>14.027700424631981</v>
      </c>
      <c r="AA359" s="21">
        <f t="shared" si="366"/>
        <v>9.3332175223780922</v>
      </c>
      <c r="AB359" s="21">
        <f t="shared" si="366"/>
        <v>8.5260062765648694</v>
      </c>
      <c r="AC359" s="21">
        <f t="shared" si="366"/>
        <v>4.5872709393521482</v>
      </c>
      <c r="AD359" s="21">
        <f t="shared" si="366"/>
        <v>4.5340809627161942</v>
      </c>
      <c r="AE359" s="21">
        <f t="shared" si="366"/>
        <v>3.4984823297226328</v>
      </c>
      <c r="AF359" s="21">
        <f t="shared" si="366"/>
        <v>3.4473212672134346</v>
      </c>
      <c r="AG359" s="3"/>
      <c r="AH359" s="3"/>
    </row>
    <row r="360" spans="1:34" x14ac:dyDescent="0.25">
      <c r="A360" s="71">
        <f>SUM(B360:AF360)</f>
        <v>52980.204576620054</v>
      </c>
      <c r="B360" s="60">
        <f>IF($A$64&lt;=B324,IF($B$64&gt;=B324,ABS(B359),0),0)</f>
        <v>213.41140481043652</v>
      </c>
      <c r="C360" s="60">
        <f t="shared" ref="C360:AF360" si="367">IF($A$64&lt;=C324,IF($B$64&gt;=C324,ABS(C359),0),0)</f>
        <v>3494.8442417694046</v>
      </c>
      <c r="D360" s="60">
        <f t="shared" si="367"/>
        <v>6977.0141582996393</v>
      </c>
      <c r="E360" s="60">
        <f t="shared" si="367"/>
        <v>4273.4201900155431</v>
      </c>
      <c r="F360" s="60">
        <f t="shared" si="367"/>
        <v>5057.8670799267638</v>
      </c>
      <c r="G360" s="60">
        <f t="shared" si="367"/>
        <v>4348.3492741037817</v>
      </c>
      <c r="H360" s="60">
        <f t="shared" si="367"/>
        <v>4941.4153024414272</v>
      </c>
      <c r="I360" s="60">
        <f t="shared" si="367"/>
        <v>4733.8541870256231</v>
      </c>
      <c r="J360" s="60">
        <f t="shared" si="367"/>
        <v>77.151636196247594</v>
      </c>
      <c r="K360" s="60">
        <f t="shared" si="367"/>
        <v>7068.4788632701957</v>
      </c>
      <c r="L360" s="60">
        <f t="shared" si="367"/>
        <v>8836.7409370502828</v>
      </c>
      <c r="M360" s="60">
        <f t="shared" si="367"/>
        <v>396.41895967808085</v>
      </c>
      <c r="N360" s="60">
        <f t="shared" si="367"/>
        <v>161.11131567466271</v>
      </c>
      <c r="O360" s="60">
        <f t="shared" si="367"/>
        <v>1018.614301127742</v>
      </c>
      <c r="P360" s="60">
        <f t="shared" si="367"/>
        <v>44.94894710248866</v>
      </c>
      <c r="Q360" s="60">
        <f t="shared" si="367"/>
        <v>367.37509025653139</v>
      </c>
      <c r="R360" s="60">
        <f t="shared" si="367"/>
        <v>186.67464298748922</v>
      </c>
      <c r="S360" s="60">
        <f t="shared" si="367"/>
        <v>256.56173802257291</v>
      </c>
      <c r="T360" s="60">
        <f t="shared" si="367"/>
        <v>206.7068083161125</v>
      </c>
      <c r="U360" s="60">
        <f t="shared" si="367"/>
        <v>125.43330006170474</v>
      </c>
      <c r="V360" s="60">
        <f t="shared" si="367"/>
        <v>71.122727969792479</v>
      </c>
      <c r="W360" s="60">
        <f t="shared" si="367"/>
        <v>34.821837987217101</v>
      </c>
      <c r="X360" s="60">
        <f t="shared" si="367"/>
        <v>19.582333736832712</v>
      </c>
      <c r="Y360" s="60">
        <f t="shared" si="367"/>
        <v>20.331219066895844</v>
      </c>
      <c r="Z360" s="60">
        <f t="shared" si="367"/>
        <v>14.027700424631981</v>
      </c>
      <c r="AA360" s="60">
        <f t="shared" si="367"/>
        <v>9.3332175223780922</v>
      </c>
      <c r="AB360" s="60">
        <f t="shared" si="367"/>
        <v>8.5260062765648694</v>
      </c>
      <c r="AC360" s="60">
        <f t="shared" si="367"/>
        <v>4.5872709393521482</v>
      </c>
      <c r="AD360" s="60">
        <f t="shared" si="367"/>
        <v>4.5340809627161942</v>
      </c>
      <c r="AE360" s="60">
        <f t="shared" si="367"/>
        <v>3.4984823297226328</v>
      </c>
      <c r="AF360" s="60">
        <f t="shared" si="367"/>
        <v>3.4473212672134346</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5469.0375175567433</v>
      </c>
      <c r="C364" s="26">
        <f>INDEX(Comparison!$AM$3:$AS$33,G$14,$H$122)</f>
        <v>5144.4254375399241</v>
      </c>
      <c r="D364" s="26">
        <f>INDEX(Comparison!$AM$3:$AS$33,H$14,$H$122)</f>
        <v>4859.4796757955091</v>
      </c>
      <c r="E364" s="26">
        <f>INDEX(Comparison!$AM$3:$AS$33,I$14,$H$122)</f>
        <v>4579.0872874253573</v>
      </c>
      <c r="F364" s="26">
        <f>INDEX(Comparison!$AM$3:$AS$33,J$14,$H$122)</f>
        <v>4274.6287252900811</v>
      </c>
      <c r="G364" s="26">
        <f>INDEX(Comparison!$AM$3:$AS$33,K$14,$H$122)</f>
        <v>3938.1560081824523</v>
      </c>
      <c r="H364" s="26">
        <f>INDEX(Comparison!$AM$3:$AS$33,L$14,$H$122)</f>
        <v>3491.5925245283374</v>
      </c>
      <c r="I364" s="26">
        <f>INDEX(Comparison!$AM$3:$AS$33,M$14,$H$122)</f>
        <v>2939.5473684961994</v>
      </c>
      <c r="J364" s="26">
        <f>INDEX(Comparison!$AM$3:$AS$33,N$14,$H$122)</f>
        <v>2290.3210430692648</v>
      </c>
      <c r="K364" s="26">
        <f>INDEX(Comparison!$AM$3:$AS$33,O$14,$H$122)</f>
        <v>1556.8723374202477</v>
      </c>
      <c r="L364" s="26">
        <f>INDEX(Comparison!$AM$3:$AS$33,P$14,$H$122)</f>
        <v>939.61789874376836</v>
      </c>
      <c r="M364" s="26">
        <f>INDEX(Comparison!$AM$3:$AS$33,Q$14,$H$122)</f>
        <v>532.22470015904992</v>
      </c>
      <c r="N364" s="26">
        <f>INDEX(Comparison!$AM$3:$AS$33,R$14,$H$122)</f>
        <v>294.61415856723238</v>
      </c>
      <c r="O364" s="26">
        <f>INDEX(Comparison!$AM$3:$AS$33,S$14,$H$122)</f>
        <v>191.85627557437303</v>
      </c>
      <c r="P364" s="26">
        <f>INDEX(Comparison!$AM$3:$AS$33,T$14,$H$122)</f>
        <v>162.27843823453597</v>
      </c>
      <c r="Q364" s="26">
        <f>INDEX(Comparison!$AM$3:$AS$33,U$14,$H$122)</f>
        <v>147.30961753431595</v>
      </c>
      <c r="R364" s="26">
        <f>INDEX(Comparison!$AM$3:$AS$33,V$14,$H$122)</f>
        <v>142.06591803394016</v>
      </c>
      <c r="S364" s="26">
        <f>INDEX(Comparison!$AM$3:$AS$33,W$14,$H$122)</f>
        <v>140.2404472955443</v>
      </c>
      <c r="T364" s="26">
        <f>INDEX(Comparison!$AM$3:$AS$33,X$14,$H$122)</f>
        <v>137.13168564571805</v>
      </c>
      <c r="U364" s="26">
        <f>INDEX(Comparison!$AM$3:$AS$33,Y$14,$H$122)</f>
        <v>133.5914564553571</v>
      </c>
      <c r="V364" s="26">
        <f>INDEX(Comparison!$AM$3:$AS$33,Z$14,$H$122)</f>
        <v>130.60597118111332</v>
      </c>
      <c r="W364" s="26">
        <f>INDEX(Comparison!$AM$3:$AS$33,AA$14,$H$122)</f>
        <v>128.42317853149575</v>
      </c>
      <c r="X364" s="26">
        <f>INDEX(Comparison!$AM$3:$AS$33,AB$14,$H$122)</f>
        <v>126.92571513683149</v>
      </c>
      <c r="Y364" s="26">
        <f>INDEX(Comparison!$AM$3:$AS$33,AC$14,$H$122)</f>
        <v>125.87891264299097</v>
      </c>
      <c r="Z364" s="26">
        <f>INDEX(Comparison!$AM$3:$AS$33,AD$14,$H$122)</f>
        <v>125.11103067782525</v>
      </c>
      <c r="AA364" s="26">
        <f>INDEX(Comparison!$AM$3:$AS$33,AE$14,$H$122)</f>
        <v>124.96985459314666</v>
      </c>
      <c r="AB364" s="26">
        <f>INDEX(Comparison!$AM$3:$AS$33,AF$14,$H$122)</f>
        <v>124.77108605330615</v>
      </c>
      <c r="AC364" s="26">
        <f>INDEX(Comparison!$AM$3:$AS$33,AG$14,$H$122)</f>
        <v>123.93614365125383</v>
      </c>
      <c r="AD364" s="26">
        <f>INDEX(Comparison!$AM$3:$AS$33,AH$14,$H$122)</f>
        <v>123.92285545904397</v>
      </c>
      <c r="AE364" s="26">
        <f>INDEX(Comparison!$AM$3:$AS$33,AI$14,$H$122)</f>
        <v>123.48008539289999</v>
      </c>
      <c r="AF364" s="26">
        <f>INDEX(Comparison!$AM$3:$AS$33,AJ$14,$H$122)</f>
        <v>123.46865182434244</v>
      </c>
      <c r="AG364" s="26"/>
      <c r="AH364" s="26"/>
    </row>
    <row r="365" spans="1:34" x14ac:dyDescent="0.25">
      <c r="A365" s="70" t="s">
        <v>22</v>
      </c>
      <c r="B365" s="27">
        <f>($C$17+SUM(B366:B396))*$B$51</f>
        <v>5495.9466054954873</v>
      </c>
      <c r="C365" s="27">
        <f t="shared" ref="C365:AF365" si="368">($C$17+SUM(C366:C396))*$B$51</f>
        <v>5215.2731388896327</v>
      </c>
      <c r="D365" s="27">
        <f t="shared" si="368"/>
        <v>4942.8757808156533</v>
      </c>
      <c r="E365" s="27">
        <f t="shared" si="368"/>
        <v>4657.4611568896107</v>
      </c>
      <c r="F365" s="27">
        <f t="shared" si="368"/>
        <v>4359.1320094095445</v>
      </c>
      <c r="G365" s="27">
        <f t="shared" si="368"/>
        <v>4017.7547762531672</v>
      </c>
      <c r="H365" s="27">
        <f t="shared" si="368"/>
        <v>3512.3818178760748</v>
      </c>
      <c r="I365" s="27">
        <f t="shared" si="368"/>
        <v>2875.3602636669934</v>
      </c>
      <c r="J365" s="27">
        <f t="shared" si="368"/>
        <v>2191.8429735233804</v>
      </c>
      <c r="K365" s="27">
        <f t="shared" si="368"/>
        <v>1514.1124977156978</v>
      </c>
      <c r="L365" s="27">
        <f t="shared" si="368"/>
        <v>928.64258424978118</v>
      </c>
      <c r="M365" s="27">
        <f t="shared" si="368"/>
        <v>539.31612050891215</v>
      </c>
      <c r="N365" s="27">
        <f t="shared" si="368"/>
        <v>279.44773769643854</v>
      </c>
      <c r="O365" s="27">
        <f t="shared" si="368"/>
        <v>171.98957754211571</v>
      </c>
      <c r="P365" s="27">
        <f t="shared" si="368"/>
        <v>146.17280464767842</v>
      </c>
      <c r="Q365" s="27">
        <f t="shared" si="368"/>
        <v>129.52331594255202</v>
      </c>
      <c r="R365" s="27">
        <f t="shared" si="368"/>
        <v>124.77604182979292</v>
      </c>
      <c r="S365" s="27">
        <f t="shared" si="368"/>
        <v>124.46739400413979</v>
      </c>
      <c r="T365" s="27">
        <f t="shared" si="368"/>
        <v>123.8856553758679</v>
      </c>
      <c r="U365" s="27">
        <f t="shared" si="368"/>
        <v>123.70334977634721</v>
      </c>
      <c r="V365" s="27">
        <f t="shared" si="368"/>
        <v>123.42443682464133</v>
      </c>
      <c r="W365" s="27">
        <f t="shared" si="368"/>
        <v>122.12532433377541</v>
      </c>
      <c r="X365" s="27">
        <f t="shared" si="368"/>
        <v>121.78424688856754</v>
      </c>
      <c r="Y365" s="27">
        <f t="shared" si="368"/>
        <v>121.7842468369922</v>
      </c>
      <c r="Z365" s="27">
        <f t="shared" si="368"/>
        <v>121.7842468369922</v>
      </c>
      <c r="AA365" s="27">
        <f t="shared" si="368"/>
        <v>121.7842468369922</v>
      </c>
      <c r="AB365" s="27">
        <f t="shared" si="368"/>
        <v>121.7842468369922</v>
      </c>
      <c r="AC365" s="27">
        <f t="shared" si="368"/>
        <v>121.7842468369922</v>
      </c>
      <c r="AD365" s="27">
        <f t="shared" si="368"/>
        <v>121.7842468369922</v>
      </c>
      <c r="AE365" s="27">
        <f t="shared" si="368"/>
        <v>121.7842468369922</v>
      </c>
      <c r="AF365" s="27">
        <f t="shared" si="368"/>
        <v>121.7842468369922</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7.0282874821177962E-107</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1.2610715150128407E-11</v>
      </c>
      <c r="C374" s="3">
        <f t="shared" si="377"/>
        <v>1.4967422126132507E-96</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4.1436375823695219E-3</v>
      </c>
      <c r="C375" s="3">
        <f t="shared" si="378"/>
        <v>9.0445463398944744E-11</v>
      </c>
      <c r="D375" s="3">
        <f t="shared" si="378"/>
        <v>2.2204297432961056E-87</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4.1077600086980345E-2</v>
      </c>
      <c r="C376" s="3">
        <f t="shared" si="379"/>
        <v>8.3660331745493491E-3</v>
      </c>
      <c r="D376" s="3">
        <f t="shared" si="379"/>
        <v>1.0272231099492213E-9</v>
      </c>
      <c r="E376" s="3">
        <f t="shared" si="379"/>
        <v>8.0004933981571108E-79</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4.1143606619817301E-2</v>
      </c>
      <c r="C377" s="3">
        <f t="shared" si="380"/>
        <v>3.564188785584501E-2</v>
      </c>
      <c r="D377" s="3">
        <f t="shared" si="380"/>
        <v>8.4828952376545946E-3</v>
      </c>
      <c r="E377" s="3">
        <f t="shared" si="380"/>
        <v>4.9474127654920097E-9</v>
      </c>
      <c r="F377" s="3">
        <f t="shared" si="380"/>
        <v>2.2527788635127222E-71</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4.6849911313176923E-2</v>
      </c>
      <c r="C378" s="3">
        <f t="shared" si="381"/>
        <v>4.6247156651075698E-2</v>
      </c>
      <c r="D378" s="3">
        <f t="shared" si="381"/>
        <v>4.063007963161603E-2</v>
      </c>
      <c r="E378" s="3">
        <f t="shared" si="381"/>
        <v>1.1129458664269641E-2</v>
      </c>
      <c r="F378" s="3">
        <f t="shared" si="381"/>
        <v>2.6469010962461684E-8</v>
      </c>
      <c r="G378" s="3">
        <f t="shared" si="381"/>
        <v>1.53240811749935E-64</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4.7060016194744869E-2</v>
      </c>
      <c r="C379" s="3">
        <f t="shared" si="382"/>
        <v>4.70050765719911E-2</v>
      </c>
      <c r="D379" s="3">
        <f t="shared" si="382"/>
        <v>4.6459195639778357E-2</v>
      </c>
      <c r="E379" s="3">
        <f t="shared" si="382"/>
        <v>4.1337185743302543E-2</v>
      </c>
      <c r="F379" s="3">
        <f t="shared" si="382"/>
        <v>1.285384636241345E-2</v>
      </c>
      <c r="G379" s="3">
        <f t="shared" si="382"/>
        <v>1.0863132778562001E-7</v>
      </c>
      <c r="H379" s="3">
        <f t="shared" si="382"/>
        <v>2.0191794632997897E-58</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5.1874388137169089E-2</v>
      </c>
      <c r="C380" s="3">
        <f t="shared" si="383"/>
        <v>5.1868922208918596E-2</v>
      </c>
      <c r="D380" s="3">
        <f t="shared" si="383"/>
        <v>5.18142945929293E-2</v>
      </c>
      <c r="E380" s="3">
        <f t="shared" si="383"/>
        <v>5.1271172773054735E-2</v>
      </c>
      <c r="F380" s="3">
        <f t="shared" si="383"/>
        <v>4.6143429307252591E-2</v>
      </c>
      <c r="G380" s="3">
        <f t="shared" si="383"/>
        <v>1.6087035730388981E-2</v>
      </c>
      <c r="H380" s="3">
        <f t="shared" si="383"/>
        <v>4.2671471143894145E-7</v>
      </c>
      <c r="I380" s="3">
        <f t="shared" si="383"/>
        <v>7.3578937209735434E-53</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9.3718324710871187E-2</v>
      </c>
      <c r="C381" s="3">
        <f t="shared" si="384"/>
        <v>9.3717433864399458E-2</v>
      </c>
      <c r="D381" s="3">
        <f t="shared" si="384"/>
        <v>9.3708525865409259E-2</v>
      </c>
      <c r="E381" s="3">
        <f t="shared" si="384"/>
        <v>9.3619492431842241E-2</v>
      </c>
      <c r="F381" s="3">
        <f t="shared" si="384"/>
        <v>9.2733797396986284E-2</v>
      </c>
      <c r="G381" s="3">
        <f t="shared" si="384"/>
        <v>8.4324866956246913E-2</v>
      </c>
      <c r="H381" s="3">
        <f t="shared" si="384"/>
        <v>3.2593565261286553E-2</v>
      </c>
      <c r="I381" s="3">
        <f t="shared" si="384"/>
        <v>2.4260173785356317E-6</v>
      </c>
      <c r="J381" s="3">
        <f t="shared" si="384"/>
        <v>1.2662349533956841E-47</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0.10682332359620399</v>
      </c>
      <c r="C382" s="3">
        <f t="shared" si="385"/>
        <v>0.10682323199674629</v>
      </c>
      <c r="D382" s="3">
        <f t="shared" si="385"/>
        <v>0.10682231600648918</v>
      </c>
      <c r="E382" s="3">
        <f t="shared" si="385"/>
        <v>0.106813156535902</v>
      </c>
      <c r="F382" s="3">
        <f t="shared" si="385"/>
        <v>0.10672160501471296</v>
      </c>
      <c r="G382" s="3">
        <f t="shared" si="385"/>
        <v>0.10581039460127543</v>
      </c>
      <c r="H382" s="3">
        <f t="shared" si="385"/>
        <v>9.7115420116741943E-2</v>
      </c>
      <c r="I382" s="3">
        <f t="shared" si="385"/>
        <v>4.1199010506627977E-2</v>
      </c>
      <c r="J382" s="3">
        <f t="shared" si="385"/>
        <v>7.778085421563468E-6</v>
      </c>
      <c r="K382" s="3">
        <f t="shared" si="385"/>
        <v>4.4743704400078004E-43</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0.11271893178224783</v>
      </c>
      <c r="C383" s="3">
        <f t="shared" si="386"/>
        <v>0.11271892306317229</v>
      </c>
      <c r="D383" s="3">
        <f t="shared" si="386"/>
        <v>0.11271883587245379</v>
      </c>
      <c r="E383" s="3">
        <f t="shared" si="386"/>
        <v>0.11271796396897835</v>
      </c>
      <c r="F383" s="3">
        <f t="shared" si="386"/>
        <v>0.11270924530515466</v>
      </c>
      <c r="G383" s="3">
        <f t="shared" si="386"/>
        <v>0.11262209574938711</v>
      </c>
      <c r="H383" s="3">
        <f t="shared" si="386"/>
        <v>0.11175429784742032</v>
      </c>
      <c r="I383" s="3">
        <f t="shared" si="386"/>
        <v>0.1034357169788733</v>
      </c>
      <c r="J383" s="3">
        <f t="shared" si="386"/>
        <v>4.7723630947788614E-2</v>
      </c>
      <c r="K383" s="3">
        <f t="shared" si="386"/>
        <v>2.0862337787816345E-5</v>
      </c>
      <c r="L383" s="3">
        <f t="shared" si="386"/>
        <v>5.3168929453718277E-39</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0.1092001209452888</v>
      </c>
      <c r="C384" s="3">
        <f t="shared" si="387"/>
        <v>0.10920012018330928</v>
      </c>
      <c r="D384" s="3">
        <f t="shared" si="387"/>
        <v>0.10920011256351429</v>
      </c>
      <c r="E384" s="3">
        <f t="shared" si="387"/>
        <v>0.10920003636559385</v>
      </c>
      <c r="F384" s="3">
        <f t="shared" si="387"/>
        <v>0.10919927438931352</v>
      </c>
      <c r="G384" s="3">
        <f t="shared" si="387"/>
        <v>0.10919165491893487</v>
      </c>
      <c r="H384" s="3">
        <f t="shared" si="387"/>
        <v>0.10911548945004755</v>
      </c>
      <c r="I384" s="3">
        <f t="shared" si="387"/>
        <v>0.10835675071730515</v>
      </c>
      <c r="J384" s="3">
        <f t="shared" si="387"/>
        <v>0.10105356905404414</v>
      </c>
      <c r="K384" s="3">
        <f t="shared" si="387"/>
        <v>5.0293109734285878E-2</v>
      </c>
      <c r="L384" s="3">
        <f t="shared" si="387"/>
        <v>4.6889631642088153E-5</v>
      </c>
      <c r="M384" s="3">
        <f t="shared" si="387"/>
        <v>2.3268057727269517E-35</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8.5599439566258512E-2</v>
      </c>
      <c r="C385" s="3">
        <f t="shared" si="388"/>
        <v>8.5599439512377265E-2</v>
      </c>
      <c r="D385" s="3">
        <f t="shared" si="388"/>
        <v>8.5599438973564715E-2</v>
      </c>
      <c r="E385" s="3">
        <f t="shared" si="388"/>
        <v>8.5599433585439505E-2</v>
      </c>
      <c r="F385" s="3">
        <f t="shared" si="388"/>
        <v>8.5599379704205961E-2</v>
      </c>
      <c r="G385" s="3">
        <f t="shared" si="388"/>
        <v>8.5598840893735983E-2</v>
      </c>
      <c r="H385" s="3">
        <f t="shared" si="388"/>
        <v>8.5593452975569279E-2</v>
      </c>
      <c r="I385" s="3">
        <f t="shared" si="388"/>
        <v>8.5539592442869294E-2</v>
      </c>
      <c r="J385" s="3">
        <f t="shared" si="388"/>
        <v>8.5002847676543147E-2</v>
      </c>
      <c r="K385" s="3">
        <f t="shared" si="388"/>
        <v>7.9817194837895122E-2</v>
      </c>
      <c r="L385" s="3">
        <f t="shared" si="388"/>
        <v>4.2533029099280896E-2</v>
      </c>
      <c r="M385" s="3">
        <f t="shared" si="388"/>
        <v>7.8528054892971019E-5</v>
      </c>
      <c r="N385" s="3">
        <f t="shared" si="388"/>
        <v>3.6141827693078025E-32</v>
      </c>
      <c r="O385" s="3">
        <f t="shared" si="388"/>
        <v>1.5412135506354822E-305</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3.0324649856332295E-2</v>
      </c>
      <c r="C386" s="3">
        <f t="shared" si="389"/>
        <v>3.0324649854610388E-2</v>
      </c>
      <c r="D386" s="3">
        <f t="shared" si="389"/>
        <v>3.0324649837391342E-2</v>
      </c>
      <c r="E386" s="3">
        <f t="shared" si="389"/>
        <v>3.0324649665200851E-2</v>
      </c>
      <c r="F386" s="3">
        <f t="shared" si="389"/>
        <v>3.0324647943296014E-2</v>
      </c>
      <c r="G386" s="3">
        <f t="shared" si="389"/>
        <v>3.0324630724253007E-2</v>
      </c>
      <c r="H386" s="3">
        <f t="shared" si="389"/>
        <v>3.0324458534360717E-2</v>
      </c>
      <c r="I386" s="3">
        <f t="shared" si="389"/>
        <v>3.0322736689212142E-2</v>
      </c>
      <c r="J386" s="3">
        <f t="shared" si="389"/>
        <v>3.0305523614030674E-2</v>
      </c>
      <c r="K386" s="3">
        <f t="shared" si="389"/>
        <v>3.0133929364824875E-2</v>
      </c>
      <c r="L386" s="3">
        <f t="shared" si="389"/>
        <v>2.8470526885409173E-2</v>
      </c>
      <c r="M386" s="3">
        <f t="shared" si="389"/>
        <v>1.6135888691304598E-2</v>
      </c>
      <c r="N386" s="3">
        <f t="shared" si="389"/>
        <v>5.5178099594042038E-5</v>
      </c>
      <c r="O386" s="3">
        <f t="shared" si="389"/>
        <v>1.2064386233810565E-29</v>
      </c>
      <c r="P386" s="3">
        <f t="shared" si="389"/>
        <v>3.0122441475478386E-276</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3.2131427411888E-2</v>
      </c>
      <c r="C387" s="3">
        <f t="shared" si="390"/>
        <v>3.213142741138339E-2</v>
      </c>
      <c r="D387" s="3">
        <f t="shared" si="390"/>
        <v>3.213142740633728E-2</v>
      </c>
      <c r="E387" s="3">
        <f t="shared" si="390"/>
        <v>3.2131427355876235E-2</v>
      </c>
      <c r="F387" s="3">
        <f t="shared" si="390"/>
        <v>3.2131426851265785E-2</v>
      </c>
      <c r="G387" s="3">
        <f t="shared" si="390"/>
        <v>3.2131421805161688E-2</v>
      </c>
      <c r="H387" s="3">
        <f t="shared" si="390"/>
        <v>3.2131371344164272E-2</v>
      </c>
      <c r="I387" s="3">
        <f t="shared" si="390"/>
        <v>3.2130866738548723E-2</v>
      </c>
      <c r="J387" s="3">
        <f t="shared" si="390"/>
        <v>3.2125821118223201E-2</v>
      </c>
      <c r="K387" s="3">
        <f t="shared" si="390"/>
        <v>3.2075408472654339E-2</v>
      </c>
      <c r="L387" s="3">
        <f t="shared" si="390"/>
        <v>3.1575612581536648E-2</v>
      </c>
      <c r="M387" s="3">
        <f t="shared" si="390"/>
        <v>2.6986569176695462E-2</v>
      </c>
      <c r="N387" s="3">
        <f t="shared" si="390"/>
        <v>5.6118568768653617E-3</v>
      </c>
      <c r="O387" s="3">
        <f t="shared" si="390"/>
        <v>8.485856657812151E-10</v>
      </c>
      <c r="P387" s="3">
        <f t="shared" si="390"/>
        <v>5.3037951519742462E-78</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1.5943337163864098E-2</v>
      </c>
      <c r="C388" s="3">
        <f t="shared" si="391"/>
        <v>1.5943337163839059E-2</v>
      </c>
      <c r="D388" s="3">
        <f t="shared" si="391"/>
        <v>1.5943337163588676E-2</v>
      </c>
      <c r="E388" s="3">
        <f t="shared" si="391"/>
        <v>1.5943337161084842E-2</v>
      </c>
      <c r="F388" s="3">
        <f t="shared" si="391"/>
        <v>1.5943337136046506E-2</v>
      </c>
      <c r="G388" s="3">
        <f t="shared" si="391"/>
        <v>1.5943336885663153E-2</v>
      </c>
      <c r="H388" s="3">
        <f t="shared" si="391"/>
        <v>1.5943334381829818E-2</v>
      </c>
      <c r="I388" s="3">
        <f t="shared" si="391"/>
        <v>1.5943309343518106E-2</v>
      </c>
      <c r="J388" s="3">
        <f t="shared" si="391"/>
        <v>1.5943058962563646E-2</v>
      </c>
      <c r="K388" s="3">
        <f t="shared" si="391"/>
        <v>1.5940555369274145E-2</v>
      </c>
      <c r="L388" s="3">
        <f t="shared" si="391"/>
        <v>1.5915541049327433E-2</v>
      </c>
      <c r="M388" s="3">
        <f t="shared" si="391"/>
        <v>1.5667546638651404E-2</v>
      </c>
      <c r="N388" s="3">
        <f t="shared" si="391"/>
        <v>1.3390502879437473E-2</v>
      </c>
      <c r="O388" s="3">
        <f t="shared" si="391"/>
        <v>2.7845549827634031E-3</v>
      </c>
      <c r="P388" s="3">
        <f t="shared" si="391"/>
        <v>4.2106088872183708E-10</v>
      </c>
      <c r="Q388" s="3">
        <f t="shared" si="391"/>
        <v>2.6316974117550353E-78</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9.9907856671702577E-4</v>
      </c>
      <c r="C389" s="3">
        <f t="shared" si="392"/>
        <v>9.9907856671686878E-4</v>
      </c>
      <c r="D389" s="3">
        <f t="shared" si="392"/>
        <v>9.9907856671529972E-4</v>
      </c>
      <c r="E389" s="3">
        <f t="shared" si="392"/>
        <v>9.990785666996098E-4</v>
      </c>
      <c r="F389" s="3">
        <f t="shared" si="392"/>
        <v>9.9907856654270861E-4</v>
      </c>
      <c r="G389" s="3">
        <f t="shared" si="392"/>
        <v>9.9907856497369807E-4</v>
      </c>
      <c r="H389" s="3">
        <f t="shared" si="392"/>
        <v>9.9907854928359238E-4</v>
      </c>
      <c r="I389" s="3">
        <f t="shared" si="392"/>
        <v>9.9907839238255031E-4</v>
      </c>
      <c r="J389" s="3">
        <f t="shared" si="392"/>
        <v>9.9907682337348246E-4</v>
      </c>
      <c r="K389" s="3">
        <f t="shared" si="392"/>
        <v>9.9906113341832791E-4</v>
      </c>
      <c r="L389" s="3">
        <f t="shared" si="392"/>
        <v>9.9890424741826351E-4</v>
      </c>
      <c r="M389" s="3">
        <f t="shared" si="392"/>
        <v>9.9733674177857859E-4</v>
      </c>
      <c r="N389" s="3">
        <f t="shared" si="392"/>
        <v>9.8179633779505305E-4</v>
      </c>
      <c r="O389" s="3">
        <f t="shared" si="392"/>
        <v>8.3910691261854383E-4</v>
      </c>
      <c r="P389" s="3">
        <f t="shared" si="392"/>
        <v>1.7449227677559324E-4</v>
      </c>
      <c r="Q389" s="3">
        <f t="shared" si="392"/>
        <v>2.6385499151219594E-11</v>
      </c>
      <c r="R389" s="3">
        <f t="shared" si="392"/>
        <v>1.6491355925960181E-79</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3.5389734266527105E-3</v>
      </c>
      <c r="C390" s="3">
        <f t="shared" si="393"/>
        <v>3.538973426652655E-3</v>
      </c>
      <c r="D390" s="3">
        <f t="shared" si="393"/>
        <v>3.538973426652099E-3</v>
      </c>
      <c r="E390" s="3">
        <f t="shared" si="393"/>
        <v>3.5389734266465414E-3</v>
      </c>
      <c r="F390" s="3">
        <f t="shared" si="393"/>
        <v>3.5389734265909635E-3</v>
      </c>
      <c r="G390" s="3">
        <f t="shared" si="393"/>
        <v>3.5389734260351823E-3</v>
      </c>
      <c r="H390" s="3">
        <f t="shared" si="393"/>
        <v>3.5389734204773742E-3</v>
      </c>
      <c r="I390" s="3">
        <f t="shared" si="393"/>
        <v>3.5389733648992961E-3</v>
      </c>
      <c r="J390" s="3">
        <f t="shared" si="393"/>
        <v>3.5389728091185621E-3</v>
      </c>
      <c r="K390" s="3">
        <f t="shared" si="393"/>
        <v>3.538967251316021E-3</v>
      </c>
      <c r="L390" s="3">
        <f t="shared" si="393"/>
        <v>3.5389116737706639E-3</v>
      </c>
      <c r="M390" s="3">
        <f t="shared" si="393"/>
        <v>3.5383559463196524E-3</v>
      </c>
      <c r="N390" s="3">
        <f t="shared" si="393"/>
        <v>3.5328034692775293E-3</v>
      </c>
      <c r="O390" s="3">
        <f t="shared" si="393"/>
        <v>3.4777556696656692E-3</v>
      </c>
      <c r="P390" s="3">
        <f t="shared" si="393"/>
        <v>2.9723158566353942E-3</v>
      </c>
      <c r="Q390" s="3">
        <f t="shared" si="393"/>
        <v>6.1809306218441691E-4</v>
      </c>
      <c r="R390" s="3">
        <f t="shared" si="393"/>
        <v>9.3463700909900661E-11</v>
      </c>
      <c r="S390" s="3">
        <f t="shared" si="393"/>
        <v>5.8416297111870856E-79</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1.6157045586307679E-4</v>
      </c>
      <c r="C391" s="3">
        <f t="shared" si="394"/>
        <v>1.6157045586307652E-4</v>
      </c>
      <c r="D391" s="3">
        <f t="shared" si="394"/>
        <v>1.61570455863074E-4</v>
      </c>
      <c r="E391" s="3">
        <f t="shared" si="394"/>
        <v>1.6157045586304863E-4</v>
      </c>
      <c r="F391" s="3">
        <f t="shared" si="394"/>
        <v>1.615704558627949E-4</v>
      </c>
      <c r="G391" s="3">
        <f t="shared" si="394"/>
        <v>1.6157045586025749E-4</v>
      </c>
      <c r="H391" s="3">
        <f t="shared" si="394"/>
        <v>1.6157045583488352E-4</v>
      </c>
      <c r="I391" s="3">
        <f t="shared" si="394"/>
        <v>1.6157045558114398E-4</v>
      </c>
      <c r="J391" s="3">
        <f t="shared" si="394"/>
        <v>1.6157045304374842E-4</v>
      </c>
      <c r="K391" s="3">
        <f t="shared" si="394"/>
        <v>1.615704276697951E-4</v>
      </c>
      <c r="L391" s="3">
        <f t="shared" si="394"/>
        <v>1.6157017393048093E-4</v>
      </c>
      <c r="M391" s="3">
        <f t="shared" si="394"/>
        <v>1.6156763655925582E-4</v>
      </c>
      <c r="N391" s="3">
        <f t="shared" si="394"/>
        <v>1.6154226503854328E-4</v>
      </c>
      <c r="O391" s="3">
        <f t="shared" si="394"/>
        <v>1.6128876885795353E-4</v>
      </c>
      <c r="P391" s="3">
        <f t="shared" si="394"/>
        <v>1.5877558296891451E-4</v>
      </c>
      <c r="Q391" s="3">
        <f t="shared" si="394"/>
        <v>1.3569992481685811E-4</v>
      </c>
      <c r="R391" s="3">
        <f t="shared" si="394"/>
        <v>2.8218798443309488E-5</v>
      </c>
      <c r="S391" s="3">
        <f t="shared" si="394"/>
        <v>4.2670489269386628E-12</v>
      </c>
      <c r="T391" s="3">
        <f t="shared" si="394"/>
        <v>2.666973332751195E-80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1.333349737784439E-4</v>
      </c>
      <c r="C393" s="3">
        <f t="shared" si="396"/>
        <v>1.333349737784439E-4</v>
      </c>
      <c r="D393" s="3">
        <f t="shared" si="396"/>
        <v>1.3333497377844387E-4</v>
      </c>
      <c r="E393" s="3">
        <f t="shared" si="396"/>
        <v>1.3333497377844366E-4</v>
      </c>
      <c r="F393" s="3">
        <f t="shared" si="396"/>
        <v>1.3333497377844157E-4</v>
      </c>
      <c r="G393" s="3">
        <f t="shared" si="396"/>
        <v>1.3333497377842062E-4</v>
      </c>
      <c r="H393" s="3">
        <f t="shared" si="396"/>
        <v>1.3333497377821123E-4</v>
      </c>
      <c r="I393" s="3">
        <f t="shared" si="396"/>
        <v>1.3333497377611728E-4</v>
      </c>
      <c r="J393" s="3">
        <f t="shared" si="396"/>
        <v>1.3333497375517757E-4</v>
      </c>
      <c r="K393" s="3">
        <f t="shared" si="396"/>
        <v>1.3333497354578065E-4</v>
      </c>
      <c r="L393" s="3">
        <f t="shared" si="396"/>
        <v>1.3333497145181136E-4</v>
      </c>
      <c r="M393" s="3">
        <f t="shared" si="396"/>
        <v>1.3333495051212049E-4</v>
      </c>
      <c r="N393" s="3">
        <f t="shared" si="396"/>
        <v>1.3333474111539248E-4</v>
      </c>
      <c r="O393" s="3">
        <f t="shared" si="396"/>
        <v>1.3333264716619889E-4</v>
      </c>
      <c r="P393" s="3">
        <f t="shared" si="396"/>
        <v>1.3331170948281576E-4</v>
      </c>
      <c r="Q393" s="3">
        <f t="shared" si="396"/>
        <v>1.3310251339921668E-4</v>
      </c>
      <c r="R393" s="3">
        <f t="shared" si="396"/>
        <v>1.310285229977825E-4</v>
      </c>
      <c r="S393" s="3">
        <f t="shared" si="396"/>
        <v>1.1198548534470927E-4</v>
      </c>
      <c r="T393" s="3">
        <f t="shared" si="396"/>
        <v>2.3287380916263842E-5</v>
      </c>
      <c r="U393" s="3">
        <f t="shared" si="396"/>
        <v>3.521354530724719E-12</v>
      </c>
      <c r="V393" s="3">
        <f t="shared" si="396"/>
        <v>2.2009024947701102E-80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2.9933424394364084E-4</v>
      </c>
      <c r="C396" s="3">
        <f t="shared" si="399"/>
        <v>2.9933424394364084E-4</v>
      </c>
      <c r="D396" s="3">
        <f t="shared" si="399"/>
        <v>2.9933424394364084E-4</v>
      </c>
      <c r="E396" s="3">
        <f t="shared" si="399"/>
        <v>2.9933424394364084E-4</v>
      </c>
      <c r="F396" s="3">
        <f t="shared" si="399"/>
        <v>2.9933424394364084E-4</v>
      </c>
      <c r="G396" s="3">
        <f t="shared" si="399"/>
        <v>2.9933424394364079E-4</v>
      </c>
      <c r="H396" s="3">
        <f t="shared" si="399"/>
        <v>2.993342439436403E-4</v>
      </c>
      <c r="I396" s="3">
        <f t="shared" si="399"/>
        <v>2.9933424394363564E-4</v>
      </c>
      <c r="J396" s="3">
        <f t="shared" si="399"/>
        <v>2.9933424394358859E-4</v>
      </c>
      <c r="K396" s="3">
        <f t="shared" si="399"/>
        <v>2.9933424394311853E-4</v>
      </c>
      <c r="L396" s="3">
        <f t="shared" si="399"/>
        <v>2.9933424393841759E-4</v>
      </c>
      <c r="M396" s="3">
        <f t="shared" si="399"/>
        <v>2.9933424389140843E-4</v>
      </c>
      <c r="N396" s="3">
        <f t="shared" si="399"/>
        <v>2.9933424342131669E-4</v>
      </c>
      <c r="O396" s="3">
        <f t="shared" si="399"/>
        <v>2.9933423872039919E-4</v>
      </c>
      <c r="P396" s="3">
        <f t="shared" si="399"/>
        <v>2.9933419171122855E-4</v>
      </c>
      <c r="Q396" s="3">
        <f t="shared" si="399"/>
        <v>2.993337216199277E-4</v>
      </c>
      <c r="R396" s="3">
        <f t="shared" si="399"/>
        <v>2.9932902074752374E-4</v>
      </c>
      <c r="S396" s="3">
        <f t="shared" si="399"/>
        <v>2.9928201608364738E-4</v>
      </c>
      <c r="T396" s="3">
        <f t="shared" si="399"/>
        <v>2.9881237522539706E-4</v>
      </c>
      <c r="U396" s="3">
        <f t="shared" si="399"/>
        <v>2.941563098948465E-4</v>
      </c>
      <c r="V396" s="3">
        <f t="shared" si="399"/>
        <v>2.5140508629056731E-4</v>
      </c>
      <c r="W396" s="3">
        <f t="shared" si="399"/>
        <v>5.227968598531613E-5</v>
      </c>
      <c r="X396" s="3">
        <f t="shared" si="399"/>
        <v>7.9053677084264515E-12</v>
      </c>
      <c r="Y396" s="3">
        <f t="shared" si="399"/>
        <v>4.9409803414398098E-80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4.2293186187974723E-2</v>
      </c>
      <c r="B397" s="80">
        <f>IF($A$64&lt;=B363,IF($B$64&gt;=B363,ABS((B365-B364)/B364),0),0)</f>
        <v>4.9202602564638303E-3</v>
      </c>
      <c r="C397" s="80">
        <f t="shared" ref="C397:AF397" si="400">IF($A$64&lt;=C363,IF($B$64&gt;=C363,ABS((C365-C364)/C364),0),0)</f>
        <v>1.377174228879253E-2</v>
      </c>
      <c r="D397" s="80">
        <f t="shared" si="400"/>
        <v>1.7161529748859799E-2</v>
      </c>
      <c r="E397" s="80">
        <f t="shared" si="400"/>
        <v>1.7115609409647219E-2</v>
      </c>
      <c r="F397" s="80">
        <f t="shared" si="400"/>
        <v>1.9768566944659949E-2</v>
      </c>
      <c r="G397" s="80">
        <f t="shared" si="400"/>
        <v>2.0212192687473419E-2</v>
      </c>
      <c r="H397" s="80">
        <f t="shared" si="400"/>
        <v>5.9541006579929339E-3</v>
      </c>
      <c r="I397" s="80">
        <f t="shared" si="400"/>
        <v>2.1835710326397129E-2</v>
      </c>
      <c r="J397" s="80">
        <f t="shared" si="400"/>
        <v>4.2997495850587701E-2</v>
      </c>
      <c r="K397" s="80">
        <f t="shared" si="400"/>
        <v>2.7465219001452209E-2</v>
      </c>
      <c r="L397" s="80">
        <f t="shared" si="400"/>
        <v>1.1680614544125587E-2</v>
      </c>
      <c r="M397" s="80">
        <f t="shared" si="400"/>
        <v>1.3324109812534131E-2</v>
      </c>
      <c r="N397" s="80">
        <f t="shared" si="400"/>
        <v>5.1478927369109424E-2</v>
      </c>
      <c r="O397" s="80">
        <f t="shared" si="400"/>
        <v>0.10354989938578266</v>
      </c>
      <c r="P397" s="80">
        <f t="shared" si="400"/>
        <v>9.9246910199989602E-2</v>
      </c>
      <c r="Q397" s="80">
        <f t="shared" si="400"/>
        <v>0.12074093931864693</v>
      </c>
      <c r="R397" s="80">
        <f t="shared" si="400"/>
        <v>0.1217031955547327</v>
      </c>
      <c r="S397" s="80">
        <f t="shared" si="400"/>
        <v>0.11247149874076057</v>
      </c>
      <c r="T397" s="80">
        <f t="shared" si="400"/>
        <v>9.6593505778609673E-2</v>
      </c>
      <c r="U397" s="80">
        <f t="shared" si="400"/>
        <v>7.4017507865963339E-2</v>
      </c>
      <c r="V397" s="80">
        <f t="shared" si="400"/>
        <v>5.4986263579888249E-2</v>
      </c>
      <c r="W397" s="80">
        <f t="shared" si="400"/>
        <v>4.9039856120488355E-2</v>
      </c>
      <c r="X397" s="80">
        <f t="shared" si="400"/>
        <v>4.0507695723606678E-2</v>
      </c>
      <c r="Y397" s="80">
        <f t="shared" si="400"/>
        <v>3.2528608009284123E-2</v>
      </c>
      <c r="Z397" s="80">
        <f t="shared" si="400"/>
        <v>2.6590651702006161E-2</v>
      </c>
      <c r="AA397" s="80">
        <f t="shared" si="400"/>
        <v>2.5491009544066211E-2</v>
      </c>
      <c r="AB397" s="80">
        <f t="shared" si="400"/>
        <v>2.3938552679086893E-2</v>
      </c>
      <c r="AC397" s="80">
        <f t="shared" si="400"/>
        <v>1.736294797357012E-2</v>
      </c>
      <c r="AD397" s="80">
        <f t="shared" si="400"/>
        <v>1.7257580243206862E-2</v>
      </c>
      <c r="AE397" s="80">
        <f t="shared" si="400"/>
        <v>1.3733700867729621E-2</v>
      </c>
      <c r="AF397" s="80">
        <f t="shared" si="400"/>
        <v>1.3642369641701716E-2</v>
      </c>
    </row>
    <row r="398" spans="1:34" x14ac:dyDescent="0.25">
      <c r="B398" s="21">
        <f>(B365-B364)^2</f>
        <v>724.09901369506053</v>
      </c>
      <c r="C398" s="21">
        <f t="shared" ref="C398:AF398" si="401">(C365-C364)^2</f>
        <v>5019.3967865374998</v>
      </c>
      <c r="D398" s="21">
        <f t="shared" si="401"/>
        <v>6954.9103325309216</v>
      </c>
      <c r="E398" s="21">
        <f t="shared" si="401"/>
        <v>6142.4634147998322</v>
      </c>
      <c r="F398" s="21">
        <f t="shared" si="401"/>
        <v>7140.8050269747528</v>
      </c>
      <c r="G398" s="21">
        <f t="shared" si="401"/>
        <v>6335.9638783754572</v>
      </c>
      <c r="H398" s="21">
        <f t="shared" si="401"/>
        <v>432.19471789827787</v>
      </c>
      <c r="I398" s="21">
        <f t="shared" si="401"/>
        <v>4119.984426355476</v>
      </c>
      <c r="J398" s="21">
        <f t="shared" si="401"/>
        <v>9697.9301814840455</v>
      </c>
      <c r="K398" s="21">
        <f t="shared" si="401"/>
        <v>1828.4038915588023</v>
      </c>
      <c r="L398" s="21">
        <f t="shared" si="401"/>
        <v>120.45752824192517</v>
      </c>
      <c r="M398" s="21">
        <f t="shared" si="401"/>
        <v>50.28824257844019</v>
      </c>
      <c r="N398" s="21">
        <f t="shared" si="401"/>
        <v>230.02032203005106</v>
      </c>
      <c r="O398" s="21">
        <f t="shared" si="401"/>
        <v>394.68569070489679</v>
      </c>
      <c r="P398" s="21">
        <f t="shared" si="401"/>
        <v>259.391433234114</v>
      </c>
      <c r="Q398" s="21">
        <f t="shared" si="401"/>
        <v>316.35252431318412</v>
      </c>
      <c r="R398" s="21">
        <f t="shared" si="401"/>
        <v>298.93981915473722</v>
      </c>
      <c r="S398" s="21">
        <f t="shared" si="401"/>
        <v>248.78921013348659</v>
      </c>
      <c r="T398" s="21">
        <f t="shared" si="401"/>
        <v>175.4573179097865</v>
      </c>
      <c r="U398" s="21">
        <f t="shared" si="401"/>
        <v>97.774653695480083</v>
      </c>
      <c r="V398" s="21">
        <f t="shared" si="401"/>
        <v>51.574435713187491</v>
      </c>
      <c r="W398" s="21">
        <f t="shared" si="401"/>
        <v>39.662967495743715</v>
      </c>
      <c r="X398" s="21">
        <f t="shared" si="401"/>
        <v>26.434695747906346</v>
      </c>
      <c r="Y398" s="21">
        <f t="shared" si="401"/>
        <v>16.76628806281558</v>
      </c>
      <c r="Z398" s="21">
        <f t="shared" si="401"/>
        <v>11.06749072362796</v>
      </c>
      <c r="AA398" s="21">
        <f t="shared" si="401"/>
        <v>10.148096776071505</v>
      </c>
      <c r="AB398" s="21">
        <f t="shared" si="401"/>
        <v>8.9212085041109503</v>
      </c>
      <c r="AC398" s="21">
        <f t="shared" si="401"/>
        <v>4.6306598992293653</v>
      </c>
      <c r="AD398" s="21">
        <f t="shared" si="401"/>
        <v>4.5736468383141995</v>
      </c>
      <c r="AE398" s="21">
        <f t="shared" si="401"/>
        <v>2.8758684077034462</v>
      </c>
      <c r="AF398" s="21">
        <f t="shared" si="401"/>
        <v>2.8372201614103907</v>
      </c>
      <c r="AG398" s="3"/>
      <c r="AH398" s="3"/>
    </row>
    <row r="399" spans="1:34" x14ac:dyDescent="0.25">
      <c r="A399" s="71">
        <f>SUM(B399:AF399)</f>
        <v>50767.800990536336</v>
      </c>
      <c r="B399" s="60">
        <f>IF($A$64&lt;=B363,IF($B$64&gt;=B363,ABS(B398),0),0)</f>
        <v>724.09901369506053</v>
      </c>
      <c r="C399" s="60">
        <f t="shared" ref="C399" si="402">IF($A$64&lt;=C363,IF($B$64&gt;=C363,ABS(C398),0),0)</f>
        <v>5019.3967865374998</v>
      </c>
      <c r="D399" s="60">
        <f t="shared" ref="D399" si="403">IF($A$64&lt;=D363,IF($B$64&gt;=D363,ABS(D398),0),0)</f>
        <v>6954.9103325309216</v>
      </c>
      <c r="E399" s="60">
        <f t="shared" ref="E399" si="404">IF($A$64&lt;=E363,IF($B$64&gt;=E363,ABS(E398),0),0)</f>
        <v>6142.4634147998322</v>
      </c>
      <c r="F399" s="60">
        <f t="shared" ref="F399" si="405">IF($A$64&lt;=F363,IF($B$64&gt;=F363,ABS(F398),0),0)</f>
        <v>7140.8050269747528</v>
      </c>
      <c r="G399" s="60">
        <f t="shared" ref="G399" si="406">IF($A$64&lt;=G363,IF($B$64&gt;=G363,ABS(G398),0),0)</f>
        <v>6335.9638783754572</v>
      </c>
      <c r="H399" s="60">
        <f t="shared" ref="H399" si="407">IF($A$64&lt;=H363,IF($B$64&gt;=H363,ABS(H398),0),0)</f>
        <v>432.19471789827787</v>
      </c>
      <c r="I399" s="60">
        <f t="shared" ref="I399" si="408">IF($A$64&lt;=I363,IF($B$64&gt;=I363,ABS(I398),0),0)</f>
        <v>4119.984426355476</v>
      </c>
      <c r="J399" s="60">
        <f t="shared" ref="J399" si="409">IF($A$64&lt;=J363,IF($B$64&gt;=J363,ABS(J398),0),0)</f>
        <v>9697.9301814840455</v>
      </c>
      <c r="K399" s="60">
        <f t="shared" ref="K399" si="410">IF($A$64&lt;=K363,IF($B$64&gt;=K363,ABS(K398),0),0)</f>
        <v>1828.4038915588023</v>
      </c>
      <c r="L399" s="60">
        <f t="shared" ref="L399" si="411">IF($A$64&lt;=L363,IF($B$64&gt;=L363,ABS(L398),0),0)</f>
        <v>120.45752824192517</v>
      </c>
      <c r="M399" s="60">
        <f t="shared" ref="M399" si="412">IF($A$64&lt;=M363,IF($B$64&gt;=M363,ABS(M398),0),0)</f>
        <v>50.28824257844019</v>
      </c>
      <c r="N399" s="60">
        <f t="shared" ref="N399" si="413">IF($A$64&lt;=N363,IF($B$64&gt;=N363,ABS(N398),0),0)</f>
        <v>230.02032203005106</v>
      </c>
      <c r="O399" s="60">
        <f t="shared" ref="O399" si="414">IF($A$64&lt;=O363,IF($B$64&gt;=O363,ABS(O398),0),0)</f>
        <v>394.68569070489679</v>
      </c>
      <c r="P399" s="60">
        <f t="shared" ref="P399" si="415">IF($A$64&lt;=P363,IF($B$64&gt;=P363,ABS(P398),0),0)</f>
        <v>259.391433234114</v>
      </c>
      <c r="Q399" s="60">
        <f t="shared" ref="Q399" si="416">IF($A$64&lt;=Q363,IF($B$64&gt;=Q363,ABS(Q398),0),0)</f>
        <v>316.35252431318412</v>
      </c>
      <c r="R399" s="60">
        <f t="shared" ref="R399" si="417">IF($A$64&lt;=R363,IF($B$64&gt;=R363,ABS(R398),0),0)</f>
        <v>298.93981915473722</v>
      </c>
      <c r="S399" s="60">
        <f t="shared" ref="S399" si="418">IF($A$64&lt;=S363,IF($B$64&gt;=S363,ABS(S398),0),0)</f>
        <v>248.78921013348659</v>
      </c>
      <c r="T399" s="60">
        <f t="shared" ref="T399" si="419">IF($A$64&lt;=T363,IF($B$64&gt;=T363,ABS(T398),0),0)</f>
        <v>175.4573179097865</v>
      </c>
      <c r="U399" s="60">
        <f t="shared" ref="U399" si="420">IF($A$64&lt;=U363,IF($B$64&gt;=U363,ABS(U398),0),0)</f>
        <v>97.774653695480083</v>
      </c>
      <c r="V399" s="60">
        <f t="shared" ref="V399" si="421">IF($A$64&lt;=V363,IF($B$64&gt;=V363,ABS(V398),0),0)</f>
        <v>51.574435713187491</v>
      </c>
      <c r="W399" s="60">
        <f t="shared" ref="W399" si="422">IF($A$64&lt;=W363,IF($B$64&gt;=W363,ABS(W398),0),0)</f>
        <v>39.662967495743715</v>
      </c>
      <c r="X399" s="60">
        <f t="shared" ref="X399" si="423">IF($A$64&lt;=X363,IF($B$64&gt;=X363,ABS(X398),0),0)</f>
        <v>26.434695747906346</v>
      </c>
      <c r="Y399" s="60">
        <f t="shared" ref="Y399" si="424">IF($A$64&lt;=Y363,IF($B$64&gt;=Y363,ABS(Y398),0),0)</f>
        <v>16.76628806281558</v>
      </c>
      <c r="Z399" s="60">
        <f t="shared" ref="Z399" si="425">IF($A$64&lt;=Z363,IF($B$64&gt;=Z363,ABS(Z398),0),0)</f>
        <v>11.06749072362796</v>
      </c>
      <c r="AA399" s="60">
        <f t="shared" ref="AA399" si="426">IF($A$64&lt;=AA363,IF($B$64&gt;=AA363,ABS(AA398),0),0)</f>
        <v>10.148096776071505</v>
      </c>
      <c r="AB399" s="60">
        <f t="shared" ref="AB399" si="427">IF($A$64&lt;=AB363,IF($B$64&gt;=AB363,ABS(AB398),0),0)</f>
        <v>8.9212085041109503</v>
      </c>
      <c r="AC399" s="60">
        <f t="shared" ref="AC399" si="428">IF($A$64&lt;=AC363,IF($B$64&gt;=AC363,ABS(AC398),0),0)</f>
        <v>4.6306598992293653</v>
      </c>
      <c r="AD399" s="60">
        <f t="shared" ref="AD399" si="429">IF($A$64&lt;=AD363,IF($B$64&gt;=AD363,ABS(AD398),0),0)</f>
        <v>4.5736468383141995</v>
      </c>
      <c r="AE399" s="60">
        <f t="shared" ref="AE399" si="430">IF($A$64&lt;=AE363,IF($B$64&gt;=AE363,ABS(AE398),0),0)</f>
        <v>2.8758684077034462</v>
      </c>
      <c r="AF399" s="60">
        <f t="shared" ref="AF399" si="431">IF($A$64&lt;=AF363,IF($B$64&gt;=AF363,ABS(AF398),0),0)</f>
        <v>2.8372201614103907</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30" t="s">
        <v>163</v>
      </c>
      <c r="K402" s="130"/>
      <c r="L402" s="130"/>
      <c r="M402" s="130"/>
      <c r="N402" s="130"/>
      <c r="O402" s="130"/>
      <c r="P402" s="130"/>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-24.635271452940994</v>
      </c>
      <c r="C403" s="107">
        <f t="shared" ref="C403:H403" si="432">IF(C125=$B$2,0,C126)</f>
        <v>-21.515325340007891</v>
      </c>
      <c r="D403" s="107">
        <f t="shared" si="432"/>
        <v>-17.30798424296643</v>
      </c>
      <c r="E403" s="107">
        <f t="shared" si="432"/>
        <v>-10.743895843593299</v>
      </c>
      <c r="F403" s="107">
        <f t="shared" si="432"/>
        <v>0</v>
      </c>
      <c r="G403" s="107">
        <f t="shared" si="432"/>
        <v>19.380392094928641</v>
      </c>
      <c r="H403" s="107">
        <f t="shared" si="432"/>
        <v>23.582578516418124</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2.0000347791695201E-26</v>
      </c>
      <c r="C404" s="3">
        <f t="shared" ref="C404:H419" si="433">$A404/EXP(-C$403)</f>
        <v>4.5291106237996045E-25</v>
      </c>
      <c r="D404" s="3">
        <f t="shared" si="433"/>
        <v>3.0425515863485163E-23</v>
      </c>
      <c r="E404" s="3">
        <f t="shared" si="433"/>
        <v>2.1576714793079767E-20</v>
      </c>
      <c r="F404" s="3">
        <f t="shared" si="433"/>
        <v>1.0000000000000001E-15</v>
      </c>
      <c r="G404" s="3">
        <f t="shared" si="433"/>
        <v>2.6109427185763351E-7</v>
      </c>
      <c r="H404" s="3">
        <f t="shared" si="433"/>
        <v>1.7449529394212134E-5</v>
      </c>
      <c r="I404" s="109">
        <f>Comparison!AL3</f>
        <v>1.0000000000000001E-15</v>
      </c>
      <c r="J404" s="3">
        <f>Comparison!AM3</f>
        <v>6574.1423129756067</v>
      </c>
      <c r="K404" s="3">
        <f>Comparison!AN3</f>
        <v>6543.7252261807771</v>
      </c>
      <c r="L404" s="3">
        <f>Comparison!AO3</f>
        <v>6524.0904126194901</v>
      </c>
      <c r="M404" s="3">
        <f>Comparison!AP3</f>
        <v>6503.9509699618966</v>
      </c>
      <c r="N404" s="3">
        <f>Comparison!AQ3</f>
        <v>6479.0859474371819</v>
      </c>
      <c r="O404" s="3">
        <f>Comparison!AR3</f>
        <v>5863.6829549380891</v>
      </c>
      <c r="P404" s="3">
        <f>Comparison!AS3</f>
        <v>5469.0375175567433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2.0000347791695199E-25</v>
      </c>
      <c r="C405" s="3">
        <f t="shared" si="433"/>
        <v>4.5291106237996045E-24</v>
      </c>
      <c r="D405" s="3">
        <f t="shared" si="433"/>
        <v>3.042551586348516E-22</v>
      </c>
      <c r="E405" s="3">
        <f t="shared" si="433"/>
        <v>2.1576714793079764E-19</v>
      </c>
      <c r="F405" s="3">
        <f t="shared" si="433"/>
        <v>1E-14</v>
      </c>
      <c r="G405" s="3">
        <f t="shared" si="433"/>
        <v>2.6109427185763348E-6</v>
      </c>
      <c r="H405" s="3">
        <f t="shared" si="433"/>
        <v>1.7449529394212134E-4</v>
      </c>
      <c r="I405" s="109">
        <f>Comparison!AL4</f>
        <v>1E-14</v>
      </c>
      <c r="J405" s="3">
        <f>Comparison!AM4</f>
        <v>6574.1983504239388</v>
      </c>
      <c r="K405" s="3">
        <f>Comparison!AN4</f>
        <v>6543.7799387981568</v>
      </c>
      <c r="L405" s="3">
        <f>Comparison!AO4</f>
        <v>6524.1443595856636</v>
      </c>
      <c r="M405" s="3">
        <f>Comparison!AP4</f>
        <v>6504.0043184804708</v>
      </c>
      <c r="N405" s="3">
        <f>Comparison!AQ4</f>
        <v>6479.1324839978006</v>
      </c>
      <c r="O405" s="3">
        <f>Comparison!AR4</f>
        <v>5609.1927579282792</v>
      </c>
      <c r="P405" s="3">
        <f>Comparison!AS4</f>
        <v>5144.4254375399241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2.00003477916952E-24</v>
      </c>
      <c r="C406" s="3">
        <f t="shared" si="433"/>
        <v>4.5291106237996048E-23</v>
      </c>
      <c r="D406" s="3">
        <f t="shared" si="433"/>
        <v>3.0425515863485161E-21</v>
      </c>
      <c r="E406" s="3">
        <f t="shared" si="433"/>
        <v>2.1576714793079764E-18</v>
      </c>
      <c r="F406" s="3">
        <f t="shared" si="433"/>
        <v>1E-13</v>
      </c>
      <c r="G406" s="3">
        <f t="shared" si="433"/>
        <v>2.6109427185763346E-5</v>
      </c>
      <c r="H406" s="3">
        <f t="shared" si="433"/>
        <v>1.7449529394212135E-3</v>
      </c>
      <c r="I406" s="109">
        <f>Comparison!AL5</f>
        <v>1E-13</v>
      </c>
      <c r="J406" s="3">
        <f>Comparison!AM5</f>
        <v>6574.1641202956771</v>
      </c>
      <c r="K406" s="3">
        <f>Comparison!AN5</f>
        <v>6543.7462938558028</v>
      </c>
      <c r="L406" s="3">
        <f>Comparison!AO5</f>
        <v>6524.1111351538066</v>
      </c>
      <c r="M406" s="3">
        <f>Comparison!AP5</f>
        <v>6503.9713230315656</v>
      </c>
      <c r="N406" s="3">
        <f>Comparison!AQ5</f>
        <v>6479.041978197979</v>
      </c>
      <c r="O406" s="3">
        <f>Comparison!AR5</f>
        <v>5370.7345311781783</v>
      </c>
      <c r="P406" s="3">
        <f>Comparison!AS5</f>
        <v>4859.4796757955091</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2.0000347791695199E-23</v>
      </c>
      <c r="C407" s="3">
        <f t="shared" si="433"/>
        <v>4.5291106237996048E-22</v>
      </c>
      <c r="D407" s="3">
        <f t="shared" si="433"/>
        <v>3.0425515863485161E-20</v>
      </c>
      <c r="E407" s="3">
        <f t="shared" si="433"/>
        <v>2.1576714793079764E-17</v>
      </c>
      <c r="F407" s="3">
        <f t="shared" si="433"/>
        <v>9.9999999999999998E-13</v>
      </c>
      <c r="G407" s="3">
        <f t="shared" si="433"/>
        <v>2.6109427185763348E-4</v>
      </c>
      <c r="H407" s="3">
        <f t="shared" si="433"/>
        <v>1.7449529394212134E-2</v>
      </c>
      <c r="I407" s="109">
        <f>Comparison!AL6</f>
        <v>9.9999999999999998E-13</v>
      </c>
      <c r="J407" s="3">
        <f>Comparison!AM6</f>
        <v>6574.1538463873376</v>
      </c>
      <c r="K407" s="3">
        <f>Comparison!AN6</f>
        <v>6543.7363350192272</v>
      </c>
      <c r="L407" s="3">
        <f>Comparison!AO6</f>
        <v>6524.1012603146964</v>
      </c>
      <c r="M407" s="3">
        <f>Comparison!AP6</f>
        <v>6503.9615090652051</v>
      </c>
      <c r="N407" s="3">
        <f>Comparison!AQ6</f>
        <v>6478.4539559822069</v>
      </c>
      <c r="O407" s="3">
        <f>Comparison!AR6</f>
        <v>5097.9534912421213</v>
      </c>
      <c r="P407" s="3">
        <f>Comparison!AS6</f>
        <v>4579.0872874253573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2.0000347791695197E-22</v>
      </c>
      <c r="C408" s="3">
        <f t="shared" si="433"/>
        <v>4.5291106237996042E-21</v>
      </c>
      <c r="D408" s="3">
        <f t="shared" si="433"/>
        <v>3.0425515863485158E-19</v>
      </c>
      <c r="E408" s="3">
        <f t="shared" si="433"/>
        <v>2.1576714793079763E-16</v>
      </c>
      <c r="F408" s="3">
        <f t="shared" si="433"/>
        <v>9.9999999999999994E-12</v>
      </c>
      <c r="G408" s="3">
        <f t="shared" si="433"/>
        <v>2.6109427185763345E-3</v>
      </c>
      <c r="H408" s="3">
        <f t="shared" si="433"/>
        <v>0.17449529394212132</v>
      </c>
      <c r="I408" s="109">
        <f>Comparison!AL7</f>
        <v>9.9999999999999994E-12</v>
      </c>
      <c r="J408" s="3">
        <f>Comparison!AM7</f>
        <v>6574.1506604943988</v>
      </c>
      <c r="K408" s="3">
        <f>Comparison!AN7</f>
        <v>6543.7332030080934</v>
      </c>
      <c r="L408" s="3">
        <f>Comparison!AO7</f>
        <v>6524.0981470711258</v>
      </c>
      <c r="M408" s="3">
        <f>Comparison!AP7</f>
        <v>6503.9584150129849</v>
      </c>
      <c r="N408" s="3">
        <f>Comparison!AQ7</f>
        <v>6472.7726535549082</v>
      </c>
      <c r="O408" s="3">
        <f>Comparison!AR7</f>
        <v>4821.046341164677</v>
      </c>
      <c r="P408" s="3">
        <f>Comparison!AS7</f>
        <v>4274.6287252900811</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2.0000347791695201E-21</v>
      </c>
      <c r="C409" s="3">
        <f t="shared" si="433"/>
        <v>4.5291106237996045E-20</v>
      </c>
      <c r="D409" s="3">
        <f t="shared" si="433"/>
        <v>3.042551586348516E-18</v>
      </c>
      <c r="E409" s="3">
        <f t="shared" si="433"/>
        <v>2.1576714793079764E-15</v>
      </c>
      <c r="F409" s="3">
        <f t="shared" si="433"/>
        <v>1E-10</v>
      </c>
      <c r="G409" s="3">
        <f t="shared" si="433"/>
        <v>2.6109427185763347E-2</v>
      </c>
      <c r="H409" s="3">
        <f t="shared" si="433"/>
        <v>1.7449529394212133</v>
      </c>
      <c r="I409" s="109">
        <f>Comparison!AL8</f>
        <v>1E-10</v>
      </c>
      <c r="J409" s="3">
        <f>Comparison!AM8</f>
        <v>6574.149598530772</v>
      </c>
      <c r="K409" s="3">
        <f>Comparison!AN8</f>
        <v>6543.7321508487757</v>
      </c>
      <c r="L409" s="3">
        <f>Comparison!AO8</f>
        <v>6524.0971012165301</v>
      </c>
      <c r="M409" s="3">
        <f>Comparison!AP8</f>
        <v>6503.9573030886877</v>
      </c>
      <c r="N409" s="3">
        <f>Comparison!AQ8</f>
        <v>6425.3224026678754</v>
      </c>
      <c r="O409" s="3">
        <f>Comparison!AR8</f>
        <v>4535.3452020984814</v>
      </c>
      <c r="P409" s="3">
        <f>Comparison!AS8</f>
        <v>3938.1560081824523</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2.0000347791695201E-20</v>
      </c>
      <c r="C410" s="3">
        <f t="shared" si="433"/>
        <v>4.5291106237996045E-19</v>
      </c>
      <c r="D410" s="3">
        <f t="shared" si="433"/>
        <v>3.0425515863485165E-17</v>
      </c>
      <c r="E410" s="3">
        <f t="shared" si="433"/>
        <v>2.1576714793079764E-14</v>
      </c>
      <c r="F410" s="3">
        <f t="shared" si="433"/>
        <v>1.0000000000000001E-9</v>
      </c>
      <c r="G410" s="3">
        <f t="shared" si="433"/>
        <v>0.26109427185763351</v>
      </c>
      <c r="H410" s="3">
        <f t="shared" si="433"/>
        <v>17.449529394212135</v>
      </c>
      <c r="I410" s="109">
        <f>Comparison!AL9</f>
        <v>1.0000000000000001E-9</v>
      </c>
      <c r="J410" s="3">
        <f>Comparison!AM9</f>
        <v>6574.1492527752453</v>
      </c>
      <c r="K410" s="3">
        <f>Comparison!AN9</f>
        <v>6543.7318082853499</v>
      </c>
      <c r="L410" s="3">
        <f>Comparison!AO9</f>
        <v>6524.0967607058046</v>
      </c>
      <c r="M410" s="3">
        <f>Comparison!AP9</f>
        <v>6503.9546441408229</v>
      </c>
      <c r="N410" s="3">
        <f>Comparison!AQ9</f>
        <v>6280.1372572444334</v>
      </c>
      <c r="O410" s="3">
        <f>Comparison!AR9</f>
        <v>4228.4929725950406</v>
      </c>
      <c r="P410" s="3">
        <f>Comparison!AS9</f>
        <v>3491.5925245283374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2.00003477916952E-19</v>
      </c>
      <c r="C411" s="3">
        <f t="shared" si="433"/>
        <v>4.5291106237996045E-18</v>
      </c>
      <c r="D411" s="3">
        <f t="shared" si="433"/>
        <v>3.0425515863485162E-16</v>
      </c>
      <c r="E411" s="3">
        <f t="shared" si="433"/>
        <v>2.1576714793079764E-13</v>
      </c>
      <c r="F411" s="3">
        <f t="shared" si="433"/>
        <v>1E-8</v>
      </c>
      <c r="G411" s="3">
        <f t="shared" si="433"/>
        <v>2.610942718576335</v>
      </c>
      <c r="H411" s="3">
        <f t="shared" si="433"/>
        <v>174.49529394212135</v>
      </c>
      <c r="I411" s="109">
        <f>Comparison!AL10</f>
        <v>1E-8</v>
      </c>
      <c r="J411" s="3">
        <f>Comparison!AM10</f>
        <v>6574.149203381603</v>
      </c>
      <c r="K411" s="3">
        <f>Comparison!AN10</f>
        <v>6543.7317593477201</v>
      </c>
      <c r="L411" s="3">
        <f>Comparison!AO10</f>
        <v>6524.0967120614177</v>
      </c>
      <c r="M411" s="3">
        <f>Comparison!AP10</f>
        <v>6503.932647473689</v>
      </c>
      <c r="N411" s="3">
        <f>Comparison!AQ10</f>
        <v>6130.7451181848783</v>
      </c>
      <c r="O411" s="3">
        <f>Comparison!AR10</f>
        <v>3871.0057883923755</v>
      </c>
      <c r="P411" s="3">
        <f>Comparison!AS10</f>
        <v>2939.5473684961994</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2.0000347791695199E-18</v>
      </c>
      <c r="C412" s="3">
        <f t="shared" si="433"/>
        <v>4.5291106237996042E-17</v>
      </c>
      <c r="D412" s="3">
        <f t="shared" si="433"/>
        <v>3.0425515863485157E-15</v>
      </c>
      <c r="E412" s="3">
        <f t="shared" si="433"/>
        <v>2.1576714793079765E-12</v>
      </c>
      <c r="F412" s="3">
        <f t="shared" si="433"/>
        <v>9.9999999999999995E-8</v>
      </c>
      <c r="G412" s="3">
        <f t="shared" si="433"/>
        <v>26.109427185763344</v>
      </c>
      <c r="H412" s="3">
        <f t="shared" si="433"/>
        <v>1744.9529394212132</v>
      </c>
      <c r="I412" s="109">
        <f>Comparison!AL11</f>
        <v>9.9999999999999995E-8</v>
      </c>
      <c r="J412" s="3">
        <f>Comparison!AM11</f>
        <v>6574.149203381603</v>
      </c>
      <c r="K412" s="3">
        <f>Comparison!AN11</f>
        <v>6543.7315146595847</v>
      </c>
      <c r="L412" s="3">
        <f>Comparison!AO11</f>
        <v>6524.0963715507314</v>
      </c>
      <c r="M412" s="3">
        <f>Comparison!AP11</f>
        <v>6503.7133657579243</v>
      </c>
      <c r="N412" s="3">
        <f>Comparison!AQ11</f>
        <v>5959.459898848826</v>
      </c>
      <c r="O412" s="3">
        <f>Comparison!AR11</f>
        <v>3401.7561264704505</v>
      </c>
      <c r="P412" s="3">
        <f>Comparison!AS11</f>
        <v>2290.3210430692648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2.0000347791695199E-17</v>
      </c>
      <c r="C413" s="3">
        <f t="shared" si="433"/>
        <v>4.5291106237996042E-16</v>
      </c>
      <c r="D413" s="3">
        <f t="shared" si="433"/>
        <v>3.0425515863485161E-14</v>
      </c>
      <c r="E413" s="3">
        <f t="shared" si="433"/>
        <v>2.1576714793079763E-11</v>
      </c>
      <c r="F413" s="3">
        <f t="shared" si="433"/>
        <v>9.9999999999999995E-7</v>
      </c>
      <c r="G413" s="3">
        <f t="shared" si="433"/>
        <v>261.09427185763349</v>
      </c>
      <c r="H413" s="3">
        <f t="shared" si="433"/>
        <v>17449.529394212132</v>
      </c>
      <c r="I413" s="109">
        <f>Comparison!AL12</f>
        <v>9.9999999999999995E-7</v>
      </c>
      <c r="J413" s="3">
        <f>Comparison!AM12</f>
        <v>6574.149203381603</v>
      </c>
      <c r="K413" s="3">
        <f>Comparison!AN12</f>
        <v>6543.731490190773</v>
      </c>
      <c r="L413" s="3">
        <f>Comparison!AO12</f>
        <v>6524.0939393325853</v>
      </c>
      <c r="M413" s="3">
        <f>Comparison!AP12</f>
        <v>6501.5374241274303</v>
      </c>
      <c r="N413" s="3">
        <f>Comparison!AQ12</f>
        <v>5758.6320512376351</v>
      </c>
      <c r="O413" s="3">
        <f>Comparison!AR12</f>
        <v>2827.0529060658037</v>
      </c>
      <c r="P413" s="3">
        <f>Comparison!AS12</f>
        <v>1556.8723374202477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2.00003477916952E-16</v>
      </c>
      <c r="C414" s="3">
        <f t="shared" si="433"/>
        <v>4.5291106237996052E-15</v>
      </c>
      <c r="D414" s="3">
        <f t="shared" si="433"/>
        <v>3.0425515863485161E-13</v>
      </c>
      <c r="E414" s="3">
        <f t="shared" si="433"/>
        <v>2.1576714793079766E-10</v>
      </c>
      <c r="F414" s="3">
        <f t="shared" si="433"/>
        <v>1.0000000000000001E-5</v>
      </c>
      <c r="G414" s="3">
        <f t="shared" si="433"/>
        <v>2610.9427185763348</v>
      </c>
      <c r="H414" s="3">
        <f t="shared" si="433"/>
        <v>174495.29394212135</v>
      </c>
      <c r="I414" s="109">
        <f>Comparison!AL13</f>
        <v>1.0000000000000001E-5</v>
      </c>
      <c r="J414" s="3">
        <f>Comparison!AM13</f>
        <v>6574.1491786847801</v>
      </c>
      <c r="K414" s="3">
        <f>Comparison!AN13</f>
        <v>6543.7313923155243</v>
      </c>
      <c r="L414" s="3">
        <f>Comparison!AO13</f>
        <v>6524.06939835293</v>
      </c>
      <c r="M414" s="3">
        <f>Comparison!AP13</f>
        <v>6481.233154233405</v>
      </c>
      <c r="N414" s="3">
        <f>Comparison!AQ13</f>
        <v>5553.7107715147085</v>
      </c>
      <c r="O414" s="3">
        <f>Comparison!AR13</f>
        <v>2150.7951483518323</v>
      </c>
      <c r="P414" s="3">
        <f>Comparison!AS13</f>
        <v>939.61789874376836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2.0000347791695202E-15</v>
      </c>
      <c r="C415" s="3">
        <f t="shared" si="433"/>
        <v>4.5291106237996046E-14</v>
      </c>
      <c r="D415" s="3">
        <f t="shared" si="433"/>
        <v>3.042551586348516E-12</v>
      </c>
      <c r="E415" s="3">
        <f t="shared" si="433"/>
        <v>2.1576714793079766E-9</v>
      </c>
      <c r="F415" s="3">
        <f t="shared" si="433"/>
        <v>1E-4</v>
      </c>
      <c r="G415" s="3">
        <f t="shared" si="433"/>
        <v>26109.427185763347</v>
      </c>
      <c r="H415" s="3">
        <f t="shared" si="433"/>
        <v>1744952.9394212135</v>
      </c>
      <c r="I415" s="109">
        <f>Comparison!AL14</f>
        <v>1E-4</v>
      </c>
      <c r="J415" s="3">
        <f>Comparison!AM14</f>
        <v>6574.1489070197567</v>
      </c>
      <c r="K415" s="3">
        <f>Comparison!AN14</f>
        <v>6543.7286518097571</v>
      </c>
      <c r="L415" s="3">
        <f>Comparison!AO14</f>
        <v>6523.8242419120506</v>
      </c>
      <c r="M415" s="3">
        <f>Comparison!AP14</f>
        <v>6364.7007036045688</v>
      </c>
      <c r="N415" s="3">
        <f>Comparison!AQ14</f>
        <v>5296.2160470219478</v>
      </c>
      <c r="O415" s="3">
        <f>Comparison!AR14</f>
        <v>1410.5199057082755</v>
      </c>
      <c r="P415" s="3">
        <f>Comparison!AS14</f>
        <v>532.22470015904992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2.0000347791695201E-14</v>
      </c>
      <c r="C416" s="3">
        <f t="shared" si="433"/>
        <v>4.5291106237996046E-13</v>
      </c>
      <c r="D416" s="3">
        <f t="shared" si="433"/>
        <v>3.0425515863485163E-11</v>
      </c>
      <c r="E416" s="3">
        <f t="shared" si="433"/>
        <v>2.1576714793079764E-8</v>
      </c>
      <c r="F416" s="3">
        <f t="shared" si="433"/>
        <v>1E-3</v>
      </c>
      <c r="G416" s="3">
        <f t="shared" si="433"/>
        <v>261094.27185763349</v>
      </c>
      <c r="H416" s="3">
        <f t="shared" si="433"/>
        <v>17449529.394212134</v>
      </c>
      <c r="I416" s="109">
        <f>Comparison!AL15</f>
        <v>1E-3</v>
      </c>
      <c r="J416" s="3">
        <f>Comparison!AM15</f>
        <v>6574.1483883865922</v>
      </c>
      <c r="K416" s="3">
        <f>Comparison!AN15</f>
        <v>6543.7023234963144</v>
      </c>
      <c r="L416" s="3">
        <f>Comparison!AO15</f>
        <v>6521.3925487999713</v>
      </c>
      <c r="M416" s="3">
        <f>Comparison!AP15</f>
        <v>6219.55344224686</v>
      </c>
      <c r="N416" s="3">
        <f>Comparison!AQ15</f>
        <v>5014.3504980568096</v>
      </c>
      <c r="O416" s="3">
        <f>Comparison!AR15</f>
        <v>826.67973456797017</v>
      </c>
      <c r="P416" s="3">
        <f>Comparison!AS15</f>
        <v>294.61415856723238</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2.00003477916952E-13</v>
      </c>
      <c r="C417" s="3">
        <f t="shared" si="433"/>
        <v>4.5291106237996049E-12</v>
      </c>
      <c r="D417" s="3">
        <f t="shared" si="433"/>
        <v>3.0425515863485161E-10</v>
      </c>
      <c r="E417" s="3">
        <f t="shared" si="433"/>
        <v>2.1576714793079766E-7</v>
      </c>
      <c r="F417" s="3">
        <f t="shared" si="433"/>
        <v>0.01</v>
      </c>
      <c r="G417" s="3">
        <f t="shared" si="433"/>
        <v>2610942.7185763349</v>
      </c>
      <c r="H417" s="3">
        <f t="shared" si="433"/>
        <v>174495293.94212133</v>
      </c>
      <c r="I417" s="109">
        <f>Comparison!AL16</f>
        <v>0.01</v>
      </c>
      <c r="J417" s="3">
        <f>Comparison!AM16</f>
        <v>6574.141102834109</v>
      </c>
      <c r="K417" s="3">
        <f>Comparison!AN16</f>
        <v>6543.4393456132884</v>
      </c>
      <c r="L417" s="3">
        <f>Comparison!AO16</f>
        <v>6498.8766153292054</v>
      </c>
      <c r="M417" s="3">
        <f>Comparison!AP16</f>
        <v>6059.9785511387736</v>
      </c>
      <c r="N417" s="3">
        <f>Comparison!AQ16</f>
        <v>4737.7084148388376</v>
      </c>
      <c r="O417" s="3">
        <f>Comparison!AR16</f>
        <v>463.10914863390207</v>
      </c>
      <c r="P417" s="3">
        <f>Comparison!AS16</f>
        <v>191.85627557437303</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2.00003477916952E-12</v>
      </c>
      <c r="C418" s="3">
        <f t="shared" si="433"/>
        <v>4.5291106237996049E-11</v>
      </c>
      <c r="D418" s="3">
        <f t="shared" si="433"/>
        <v>3.0425515863485161E-9</v>
      </c>
      <c r="E418" s="3">
        <f t="shared" si="433"/>
        <v>2.1576714793079766E-6</v>
      </c>
      <c r="F418" s="3">
        <f t="shared" si="433"/>
        <v>0.1</v>
      </c>
      <c r="G418" s="3">
        <f t="shared" si="433"/>
        <v>26109427.185763348</v>
      </c>
      <c r="H418" s="3">
        <f t="shared" si="433"/>
        <v>1744952939.4212134</v>
      </c>
      <c r="I418" s="109">
        <f>Comparison!AL17</f>
        <v>0.1</v>
      </c>
      <c r="J418" s="3">
        <f>Comparison!AM17</f>
        <v>6574.0681741087647</v>
      </c>
      <c r="K418" s="3">
        <f>Comparison!AN17</f>
        <v>6540.8297975507394</v>
      </c>
      <c r="L418" s="3">
        <f>Comparison!AO17</f>
        <v>6376.7108933957061</v>
      </c>
      <c r="M418" s="3">
        <f>Comparison!AP17</f>
        <v>5870.6317266704709</v>
      </c>
      <c r="N418" s="3">
        <f>Comparison!AQ17</f>
        <v>4438.626264954587</v>
      </c>
      <c r="O418" s="3">
        <f>Comparison!AR17</f>
        <v>257.27368574751409</v>
      </c>
      <c r="P418" s="3">
        <f>Comparison!AS17</f>
        <v>162.27843823453597</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2.00003477916952E-11</v>
      </c>
      <c r="C419" s="3">
        <f t="shared" si="433"/>
        <v>4.5291106237996045E-10</v>
      </c>
      <c r="D419" s="3">
        <f t="shared" si="433"/>
        <v>3.0425515863485158E-8</v>
      </c>
      <c r="E419" s="3">
        <f t="shared" si="433"/>
        <v>2.1576714793079765E-5</v>
      </c>
      <c r="F419" s="3">
        <f t="shared" si="433"/>
        <v>1</v>
      </c>
      <c r="G419" s="3">
        <f t="shared" si="433"/>
        <v>261094271.85763347</v>
      </c>
      <c r="H419" s="3">
        <f t="shared" si="433"/>
        <v>17449529394.212132</v>
      </c>
      <c r="I419" s="109">
        <f>Comparison!AL18</f>
        <v>1</v>
      </c>
      <c r="J419" s="3">
        <f>Comparison!AM18</f>
        <v>6573.3425313051102</v>
      </c>
      <c r="K419" s="3">
        <f>Comparison!AN18</f>
        <v>6516.7915822655277</v>
      </c>
      <c r="L419" s="3">
        <f>Comparison!AO18</f>
        <v>6230.3639399807598</v>
      </c>
      <c r="M419" s="3">
        <f>Comparison!AP18</f>
        <v>5669.1325406322439</v>
      </c>
      <c r="N419" s="3">
        <f>Comparison!AQ18</f>
        <v>4115.3629839514006</v>
      </c>
      <c r="O419" s="3">
        <f>Comparison!AR18</f>
        <v>179.98076982609024</v>
      </c>
      <c r="P419" s="3">
        <f>Comparison!AS18</f>
        <v>147.30961753431595</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2.0000347791695198E-10</v>
      </c>
      <c r="C420" s="3">
        <f t="shared" si="434"/>
        <v>4.5291106237996043E-9</v>
      </c>
      <c r="D420" s="3">
        <f t="shared" si="434"/>
        <v>3.0425515863485163E-7</v>
      </c>
      <c r="E420" s="3">
        <f t="shared" si="434"/>
        <v>2.1576714793079764E-4</v>
      </c>
      <c r="F420" s="3">
        <f t="shared" si="434"/>
        <v>10</v>
      </c>
      <c r="G420" s="3">
        <f t="shared" si="434"/>
        <v>2610942718.5763345</v>
      </c>
      <c r="H420" s="3">
        <f t="shared" si="434"/>
        <v>174495293942.12134</v>
      </c>
      <c r="I420" s="109">
        <f>Comparison!AL19</f>
        <v>10</v>
      </c>
      <c r="J420" s="3">
        <f>Comparison!AM19</f>
        <v>6566.2492544539882</v>
      </c>
      <c r="K420" s="3">
        <f>Comparison!AN19</f>
        <v>6390.814079024768</v>
      </c>
      <c r="L420" s="3">
        <f>Comparison!AO19</f>
        <v>6066.3152248046426</v>
      </c>
      <c r="M420" s="3">
        <f>Comparison!AP19</f>
        <v>5423.4324257349326</v>
      </c>
      <c r="N420" s="3">
        <f>Comparison!AQ19</f>
        <v>3662.5886079597385</v>
      </c>
      <c r="O420" s="3">
        <f>Comparison!AR19</f>
        <v>157.55849658546879</v>
      </c>
      <c r="P420" s="3">
        <f>Comparison!AS19</f>
        <v>142.06591803394016</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2.0000347791695197E-9</v>
      </c>
      <c r="C421" s="3">
        <f t="shared" si="434"/>
        <v>4.5291106237996048E-8</v>
      </c>
      <c r="D421" s="3">
        <f t="shared" si="434"/>
        <v>3.0425515863485162E-6</v>
      </c>
      <c r="E421" s="3">
        <f t="shared" si="434"/>
        <v>2.1576714793079764E-3</v>
      </c>
      <c r="F421" s="3">
        <f t="shared" si="434"/>
        <v>100</v>
      </c>
      <c r="G421" s="3">
        <f t="shared" si="434"/>
        <v>26109427185.763348</v>
      </c>
      <c r="H421" s="3">
        <f t="shared" si="434"/>
        <v>1744952939421.2134</v>
      </c>
      <c r="I421" s="109">
        <f>Comparison!AL20</f>
        <v>100</v>
      </c>
      <c r="J421" s="3">
        <f>Comparison!AM20</f>
        <v>6509.2168204054406</v>
      </c>
      <c r="K421" s="3">
        <f>Comparison!AN20</f>
        <v>6240.1474757230608</v>
      </c>
      <c r="L421" s="3">
        <f>Comparison!AO20</f>
        <v>5850.8000974148181</v>
      </c>
      <c r="M421" s="3">
        <f>Comparison!AP20</f>
        <v>5064.9009314494624</v>
      </c>
      <c r="N421" s="3">
        <f>Comparison!AQ20</f>
        <v>3039.7716426269371</v>
      </c>
      <c r="O421" s="3">
        <f>Comparison!AR20</f>
        <v>143.13037816485394</v>
      </c>
      <c r="P421" s="3">
        <f>Comparison!AS20</f>
        <v>140.2404472955443</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2.0000347791695198E-8</v>
      </c>
      <c r="C422" s="3">
        <f t="shared" si="434"/>
        <v>4.5291106237996044E-7</v>
      </c>
      <c r="D422" s="3">
        <f t="shared" si="434"/>
        <v>3.0425515863485159E-5</v>
      </c>
      <c r="E422" s="3">
        <f t="shared" si="434"/>
        <v>2.1576714793079765E-2</v>
      </c>
      <c r="F422" s="3">
        <f t="shared" si="434"/>
        <v>1000</v>
      </c>
      <c r="G422" s="3">
        <f t="shared" si="434"/>
        <v>261094271857.63348</v>
      </c>
      <c r="H422" s="3">
        <f t="shared" si="434"/>
        <v>17449529394212.133</v>
      </c>
      <c r="I422" s="109">
        <f>Comparison!AL21</f>
        <v>1000</v>
      </c>
      <c r="J422" s="3">
        <f>Comparison!AM21</f>
        <v>6358.877795711509</v>
      </c>
      <c r="K422" s="3">
        <f>Comparison!AN21</f>
        <v>6044.4265071962272</v>
      </c>
      <c r="L422" s="3">
        <f>Comparison!AO21</f>
        <v>5524.1383776461034</v>
      </c>
      <c r="M422" s="3">
        <f>Comparison!AP21</f>
        <v>4580.1850776889687</v>
      </c>
      <c r="N422" s="3">
        <f>Comparison!AQ21</f>
        <v>2356.5178874385392</v>
      </c>
      <c r="O422" s="3">
        <f>Comparison!AR21</f>
        <v>139.03929298884987</v>
      </c>
      <c r="P422" s="3">
        <f>Comparison!AS21</f>
        <v>137.13168564571805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2.00003477916952E-7</v>
      </c>
      <c r="C423" s="3">
        <f t="shared" si="434"/>
        <v>4.5291106237996047E-6</v>
      </c>
      <c r="D423" s="3">
        <f t="shared" si="434"/>
        <v>3.0425515863485159E-4</v>
      </c>
      <c r="E423" s="3">
        <f t="shared" si="434"/>
        <v>0.21576714793079765</v>
      </c>
      <c r="F423" s="3">
        <f t="shared" si="434"/>
        <v>10000</v>
      </c>
      <c r="G423" s="3">
        <f t="shared" si="434"/>
        <v>2610942718576.3345</v>
      </c>
      <c r="H423" s="3">
        <f t="shared" si="434"/>
        <v>174495293942121.34</v>
      </c>
      <c r="I423" s="109">
        <f>Comparison!AL22</f>
        <v>10000</v>
      </c>
      <c r="J423" s="3">
        <f>Comparison!AM22</f>
        <v>6198.1657141301985</v>
      </c>
      <c r="K423" s="3">
        <f>Comparison!AN22</f>
        <v>5697.9764219559002</v>
      </c>
      <c r="L423" s="3">
        <f>Comparison!AO22</f>
        <v>5037.8540321693981</v>
      </c>
      <c r="M423" s="3">
        <f>Comparison!AP22</f>
        <v>4085.8663253030418</v>
      </c>
      <c r="N423" s="3">
        <f>Comparison!AQ22</f>
        <v>1664.6092730189016</v>
      </c>
      <c r="O423" s="3">
        <f>Comparison!AR22</f>
        <v>135.60631839895524</v>
      </c>
      <c r="P423" s="3">
        <f>Comparison!AS22</f>
        <v>133.5914564553571</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2.0000347791695201E-6</v>
      </c>
      <c r="C424" s="3">
        <f t="shared" si="434"/>
        <v>4.5291106237996045E-5</v>
      </c>
      <c r="D424" s="3">
        <f t="shared" si="434"/>
        <v>3.0425515863485159E-3</v>
      </c>
      <c r="E424" s="3">
        <f t="shared" si="434"/>
        <v>2.1576714793079765</v>
      </c>
      <c r="F424" s="3">
        <f t="shared" si="434"/>
        <v>100000</v>
      </c>
      <c r="G424" s="3">
        <f t="shared" si="434"/>
        <v>26109427185763.348</v>
      </c>
      <c r="H424" s="3">
        <f t="shared" si="434"/>
        <v>1744952939421213.2</v>
      </c>
      <c r="I424" s="109">
        <f>Comparison!AL23</f>
        <v>100000</v>
      </c>
      <c r="J424" s="3">
        <f>Comparison!AM23</f>
        <v>5965.2165970487267</v>
      </c>
      <c r="K424" s="3">
        <f>Comparison!AN23</f>
        <v>5222.1642197271249</v>
      </c>
      <c r="L424" s="3">
        <f>Comparison!AO23</f>
        <v>4531.1485912762591</v>
      </c>
      <c r="M424" s="3">
        <f>Comparison!AP23</f>
        <v>3641.7022773125063</v>
      </c>
      <c r="N424" s="3">
        <f>Comparison!AQ23</f>
        <v>1039.9214556238178</v>
      </c>
      <c r="O424" s="3">
        <f>Comparison!AR23</f>
        <v>132.22937471479068</v>
      </c>
      <c r="P424" s="3">
        <f>Comparison!AS23</f>
        <v>130.60597118111332</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2.0000347791695198E-5</v>
      </c>
      <c r="C425" s="3">
        <f t="shared" si="434"/>
        <v>4.5291106237996048E-4</v>
      </c>
      <c r="D425" s="3">
        <f t="shared" si="434"/>
        <v>3.0425515863485162E-2</v>
      </c>
      <c r="E425" s="3">
        <f t="shared" si="434"/>
        <v>21.576714793079763</v>
      </c>
      <c r="F425" s="3">
        <f t="shared" si="434"/>
        <v>1000000</v>
      </c>
      <c r="G425" s="3">
        <f t="shared" si="434"/>
        <v>261094271857633.47</v>
      </c>
      <c r="H425" s="3">
        <f t="shared" si="434"/>
        <v>1.7449529394212134E+16</v>
      </c>
      <c r="I425" s="109">
        <f>Comparison!AL24</f>
        <v>1000000</v>
      </c>
      <c r="J425" s="3">
        <f>Comparison!AM24</f>
        <v>5562.9083959530062</v>
      </c>
      <c r="K425" s="3">
        <f>Comparison!AN24</f>
        <v>4741.2273341563377</v>
      </c>
      <c r="L425" s="3">
        <f>Comparison!AO24</f>
        <v>4100.3073895013431</v>
      </c>
      <c r="M425" s="3">
        <f>Comparison!AP24</f>
        <v>3231.6591203117327</v>
      </c>
      <c r="N425" s="3">
        <f>Comparison!AQ24</f>
        <v>595.89522173414423</v>
      </c>
      <c r="O425" s="3">
        <f>Comparison!AR24</f>
        <v>129.58780540541244</v>
      </c>
      <c r="P425" s="3">
        <f>Comparison!AS24</f>
        <v>128.42317853149575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2.00003477916952E-4</v>
      </c>
      <c r="C426" s="3">
        <f t="shared" si="434"/>
        <v>4.5291106237996042E-3</v>
      </c>
      <c r="D426" s="3">
        <f t="shared" si="434"/>
        <v>0.30425515863485159</v>
      </c>
      <c r="E426" s="3">
        <f t="shared" si="434"/>
        <v>215.76714793079765</v>
      </c>
      <c r="F426" s="3">
        <f t="shared" si="434"/>
        <v>10000000</v>
      </c>
      <c r="G426" s="3">
        <f t="shared" si="434"/>
        <v>2610942718576334.5</v>
      </c>
      <c r="H426" s="3">
        <f t="shared" si="434"/>
        <v>1.7449529394212134E+17</v>
      </c>
      <c r="I426" s="109">
        <f>Comparison!AL25</f>
        <v>10000000</v>
      </c>
      <c r="J426" s="3">
        <f>Comparison!AM25</f>
        <v>5068.6144859756578</v>
      </c>
      <c r="K426" s="3">
        <f>Comparison!AN25</f>
        <v>4311.1706397553053</v>
      </c>
      <c r="L426" s="3">
        <f>Comparison!AO25</f>
        <v>3736.9018653482362</v>
      </c>
      <c r="M426" s="3">
        <f>Comparison!AP25</f>
        <v>2785.7203085552951</v>
      </c>
      <c r="N426" s="3">
        <f>Comparison!AQ25</f>
        <v>331.71701217899948</v>
      </c>
      <c r="O426" s="3">
        <f>Comparison!AR25</f>
        <v>127.7135675720335</v>
      </c>
      <c r="P426" s="3">
        <f>Comparison!AS25</f>
        <v>126.92571513683149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2.0000347791695201E-3</v>
      </c>
      <c r="C427" s="3">
        <f t="shared" si="434"/>
        <v>4.5291106237996044E-2</v>
      </c>
      <c r="D427" s="3">
        <f t="shared" si="434"/>
        <v>3.042551586348516</v>
      </c>
      <c r="E427" s="3">
        <f t="shared" si="434"/>
        <v>2157.6714793079764</v>
      </c>
      <c r="F427" s="3">
        <f t="shared" si="434"/>
        <v>100000000</v>
      </c>
      <c r="G427" s="3">
        <f t="shared" si="434"/>
        <v>2.6109427185763348E+16</v>
      </c>
      <c r="H427" s="3">
        <f t="shared" si="434"/>
        <v>1.7449529394212134E+18</v>
      </c>
      <c r="I427" s="109">
        <f>Comparison!AL26</f>
        <v>100000000</v>
      </c>
      <c r="J427" s="3">
        <f>Comparison!AM26</f>
        <v>4583.1082918040429</v>
      </c>
      <c r="K427" s="3">
        <f>Comparison!AN26</f>
        <v>3952.2593271118144</v>
      </c>
      <c r="L427" s="3">
        <f>Comparison!AO26</f>
        <v>3408.8002756648089</v>
      </c>
      <c r="M427" s="3">
        <f>Comparison!AP26</f>
        <v>2295.1533050928924</v>
      </c>
      <c r="N427" s="3">
        <f>Comparison!AQ26</f>
        <v>192.72704730170403</v>
      </c>
      <c r="O427" s="3">
        <f>Comparison!AR26</f>
        <v>126.4367312836393</v>
      </c>
      <c r="P427" s="3">
        <f>Comparison!AS26</f>
        <v>125.87891264299097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2.0000347791695201E-2</v>
      </c>
      <c r="C428" s="3">
        <f t="shared" si="434"/>
        <v>0.45291106237996043</v>
      </c>
      <c r="D428" s="3">
        <f t="shared" si="434"/>
        <v>30.42551586348516</v>
      </c>
      <c r="E428" s="3">
        <f t="shared" si="434"/>
        <v>21576.714793079766</v>
      </c>
      <c r="F428" s="3">
        <f t="shared" si="434"/>
        <v>1000000000</v>
      </c>
      <c r="G428" s="3">
        <f t="shared" si="434"/>
        <v>2.6109427185763347E+17</v>
      </c>
      <c r="H428" s="3">
        <f t="shared" si="434"/>
        <v>1.7449529394212133E+19</v>
      </c>
      <c r="I428" s="109">
        <f>Comparison!AL27</f>
        <v>1000000000</v>
      </c>
      <c r="J428" s="3">
        <f>Comparison!AM27</f>
        <v>4165.9762057055259</v>
      </c>
      <c r="K428" s="3">
        <f>Comparison!AN27</f>
        <v>3639.2172363975619</v>
      </c>
      <c r="L428" s="3">
        <f>Comparison!AO27</f>
        <v>3078.2308446927527</v>
      </c>
      <c r="M428" s="3">
        <f>Comparison!AP27</f>
        <v>1754.5150163075152</v>
      </c>
      <c r="N428" s="3">
        <f>Comparison!AQ27</f>
        <v>148.89299884614732</v>
      </c>
      <c r="O428" s="3">
        <f>Comparison!AR27</f>
        <v>125.52960401951817</v>
      </c>
      <c r="P428" s="3">
        <f>Comparison!AS27</f>
        <v>125.11103067782525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0.200003477916952</v>
      </c>
      <c r="C429" s="3">
        <f t="shared" si="434"/>
        <v>4.5291106237996042</v>
      </c>
      <c r="D429" s="3">
        <f t="shared" si="434"/>
        <v>304.25515863485163</v>
      </c>
      <c r="E429" s="3">
        <f t="shared" si="434"/>
        <v>215767.14793079763</v>
      </c>
      <c r="F429" s="3">
        <f t="shared" si="434"/>
        <v>10000000000</v>
      </c>
      <c r="G429" s="3">
        <f t="shared" si="434"/>
        <v>2.6109427185763348E+18</v>
      </c>
      <c r="H429" s="3">
        <f t="shared" si="434"/>
        <v>1.7449529394212133E+20</v>
      </c>
      <c r="I429" s="109">
        <f>Comparison!AL28</f>
        <v>10000000000</v>
      </c>
      <c r="J429" s="3">
        <f>Comparison!AM28</f>
        <v>3823.5689905233821</v>
      </c>
      <c r="K429" s="3">
        <f>Comparison!AN28</f>
        <v>3344.7021990881808</v>
      </c>
      <c r="L429" s="3">
        <f>Comparison!AO28</f>
        <v>2685.2498641877337</v>
      </c>
      <c r="M429" s="3">
        <f>Comparison!AP28</f>
        <v>1171.8757952014325</v>
      </c>
      <c r="N429" s="3">
        <f>Comparison!AQ28</f>
        <v>134.12130031566326</v>
      </c>
      <c r="O429" s="3">
        <f>Comparison!AR28</f>
        <v>124.83927834622055</v>
      </c>
      <c r="P429" s="3">
        <f>Comparison!AS28</f>
        <v>124.96985459314666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2.0000347791695199</v>
      </c>
      <c r="C430" s="3">
        <f t="shared" si="434"/>
        <v>45.291106237996047</v>
      </c>
      <c r="D430" s="3">
        <f t="shared" si="434"/>
        <v>3042.5515863485161</v>
      </c>
      <c r="E430" s="3">
        <f t="shared" si="434"/>
        <v>2157671.4793079766</v>
      </c>
      <c r="F430" s="3">
        <f t="shared" si="434"/>
        <v>100000000000</v>
      </c>
      <c r="G430" s="3">
        <f t="shared" si="434"/>
        <v>2.6109427185763348E+19</v>
      </c>
      <c r="H430" s="3">
        <f t="shared" si="434"/>
        <v>1.7449529394212134E+21</v>
      </c>
      <c r="I430" s="109">
        <f>Comparison!AL29</f>
        <v>100000000000</v>
      </c>
      <c r="J430" s="3">
        <f>Comparison!AM29</f>
        <v>3510.558848270296</v>
      </c>
      <c r="K430" s="3">
        <f>Comparison!AN29</f>
        <v>3034.0126163953428</v>
      </c>
      <c r="L430" s="3">
        <f>Comparison!AO29</f>
        <v>2228.0957655931211</v>
      </c>
      <c r="M430" s="3">
        <f>Comparison!AP29</f>
        <v>704.46209389908893</v>
      </c>
      <c r="N430" s="3">
        <f>Comparison!AQ29</f>
        <v>124.90206072555479</v>
      </c>
      <c r="O430" s="3">
        <f>Comparison!AR29</f>
        <v>124.70417941781746</v>
      </c>
      <c r="P430" s="3">
        <f>Comparison!AS29</f>
        <v>124.77108605330615</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20.000347791695198</v>
      </c>
      <c r="C431" s="3">
        <f t="shared" si="434"/>
        <v>452.91106237996047</v>
      </c>
      <c r="D431" s="3">
        <f t="shared" si="434"/>
        <v>30425.515863485161</v>
      </c>
      <c r="E431" s="3">
        <f t="shared" si="434"/>
        <v>21576714.793079764</v>
      </c>
      <c r="F431" s="3">
        <f t="shared" si="434"/>
        <v>1000000000000</v>
      </c>
      <c r="G431" s="3">
        <f t="shared" si="434"/>
        <v>2.6109427185763346E+20</v>
      </c>
      <c r="H431" s="3">
        <f t="shared" si="434"/>
        <v>1.7449529394212133E+22</v>
      </c>
      <c r="I431" s="109">
        <f>Comparison!AL30</f>
        <v>1000000000000</v>
      </c>
      <c r="J431" s="3">
        <f>Comparison!AM30</f>
        <v>3215.4703591878829</v>
      </c>
      <c r="K431" s="3">
        <f>Comparison!AN30</f>
        <v>2653.5608861364908</v>
      </c>
      <c r="L431" s="3">
        <f>Comparison!AO30</f>
        <v>1704.9584752004923</v>
      </c>
      <c r="M431" s="3">
        <f>Comparison!AP30</f>
        <v>403.25761176970258</v>
      </c>
      <c r="N431" s="3">
        <f>Comparison!AQ30</f>
        <v>124.64007063602084</v>
      </c>
      <c r="O431" s="3">
        <f>Comparison!AR30</f>
        <v>123.9260383626436</v>
      </c>
      <c r="P431" s="3">
        <f>Comparison!AS30</f>
        <v>123.93614365125383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200.00347791695199</v>
      </c>
      <c r="C432" s="3">
        <f t="shared" si="434"/>
        <v>4529.1106237996046</v>
      </c>
      <c r="D432" s="3">
        <f t="shared" si="434"/>
        <v>304255.15863485163</v>
      </c>
      <c r="E432" s="3">
        <f t="shared" si="434"/>
        <v>215767147.93079764</v>
      </c>
      <c r="F432" s="3">
        <f t="shared" si="434"/>
        <v>10000000000000</v>
      </c>
      <c r="G432" s="3">
        <f t="shared" si="434"/>
        <v>2.6109427185763347E+21</v>
      </c>
      <c r="H432" s="3">
        <f t="shared" si="434"/>
        <v>1.7449529394212134E+23</v>
      </c>
      <c r="I432" s="109">
        <f>Comparison!AL31</f>
        <v>10000000000000</v>
      </c>
      <c r="J432" s="3">
        <f>Comparison!AM31</f>
        <v>2870.194204228324</v>
      </c>
      <c r="K432" s="3">
        <f>Comparison!AN31</f>
        <v>2203.3378680125074</v>
      </c>
      <c r="L432" s="3">
        <f>Comparison!AO31</f>
        <v>1135.4901421385146</v>
      </c>
      <c r="M432" s="3">
        <f>Comparison!AP31</f>
        <v>227.19076746573165</v>
      </c>
      <c r="N432" s="3">
        <f>Comparison!AQ31</f>
        <v>123.89500698166064</v>
      </c>
      <c r="O432" s="3">
        <f>Comparison!AR31</f>
        <v>123.91358498832378</v>
      </c>
      <c r="P432" s="3">
        <f>Comparison!AS31</f>
        <v>123.92285545904397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2000.0347791695199</v>
      </c>
      <c r="C433" s="3">
        <f t="shared" si="434"/>
        <v>45291.106237996042</v>
      </c>
      <c r="D433" s="3">
        <f t="shared" si="434"/>
        <v>3042551.5863485159</v>
      </c>
      <c r="E433" s="3">
        <f t="shared" si="434"/>
        <v>2157671479.3079762</v>
      </c>
      <c r="F433" s="3">
        <f t="shared" si="434"/>
        <v>100000000000000</v>
      </c>
      <c r="G433" s="3">
        <f t="shared" si="434"/>
        <v>2.6109427185763347E+22</v>
      </c>
      <c r="H433" s="3">
        <f t="shared" si="434"/>
        <v>1.7449529394212133E+24</v>
      </c>
      <c r="I433" s="109">
        <f>Comparison!AL32</f>
        <v>100000000000000</v>
      </c>
      <c r="J433" s="3">
        <f>Comparison!AM32</f>
        <v>2458.5183678646754</v>
      </c>
      <c r="K433" s="3">
        <f>Comparison!AN32</f>
        <v>1683.4592204898881</v>
      </c>
      <c r="L433" s="3">
        <f>Comparison!AO32</f>
        <v>680.51042901870051</v>
      </c>
      <c r="M433" s="3">
        <f>Comparison!AP32</f>
        <v>157.01371189082064</v>
      </c>
      <c r="N433" s="3">
        <f>Comparison!AQ32</f>
        <v>123.88320178471095</v>
      </c>
      <c r="O433" s="3">
        <f>Comparison!AR32</f>
        <v>123.65466987195585</v>
      </c>
      <c r="P433" s="3">
        <f>Comparison!AS32</f>
        <v>123.48008539289999</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20000.3477916952</v>
      </c>
      <c r="C434" s="3">
        <f t="shared" si="434"/>
        <v>452911.06237996044</v>
      </c>
      <c r="D434" s="3">
        <f t="shared" si="434"/>
        <v>30425515.863485161</v>
      </c>
      <c r="E434" s="3">
        <f t="shared" si="434"/>
        <v>21576714793.079765</v>
      </c>
      <c r="F434" s="3">
        <f t="shared" si="434"/>
        <v>1000000000000000</v>
      </c>
      <c r="G434" s="3">
        <f t="shared" si="434"/>
        <v>2.6109427185763346E+23</v>
      </c>
      <c r="H434" s="3">
        <f t="shared" si="434"/>
        <v>1.7449529394212134E+25</v>
      </c>
      <c r="I434" s="109">
        <f>Comparison!AL33</f>
        <v>1000000000000000</v>
      </c>
      <c r="J434" s="3">
        <f>Comparison!AM33</f>
        <v>1982.6966326072995</v>
      </c>
      <c r="K434" s="3">
        <f>Comparison!AN33</f>
        <v>1118.1414735463829</v>
      </c>
      <c r="L434" s="3">
        <f>Comparison!AO33</f>
        <v>389.33964903055204</v>
      </c>
      <c r="M434" s="3">
        <f>Comparison!AP33</f>
        <v>136.97082983111966</v>
      </c>
      <c r="N434" s="3">
        <f>Comparison!AQ33</f>
        <v>123.47472292148701</v>
      </c>
      <c r="O434" s="3">
        <f>Comparison!AR33</f>
        <v>123.64094316844046</v>
      </c>
      <c r="P434" s="3">
        <f>Comparison!AS33</f>
        <v>123.46865182434244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164</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2.00003477916952E-16</v>
      </c>
      <c r="C438" s="92">
        <f t="shared" si="435"/>
        <v>4.5291106237996052E-15</v>
      </c>
      <c r="D438" s="92">
        <f t="shared" si="435"/>
        <v>3.0425515863485161E-13</v>
      </c>
      <c r="E438" s="92">
        <f t="shared" si="435"/>
        <v>2.1576714793079766E-10</v>
      </c>
      <c r="F438" s="92">
        <f t="shared" si="435"/>
        <v>1.0000000000000001E-5</v>
      </c>
      <c r="G438" s="92">
        <f t="shared" si="435"/>
        <v>2610.9427185763348</v>
      </c>
      <c r="H438" s="92">
        <f t="shared" si="435"/>
        <v>174495.29394212135</v>
      </c>
      <c r="I438" s="92">
        <f t="shared" si="435"/>
        <v>1.0000000000000001E-5</v>
      </c>
      <c r="J438" s="92">
        <f t="shared" si="435"/>
        <v>6574.1491786847801</v>
      </c>
      <c r="K438" s="92">
        <f t="shared" si="435"/>
        <v>6543.7313923155243</v>
      </c>
      <c r="L438" s="92">
        <f t="shared" si="435"/>
        <v>6524.06939835293</v>
      </c>
      <c r="M438" s="92">
        <f t="shared" si="435"/>
        <v>6481.233154233405</v>
      </c>
      <c r="N438" s="92">
        <f t="shared" si="435"/>
        <v>5553.7107715147085</v>
      </c>
      <c r="O438" s="92">
        <f t="shared" si="435"/>
        <v>2150.7951483518323</v>
      </c>
      <c r="P438" s="92">
        <f t="shared" si="435"/>
        <v>939.61789874376836</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2.0000347791695202E-15</v>
      </c>
      <c r="C439" s="92">
        <f t="shared" si="436"/>
        <v>4.5291106237996046E-14</v>
      </c>
      <c r="D439" s="92">
        <f t="shared" si="436"/>
        <v>3.042551586348516E-12</v>
      </c>
      <c r="E439" s="92">
        <f t="shared" si="436"/>
        <v>2.1576714793079766E-9</v>
      </c>
      <c r="F439" s="92">
        <f t="shared" si="436"/>
        <v>1E-4</v>
      </c>
      <c r="G439" s="92">
        <f t="shared" si="436"/>
        <v>26109.427185763347</v>
      </c>
      <c r="H439" s="92">
        <f t="shared" si="436"/>
        <v>1744952.9394212135</v>
      </c>
      <c r="I439" s="92">
        <f t="shared" si="436"/>
        <v>1E-4</v>
      </c>
      <c r="J439" s="92">
        <f t="shared" si="436"/>
        <v>6574.1489070197567</v>
      </c>
      <c r="K439" s="92">
        <f t="shared" si="436"/>
        <v>6543.7286518097571</v>
      </c>
      <c r="L439" s="92">
        <f t="shared" si="436"/>
        <v>6523.8242419120506</v>
      </c>
      <c r="M439" s="92">
        <f t="shared" si="436"/>
        <v>6364.7007036045688</v>
      </c>
      <c r="N439" s="92">
        <f t="shared" si="436"/>
        <v>5296.2160470219478</v>
      </c>
      <c r="O439" s="92">
        <f t="shared" si="436"/>
        <v>1410.5199057082755</v>
      </c>
      <c r="P439" s="92">
        <f t="shared" si="436"/>
        <v>532.22470015904992</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2.0000347791695201E-14</v>
      </c>
      <c r="C440" s="92">
        <f t="shared" si="436"/>
        <v>4.5291106237996046E-13</v>
      </c>
      <c r="D440" s="92">
        <f t="shared" si="436"/>
        <v>3.0425515863485163E-11</v>
      </c>
      <c r="E440" s="92">
        <f t="shared" si="436"/>
        <v>2.1576714793079764E-8</v>
      </c>
      <c r="F440" s="92">
        <f t="shared" si="436"/>
        <v>1E-3</v>
      </c>
      <c r="G440" s="92">
        <f t="shared" si="436"/>
        <v>261094.27185763349</v>
      </c>
      <c r="H440" s="92">
        <f t="shared" si="436"/>
        <v>17449529.394212134</v>
      </c>
      <c r="I440" s="92">
        <f t="shared" si="436"/>
        <v>1E-3</v>
      </c>
      <c r="J440" s="92">
        <f t="shared" si="436"/>
        <v>6574.1483883865922</v>
      </c>
      <c r="K440" s="92">
        <f t="shared" si="436"/>
        <v>6543.7023234963144</v>
      </c>
      <c r="L440" s="92">
        <f t="shared" si="436"/>
        <v>6521.3925487999713</v>
      </c>
      <c r="M440" s="92">
        <f t="shared" si="436"/>
        <v>6219.55344224686</v>
      </c>
      <c r="N440" s="92">
        <f t="shared" si="436"/>
        <v>5014.3504980568096</v>
      </c>
      <c r="O440" s="92">
        <f t="shared" si="436"/>
        <v>826.67973456797017</v>
      </c>
      <c r="P440" s="92">
        <f t="shared" si="436"/>
        <v>294.61415856723238</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2.00003477916952E-13</v>
      </c>
      <c r="C441" s="92">
        <f t="shared" si="436"/>
        <v>4.5291106237996049E-12</v>
      </c>
      <c r="D441" s="92">
        <f t="shared" si="436"/>
        <v>3.0425515863485161E-10</v>
      </c>
      <c r="E441" s="92">
        <f t="shared" si="436"/>
        <v>2.1576714793079766E-7</v>
      </c>
      <c r="F441" s="92">
        <f t="shared" si="436"/>
        <v>0.01</v>
      </c>
      <c r="G441" s="92">
        <f t="shared" si="436"/>
        <v>2610942.7185763349</v>
      </c>
      <c r="H441" s="92">
        <f t="shared" si="436"/>
        <v>174495293.94212133</v>
      </c>
      <c r="I441" s="92">
        <f t="shared" si="436"/>
        <v>0.01</v>
      </c>
      <c r="J441" s="92">
        <f t="shared" si="436"/>
        <v>6574.141102834109</v>
      </c>
      <c r="K441" s="92">
        <f t="shared" si="436"/>
        <v>6543.4393456132884</v>
      </c>
      <c r="L441" s="92">
        <f t="shared" si="436"/>
        <v>6498.8766153292054</v>
      </c>
      <c r="M441" s="92">
        <f t="shared" si="436"/>
        <v>6059.9785511387736</v>
      </c>
      <c r="N441" s="92">
        <f t="shared" si="436"/>
        <v>4737.7084148388376</v>
      </c>
      <c r="O441" s="92">
        <f t="shared" si="436"/>
        <v>463.10914863390207</v>
      </c>
      <c r="P441" s="92">
        <f t="shared" si="436"/>
        <v>191.85627557437303</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2.00003477916952E-12</v>
      </c>
      <c r="C442" s="92">
        <f t="shared" si="436"/>
        <v>4.5291106237996049E-11</v>
      </c>
      <c r="D442" s="92">
        <f t="shared" si="436"/>
        <v>3.0425515863485161E-9</v>
      </c>
      <c r="E442" s="92">
        <f t="shared" si="436"/>
        <v>2.1576714793079766E-6</v>
      </c>
      <c r="F442" s="92">
        <f t="shared" si="436"/>
        <v>0.1</v>
      </c>
      <c r="G442" s="92">
        <f t="shared" si="436"/>
        <v>26109427.185763348</v>
      </c>
      <c r="H442" s="92">
        <f t="shared" si="436"/>
        <v>1744952939.4212134</v>
      </c>
      <c r="I442" s="92">
        <f t="shared" si="436"/>
        <v>0.1</v>
      </c>
      <c r="J442" s="92">
        <f t="shared" si="436"/>
        <v>6574.0681741087647</v>
      </c>
      <c r="K442" s="92">
        <f t="shared" si="436"/>
        <v>6540.8297975507394</v>
      </c>
      <c r="L442" s="92">
        <f t="shared" si="436"/>
        <v>6376.7108933957061</v>
      </c>
      <c r="M442" s="92">
        <f t="shared" si="436"/>
        <v>5870.6317266704709</v>
      </c>
      <c r="N442" s="92">
        <f t="shared" si="436"/>
        <v>4438.626264954587</v>
      </c>
      <c r="O442" s="92">
        <f t="shared" si="436"/>
        <v>257.27368574751409</v>
      </c>
      <c r="P442" s="92">
        <f t="shared" si="436"/>
        <v>162.27843823453597</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2.00003477916952E-11</v>
      </c>
      <c r="C443" s="92">
        <f t="shared" si="436"/>
        <v>4.5291106237996045E-10</v>
      </c>
      <c r="D443" s="92">
        <f t="shared" si="436"/>
        <v>3.0425515863485158E-8</v>
      </c>
      <c r="E443" s="92">
        <f t="shared" si="436"/>
        <v>2.1576714793079765E-5</v>
      </c>
      <c r="F443" s="92">
        <f t="shared" si="436"/>
        <v>1</v>
      </c>
      <c r="G443" s="92">
        <f t="shared" si="436"/>
        <v>261094271.85763347</v>
      </c>
      <c r="H443" s="92">
        <f t="shared" si="436"/>
        <v>17449529394.212132</v>
      </c>
      <c r="I443" s="92">
        <f t="shared" si="436"/>
        <v>1</v>
      </c>
      <c r="J443" s="92">
        <f t="shared" si="436"/>
        <v>6573.3425313051102</v>
      </c>
      <c r="K443" s="92">
        <f t="shared" si="436"/>
        <v>6516.7915822655277</v>
      </c>
      <c r="L443" s="92">
        <f t="shared" si="436"/>
        <v>6230.3639399807598</v>
      </c>
      <c r="M443" s="92">
        <f t="shared" si="436"/>
        <v>5669.1325406322439</v>
      </c>
      <c r="N443" s="92">
        <f t="shared" si="436"/>
        <v>4115.3629839514006</v>
      </c>
      <c r="O443" s="92">
        <f t="shared" si="436"/>
        <v>179.98076982609024</v>
      </c>
      <c r="P443" s="92">
        <f t="shared" si="436"/>
        <v>147.30961753431595</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2.0000347791695198E-10</v>
      </c>
      <c r="C444" s="92">
        <f t="shared" si="436"/>
        <v>4.5291106237996043E-9</v>
      </c>
      <c r="D444" s="92">
        <f t="shared" si="436"/>
        <v>3.0425515863485163E-7</v>
      </c>
      <c r="E444" s="92">
        <f t="shared" si="436"/>
        <v>2.1576714793079764E-4</v>
      </c>
      <c r="F444" s="92">
        <f t="shared" si="436"/>
        <v>10</v>
      </c>
      <c r="G444" s="92">
        <f t="shared" si="436"/>
        <v>2610942718.5763345</v>
      </c>
      <c r="H444" s="92">
        <f t="shared" si="436"/>
        <v>174495293942.12134</v>
      </c>
      <c r="I444" s="92">
        <f t="shared" si="436"/>
        <v>10</v>
      </c>
      <c r="J444" s="92">
        <f t="shared" si="436"/>
        <v>6566.2492544539882</v>
      </c>
      <c r="K444" s="92">
        <f t="shared" si="436"/>
        <v>6390.814079024768</v>
      </c>
      <c r="L444" s="92">
        <f t="shared" si="436"/>
        <v>6066.3152248046426</v>
      </c>
      <c r="M444" s="92">
        <f t="shared" si="436"/>
        <v>5423.4324257349326</v>
      </c>
      <c r="N444" s="92">
        <f t="shared" si="436"/>
        <v>3662.5886079597385</v>
      </c>
      <c r="O444" s="92">
        <f t="shared" si="436"/>
        <v>157.55849658546879</v>
      </c>
      <c r="P444" s="92">
        <f t="shared" si="436"/>
        <v>142.06591803394016</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2.0000347791695197E-9</v>
      </c>
      <c r="C445" s="92">
        <f t="shared" si="436"/>
        <v>4.5291106237996048E-8</v>
      </c>
      <c r="D445" s="92">
        <f t="shared" si="436"/>
        <v>3.0425515863485162E-6</v>
      </c>
      <c r="E445" s="92">
        <f t="shared" si="436"/>
        <v>2.1576714793079764E-3</v>
      </c>
      <c r="F445" s="92">
        <f t="shared" si="436"/>
        <v>100</v>
      </c>
      <c r="G445" s="92">
        <f t="shared" si="436"/>
        <v>26109427185.763348</v>
      </c>
      <c r="H445" s="92">
        <f t="shared" si="436"/>
        <v>1744952939421.2134</v>
      </c>
      <c r="I445" s="92">
        <f t="shared" si="436"/>
        <v>100</v>
      </c>
      <c r="J445" s="92">
        <f t="shared" si="436"/>
        <v>6509.2168204054406</v>
      </c>
      <c r="K445" s="92">
        <f t="shared" si="436"/>
        <v>6240.1474757230608</v>
      </c>
      <c r="L445" s="92">
        <f t="shared" si="436"/>
        <v>5850.8000974148181</v>
      </c>
      <c r="M445" s="92">
        <f t="shared" si="436"/>
        <v>5064.9009314494624</v>
      </c>
      <c r="N445" s="92">
        <f t="shared" si="436"/>
        <v>3039.7716426269371</v>
      </c>
      <c r="O445" s="92">
        <f t="shared" si="436"/>
        <v>143.13037816485394</v>
      </c>
      <c r="P445" s="92">
        <f t="shared" si="436"/>
        <v>140.2404472955443</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2.0000347791695198E-8</v>
      </c>
      <c r="C446" s="92">
        <f t="shared" si="436"/>
        <v>4.5291106237996044E-7</v>
      </c>
      <c r="D446" s="92">
        <f t="shared" si="436"/>
        <v>3.0425515863485159E-5</v>
      </c>
      <c r="E446" s="92">
        <f t="shared" si="436"/>
        <v>2.1576714793079765E-2</v>
      </c>
      <c r="F446" s="92">
        <f t="shared" si="436"/>
        <v>1000</v>
      </c>
      <c r="G446" s="92">
        <f t="shared" si="436"/>
        <v>261094271857.63348</v>
      </c>
      <c r="H446" s="92">
        <f t="shared" si="436"/>
        <v>17449529394212.133</v>
      </c>
      <c r="I446" s="92">
        <f t="shared" si="436"/>
        <v>1000</v>
      </c>
      <c r="J446" s="92">
        <f t="shared" si="436"/>
        <v>6358.877795711509</v>
      </c>
      <c r="K446" s="92">
        <f t="shared" si="436"/>
        <v>6044.4265071962272</v>
      </c>
      <c r="L446" s="92">
        <f t="shared" si="436"/>
        <v>5524.1383776461034</v>
      </c>
      <c r="M446" s="92">
        <f t="shared" si="436"/>
        <v>4580.1850776889687</v>
      </c>
      <c r="N446" s="92">
        <f t="shared" si="436"/>
        <v>2356.5178874385392</v>
      </c>
      <c r="O446" s="92">
        <f t="shared" si="436"/>
        <v>139.03929298884987</v>
      </c>
      <c r="P446" s="92">
        <f t="shared" si="436"/>
        <v>137.13168564571805</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2.00003477916952E-7</v>
      </c>
      <c r="C447" s="92">
        <f t="shared" si="436"/>
        <v>4.5291106237996047E-6</v>
      </c>
      <c r="D447" s="92">
        <f t="shared" si="436"/>
        <v>3.0425515863485159E-4</v>
      </c>
      <c r="E447" s="92">
        <f t="shared" si="436"/>
        <v>0.21576714793079765</v>
      </c>
      <c r="F447" s="92">
        <f t="shared" si="436"/>
        <v>10000</v>
      </c>
      <c r="G447" s="92">
        <f t="shared" si="436"/>
        <v>2610942718576.3345</v>
      </c>
      <c r="H447" s="92">
        <f t="shared" si="436"/>
        <v>174495293942121.34</v>
      </c>
      <c r="I447" s="92">
        <f t="shared" si="436"/>
        <v>10000</v>
      </c>
      <c r="J447" s="92">
        <f t="shared" si="436"/>
        <v>6198.1657141301985</v>
      </c>
      <c r="K447" s="92">
        <f t="shared" si="436"/>
        <v>5697.9764219559002</v>
      </c>
      <c r="L447" s="92">
        <f t="shared" si="436"/>
        <v>5037.8540321693981</v>
      </c>
      <c r="M447" s="92">
        <f t="shared" si="436"/>
        <v>4085.8663253030418</v>
      </c>
      <c r="N447" s="92">
        <f t="shared" si="436"/>
        <v>1664.6092730189016</v>
      </c>
      <c r="O447" s="92">
        <f t="shared" si="436"/>
        <v>135.60631839895524</v>
      </c>
      <c r="P447" s="92">
        <f t="shared" si="436"/>
        <v>133.5914564553571</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2.0000347791695201E-6</v>
      </c>
      <c r="C448" s="92">
        <f t="shared" si="436"/>
        <v>4.5291106237996045E-5</v>
      </c>
      <c r="D448" s="92">
        <f t="shared" si="436"/>
        <v>3.0425515863485159E-3</v>
      </c>
      <c r="E448" s="92">
        <f t="shared" si="436"/>
        <v>2.1576714793079765</v>
      </c>
      <c r="F448" s="92">
        <f t="shared" si="436"/>
        <v>100000</v>
      </c>
      <c r="G448" s="92">
        <f t="shared" si="436"/>
        <v>26109427185763.348</v>
      </c>
      <c r="H448" s="92">
        <f t="shared" si="436"/>
        <v>1744952939421213.2</v>
      </c>
      <c r="I448" s="92">
        <f t="shared" si="436"/>
        <v>100000</v>
      </c>
      <c r="J448" s="92">
        <f t="shared" si="436"/>
        <v>5965.2165970487267</v>
      </c>
      <c r="K448" s="92">
        <f t="shared" si="436"/>
        <v>5222.1642197271249</v>
      </c>
      <c r="L448" s="92">
        <f t="shared" si="436"/>
        <v>4531.1485912762591</v>
      </c>
      <c r="M448" s="92">
        <f t="shared" si="436"/>
        <v>3641.7022773125063</v>
      </c>
      <c r="N448" s="92">
        <f t="shared" si="436"/>
        <v>1039.9214556238178</v>
      </c>
      <c r="O448" s="92">
        <f t="shared" si="436"/>
        <v>132.22937471479068</v>
      </c>
      <c r="P448" s="92">
        <f t="shared" si="436"/>
        <v>130.60597118111332</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2.0000347791695198E-5</v>
      </c>
      <c r="C449" s="92">
        <f t="shared" si="436"/>
        <v>4.5291106237996048E-4</v>
      </c>
      <c r="D449" s="92">
        <f t="shared" si="436"/>
        <v>3.0425515863485162E-2</v>
      </c>
      <c r="E449" s="92">
        <f t="shared" si="436"/>
        <v>21.576714793079763</v>
      </c>
      <c r="F449" s="92">
        <f t="shared" si="436"/>
        <v>1000000</v>
      </c>
      <c r="G449" s="92">
        <f t="shared" si="436"/>
        <v>261094271857633.47</v>
      </c>
      <c r="H449" s="92">
        <f t="shared" si="436"/>
        <v>1.7449529394212134E+16</v>
      </c>
      <c r="I449" s="92">
        <f t="shared" si="436"/>
        <v>1000000</v>
      </c>
      <c r="J449" s="92">
        <f t="shared" si="436"/>
        <v>5562.9083959530062</v>
      </c>
      <c r="K449" s="92">
        <f t="shared" si="436"/>
        <v>4741.2273341563377</v>
      </c>
      <c r="L449" s="92">
        <f t="shared" si="436"/>
        <v>4100.3073895013431</v>
      </c>
      <c r="M449" s="92">
        <f t="shared" si="436"/>
        <v>3231.6591203117327</v>
      </c>
      <c r="N449" s="92">
        <f t="shared" si="436"/>
        <v>595.89522173414423</v>
      </c>
      <c r="O449" s="92">
        <f t="shared" si="436"/>
        <v>129.58780540541244</v>
      </c>
      <c r="P449" s="92">
        <f t="shared" si="436"/>
        <v>128.42317853149575</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2.00003477916952E-4</v>
      </c>
      <c r="C450" s="92">
        <f t="shared" si="436"/>
        <v>4.5291106237996042E-3</v>
      </c>
      <c r="D450" s="92">
        <f t="shared" si="436"/>
        <v>0.30425515863485159</v>
      </c>
      <c r="E450" s="92">
        <f t="shared" si="436"/>
        <v>215.76714793079765</v>
      </c>
      <c r="F450" s="92">
        <f t="shared" si="436"/>
        <v>10000000</v>
      </c>
      <c r="G450" s="92">
        <f t="shared" si="436"/>
        <v>2610942718576334.5</v>
      </c>
      <c r="H450" s="92">
        <f t="shared" si="436"/>
        <v>1.7449529394212134E+17</v>
      </c>
      <c r="I450" s="92">
        <f t="shared" si="436"/>
        <v>10000000</v>
      </c>
      <c r="J450" s="92">
        <f t="shared" si="436"/>
        <v>5068.6144859756578</v>
      </c>
      <c r="K450" s="92">
        <f t="shared" si="436"/>
        <v>4311.1706397553053</v>
      </c>
      <c r="L450" s="92">
        <f t="shared" si="436"/>
        <v>3736.9018653482362</v>
      </c>
      <c r="M450" s="92">
        <f t="shared" si="436"/>
        <v>2785.7203085552951</v>
      </c>
      <c r="N450" s="92">
        <f t="shared" si="436"/>
        <v>331.71701217899948</v>
      </c>
      <c r="O450" s="92">
        <f t="shared" si="436"/>
        <v>127.7135675720335</v>
      </c>
      <c r="P450" s="92">
        <f t="shared" si="436"/>
        <v>126.92571513683149</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2.0000347791695201E-3</v>
      </c>
      <c r="C451" s="92">
        <f t="shared" si="436"/>
        <v>4.5291106237996044E-2</v>
      </c>
      <c r="D451" s="92">
        <f t="shared" si="436"/>
        <v>3.042551586348516</v>
      </c>
      <c r="E451" s="92">
        <f t="shared" si="436"/>
        <v>2157.6714793079764</v>
      </c>
      <c r="F451" s="92">
        <f t="shared" si="436"/>
        <v>100000000</v>
      </c>
      <c r="G451" s="92">
        <f t="shared" si="436"/>
        <v>2.6109427185763348E+16</v>
      </c>
      <c r="H451" s="92">
        <f t="shared" si="436"/>
        <v>1.7449529394212134E+18</v>
      </c>
      <c r="I451" s="92">
        <f t="shared" si="436"/>
        <v>100000000</v>
      </c>
      <c r="J451" s="92">
        <f t="shared" si="436"/>
        <v>4583.1082918040429</v>
      </c>
      <c r="K451" s="92">
        <f t="shared" si="436"/>
        <v>3952.2593271118144</v>
      </c>
      <c r="L451" s="92">
        <f t="shared" si="436"/>
        <v>3408.8002756648089</v>
      </c>
      <c r="M451" s="92">
        <f t="shared" si="436"/>
        <v>2295.1533050928924</v>
      </c>
      <c r="N451" s="92">
        <f t="shared" si="436"/>
        <v>192.72704730170403</v>
      </c>
      <c r="O451" s="92">
        <f t="shared" si="436"/>
        <v>126.4367312836393</v>
      </c>
      <c r="P451" s="92">
        <f t="shared" si="436"/>
        <v>125.87891264299097</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2.0000347791695201E-2</v>
      </c>
      <c r="C452" s="92">
        <f t="shared" si="436"/>
        <v>0.45291106237996043</v>
      </c>
      <c r="D452" s="92">
        <f t="shared" si="436"/>
        <v>30.42551586348516</v>
      </c>
      <c r="E452" s="92">
        <f t="shared" si="436"/>
        <v>21576.714793079766</v>
      </c>
      <c r="F452" s="92">
        <f t="shared" si="436"/>
        <v>1000000000</v>
      </c>
      <c r="G452" s="92">
        <f t="shared" si="436"/>
        <v>2.6109427185763347E+17</v>
      </c>
      <c r="H452" s="92">
        <f t="shared" si="436"/>
        <v>1.7449529394212133E+19</v>
      </c>
      <c r="I452" s="92">
        <f t="shared" si="436"/>
        <v>1000000000</v>
      </c>
      <c r="J452" s="92">
        <f t="shared" si="436"/>
        <v>4165.9762057055259</v>
      </c>
      <c r="K452" s="92">
        <f t="shared" si="436"/>
        <v>3639.2172363975619</v>
      </c>
      <c r="L452" s="92">
        <f t="shared" si="436"/>
        <v>3078.2308446927527</v>
      </c>
      <c r="M452" s="92">
        <f t="shared" si="436"/>
        <v>1754.5150163075152</v>
      </c>
      <c r="N452" s="92">
        <f t="shared" si="436"/>
        <v>148.89299884614732</v>
      </c>
      <c r="O452" s="92">
        <f t="shared" si="436"/>
        <v>125.52960401951817</v>
      </c>
      <c r="P452" s="92">
        <f t="shared" si="436"/>
        <v>125.11103067782525</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0.200003477916952</v>
      </c>
      <c r="C453" s="92">
        <f t="shared" si="436"/>
        <v>4.5291106237996042</v>
      </c>
      <c r="D453" s="92">
        <f t="shared" si="436"/>
        <v>304.25515863485163</v>
      </c>
      <c r="E453" s="92">
        <f t="shared" si="436"/>
        <v>215767.14793079763</v>
      </c>
      <c r="F453" s="92">
        <f t="shared" si="436"/>
        <v>10000000000</v>
      </c>
      <c r="G453" s="92">
        <f t="shared" si="436"/>
        <v>2.6109427185763348E+18</v>
      </c>
      <c r="H453" s="92">
        <f t="shared" si="436"/>
        <v>1.7449529394212133E+20</v>
      </c>
      <c r="I453" s="92">
        <f t="shared" si="436"/>
        <v>10000000000</v>
      </c>
      <c r="J453" s="92">
        <f t="shared" si="436"/>
        <v>3823.5689905233821</v>
      </c>
      <c r="K453" s="92">
        <f t="shared" si="436"/>
        <v>3344.7021990881808</v>
      </c>
      <c r="L453" s="92">
        <f t="shared" si="436"/>
        <v>2685.2498641877337</v>
      </c>
      <c r="M453" s="92">
        <f t="shared" si="436"/>
        <v>1171.8757952014325</v>
      </c>
      <c r="N453" s="92">
        <f t="shared" si="436"/>
        <v>134.12130031566326</v>
      </c>
      <c r="O453" s="92">
        <f t="shared" si="436"/>
        <v>124.83927834622055</v>
      </c>
      <c r="P453" s="92">
        <f t="shared" si="436"/>
        <v>124.96985459314666</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2.0000347791695199</v>
      </c>
      <c r="C454" s="92">
        <f t="shared" si="437"/>
        <v>45.291106237996047</v>
      </c>
      <c r="D454" s="92">
        <f t="shared" si="437"/>
        <v>3042.5515863485161</v>
      </c>
      <c r="E454" s="92">
        <f t="shared" si="437"/>
        <v>2157671.4793079766</v>
      </c>
      <c r="F454" s="92">
        <f t="shared" si="437"/>
        <v>100000000000</v>
      </c>
      <c r="G454" s="92">
        <f t="shared" si="437"/>
        <v>2.6109427185763348E+19</v>
      </c>
      <c r="H454" s="92">
        <f t="shared" si="437"/>
        <v>1.7449529394212134E+21</v>
      </c>
      <c r="I454" s="92">
        <f t="shared" si="437"/>
        <v>100000000000</v>
      </c>
      <c r="J454" s="92">
        <f t="shared" si="437"/>
        <v>3510.558848270296</v>
      </c>
      <c r="K454" s="92">
        <f t="shared" si="437"/>
        <v>3034.0126163953428</v>
      </c>
      <c r="L454" s="92">
        <f t="shared" si="437"/>
        <v>2228.0957655931211</v>
      </c>
      <c r="M454" s="92">
        <f t="shared" si="437"/>
        <v>704.46209389908893</v>
      </c>
      <c r="N454" s="92">
        <f t="shared" si="437"/>
        <v>124.90206072555479</v>
      </c>
      <c r="O454" s="92">
        <f t="shared" si="437"/>
        <v>124.70417941781746</v>
      </c>
      <c r="P454" s="92">
        <f t="shared" si="437"/>
        <v>124.77108605330615</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20.000347791695198</v>
      </c>
      <c r="C455" s="92">
        <f t="shared" si="437"/>
        <v>452.91106237996047</v>
      </c>
      <c r="D455" s="92">
        <f t="shared" si="437"/>
        <v>30425.515863485161</v>
      </c>
      <c r="E455" s="92">
        <f t="shared" si="437"/>
        <v>21576714.793079764</v>
      </c>
      <c r="F455" s="92">
        <f t="shared" si="437"/>
        <v>1000000000000</v>
      </c>
      <c r="G455" s="92">
        <f t="shared" si="437"/>
        <v>2.6109427185763346E+20</v>
      </c>
      <c r="H455" s="92">
        <f t="shared" si="437"/>
        <v>1.7449529394212133E+22</v>
      </c>
      <c r="I455" s="92">
        <f t="shared" si="437"/>
        <v>1000000000000</v>
      </c>
      <c r="J455" s="92">
        <f t="shared" si="437"/>
        <v>3215.4703591878829</v>
      </c>
      <c r="K455" s="92">
        <f t="shared" si="437"/>
        <v>2653.5608861364908</v>
      </c>
      <c r="L455" s="92">
        <f t="shared" si="437"/>
        <v>1704.9584752004923</v>
      </c>
      <c r="M455" s="92">
        <f t="shared" si="437"/>
        <v>403.25761176970258</v>
      </c>
      <c r="N455" s="92">
        <f t="shared" si="437"/>
        <v>124.64007063602084</v>
      </c>
      <c r="O455" s="92">
        <f t="shared" si="437"/>
        <v>123.9260383626436</v>
      </c>
      <c r="P455" s="92">
        <f t="shared" si="437"/>
        <v>123.93614365125383</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200.00347791695199</v>
      </c>
      <c r="C456" s="92">
        <f t="shared" si="437"/>
        <v>4529.1106237996046</v>
      </c>
      <c r="D456" s="92">
        <f t="shared" si="437"/>
        <v>304255.15863485163</v>
      </c>
      <c r="E456" s="92">
        <f t="shared" si="437"/>
        <v>215767147.93079764</v>
      </c>
      <c r="F456" s="92">
        <f t="shared" si="437"/>
        <v>10000000000000</v>
      </c>
      <c r="G456" s="92">
        <f t="shared" si="437"/>
        <v>2.6109427185763347E+21</v>
      </c>
      <c r="H456" s="92">
        <f t="shared" si="437"/>
        <v>1.7449529394212134E+23</v>
      </c>
      <c r="I456" s="92">
        <f t="shared" si="437"/>
        <v>10000000000000</v>
      </c>
      <c r="J456" s="92">
        <f t="shared" si="437"/>
        <v>2870.194204228324</v>
      </c>
      <c r="K456" s="92">
        <f t="shared" si="437"/>
        <v>2203.3378680125074</v>
      </c>
      <c r="L456" s="92">
        <f t="shared" si="437"/>
        <v>1135.4901421385146</v>
      </c>
      <c r="M456" s="92">
        <f t="shared" si="437"/>
        <v>227.19076746573165</v>
      </c>
      <c r="N456" s="92">
        <f t="shared" si="437"/>
        <v>123.89500698166064</v>
      </c>
      <c r="O456" s="92">
        <f t="shared" si="437"/>
        <v>123.91358498832378</v>
      </c>
      <c r="P456" s="92">
        <f t="shared" si="437"/>
        <v>123.92285545904397</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2000.0347791695199</v>
      </c>
      <c r="C457" s="92">
        <f t="shared" si="437"/>
        <v>45291.106237996042</v>
      </c>
      <c r="D457" s="92">
        <f t="shared" si="437"/>
        <v>3042551.5863485159</v>
      </c>
      <c r="E457" s="92">
        <f t="shared" si="437"/>
        <v>2157671479.3079762</v>
      </c>
      <c r="F457" s="92">
        <f t="shared" si="437"/>
        <v>100000000000000</v>
      </c>
      <c r="G457" s="92">
        <f t="shared" si="437"/>
        <v>2.6109427185763347E+22</v>
      </c>
      <c r="H457" s="92">
        <f t="shared" si="437"/>
        <v>1.7449529394212133E+24</v>
      </c>
      <c r="I457" s="92">
        <f t="shared" si="437"/>
        <v>100000000000000</v>
      </c>
      <c r="J457" s="92">
        <f t="shared" si="437"/>
        <v>2458.5183678646754</v>
      </c>
      <c r="K457" s="92">
        <f t="shared" si="437"/>
        <v>1683.4592204898881</v>
      </c>
      <c r="L457" s="92">
        <f t="shared" si="437"/>
        <v>680.51042901870051</v>
      </c>
      <c r="M457" s="92">
        <f t="shared" si="437"/>
        <v>157.01371189082064</v>
      </c>
      <c r="N457" s="92">
        <f t="shared" si="437"/>
        <v>123.88320178471095</v>
      </c>
      <c r="O457" s="92">
        <f t="shared" si="437"/>
        <v>123.65466987195585</v>
      </c>
      <c r="P457" s="92">
        <f t="shared" si="437"/>
        <v>123.48008539289999</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20000.3477916952</v>
      </c>
      <c r="C458" s="92">
        <f t="shared" si="437"/>
        <v>452911.06237996044</v>
      </c>
      <c r="D458" s="92">
        <f t="shared" si="437"/>
        <v>30425515.863485161</v>
      </c>
      <c r="E458" s="92">
        <f t="shared" si="437"/>
        <v>21576714793.079765</v>
      </c>
      <c r="F458" s="92">
        <f t="shared" si="437"/>
        <v>1000000000000000</v>
      </c>
      <c r="G458" s="92">
        <f t="shared" si="437"/>
        <v>2.6109427185763346E+23</v>
      </c>
      <c r="H458" s="92">
        <f t="shared" si="437"/>
        <v>1.7449529394212134E+25</v>
      </c>
      <c r="I458" s="92">
        <f t="shared" si="437"/>
        <v>1000000000000000</v>
      </c>
      <c r="J458" s="92">
        <f t="shared" si="437"/>
        <v>1982.6966326072995</v>
      </c>
      <c r="K458" s="92">
        <f t="shared" si="437"/>
        <v>1118.1414735463829</v>
      </c>
      <c r="L458" s="92">
        <f t="shared" si="437"/>
        <v>389.33964903055204</v>
      </c>
      <c r="M458" s="92">
        <f t="shared" si="437"/>
        <v>136.97082983111966</v>
      </c>
      <c r="N458" s="92">
        <f t="shared" si="437"/>
        <v>123.47472292148701</v>
      </c>
      <c r="O458" s="92">
        <f t="shared" si="437"/>
        <v>123.64094316844046</v>
      </c>
      <c r="P458" s="92">
        <f t="shared" si="437"/>
        <v>123.46865182434244</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8"/>
      <c r="B532" s="128"/>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28"/>
      <c r="B581" s="128"/>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28"/>
      <c r="B596" s="128"/>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8"/>
      <c r="B650" s="128"/>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C149" zoomScale="140" zoomScaleNormal="140" workbookViewId="0">
      <selection activeCell="E113" sqref="E113"/>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-15.698962452200979</v>
      </c>
      <c r="C4" s="10">
        <f>LOG10('Mastercurve bestimmen'!C438)</f>
        <v>-14.343987071518633</v>
      </c>
      <c r="D4" s="10">
        <f>LOG10('Mastercurve bestimmen'!D438)</f>
        <v>-12.516762049588753</v>
      </c>
      <c r="E4" s="10">
        <f>LOG10('Mastercurve bestimmen'!E438)</f>
        <v>-9.6660146790158521</v>
      </c>
      <c r="F4" s="10">
        <f>LOG10('Mastercurve bestimmen'!F438)</f>
        <v>-5</v>
      </c>
      <c r="G4" s="10">
        <f>LOG10('Mastercurve bestimmen'!G438)</f>
        <v>3.4167973439489119</v>
      </c>
      <c r="H4" s="10">
        <f>LOG10('Mastercurve bestimmen'!H438)</f>
        <v>5.2417837187305665</v>
      </c>
      <c r="I4" s="3">
        <f>'Mastercurve bestimmen'!I438</f>
        <v>1.0000000000000001E-5</v>
      </c>
      <c r="J4" s="3">
        <f>'Mastercurve bestimmen'!J438</f>
        <v>6574.1491786847801</v>
      </c>
      <c r="K4" s="3">
        <f>'Mastercurve bestimmen'!K438</f>
        <v>6543.7313923155243</v>
      </c>
      <c r="L4" s="3">
        <f>'Mastercurve bestimmen'!L438</f>
        <v>6524.06939835293</v>
      </c>
      <c r="M4" s="3">
        <f>'Mastercurve bestimmen'!M438</f>
        <v>6481.233154233405</v>
      </c>
      <c r="N4" s="3">
        <f>'Mastercurve bestimmen'!N438</f>
        <v>5553.7107715147085</v>
      </c>
      <c r="O4" s="3">
        <f>'Mastercurve bestimmen'!O438</f>
        <v>2150.7951483518323</v>
      </c>
      <c r="P4" s="3">
        <f>'Mastercurve bestimmen'!P438</f>
        <v>939.61789874376836</v>
      </c>
      <c r="Q4" s="3"/>
    </row>
    <row r="5" spans="1:17" x14ac:dyDescent="0.25">
      <c r="A5" s="10">
        <f>LOG10('Mastercurve bestimmen'!A439)</f>
        <v>-4</v>
      </c>
      <c r="B5" s="10">
        <f>LOG10('Mastercurve bestimmen'!B439)</f>
        <v>-14.698962452200979</v>
      </c>
      <c r="C5" s="10">
        <f>LOG10('Mastercurve bestimmen'!C439)</f>
        <v>-13.343987071518633</v>
      </c>
      <c r="D5" s="10">
        <f>LOG10('Mastercurve bestimmen'!D439)</f>
        <v>-11.516762049588753</v>
      </c>
      <c r="E5" s="10">
        <f>LOG10('Mastercurve bestimmen'!E439)</f>
        <v>-8.6660146790158521</v>
      </c>
      <c r="F5" s="10">
        <f>LOG10('Mastercurve bestimmen'!F439)</f>
        <v>-4</v>
      </c>
      <c r="G5" s="10">
        <f>LOG10('Mastercurve bestimmen'!G439)</f>
        <v>4.4167973439489119</v>
      </c>
      <c r="H5" s="10">
        <f>LOG10('Mastercurve bestimmen'!H439)</f>
        <v>6.2417837187305665</v>
      </c>
      <c r="I5" s="3">
        <f>'Mastercurve bestimmen'!I439</f>
        <v>1E-4</v>
      </c>
      <c r="J5" s="3">
        <f>'Mastercurve bestimmen'!J439</f>
        <v>6574.1489070197567</v>
      </c>
      <c r="K5" s="3">
        <f>'Mastercurve bestimmen'!K439</f>
        <v>6543.7286518097571</v>
      </c>
      <c r="L5" s="3">
        <f>'Mastercurve bestimmen'!L439</f>
        <v>6523.8242419120506</v>
      </c>
      <c r="M5" s="3">
        <f>'Mastercurve bestimmen'!M439</f>
        <v>6364.7007036045688</v>
      </c>
      <c r="N5" s="3">
        <f>'Mastercurve bestimmen'!N439</f>
        <v>5296.2160470219478</v>
      </c>
      <c r="O5" s="3">
        <f>'Mastercurve bestimmen'!O439</f>
        <v>1410.5199057082755</v>
      </c>
      <c r="P5" s="3">
        <f>'Mastercurve bestimmen'!P439</f>
        <v>532.22470015904992</v>
      </c>
    </row>
    <row r="6" spans="1:17" x14ac:dyDescent="0.25">
      <c r="A6" s="10">
        <f>LOG10('Mastercurve bestimmen'!A440)</f>
        <v>-3</v>
      </c>
      <c r="B6" s="10">
        <f>LOG10('Mastercurve bestimmen'!B440)</f>
        <v>-13.698962452200979</v>
      </c>
      <c r="C6" s="10">
        <f>LOG10('Mastercurve bestimmen'!C440)</f>
        <v>-12.343987071518633</v>
      </c>
      <c r="D6" s="10">
        <f>LOG10('Mastercurve bestimmen'!D440)</f>
        <v>-10.516762049588753</v>
      </c>
      <c r="E6" s="10">
        <f>LOG10('Mastercurve bestimmen'!E440)</f>
        <v>-7.6660146790158521</v>
      </c>
      <c r="F6" s="10">
        <f>LOG10('Mastercurve bestimmen'!F440)</f>
        <v>-3</v>
      </c>
      <c r="G6" s="10">
        <f>LOG10('Mastercurve bestimmen'!G440)</f>
        <v>5.4167973439489119</v>
      </c>
      <c r="H6" s="10">
        <f>LOG10('Mastercurve bestimmen'!H440)</f>
        <v>7.2417837187305665</v>
      </c>
      <c r="I6" s="3">
        <f>'Mastercurve bestimmen'!I440</f>
        <v>1E-3</v>
      </c>
      <c r="J6" s="3">
        <f>'Mastercurve bestimmen'!J440</f>
        <v>6574.1483883865922</v>
      </c>
      <c r="K6" s="3">
        <f>'Mastercurve bestimmen'!K440</f>
        <v>6543.7023234963144</v>
      </c>
      <c r="L6" s="3">
        <f>'Mastercurve bestimmen'!L440</f>
        <v>6521.3925487999713</v>
      </c>
      <c r="M6" s="3">
        <f>'Mastercurve bestimmen'!M440</f>
        <v>6219.55344224686</v>
      </c>
      <c r="N6" s="3">
        <f>'Mastercurve bestimmen'!N440</f>
        <v>5014.3504980568096</v>
      </c>
      <c r="O6" s="3">
        <f>'Mastercurve bestimmen'!O440</f>
        <v>826.67973456797017</v>
      </c>
      <c r="P6" s="3">
        <f>'Mastercurve bestimmen'!P440</f>
        <v>294.61415856723238</v>
      </c>
    </row>
    <row r="7" spans="1:17" x14ac:dyDescent="0.25">
      <c r="A7" s="10">
        <f>LOG10('Mastercurve bestimmen'!A441)</f>
        <v>-2</v>
      </c>
      <c r="B7" s="10">
        <f>LOG10('Mastercurve bestimmen'!B441)</f>
        <v>-12.698962452200979</v>
      </c>
      <c r="C7" s="10">
        <f>LOG10('Mastercurve bestimmen'!C441)</f>
        <v>-11.343987071518633</v>
      </c>
      <c r="D7" s="10">
        <f>LOG10('Mastercurve bestimmen'!D441)</f>
        <v>-9.5167620495887526</v>
      </c>
      <c r="E7" s="10">
        <f>LOG10('Mastercurve bestimmen'!E441)</f>
        <v>-6.6660146790158521</v>
      </c>
      <c r="F7" s="10">
        <f>LOG10('Mastercurve bestimmen'!F441)</f>
        <v>-2</v>
      </c>
      <c r="G7" s="10">
        <f>LOG10('Mastercurve bestimmen'!G441)</f>
        <v>6.4167973439489119</v>
      </c>
      <c r="H7" s="10">
        <f>LOG10('Mastercurve bestimmen'!H441)</f>
        <v>8.2417837187305665</v>
      </c>
      <c r="I7" s="3">
        <f>'Mastercurve bestimmen'!I441</f>
        <v>0.01</v>
      </c>
      <c r="J7" s="3">
        <f>'Mastercurve bestimmen'!J441</f>
        <v>6574.141102834109</v>
      </c>
      <c r="K7" s="3">
        <f>'Mastercurve bestimmen'!K441</f>
        <v>6543.4393456132884</v>
      </c>
      <c r="L7" s="3">
        <f>'Mastercurve bestimmen'!L441</f>
        <v>6498.8766153292054</v>
      </c>
      <c r="M7" s="3">
        <f>'Mastercurve bestimmen'!M441</f>
        <v>6059.9785511387736</v>
      </c>
      <c r="N7" s="3">
        <f>'Mastercurve bestimmen'!N441</f>
        <v>4737.7084148388376</v>
      </c>
      <c r="O7" s="3">
        <f>'Mastercurve bestimmen'!O441</f>
        <v>463.10914863390207</v>
      </c>
      <c r="P7" s="3">
        <f>'Mastercurve bestimmen'!P441</f>
        <v>191.85627557437303</v>
      </c>
    </row>
    <row r="8" spans="1:17" x14ac:dyDescent="0.25">
      <c r="A8" s="10">
        <f>LOG10('Mastercurve bestimmen'!A442)</f>
        <v>-1</v>
      </c>
      <c r="B8" s="10">
        <f>LOG10('Mastercurve bestimmen'!B442)</f>
        <v>-11.698962452200979</v>
      </c>
      <c r="C8" s="10">
        <f>LOG10('Mastercurve bestimmen'!C442)</f>
        <v>-10.343987071518633</v>
      </c>
      <c r="D8" s="10">
        <f>LOG10('Mastercurve bestimmen'!D442)</f>
        <v>-8.5167620495887526</v>
      </c>
      <c r="E8" s="10">
        <f>LOG10('Mastercurve bestimmen'!E442)</f>
        <v>-5.6660146790158521</v>
      </c>
      <c r="F8" s="10">
        <f>LOG10('Mastercurve bestimmen'!F442)</f>
        <v>-1</v>
      </c>
      <c r="G8" s="10">
        <f>LOG10('Mastercurve bestimmen'!G442)</f>
        <v>7.4167973439489119</v>
      </c>
      <c r="H8" s="10">
        <f>LOG10('Mastercurve bestimmen'!H442)</f>
        <v>9.2417837187305665</v>
      </c>
      <c r="I8" s="3">
        <f>'Mastercurve bestimmen'!I442</f>
        <v>0.1</v>
      </c>
      <c r="J8" s="3">
        <f>'Mastercurve bestimmen'!J442</f>
        <v>6574.0681741087647</v>
      </c>
      <c r="K8" s="3">
        <f>'Mastercurve bestimmen'!K442</f>
        <v>6540.8297975507394</v>
      </c>
      <c r="L8" s="3">
        <f>'Mastercurve bestimmen'!L442</f>
        <v>6376.7108933957061</v>
      </c>
      <c r="M8" s="3">
        <f>'Mastercurve bestimmen'!M442</f>
        <v>5870.6317266704709</v>
      </c>
      <c r="N8" s="3">
        <f>'Mastercurve bestimmen'!N442</f>
        <v>4438.626264954587</v>
      </c>
      <c r="O8" s="3">
        <f>'Mastercurve bestimmen'!O442</f>
        <v>257.27368574751409</v>
      </c>
      <c r="P8" s="3">
        <f>'Mastercurve bestimmen'!P442</f>
        <v>162.27843823453597</v>
      </c>
    </row>
    <row r="9" spans="1:17" x14ac:dyDescent="0.25">
      <c r="A9" s="10">
        <f>LOG10('Mastercurve bestimmen'!A443)</f>
        <v>0</v>
      </c>
      <c r="B9" s="10">
        <f>LOG10('Mastercurve bestimmen'!B443)</f>
        <v>-10.698962452200979</v>
      </c>
      <c r="C9" s="10">
        <f>LOG10('Mastercurve bestimmen'!C443)</f>
        <v>-9.3439870715186331</v>
      </c>
      <c r="D9" s="10">
        <f>LOG10('Mastercurve bestimmen'!D443)</f>
        <v>-7.5167620495887526</v>
      </c>
      <c r="E9" s="10">
        <f>LOG10('Mastercurve bestimmen'!E443)</f>
        <v>-4.6660146790158521</v>
      </c>
      <c r="F9" s="10">
        <f>LOG10('Mastercurve bestimmen'!F443)</f>
        <v>0</v>
      </c>
      <c r="G9" s="10">
        <f>LOG10('Mastercurve bestimmen'!G443)</f>
        <v>8.416797343948911</v>
      </c>
      <c r="H9" s="10">
        <f>LOG10('Mastercurve bestimmen'!H443)</f>
        <v>10.241783718730566</v>
      </c>
      <c r="I9" s="3">
        <f>'Mastercurve bestimmen'!I443</f>
        <v>1</v>
      </c>
      <c r="J9" s="3">
        <f>'Mastercurve bestimmen'!J443</f>
        <v>6573.3425313051102</v>
      </c>
      <c r="K9" s="3">
        <f>'Mastercurve bestimmen'!K443</f>
        <v>6516.7915822655277</v>
      </c>
      <c r="L9" s="3">
        <f>'Mastercurve bestimmen'!L443</f>
        <v>6230.3639399807598</v>
      </c>
      <c r="M9" s="3">
        <f>'Mastercurve bestimmen'!M443</f>
        <v>5669.1325406322439</v>
      </c>
      <c r="N9" s="3">
        <f>'Mastercurve bestimmen'!N443</f>
        <v>4115.3629839514006</v>
      </c>
      <c r="O9" s="3">
        <f>'Mastercurve bestimmen'!O443</f>
        <v>179.98076982609024</v>
      </c>
      <c r="P9" s="3">
        <f>'Mastercurve bestimmen'!P443</f>
        <v>147.30961753431595</v>
      </c>
    </row>
    <row r="10" spans="1:17" x14ac:dyDescent="0.25">
      <c r="A10" s="10">
        <f>LOG10('Mastercurve bestimmen'!A444)</f>
        <v>1</v>
      </c>
      <c r="B10" s="10">
        <f>LOG10('Mastercurve bestimmen'!B444)</f>
        <v>-9.6989624522009787</v>
      </c>
      <c r="C10" s="10">
        <f>LOG10('Mastercurve bestimmen'!C444)</f>
        <v>-8.3439870715186331</v>
      </c>
      <c r="D10" s="10">
        <f>LOG10('Mastercurve bestimmen'!D444)</f>
        <v>-6.5167620495887517</v>
      </c>
      <c r="E10" s="10">
        <f>LOG10('Mastercurve bestimmen'!E444)</f>
        <v>-3.6660146790158521</v>
      </c>
      <c r="F10" s="10">
        <f>LOG10('Mastercurve bestimmen'!F444)</f>
        <v>1</v>
      </c>
      <c r="G10" s="10">
        <f>LOG10('Mastercurve bestimmen'!G444)</f>
        <v>9.416797343948911</v>
      </c>
      <c r="H10" s="10">
        <f>LOG10('Mastercurve bestimmen'!H444)</f>
        <v>11.241783718730566</v>
      </c>
      <c r="I10" s="3">
        <f>'Mastercurve bestimmen'!I444</f>
        <v>10</v>
      </c>
      <c r="J10" s="3">
        <f>'Mastercurve bestimmen'!J444</f>
        <v>6566.2492544539882</v>
      </c>
      <c r="K10" s="3">
        <f>'Mastercurve bestimmen'!K444</f>
        <v>6390.814079024768</v>
      </c>
      <c r="L10" s="3">
        <f>'Mastercurve bestimmen'!L444</f>
        <v>6066.3152248046426</v>
      </c>
      <c r="M10" s="3">
        <f>'Mastercurve bestimmen'!M444</f>
        <v>5423.4324257349326</v>
      </c>
      <c r="N10" s="3">
        <f>'Mastercurve bestimmen'!N444</f>
        <v>3662.5886079597385</v>
      </c>
      <c r="O10" s="3">
        <f>'Mastercurve bestimmen'!O444</f>
        <v>157.55849658546879</v>
      </c>
      <c r="P10" s="3">
        <f>'Mastercurve bestimmen'!P444</f>
        <v>142.06591803394016</v>
      </c>
    </row>
    <row r="11" spans="1:17" x14ac:dyDescent="0.25">
      <c r="A11" s="10">
        <f>LOG10('Mastercurve bestimmen'!A445)</f>
        <v>2</v>
      </c>
      <c r="B11" s="10">
        <f>LOG10('Mastercurve bestimmen'!B445)</f>
        <v>-8.6989624522009787</v>
      </c>
      <c r="C11" s="10">
        <f>LOG10('Mastercurve bestimmen'!C445)</f>
        <v>-7.3439870715186322</v>
      </c>
      <c r="D11" s="10">
        <f>LOG10('Mastercurve bestimmen'!D445)</f>
        <v>-5.5167620495887526</v>
      </c>
      <c r="E11" s="10">
        <f>LOG10('Mastercurve bestimmen'!E445)</f>
        <v>-2.6660146790158521</v>
      </c>
      <c r="F11" s="10">
        <f>LOG10('Mastercurve bestimmen'!F445)</f>
        <v>2</v>
      </c>
      <c r="G11" s="10">
        <f>LOG10('Mastercurve bestimmen'!G445)</f>
        <v>10.416797343948911</v>
      </c>
      <c r="H11" s="10">
        <f>LOG10('Mastercurve bestimmen'!H445)</f>
        <v>12.241783718730566</v>
      </c>
      <c r="I11" s="3">
        <f>'Mastercurve bestimmen'!I445</f>
        <v>100</v>
      </c>
      <c r="J11" s="3">
        <f>'Mastercurve bestimmen'!J445</f>
        <v>6509.2168204054406</v>
      </c>
      <c r="K11" s="3">
        <f>'Mastercurve bestimmen'!K445</f>
        <v>6240.1474757230608</v>
      </c>
      <c r="L11" s="3">
        <f>'Mastercurve bestimmen'!L445</f>
        <v>5850.8000974148181</v>
      </c>
      <c r="M11" s="3">
        <f>'Mastercurve bestimmen'!M445</f>
        <v>5064.9009314494624</v>
      </c>
      <c r="N11" s="3">
        <f>'Mastercurve bestimmen'!N445</f>
        <v>3039.7716426269371</v>
      </c>
      <c r="O11" s="3">
        <f>'Mastercurve bestimmen'!O445</f>
        <v>143.13037816485394</v>
      </c>
      <c r="P11" s="3">
        <f>'Mastercurve bestimmen'!P445</f>
        <v>140.2404472955443</v>
      </c>
    </row>
    <row r="12" spans="1:17" x14ac:dyDescent="0.25">
      <c r="A12" s="10">
        <f>LOG10('Mastercurve bestimmen'!A446)</f>
        <v>3</v>
      </c>
      <c r="B12" s="10">
        <f>LOG10('Mastercurve bestimmen'!B446)</f>
        <v>-7.6989624522009787</v>
      </c>
      <c r="C12" s="10">
        <f>LOG10('Mastercurve bestimmen'!C446)</f>
        <v>-6.3439870715186322</v>
      </c>
      <c r="D12" s="10">
        <f>LOG10('Mastercurve bestimmen'!D446)</f>
        <v>-4.5167620495887526</v>
      </c>
      <c r="E12" s="10">
        <f>LOG10('Mastercurve bestimmen'!E446)</f>
        <v>-1.6660146790158523</v>
      </c>
      <c r="F12" s="10">
        <f>LOG10('Mastercurve bestimmen'!F446)</f>
        <v>3</v>
      </c>
      <c r="G12" s="10">
        <f>LOG10('Mastercurve bestimmen'!G446)</f>
        <v>11.416797343948911</v>
      </c>
      <c r="H12" s="10">
        <f>LOG10('Mastercurve bestimmen'!H446)</f>
        <v>13.241783718730566</v>
      </c>
      <c r="I12" s="3">
        <f>'Mastercurve bestimmen'!I446</f>
        <v>1000</v>
      </c>
      <c r="J12" s="3">
        <f>'Mastercurve bestimmen'!J446</f>
        <v>6358.877795711509</v>
      </c>
      <c r="K12" s="3">
        <f>'Mastercurve bestimmen'!K446</f>
        <v>6044.4265071962272</v>
      </c>
      <c r="L12" s="3">
        <f>'Mastercurve bestimmen'!L446</f>
        <v>5524.1383776461034</v>
      </c>
      <c r="M12" s="3">
        <f>'Mastercurve bestimmen'!M446</f>
        <v>4580.1850776889687</v>
      </c>
      <c r="N12" s="3">
        <f>'Mastercurve bestimmen'!N446</f>
        <v>2356.5178874385392</v>
      </c>
      <c r="O12" s="3">
        <f>'Mastercurve bestimmen'!O446</f>
        <v>139.03929298884987</v>
      </c>
      <c r="P12" s="3">
        <f>'Mastercurve bestimmen'!P446</f>
        <v>137.13168564571805</v>
      </c>
    </row>
    <row r="13" spans="1:17" x14ac:dyDescent="0.25">
      <c r="A13" s="10">
        <f>LOG10('Mastercurve bestimmen'!A447)</f>
        <v>4</v>
      </c>
      <c r="B13" s="10">
        <f>LOG10('Mastercurve bestimmen'!B447)</f>
        <v>-6.6989624522009787</v>
      </c>
      <c r="C13" s="10">
        <f>LOG10('Mastercurve bestimmen'!C447)</f>
        <v>-5.3439870715186322</v>
      </c>
      <c r="D13" s="10">
        <f>LOG10('Mastercurve bestimmen'!D447)</f>
        <v>-3.5167620495887522</v>
      </c>
      <c r="E13" s="10">
        <f>LOG10('Mastercurve bestimmen'!E447)</f>
        <v>-0.66601467901585221</v>
      </c>
      <c r="F13" s="10">
        <f>LOG10('Mastercurve bestimmen'!F447)</f>
        <v>4</v>
      </c>
      <c r="G13" s="10">
        <f>LOG10('Mastercurve bestimmen'!G447)</f>
        <v>12.416797343948911</v>
      </c>
      <c r="H13" s="10">
        <f>LOG10('Mastercurve bestimmen'!H447)</f>
        <v>14.241783718730566</v>
      </c>
      <c r="I13" s="3">
        <f>'Mastercurve bestimmen'!I447</f>
        <v>10000</v>
      </c>
      <c r="J13" s="3">
        <f>'Mastercurve bestimmen'!J447</f>
        <v>6198.1657141301985</v>
      </c>
      <c r="K13" s="3">
        <f>'Mastercurve bestimmen'!K447</f>
        <v>5697.9764219559002</v>
      </c>
      <c r="L13" s="3">
        <f>'Mastercurve bestimmen'!L447</f>
        <v>5037.8540321693981</v>
      </c>
      <c r="M13" s="3">
        <f>'Mastercurve bestimmen'!M447</f>
        <v>4085.8663253030418</v>
      </c>
      <c r="N13" s="3">
        <f>'Mastercurve bestimmen'!N447</f>
        <v>1664.6092730189016</v>
      </c>
      <c r="O13" s="3">
        <f>'Mastercurve bestimmen'!O447</f>
        <v>135.60631839895524</v>
      </c>
      <c r="P13" s="3">
        <f>'Mastercurve bestimmen'!P447</f>
        <v>133.5914564553571</v>
      </c>
    </row>
    <row r="14" spans="1:17" x14ac:dyDescent="0.25">
      <c r="A14" s="10">
        <f>LOG10('Mastercurve bestimmen'!A448)</f>
        <v>5</v>
      </c>
      <c r="B14" s="10">
        <f>LOG10('Mastercurve bestimmen'!B448)</f>
        <v>-5.6989624522009787</v>
      </c>
      <c r="C14" s="10">
        <f>LOG10('Mastercurve bestimmen'!C448)</f>
        <v>-4.3439870715186322</v>
      </c>
      <c r="D14" s="10">
        <f>LOG10('Mastercurve bestimmen'!D448)</f>
        <v>-2.5167620495887522</v>
      </c>
      <c r="E14" s="10">
        <f>LOG10('Mastercurve bestimmen'!E448)</f>
        <v>0.33398532098414774</v>
      </c>
      <c r="F14" s="10">
        <f>LOG10('Mastercurve bestimmen'!F448)</f>
        <v>5</v>
      </c>
      <c r="G14" s="10">
        <f>LOG10('Mastercurve bestimmen'!G448)</f>
        <v>13.416797343948911</v>
      </c>
      <c r="H14" s="10">
        <f>LOG10('Mastercurve bestimmen'!H448)</f>
        <v>15.241783718730566</v>
      </c>
      <c r="I14" s="3">
        <f>'Mastercurve bestimmen'!I448</f>
        <v>100000</v>
      </c>
      <c r="J14" s="3">
        <f>'Mastercurve bestimmen'!J448</f>
        <v>5965.2165970487267</v>
      </c>
      <c r="K14" s="3">
        <f>'Mastercurve bestimmen'!K448</f>
        <v>5222.1642197271249</v>
      </c>
      <c r="L14" s="3">
        <f>'Mastercurve bestimmen'!L448</f>
        <v>4531.1485912762591</v>
      </c>
      <c r="M14" s="3">
        <f>'Mastercurve bestimmen'!M448</f>
        <v>3641.7022773125063</v>
      </c>
      <c r="N14" s="3">
        <f>'Mastercurve bestimmen'!N448</f>
        <v>1039.9214556238178</v>
      </c>
      <c r="O14" s="3">
        <f>'Mastercurve bestimmen'!O448</f>
        <v>132.22937471479068</v>
      </c>
      <c r="P14" s="3">
        <f>'Mastercurve bestimmen'!P448</f>
        <v>130.60597118111332</v>
      </c>
    </row>
    <row r="15" spans="1:17" x14ac:dyDescent="0.25">
      <c r="A15" s="10">
        <f>LOG10('Mastercurve bestimmen'!A449)</f>
        <v>6</v>
      </c>
      <c r="B15" s="10">
        <f>LOG10('Mastercurve bestimmen'!B449)</f>
        <v>-4.6989624522009787</v>
      </c>
      <c r="C15" s="10">
        <f>LOG10('Mastercurve bestimmen'!C449)</f>
        <v>-3.3439870715186326</v>
      </c>
      <c r="D15" s="10">
        <f>LOG10('Mastercurve bestimmen'!D449)</f>
        <v>-1.5167620495887522</v>
      </c>
      <c r="E15" s="10">
        <f>LOG10('Mastercurve bestimmen'!E449)</f>
        <v>1.3339853209841477</v>
      </c>
      <c r="F15" s="10">
        <f>LOG10('Mastercurve bestimmen'!F449)</f>
        <v>6</v>
      </c>
      <c r="G15" s="10">
        <f>LOG10('Mastercurve bestimmen'!G449)</f>
        <v>14.416797343948911</v>
      </c>
      <c r="H15" s="10">
        <f>LOG10('Mastercurve bestimmen'!H449)</f>
        <v>16.241783718730566</v>
      </c>
      <c r="I15" s="3">
        <f>'Mastercurve bestimmen'!I449</f>
        <v>1000000</v>
      </c>
      <c r="J15" s="3">
        <f>'Mastercurve bestimmen'!J449</f>
        <v>5562.9083959530062</v>
      </c>
      <c r="K15" s="3">
        <f>'Mastercurve bestimmen'!K449</f>
        <v>4741.2273341563377</v>
      </c>
      <c r="L15" s="3">
        <f>'Mastercurve bestimmen'!L449</f>
        <v>4100.3073895013431</v>
      </c>
      <c r="M15" s="3">
        <f>'Mastercurve bestimmen'!M449</f>
        <v>3231.6591203117327</v>
      </c>
      <c r="N15" s="3">
        <f>'Mastercurve bestimmen'!N449</f>
        <v>595.89522173414423</v>
      </c>
      <c r="O15" s="3">
        <f>'Mastercurve bestimmen'!O449</f>
        <v>129.58780540541244</v>
      </c>
      <c r="P15" s="3">
        <f>'Mastercurve bestimmen'!P449</f>
        <v>128.42317853149575</v>
      </c>
    </row>
    <row r="16" spans="1:17" x14ac:dyDescent="0.25">
      <c r="A16" s="10">
        <f>LOG10('Mastercurve bestimmen'!A450)</f>
        <v>7</v>
      </c>
      <c r="B16" s="10">
        <f>LOG10('Mastercurve bestimmen'!B450)</f>
        <v>-3.6989624522009792</v>
      </c>
      <c r="C16" s="10">
        <f>LOG10('Mastercurve bestimmen'!C450)</f>
        <v>-2.3439870715186326</v>
      </c>
      <c r="D16" s="10">
        <f>LOG10('Mastercurve bestimmen'!D450)</f>
        <v>-0.51676204958875216</v>
      </c>
      <c r="E16" s="10">
        <f>LOG10('Mastercurve bestimmen'!E450)</f>
        <v>2.3339853209841479</v>
      </c>
      <c r="F16" s="10">
        <f>LOG10('Mastercurve bestimmen'!F450)</f>
        <v>7</v>
      </c>
      <c r="G16" s="10">
        <f>LOG10('Mastercurve bestimmen'!G450)</f>
        <v>15.416797343948911</v>
      </c>
      <c r="H16" s="10">
        <f>LOG10('Mastercurve bestimmen'!H450)</f>
        <v>17.241783718730566</v>
      </c>
      <c r="I16" s="3">
        <f>'Mastercurve bestimmen'!I450</f>
        <v>10000000</v>
      </c>
      <c r="J16" s="3">
        <f>'Mastercurve bestimmen'!J450</f>
        <v>5068.6144859756578</v>
      </c>
      <c r="K16" s="3">
        <f>'Mastercurve bestimmen'!K450</f>
        <v>4311.1706397553053</v>
      </c>
      <c r="L16" s="3">
        <f>'Mastercurve bestimmen'!L450</f>
        <v>3736.9018653482362</v>
      </c>
      <c r="M16" s="3">
        <f>'Mastercurve bestimmen'!M450</f>
        <v>2785.7203085552951</v>
      </c>
      <c r="N16" s="3">
        <f>'Mastercurve bestimmen'!N450</f>
        <v>331.71701217899948</v>
      </c>
      <c r="O16" s="3">
        <f>'Mastercurve bestimmen'!O450</f>
        <v>127.7135675720335</v>
      </c>
      <c r="P16" s="3">
        <f>'Mastercurve bestimmen'!P450</f>
        <v>126.92571513683149</v>
      </c>
    </row>
    <row r="17" spans="1:16" x14ac:dyDescent="0.25">
      <c r="A17" s="10">
        <f>LOG10('Mastercurve bestimmen'!A451)</f>
        <v>8</v>
      </c>
      <c r="B17" s="10">
        <f>LOG10('Mastercurve bestimmen'!B451)</f>
        <v>-2.6989624522009792</v>
      </c>
      <c r="C17" s="10">
        <f>LOG10('Mastercurve bestimmen'!C451)</f>
        <v>-1.3439870715186324</v>
      </c>
      <c r="D17" s="10">
        <f>LOG10('Mastercurve bestimmen'!D451)</f>
        <v>0.48323795041124779</v>
      </c>
      <c r="E17" s="10">
        <f>LOG10('Mastercurve bestimmen'!E451)</f>
        <v>3.3339853209841479</v>
      </c>
      <c r="F17" s="10">
        <f>LOG10('Mastercurve bestimmen'!F451)</f>
        <v>8</v>
      </c>
      <c r="G17" s="10">
        <f>LOG10('Mastercurve bestimmen'!G451)</f>
        <v>16.416797343948911</v>
      </c>
      <c r="H17" s="10">
        <f>LOG10('Mastercurve bestimmen'!H451)</f>
        <v>18.241783718730566</v>
      </c>
      <c r="I17" s="3">
        <f>'Mastercurve bestimmen'!I451</f>
        <v>100000000</v>
      </c>
      <c r="J17" s="3">
        <f>'Mastercurve bestimmen'!J451</f>
        <v>4583.1082918040429</v>
      </c>
      <c r="K17" s="3">
        <f>'Mastercurve bestimmen'!K451</f>
        <v>3952.2593271118144</v>
      </c>
      <c r="L17" s="3">
        <f>'Mastercurve bestimmen'!L451</f>
        <v>3408.8002756648089</v>
      </c>
      <c r="M17" s="3">
        <f>'Mastercurve bestimmen'!M451</f>
        <v>2295.1533050928924</v>
      </c>
      <c r="N17" s="3">
        <f>'Mastercurve bestimmen'!N451</f>
        <v>192.72704730170403</v>
      </c>
      <c r="O17" s="3">
        <f>'Mastercurve bestimmen'!O451</f>
        <v>126.4367312836393</v>
      </c>
      <c r="P17" s="3">
        <f>'Mastercurve bestimmen'!P451</f>
        <v>125.87891264299097</v>
      </c>
    </row>
    <row r="18" spans="1:16" x14ac:dyDescent="0.25">
      <c r="A18" s="10">
        <f>LOG10('Mastercurve bestimmen'!A452)</f>
        <v>9</v>
      </c>
      <c r="B18" s="10">
        <f>LOG10('Mastercurve bestimmen'!B452)</f>
        <v>-1.698962452200979</v>
      </c>
      <c r="C18" s="10">
        <f>LOG10('Mastercurve bestimmen'!C452)</f>
        <v>-0.3439870715186325</v>
      </c>
      <c r="D18" s="10">
        <f>LOG10('Mastercurve bestimmen'!D452)</f>
        <v>1.4832379504112478</v>
      </c>
      <c r="E18" s="10">
        <f>LOG10('Mastercurve bestimmen'!E452)</f>
        <v>4.3339853209841479</v>
      </c>
      <c r="F18" s="10">
        <f>LOG10('Mastercurve bestimmen'!F452)</f>
        <v>9</v>
      </c>
      <c r="G18" s="10">
        <f>LOG10('Mastercurve bestimmen'!G452)</f>
        <v>17.416797343948911</v>
      </c>
      <c r="H18" s="10">
        <f>LOG10('Mastercurve bestimmen'!H452)</f>
        <v>19.241783718730566</v>
      </c>
      <c r="I18" s="3">
        <f>'Mastercurve bestimmen'!I452</f>
        <v>1000000000</v>
      </c>
      <c r="J18" s="3">
        <f>'Mastercurve bestimmen'!J452</f>
        <v>4165.9762057055259</v>
      </c>
      <c r="K18" s="3">
        <f>'Mastercurve bestimmen'!K452</f>
        <v>3639.2172363975619</v>
      </c>
      <c r="L18" s="3">
        <f>'Mastercurve bestimmen'!L452</f>
        <v>3078.2308446927527</v>
      </c>
      <c r="M18" s="3">
        <f>'Mastercurve bestimmen'!M452</f>
        <v>1754.5150163075152</v>
      </c>
      <c r="N18" s="3">
        <f>'Mastercurve bestimmen'!N452</f>
        <v>148.89299884614732</v>
      </c>
      <c r="O18" s="3">
        <f>'Mastercurve bestimmen'!O452</f>
        <v>125.52960401951817</v>
      </c>
      <c r="P18" s="3">
        <f>'Mastercurve bestimmen'!P452</f>
        <v>125.11103067782525</v>
      </c>
    </row>
    <row r="19" spans="1:16" x14ac:dyDescent="0.25">
      <c r="A19" s="10">
        <f>LOG10('Mastercurve bestimmen'!A453)</f>
        <v>10</v>
      </c>
      <c r="B19" s="10">
        <f>LOG10('Mastercurve bestimmen'!B453)</f>
        <v>-0.69896245220097897</v>
      </c>
      <c r="C19" s="10">
        <f>LOG10('Mastercurve bestimmen'!C453)</f>
        <v>0.6560129284813675</v>
      </c>
      <c r="D19" s="10">
        <f>LOG10('Mastercurve bestimmen'!D453)</f>
        <v>2.4832379504112478</v>
      </c>
      <c r="E19" s="10">
        <f>LOG10('Mastercurve bestimmen'!E453)</f>
        <v>5.3339853209841479</v>
      </c>
      <c r="F19" s="10">
        <f>LOG10('Mastercurve bestimmen'!F453)</f>
        <v>10</v>
      </c>
      <c r="G19" s="10">
        <f>LOG10('Mastercurve bestimmen'!G453)</f>
        <v>18.416797343948911</v>
      </c>
      <c r="H19" s="10">
        <f>LOG10('Mastercurve bestimmen'!H453)</f>
        <v>20.241783718730566</v>
      </c>
      <c r="I19" s="3">
        <f>'Mastercurve bestimmen'!I453</f>
        <v>10000000000</v>
      </c>
      <c r="J19" s="3">
        <f>'Mastercurve bestimmen'!J453</f>
        <v>3823.5689905233821</v>
      </c>
      <c r="K19" s="3">
        <f>'Mastercurve bestimmen'!K453</f>
        <v>3344.7021990881808</v>
      </c>
      <c r="L19" s="3">
        <f>'Mastercurve bestimmen'!L453</f>
        <v>2685.2498641877337</v>
      </c>
      <c r="M19" s="3">
        <f>'Mastercurve bestimmen'!M453</f>
        <v>1171.8757952014325</v>
      </c>
      <c r="N19" s="3">
        <f>'Mastercurve bestimmen'!N453</f>
        <v>134.12130031566326</v>
      </c>
      <c r="O19" s="3">
        <f>'Mastercurve bestimmen'!O453</f>
        <v>124.83927834622055</v>
      </c>
      <c r="P19" s="3">
        <f>'Mastercurve bestimmen'!P453</f>
        <v>124.96985459314666</v>
      </c>
    </row>
    <row r="20" spans="1:16" x14ac:dyDescent="0.25">
      <c r="A20" s="10">
        <f>LOG10('Mastercurve bestimmen'!A454)</f>
        <v>11</v>
      </c>
      <c r="B20" s="10">
        <f>LOG10('Mastercurve bestimmen'!B454)</f>
        <v>0.30103754779902098</v>
      </c>
      <c r="C20" s="10">
        <f>LOG10('Mastercurve bestimmen'!C454)</f>
        <v>1.6560129284813676</v>
      </c>
      <c r="D20" s="10">
        <f>LOG10('Mastercurve bestimmen'!D454)</f>
        <v>3.4832379504112478</v>
      </c>
      <c r="E20" s="10">
        <f>LOG10('Mastercurve bestimmen'!E454)</f>
        <v>6.3339853209841479</v>
      </c>
      <c r="F20" s="10">
        <f>LOG10('Mastercurve bestimmen'!F454)</f>
        <v>11</v>
      </c>
      <c r="G20" s="10">
        <f>LOG10('Mastercurve bestimmen'!G454)</f>
        <v>19.416797343948911</v>
      </c>
      <c r="H20" s="10">
        <f>LOG10('Mastercurve bestimmen'!H454)</f>
        <v>21.241783718730566</v>
      </c>
      <c r="I20" s="3">
        <f>'Mastercurve bestimmen'!I454</f>
        <v>100000000000</v>
      </c>
      <c r="J20" s="3">
        <f>'Mastercurve bestimmen'!J454</f>
        <v>3510.558848270296</v>
      </c>
      <c r="K20" s="3">
        <f>'Mastercurve bestimmen'!K454</f>
        <v>3034.0126163953428</v>
      </c>
      <c r="L20" s="3">
        <f>'Mastercurve bestimmen'!L454</f>
        <v>2228.0957655931211</v>
      </c>
      <c r="M20" s="3">
        <f>'Mastercurve bestimmen'!M454</f>
        <v>704.46209389908893</v>
      </c>
      <c r="N20" s="3">
        <f>'Mastercurve bestimmen'!N454</f>
        <v>124.90206072555479</v>
      </c>
      <c r="O20" s="3">
        <f>'Mastercurve bestimmen'!O454</f>
        <v>124.70417941781746</v>
      </c>
      <c r="P20" s="3">
        <f>'Mastercurve bestimmen'!P454</f>
        <v>124.77108605330615</v>
      </c>
    </row>
    <row r="21" spans="1:16" x14ac:dyDescent="0.25">
      <c r="A21" s="10">
        <f>LOG10('Mastercurve bestimmen'!A455)</f>
        <v>12</v>
      </c>
      <c r="B21" s="10">
        <f>LOG10('Mastercurve bestimmen'!B455)</f>
        <v>1.301037547799021</v>
      </c>
      <c r="C21" s="10">
        <f>LOG10('Mastercurve bestimmen'!C455)</f>
        <v>2.6560129284813674</v>
      </c>
      <c r="D21" s="10">
        <f>LOG10('Mastercurve bestimmen'!D455)</f>
        <v>4.4832379504112474</v>
      </c>
      <c r="E21" s="10">
        <f>LOG10('Mastercurve bestimmen'!E455)</f>
        <v>7.3339853209841479</v>
      </c>
      <c r="F21" s="10">
        <f>LOG10('Mastercurve bestimmen'!F455)</f>
        <v>12</v>
      </c>
      <c r="G21" s="10">
        <f>LOG10('Mastercurve bestimmen'!G455)</f>
        <v>20.416797343948911</v>
      </c>
      <c r="H21" s="10">
        <f>LOG10('Mastercurve bestimmen'!H455)</f>
        <v>22.241783718730566</v>
      </c>
      <c r="I21" s="3">
        <f>'Mastercurve bestimmen'!I455</f>
        <v>1000000000000</v>
      </c>
      <c r="J21" s="3">
        <f>'Mastercurve bestimmen'!J455</f>
        <v>3215.4703591878829</v>
      </c>
      <c r="K21" s="3">
        <f>'Mastercurve bestimmen'!K455</f>
        <v>2653.5608861364908</v>
      </c>
      <c r="L21" s="3">
        <f>'Mastercurve bestimmen'!L455</f>
        <v>1704.9584752004923</v>
      </c>
      <c r="M21" s="3">
        <f>'Mastercurve bestimmen'!M455</f>
        <v>403.25761176970258</v>
      </c>
      <c r="N21" s="3">
        <f>'Mastercurve bestimmen'!N455</f>
        <v>124.64007063602084</v>
      </c>
      <c r="O21" s="3">
        <f>'Mastercurve bestimmen'!O455</f>
        <v>123.9260383626436</v>
      </c>
      <c r="P21" s="3">
        <f>'Mastercurve bestimmen'!P455</f>
        <v>123.93614365125383</v>
      </c>
    </row>
    <row r="22" spans="1:16" x14ac:dyDescent="0.25">
      <c r="A22" s="10">
        <f>LOG10('Mastercurve bestimmen'!A456)</f>
        <v>13</v>
      </c>
      <c r="B22" s="10">
        <f>LOG10('Mastercurve bestimmen'!B456)</f>
        <v>2.3010375477990208</v>
      </c>
      <c r="C22" s="10">
        <f>LOG10('Mastercurve bestimmen'!C456)</f>
        <v>3.6560129284813674</v>
      </c>
      <c r="D22" s="10">
        <f>LOG10('Mastercurve bestimmen'!D456)</f>
        <v>5.4832379504112483</v>
      </c>
      <c r="E22" s="10">
        <f>LOG10('Mastercurve bestimmen'!E456)</f>
        <v>8.3339853209841479</v>
      </c>
      <c r="F22" s="10">
        <f>LOG10('Mastercurve bestimmen'!F456)</f>
        <v>13</v>
      </c>
      <c r="G22" s="10">
        <f>LOG10('Mastercurve bestimmen'!G456)</f>
        <v>21.416797343948911</v>
      </c>
      <c r="H22" s="10">
        <f>LOG10('Mastercurve bestimmen'!H456)</f>
        <v>23.241783718730566</v>
      </c>
      <c r="I22" s="3">
        <f>'Mastercurve bestimmen'!I456</f>
        <v>10000000000000</v>
      </c>
      <c r="J22" s="3">
        <f>'Mastercurve bestimmen'!J456</f>
        <v>2870.194204228324</v>
      </c>
      <c r="K22" s="3">
        <f>'Mastercurve bestimmen'!K456</f>
        <v>2203.3378680125074</v>
      </c>
      <c r="L22" s="3">
        <f>'Mastercurve bestimmen'!L456</f>
        <v>1135.4901421385146</v>
      </c>
      <c r="M22" s="3">
        <f>'Mastercurve bestimmen'!M456</f>
        <v>227.19076746573165</v>
      </c>
      <c r="N22" s="3">
        <f>'Mastercurve bestimmen'!N456</f>
        <v>123.89500698166064</v>
      </c>
      <c r="O22" s="3">
        <f>'Mastercurve bestimmen'!O456</f>
        <v>123.91358498832378</v>
      </c>
      <c r="P22" s="3">
        <f>'Mastercurve bestimmen'!P456</f>
        <v>123.92285545904397</v>
      </c>
    </row>
    <row r="23" spans="1:16" x14ac:dyDescent="0.25">
      <c r="A23" s="10">
        <f>LOG10('Mastercurve bestimmen'!A457)</f>
        <v>14</v>
      </c>
      <c r="B23" s="10">
        <f>LOG10('Mastercurve bestimmen'!B457)</f>
        <v>3.3010375477990208</v>
      </c>
      <c r="C23" s="10">
        <f>LOG10('Mastercurve bestimmen'!C457)</f>
        <v>4.6560129284813678</v>
      </c>
      <c r="D23" s="10">
        <f>LOG10('Mastercurve bestimmen'!D457)</f>
        <v>6.4832379504112474</v>
      </c>
      <c r="E23" s="10">
        <f>LOG10('Mastercurve bestimmen'!E457)</f>
        <v>9.3339853209841479</v>
      </c>
      <c r="F23" s="10">
        <f>LOG10('Mastercurve bestimmen'!F457)</f>
        <v>14</v>
      </c>
      <c r="G23" s="10">
        <f>LOG10('Mastercurve bestimmen'!G457)</f>
        <v>22.416797343948911</v>
      </c>
      <c r="H23" s="10">
        <f>LOG10('Mastercurve bestimmen'!H457)</f>
        <v>24.241783718730566</v>
      </c>
      <c r="I23" s="3">
        <f>'Mastercurve bestimmen'!I457</f>
        <v>100000000000000</v>
      </c>
      <c r="J23" s="3">
        <f>'Mastercurve bestimmen'!J457</f>
        <v>2458.5183678646754</v>
      </c>
      <c r="K23" s="3">
        <f>'Mastercurve bestimmen'!K457</f>
        <v>1683.4592204898881</v>
      </c>
      <c r="L23" s="3">
        <f>'Mastercurve bestimmen'!L457</f>
        <v>680.51042901870051</v>
      </c>
      <c r="M23" s="3">
        <f>'Mastercurve bestimmen'!M457</f>
        <v>157.01371189082064</v>
      </c>
      <c r="N23" s="3">
        <f>'Mastercurve bestimmen'!N457</f>
        <v>123.88320178471095</v>
      </c>
      <c r="O23" s="3">
        <f>'Mastercurve bestimmen'!O457</f>
        <v>123.65466987195585</v>
      </c>
      <c r="P23" s="3">
        <f>'Mastercurve bestimmen'!P457</f>
        <v>123.48008539289999</v>
      </c>
    </row>
    <row r="24" spans="1:16" x14ac:dyDescent="0.25">
      <c r="A24" s="10">
        <f>LOG10('Mastercurve bestimmen'!A458)</f>
        <v>15</v>
      </c>
      <c r="B24" s="10">
        <f>LOG10('Mastercurve bestimmen'!B458)</f>
        <v>4.3010375477990213</v>
      </c>
      <c r="C24" s="10">
        <f>LOG10('Mastercurve bestimmen'!C458)</f>
        <v>5.6560129284813678</v>
      </c>
      <c r="D24" s="10">
        <f>LOG10('Mastercurve bestimmen'!D458)</f>
        <v>7.4832379504112474</v>
      </c>
      <c r="E24" s="10">
        <f>LOG10('Mastercurve bestimmen'!E458)</f>
        <v>10.333985320984148</v>
      </c>
      <c r="F24" s="10">
        <f>LOG10('Mastercurve bestimmen'!F458)</f>
        <v>15</v>
      </c>
      <c r="G24" s="10">
        <f>LOG10('Mastercurve bestimmen'!G458)</f>
        <v>23.416797343948911</v>
      </c>
      <c r="H24" s="10">
        <f>LOG10('Mastercurve bestimmen'!H458)</f>
        <v>25.241783718730566</v>
      </c>
      <c r="I24" s="3">
        <f>'Mastercurve bestimmen'!I458</f>
        <v>1000000000000000</v>
      </c>
      <c r="J24" s="3">
        <f>'Mastercurve bestimmen'!J458</f>
        <v>1982.6966326072995</v>
      </c>
      <c r="K24" s="3">
        <f>'Mastercurve bestimmen'!K458</f>
        <v>1118.1414735463829</v>
      </c>
      <c r="L24" s="3">
        <f>'Mastercurve bestimmen'!L458</f>
        <v>389.33964903055204</v>
      </c>
      <c r="M24" s="3">
        <f>'Mastercurve bestimmen'!M458</f>
        <v>136.97082983111966</v>
      </c>
      <c r="N24" s="3">
        <f>'Mastercurve bestimmen'!N458</f>
        <v>123.47472292148701</v>
      </c>
      <c r="O24" s="3">
        <f>'Mastercurve bestimmen'!O458</f>
        <v>123.64094316844046</v>
      </c>
      <c r="P24" s="3">
        <f>'Mastercurve bestimmen'!P458</f>
        <v>123.46865182434244</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165</v>
      </c>
      <c r="B36" s="3"/>
      <c r="C36" s="3"/>
      <c r="D36" s="3"/>
      <c r="E36" s="3"/>
      <c r="F36" s="3"/>
      <c r="G36" s="3"/>
      <c r="H36" s="3"/>
      <c r="I36" s="3"/>
      <c r="J36" s="3"/>
      <c r="K36" s="3"/>
      <c r="L36" s="3"/>
      <c r="M36" s="3"/>
      <c r="N36" s="3"/>
      <c r="O36" s="3"/>
      <c r="P36" s="3"/>
    </row>
    <row r="37" spans="1:16" x14ac:dyDescent="0.25">
      <c r="A37" s="119">
        <f>-15</f>
        <v>-15</v>
      </c>
      <c r="B37" s="3">
        <v>6574.1468688875048</v>
      </c>
      <c r="C37" s="3">
        <v>6040.8612076308073</v>
      </c>
      <c r="D37" s="3">
        <v>5543.5383927792373</v>
      </c>
      <c r="E37" s="3">
        <v>4774.4926987056033</v>
      </c>
      <c r="F37" s="3">
        <v>3786.419811928924</v>
      </c>
      <c r="G37" s="3">
        <v>1039.9214556238178</v>
      </c>
      <c r="H37" s="3">
        <v>133.5821486178711</v>
      </c>
      <c r="I37" s="3"/>
      <c r="J37" s="3"/>
      <c r="K37" s="3"/>
      <c r="L37" s="3"/>
      <c r="M37" s="3"/>
      <c r="N37" s="3"/>
      <c r="O37" s="3"/>
      <c r="P37" s="3"/>
    </row>
    <row r="38" spans="1:16" x14ac:dyDescent="0.25">
      <c r="A38" s="120">
        <f>A37+1</f>
        <v>-14</v>
      </c>
      <c r="B38" s="3">
        <v>6574.1512536487444</v>
      </c>
      <c r="C38" s="3">
        <v>6543.7658812777663</v>
      </c>
      <c r="D38" s="3">
        <v>5543.5383927792373</v>
      </c>
      <c r="E38" s="3">
        <v>4774.4926987056033</v>
      </c>
      <c r="F38" s="3">
        <v>3786.419811928924</v>
      </c>
      <c r="G38" s="3">
        <v>1039.9214556238178</v>
      </c>
      <c r="H38" s="3">
        <v>133.5821486178711</v>
      </c>
      <c r="I38" s="3"/>
      <c r="J38" s="3"/>
      <c r="K38" s="3"/>
      <c r="L38" s="3"/>
      <c r="M38" s="3"/>
      <c r="N38" s="3"/>
      <c r="O38" s="3"/>
      <c r="P38" s="3"/>
    </row>
    <row r="39" spans="1:16" x14ac:dyDescent="0.25">
      <c r="A39" s="120">
        <f t="shared" ref="A39:A67" si="0">A38+1</f>
        <v>-13</v>
      </c>
      <c r="B39" s="3">
        <v>6574.1338227104816</v>
      </c>
      <c r="C39" s="3">
        <v>6543.6963819964058</v>
      </c>
      <c r="D39" s="3">
        <v>5543.5383927792373</v>
      </c>
      <c r="E39" s="3">
        <v>4774.4926987056033</v>
      </c>
      <c r="F39" s="3">
        <v>3786.419811928924</v>
      </c>
      <c r="G39" s="3">
        <v>1039.9214556238178</v>
      </c>
      <c r="H39" s="3">
        <v>133.5821486178711</v>
      </c>
      <c r="I39" s="3"/>
      <c r="J39" s="3"/>
      <c r="K39" s="3"/>
      <c r="L39" s="3"/>
      <c r="M39" s="3"/>
      <c r="N39" s="3"/>
      <c r="O39" s="3"/>
      <c r="P39" s="3"/>
    </row>
    <row r="40" spans="1:16" x14ac:dyDescent="0.25">
      <c r="A40" s="120">
        <f t="shared" si="0"/>
        <v>-12</v>
      </c>
      <c r="B40" s="3">
        <v>6574.1506316160921</v>
      </c>
      <c r="C40" s="3">
        <v>6543.8332903930823</v>
      </c>
      <c r="D40" s="3">
        <v>6524.5046449016763</v>
      </c>
      <c r="E40" s="3">
        <v>4774.4926987056033</v>
      </c>
      <c r="F40" s="3">
        <v>3786.419811928924</v>
      </c>
      <c r="G40" s="3">
        <v>1039.9214556238178</v>
      </c>
      <c r="H40" s="3">
        <v>133.5821486178711</v>
      </c>
      <c r="I40" s="3"/>
      <c r="J40" s="3"/>
      <c r="K40" s="3"/>
      <c r="L40" s="3"/>
      <c r="M40" s="3"/>
      <c r="N40" s="3"/>
      <c r="O40" s="3"/>
      <c r="P40" s="3"/>
    </row>
    <row r="41" spans="1:16" x14ac:dyDescent="0.25">
      <c r="A41" s="120">
        <f t="shared" si="0"/>
        <v>-11</v>
      </c>
      <c r="B41" s="3">
        <v>6573.5797434798314</v>
      </c>
      <c r="C41" s="3">
        <v>6542.4793088031165</v>
      </c>
      <c r="D41" s="3">
        <v>6522.4538003378184</v>
      </c>
      <c r="E41" s="3">
        <v>4774.4926987056033</v>
      </c>
      <c r="F41" s="3">
        <v>3786.419811928924</v>
      </c>
      <c r="G41" s="3">
        <v>1039.9214556238178</v>
      </c>
      <c r="H41" s="3">
        <v>133.5821486178711</v>
      </c>
      <c r="I41" s="3"/>
      <c r="J41" s="3"/>
      <c r="K41" s="3"/>
      <c r="L41" s="3"/>
      <c r="M41" s="3"/>
      <c r="N41" s="3"/>
      <c r="O41" s="3"/>
      <c r="P41" s="3"/>
    </row>
    <row r="42" spans="1:16" x14ac:dyDescent="0.25">
      <c r="A42" s="120">
        <f t="shared" si="0"/>
        <v>-10</v>
      </c>
      <c r="B42" s="3">
        <v>6570.704048932259</v>
      </c>
      <c r="C42" s="3">
        <v>6539.9649554701336</v>
      </c>
      <c r="D42" s="3">
        <v>6518.8071372571794</v>
      </c>
      <c r="E42" s="3">
        <v>4774.4926987056033</v>
      </c>
      <c r="F42" s="3">
        <v>3786.419811928924</v>
      </c>
      <c r="G42" s="3">
        <v>1039.9214556238178</v>
      </c>
      <c r="H42" s="3">
        <v>133.5821486178711</v>
      </c>
      <c r="I42" s="3"/>
      <c r="J42" s="3"/>
      <c r="K42" s="3"/>
      <c r="L42" s="3"/>
      <c r="M42" s="3"/>
      <c r="N42" s="3"/>
      <c r="O42" s="3"/>
      <c r="P42" s="3"/>
    </row>
    <row r="43" spans="1:16" x14ac:dyDescent="0.25">
      <c r="A43" s="120">
        <f t="shared" si="0"/>
        <v>-9</v>
      </c>
      <c r="B43" s="3">
        <v>6536.6848506260249</v>
      </c>
      <c r="C43" s="3">
        <v>6482.8277293257443</v>
      </c>
      <c r="D43" s="3">
        <v>6444.8428124495586</v>
      </c>
      <c r="E43" s="3">
        <v>6418.7536836306981</v>
      </c>
      <c r="F43" s="3">
        <v>3786.419811928924</v>
      </c>
      <c r="G43" s="3">
        <v>1039.9214556238178</v>
      </c>
      <c r="H43" s="3">
        <v>133.5821486178711</v>
      </c>
      <c r="I43" s="3"/>
      <c r="J43" s="3"/>
      <c r="K43" s="3"/>
      <c r="L43" s="3"/>
      <c r="M43" s="3"/>
      <c r="N43" s="3"/>
      <c r="O43" s="3"/>
      <c r="P43" s="3"/>
    </row>
    <row r="44" spans="1:16" x14ac:dyDescent="0.25">
      <c r="A44" s="120">
        <f t="shared" si="0"/>
        <v>-8</v>
      </c>
      <c r="B44" s="3">
        <v>6407.6464393558199</v>
      </c>
      <c r="C44" s="3">
        <v>6339.6817011393596</v>
      </c>
      <c r="D44" s="3">
        <v>6301.7156969707121</v>
      </c>
      <c r="E44" s="3">
        <v>6276.7765674851689</v>
      </c>
      <c r="F44" s="3">
        <v>3786.419811928924</v>
      </c>
      <c r="G44" s="3">
        <v>1039.9214556238178</v>
      </c>
      <c r="H44" s="3">
        <v>133.5821486178711</v>
      </c>
      <c r="I44" s="3"/>
      <c r="J44" s="3"/>
      <c r="K44" s="3"/>
      <c r="L44" s="3"/>
      <c r="M44" s="3"/>
      <c r="N44" s="3"/>
      <c r="O44" s="3"/>
      <c r="P44" s="3"/>
    </row>
    <row r="45" spans="1:16" x14ac:dyDescent="0.25">
      <c r="A45" s="120">
        <f t="shared" si="0"/>
        <v>-7</v>
      </c>
      <c r="B45" s="3">
        <v>6251.4546460353013</v>
      </c>
      <c r="C45" s="3">
        <v>6183.5617555087138</v>
      </c>
      <c r="D45" s="3">
        <v>6149.6289121450654</v>
      </c>
      <c r="E45" s="3">
        <v>6114.2724729117745</v>
      </c>
      <c r="F45" s="3">
        <v>3786.419811928924</v>
      </c>
      <c r="G45" s="3">
        <v>1039.9214556238178</v>
      </c>
      <c r="H45" s="3">
        <v>133.5821486178711</v>
      </c>
      <c r="I45" s="3"/>
      <c r="J45" s="3"/>
      <c r="K45" s="3"/>
      <c r="L45" s="3"/>
      <c r="M45" s="3"/>
      <c r="N45" s="3"/>
      <c r="O45" s="3"/>
      <c r="P45" s="3"/>
    </row>
    <row r="46" spans="1:16" x14ac:dyDescent="0.25">
      <c r="A46" s="120">
        <f t="shared" si="0"/>
        <v>-6</v>
      </c>
      <c r="B46" s="3">
        <v>6040.8612076308073</v>
      </c>
      <c r="C46" s="3">
        <v>5944.148489919191</v>
      </c>
      <c r="D46" s="3">
        <v>5964.2075874003622</v>
      </c>
      <c r="E46" s="3">
        <v>5936.4459190794541</v>
      </c>
      <c r="F46" s="3">
        <v>3786.419811928924</v>
      </c>
      <c r="G46" s="3">
        <v>1039.9214556238178</v>
      </c>
      <c r="H46" s="3">
        <v>133.5821486178711</v>
      </c>
      <c r="I46" s="3"/>
      <c r="J46" s="3"/>
      <c r="K46" s="3"/>
      <c r="L46" s="3"/>
      <c r="M46" s="3"/>
      <c r="N46" s="3"/>
      <c r="O46" s="3"/>
      <c r="P46" s="3"/>
    </row>
    <row r="47" spans="1:16" x14ac:dyDescent="0.25">
      <c r="A47" s="120">
        <f t="shared" si="0"/>
        <v>-5</v>
      </c>
      <c r="B47" s="3">
        <v>6040.8612076308073</v>
      </c>
      <c r="C47" s="3">
        <v>5543.5383927792373</v>
      </c>
      <c r="D47" s="3">
        <v>5702.0661419876706</v>
      </c>
      <c r="E47" s="3">
        <v>5738.4692775042522</v>
      </c>
      <c r="F47" s="3">
        <v>5553.7107715147085</v>
      </c>
      <c r="G47" s="3">
        <v>1039.9214556238178</v>
      </c>
      <c r="H47" s="3">
        <v>133.5821486178711</v>
      </c>
      <c r="I47" s="3"/>
      <c r="J47" s="3"/>
      <c r="K47" s="3"/>
      <c r="L47" s="3"/>
      <c r="M47" s="3"/>
      <c r="N47" s="3"/>
      <c r="O47" s="3"/>
      <c r="P47" s="3"/>
    </row>
    <row r="48" spans="1:16" x14ac:dyDescent="0.25">
      <c r="A48" s="120">
        <f t="shared" si="0"/>
        <v>-4</v>
      </c>
      <c r="B48" s="3">
        <v>6040.8612076308073</v>
      </c>
      <c r="C48" s="3">
        <v>5543.5383927792373</v>
      </c>
      <c r="D48" s="3">
        <v>5284.9202357999275</v>
      </c>
      <c r="E48" s="3">
        <v>5514.7479184940803</v>
      </c>
      <c r="F48" s="3">
        <v>5296.2160470219478</v>
      </c>
      <c r="G48" s="3">
        <v>1039.9214556238178</v>
      </c>
      <c r="H48" s="3">
        <v>133.5821486178711</v>
      </c>
      <c r="I48" s="3"/>
      <c r="J48" s="3"/>
      <c r="K48" s="3"/>
      <c r="L48" s="3"/>
      <c r="M48" s="3"/>
      <c r="N48" s="3"/>
      <c r="O48" s="3"/>
      <c r="P48" s="3"/>
    </row>
    <row r="49" spans="1:16" x14ac:dyDescent="0.25">
      <c r="A49" s="120">
        <f t="shared" si="0"/>
        <v>-3</v>
      </c>
      <c r="B49" s="3">
        <v>6040.8612076308073</v>
      </c>
      <c r="C49" s="3">
        <v>5543.5383927792373</v>
      </c>
      <c r="D49" s="3">
        <v>4774.4926987056033</v>
      </c>
      <c r="E49" s="3">
        <v>5200.5147674812997</v>
      </c>
      <c r="F49" s="3">
        <v>5014.3504980568096</v>
      </c>
      <c r="G49" s="3">
        <v>1039.9214556238178</v>
      </c>
      <c r="H49" s="3">
        <v>133.5821486178711</v>
      </c>
      <c r="I49" s="3"/>
      <c r="J49" s="3"/>
      <c r="K49" s="3"/>
      <c r="L49" s="3"/>
      <c r="M49" s="3"/>
      <c r="N49" s="3"/>
      <c r="O49" s="3"/>
      <c r="P49" s="3"/>
    </row>
    <row r="50" spans="1:16" x14ac:dyDescent="0.25">
      <c r="A50" s="120">
        <f t="shared" si="0"/>
        <v>-2</v>
      </c>
      <c r="B50" s="3">
        <v>6040.8612076308073</v>
      </c>
      <c r="C50" s="3">
        <v>5543.5383927792373</v>
      </c>
      <c r="D50" s="3">
        <v>4774.4926987056033</v>
      </c>
      <c r="E50" s="3">
        <v>4749.5822565467097</v>
      </c>
      <c r="F50" s="3">
        <v>4737.7084148388376</v>
      </c>
      <c r="G50" s="3">
        <v>1039.9214556238178</v>
      </c>
      <c r="H50" s="3">
        <v>133.5821486178711</v>
      </c>
      <c r="I50" s="3"/>
      <c r="J50" s="3"/>
      <c r="K50" s="3"/>
      <c r="L50" s="3"/>
      <c r="M50" s="3"/>
      <c r="N50" s="3"/>
      <c r="O50" s="3"/>
      <c r="P50" s="3"/>
    </row>
    <row r="51" spans="1:16" x14ac:dyDescent="0.25">
      <c r="A51" s="120">
        <f t="shared" si="0"/>
        <v>-1</v>
      </c>
      <c r="B51" s="3">
        <v>6040.8612076308073</v>
      </c>
      <c r="C51" s="3">
        <v>5543.5383927792373</v>
      </c>
      <c r="D51" s="3">
        <v>4774.4926987056033</v>
      </c>
      <c r="E51" s="3">
        <v>4246.056616977512</v>
      </c>
      <c r="F51" s="3">
        <v>4438.626264954587</v>
      </c>
      <c r="G51" s="3">
        <v>1039.9214556238178</v>
      </c>
      <c r="H51" s="3">
        <v>133.5821486178711</v>
      </c>
      <c r="I51" s="3"/>
      <c r="J51" s="3"/>
      <c r="K51" s="3"/>
      <c r="L51" s="3"/>
      <c r="M51" s="3"/>
      <c r="N51" s="3"/>
      <c r="O51" s="3"/>
      <c r="P51" s="3"/>
    </row>
    <row r="52" spans="1:16" x14ac:dyDescent="0.25">
      <c r="A52" s="120">
        <f t="shared" si="0"/>
        <v>0</v>
      </c>
      <c r="B52" s="3">
        <v>6040.8612076308073</v>
      </c>
      <c r="C52" s="3">
        <v>5543.5383927792373</v>
      </c>
      <c r="D52" s="3">
        <v>4774.4926987056033</v>
      </c>
      <c r="E52" s="3">
        <v>3786.419811928924</v>
      </c>
      <c r="F52" s="3">
        <v>4115.3629839514006</v>
      </c>
      <c r="G52" s="3">
        <v>1039.9214556238178</v>
      </c>
      <c r="H52" s="3">
        <v>133.5821486178711</v>
      </c>
      <c r="I52" s="3"/>
      <c r="J52" s="3"/>
      <c r="K52" s="3"/>
      <c r="L52" s="3"/>
      <c r="M52" s="3"/>
      <c r="N52" s="3"/>
      <c r="O52" s="3"/>
      <c r="P52" s="3"/>
    </row>
    <row r="53" spans="1:16" x14ac:dyDescent="0.25">
      <c r="A53" s="120">
        <f t="shared" si="0"/>
        <v>1</v>
      </c>
      <c r="B53" s="3">
        <v>6040.8612076308073</v>
      </c>
      <c r="C53" s="3">
        <v>5543.5383927792373</v>
      </c>
      <c r="D53" s="3">
        <v>4774.4926987056033</v>
      </c>
      <c r="E53" s="3">
        <v>3786.419811928924</v>
      </c>
      <c r="F53" s="3">
        <v>3662.5886079597385</v>
      </c>
      <c r="G53" s="3">
        <v>1039.9214556238178</v>
      </c>
      <c r="H53" s="3">
        <v>133.5821486178711</v>
      </c>
      <c r="I53" s="3"/>
      <c r="J53" s="3"/>
      <c r="K53" s="3"/>
      <c r="L53" s="3"/>
      <c r="M53" s="3"/>
      <c r="N53" s="3"/>
      <c r="O53" s="3"/>
      <c r="P53" s="3"/>
    </row>
    <row r="54" spans="1:16" x14ac:dyDescent="0.25">
      <c r="A54" s="120">
        <f t="shared" si="0"/>
        <v>2</v>
      </c>
      <c r="B54" s="3">
        <v>6040.8612076308073</v>
      </c>
      <c r="C54" s="3">
        <v>5543.5383927792373</v>
      </c>
      <c r="D54" s="3">
        <v>4774.4926987056033</v>
      </c>
      <c r="E54" s="3">
        <v>3786.419811928924</v>
      </c>
      <c r="F54" s="3">
        <v>3039.7716426269371</v>
      </c>
      <c r="G54" s="3">
        <v>1039.9214556238178</v>
      </c>
      <c r="H54" s="3">
        <v>133.5821486178711</v>
      </c>
      <c r="I54" s="3"/>
      <c r="J54" s="3"/>
      <c r="K54" s="3"/>
      <c r="L54" s="3"/>
      <c r="M54" s="3"/>
      <c r="N54" s="3"/>
      <c r="O54" s="3"/>
      <c r="P54" s="3"/>
    </row>
    <row r="55" spans="1:16" x14ac:dyDescent="0.25">
      <c r="A55" s="120">
        <f t="shared" si="0"/>
        <v>3</v>
      </c>
      <c r="B55" s="3">
        <v>6040.8612076308073</v>
      </c>
      <c r="C55" s="3">
        <v>5543.5383927792373</v>
      </c>
      <c r="D55" s="3">
        <v>4774.4926987056033</v>
      </c>
      <c r="E55" s="3">
        <v>3786.419811928924</v>
      </c>
      <c r="F55" s="3">
        <v>2356.5178874385392</v>
      </c>
      <c r="G55" s="3">
        <v>1039.9214556238178</v>
      </c>
      <c r="H55" s="3">
        <v>133.5821486178711</v>
      </c>
      <c r="I55" s="3"/>
      <c r="J55" s="3"/>
      <c r="K55" s="3"/>
      <c r="L55" s="3"/>
      <c r="M55" s="3"/>
      <c r="N55" s="3"/>
      <c r="O55" s="3"/>
      <c r="P55" s="3"/>
    </row>
    <row r="56" spans="1:16" x14ac:dyDescent="0.25">
      <c r="A56" s="120">
        <f t="shared" si="0"/>
        <v>4</v>
      </c>
      <c r="B56" s="3">
        <v>6040.8612076308073</v>
      </c>
      <c r="C56" s="3">
        <v>5543.5383927792373</v>
      </c>
      <c r="D56" s="3">
        <v>4774.4926987056033</v>
      </c>
      <c r="E56" s="3">
        <v>3786.419811928924</v>
      </c>
      <c r="F56" s="3">
        <v>1664.6092730189016</v>
      </c>
      <c r="G56" s="3">
        <v>1795.0114899594196</v>
      </c>
      <c r="H56" s="3">
        <v>133.5821486178711</v>
      </c>
      <c r="I56" s="3"/>
      <c r="J56" s="3"/>
      <c r="K56" s="3"/>
      <c r="L56" s="3"/>
      <c r="M56" s="3"/>
      <c r="N56" s="3"/>
      <c r="O56" s="3"/>
      <c r="P56" s="3"/>
    </row>
    <row r="57" spans="1:16" x14ac:dyDescent="0.25">
      <c r="A57" s="120">
        <f t="shared" si="0"/>
        <v>5</v>
      </c>
      <c r="B57" s="3">
        <v>6040.8612076308073</v>
      </c>
      <c r="C57" s="3">
        <v>5543.5383927792373</v>
      </c>
      <c r="D57" s="3">
        <v>4774.4926987056033</v>
      </c>
      <c r="E57" s="3">
        <v>3786.419811928924</v>
      </c>
      <c r="F57" s="3">
        <v>1039.9214556238178</v>
      </c>
      <c r="G57" s="3">
        <v>1098.4361292888755</v>
      </c>
      <c r="H57" s="3">
        <v>133.5821486178711</v>
      </c>
      <c r="I57" s="3"/>
      <c r="J57" s="3"/>
      <c r="K57" s="3"/>
      <c r="L57" s="3"/>
      <c r="M57" s="3"/>
      <c r="N57" s="3"/>
      <c r="O57" s="3"/>
      <c r="P57" s="3"/>
    </row>
    <row r="58" spans="1:16" x14ac:dyDescent="0.25">
      <c r="A58" s="120">
        <f t="shared" si="0"/>
        <v>6</v>
      </c>
      <c r="B58" s="3">
        <v>6040.8612076308073</v>
      </c>
      <c r="C58" s="3">
        <v>5543.5383927792373</v>
      </c>
      <c r="D58" s="3">
        <v>4774.4926987056033</v>
      </c>
      <c r="E58" s="3">
        <v>3786.419811928924</v>
      </c>
      <c r="F58" s="3">
        <v>1039.9214556238178</v>
      </c>
      <c r="G58" s="3">
        <v>576.73877856701984</v>
      </c>
      <c r="H58" s="3">
        <v>658.62508717073331</v>
      </c>
      <c r="I58" s="3"/>
      <c r="J58" s="3"/>
      <c r="K58" s="3"/>
      <c r="L58" s="3"/>
      <c r="M58" s="3"/>
      <c r="N58" s="3"/>
      <c r="O58" s="3"/>
      <c r="P58" s="3"/>
    </row>
    <row r="59" spans="1:16" x14ac:dyDescent="0.25">
      <c r="A59" s="120">
        <f t="shared" si="0"/>
        <v>7</v>
      </c>
      <c r="B59" s="3">
        <v>6040.8612076308073</v>
      </c>
      <c r="C59" s="3">
        <v>5543.5383927792373</v>
      </c>
      <c r="D59" s="3">
        <v>4774.4926987056033</v>
      </c>
      <c r="E59" s="3">
        <v>3786.419811928924</v>
      </c>
      <c r="F59" s="3">
        <v>1039.9214556238178</v>
      </c>
      <c r="G59" s="3">
        <v>329.71267972476699</v>
      </c>
      <c r="H59" s="3">
        <v>354.26420533608314</v>
      </c>
      <c r="I59" s="3"/>
      <c r="J59" s="3"/>
      <c r="K59" s="3"/>
      <c r="L59" s="3"/>
      <c r="M59" s="3"/>
      <c r="N59" s="3"/>
      <c r="O59" s="3"/>
      <c r="P59" s="3"/>
    </row>
    <row r="60" spans="1:16" x14ac:dyDescent="0.25">
      <c r="A60" s="120">
        <f t="shared" si="0"/>
        <v>8</v>
      </c>
      <c r="B60" s="3">
        <v>6040.8612076308073</v>
      </c>
      <c r="C60" s="3">
        <v>5543.5383927792373</v>
      </c>
      <c r="D60" s="3">
        <v>4774.4926987056033</v>
      </c>
      <c r="E60" s="3">
        <v>3786.419811928924</v>
      </c>
      <c r="F60" s="3">
        <v>1039.9214556238178</v>
      </c>
      <c r="G60" s="3">
        <v>199.72159559682123</v>
      </c>
      <c r="H60" s="3">
        <v>202.99226696738995</v>
      </c>
      <c r="I60" s="3"/>
      <c r="J60" s="3"/>
      <c r="K60" s="3"/>
      <c r="L60" s="3"/>
      <c r="M60" s="3"/>
      <c r="N60" s="3"/>
      <c r="O60" s="3"/>
      <c r="P60" s="3"/>
    </row>
    <row r="61" spans="1:16" x14ac:dyDescent="0.25">
      <c r="A61" s="120">
        <f t="shared" si="0"/>
        <v>9</v>
      </c>
      <c r="B61" s="3">
        <v>6040.8612076308073</v>
      </c>
      <c r="C61" s="3">
        <v>5543.5383927792373</v>
      </c>
      <c r="D61" s="3">
        <v>4774.4926987056033</v>
      </c>
      <c r="E61" s="3">
        <v>3786.419811928924</v>
      </c>
      <c r="F61" s="3">
        <v>1039.9214556238178</v>
      </c>
      <c r="G61" s="3">
        <v>164.76995716030706</v>
      </c>
      <c r="H61" s="3">
        <v>167.78018397173952</v>
      </c>
      <c r="I61" s="3"/>
      <c r="J61" s="3"/>
      <c r="K61" s="3"/>
      <c r="L61" s="3"/>
      <c r="M61" s="3"/>
      <c r="N61" s="3"/>
      <c r="O61" s="3"/>
      <c r="P61" s="3"/>
    </row>
    <row r="62" spans="1:16" x14ac:dyDescent="0.25">
      <c r="A62" s="120">
        <f t="shared" si="0"/>
        <v>10</v>
      </c>
      <c r="B62" s="3">
        <v>6040.8612076308073</v>
      </c>
      <c r="C62" s="3">
        <v>5543.5383927792373</v>
      </c>
      <c r="D62" s="3">
        <v>4774.4926987056033</v>
      </c>
      <c r="E62" s="3">
        <v>3786.419811928924</v>
      </c>
      <c r="F62" s="3">
        <v>1039.9214556238178</v>
      </c>
      <c r="G62" s="3">
        <v>148.18152165412499</v>
      </c>
      <c r="H62" s="3">
        <v>149.86858824674454</v>
      </c>
      <c r="I62" s="3"/>
      <c r="J62" s="3"/>
      <c r="K62" s="3"/>
      <c r="L62" s="3"/>
      <c r="M62" s="3"/>
      <c r="N62" s="3"/>
      <c r="O62" s="3"/>
      <c r="P62" s="3"/>
    </row>
    <row r="63" spans="1:16" x14ac:dyDescent="0.25">
      <c r="A63" s="120">
        <f t="shared" si="0"/>
        <v>11</v>
      </c>
      <c r="B63" s="3">
        <v>6040.8612076308073</v>
      </c>
      <c r="C63" s="3">
        <v>5543.5383927792373</v>
      </c>
      <c r="D63" s="3">
        <v>4774.4926987056033</v>
      </c>
      <c r="E63" s="3">
        <v>3786.419811928924</v>
      </c>
      <c r="F63" s="3">
        <v>1039.9214556238178</v>
      </c>
      <c r="G63" s="3">
        <v>139.99713355837719</v>
      </c>
      <c r="H63" s="3">
        <v>142.76406915440978</v>
      </c>
      <c r="I63" s="3"/>
      <c r="J63" s="3"/>
      <c r="K63" s="3"/>
      <c r="L63" s="3"/>
      <c r="M63" s="3"/>
      <c r="N63" s="3"/>
      <c r="O63" s="3"/>
      <c r="P63" s="3"/>
    </row>
    <row r="64" spans="1:16" x14ac:dyDescent="0.25">
      <c r="A64" s="120">
        <f t="shared" si="0"/>
        <v>12</v>
      </c>
      <c r="B64" s="3">
        <v>6040.8612076308073</v>
      </c>
      <c r="C64" s="3">
        <v>5543.5383927792373</v>
      </c>
      <c r="D64" s="3">
        <v>4774.4926987056033</v>
      </c>
      <c r="E64" s="3">
        <v>3786.419811928924</v>
      </c>
      <c r="F64" s="3">
        <v>1039.9214556238178</v>
      </c>
      <c r="G64" s="3">
        <v>137.17563048762031</v>
      </c>
      <c r="H64" s="3">
        <v>140.705130289257</v>
      </c>
      <c r="I64" s="3"/>
      <c r="J64" s="3"/>
      <c r="K64" s="3"/>
      <c r="L64" s="3"/>
      <c r="M64" s="3"/>
      <c r="N64" s="3"/>
      <c r="O64" s="3"/>
      <c r="P64" s="3"/>
    </row>
    <row r="65" spans="1:16" x14ac:dyDescent="0.25">
      <c r="A65" s="120">
        <f t="shared" si="0"/>
        <v>13</v>
      </c>
      <c r="B65" s="3">
        <v>6040.8612076308073</v>
      </c>
      <c r="C65" s="3">
        <v>5543.5383927792373</v>
      </c>
      <c r="D65" s="3">
        <v>4774.4926987056033</v>
      </c>
      <c r="E65" s="3">
        <v>3786.419811928924</v>
      </c>
      <c r="F65" s="3">
        <v>1039.9214556238178</v>
      </c>
      <c r="G65" s="3">
        <v>133.5821486178711</v>
      </c>
      <c r="H65" s="3">
        <v>137.99524633465816</v>
      </c>
      <c r="I65" s="3"/>
      <c r="J65" s="3"/>
      <c r="K65" s="3"/>
      <c r="L65" s="3"/>
      <c r="M65" s="3"/>
      <c r="N65" s="3"/>
      <c r="O65" s="3"/>
      <c r="P65" s="3"/>
    </row>
    <row r="66" spans="1:16" x14ac:dyDescent="0.25">
      <c r="A66" s="120">
        <f t="shared" si="0"/>
        <v>14</v>
      </c>
      <c r="B66" s="3">
        <v>6040.8612076308073</v>
      </c>
      <c r="C66" s="3">
        <v>5543.5383927792373</v>
      </c>
      <c r="D66" s="3">
        <v>4774.4926987056033</v>
      </c>
      <c r="E66" s="3">
        <v>3786.419811928924</v>
      </c>
      <c r="F66" s="3">
        <v>1039.9214556238178</v>
      </c>
      <c r="G66" s="3">
        <v>133.5821486178711</v>
      </c>
      <c r="H66" s="3">
        <v>134.40767382480121</v>
      </c>
      <c r="I66" s="3"/>
      <c r="J66" s="3"/>
      <c r="K66" s="3"/>
      <c r="L66" s="3"/>
      <c r="M66" s="3"/>
      <c r="N66" s="3"/>
      <c r="O66" s="3"/>
      <c r="P66" s="3"/>
    </row>
    <row r="67" spans="1:16" x14ac:dyDescent="0.25">
      <c r="A67" s="120">
        <f t="shared" si="0"/>
        <v>15</v>
      </c>
      <c r="B67" s="3">
        <v>6040.8612076308073</v>
      </c>
      <c r="C67" s="3">
        <v>5543.5383927792373</v>
      </c>
      <c r="D67" s="3">
        <v>4774.4926987056033</v>
      </c>
      <c r="E67" s="3">
        <v>3786.419811928924</v>
      </c>
      <c r="F67" s="3">
        <v>1039.9214556238178</v>
      </c>
      <c r="G67" s="3">
        <v>133.5821486178711</v>
      </c>
      <c r="H67" s="3">
        <v>131.29432585165318</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f t="shared" ref="B72:H79" si="1">IF($A72&gt;=10^B$4,IF($A72&lt;=10^INDEX($B$4:$H$34,$A$1,COLUMN(B4)-1),B37,"nv"),"nv")</f>
        <v>6574.1468688875048</v>
      </c>
      <c r="C72" s="122" t="str">
        <f t="shared" si="1"/>
        <v>nv</v>
      </c>
      <c r="D72" s="122" t="str">
        <f t="shared" si="1"/>
        <v>nv</v>
      </c>
      <c r="E72" s="122" t="str">
        <f t="shared" si="1"/>
        <v>nv</v>
      </c>
      <c r="F72" s="122" t="str">
        <f t="shared" si="1"/>
        <v>nv</v>
      </c>
      <c r="G72" s="122" t="str">
        <f t="shared" si="1"/>
        <v>nv</v>
      </c>
      <c r="H72" s="122" t="str">
        <f t="shared" si="1"/>
        <v>nv</v>
      </c>
      <c r="I72" s="122"/>
      <c r="J72" s="122">
        <f t="shared" ref="J72:J101" si="2">IF(ISERROR(AVERAGE(B72:H72)),J71,AVERAGE(B72:H72))</f>
        <v>6574.1468688875048</v>
      </c>
      <c r="K72" s="3"/>
      <c r="L72" s="3"/>
      <c r="M72" s="3"/>
      <c r="N72" s="3"/>
      <c r="O72" s="3"/>
      <c r="P72" s="3"/>
    </row>
    <row r="73" spans="1:16" x14ac:dyDescent="0.25">
      <c r="A73" s="121">
        <f t="shared" ref="A73:A102" si="3">10^A38</f>
        <v>1E-14</v>
      </c>
      <c r="B73" s="122">
        <f t="shared" si="1"/>
        <v>6574.1512536487444</v>
      </c>
      <c r="C73" s="122">
        <f t="shared" si="1"/>
        <v>6543.7658812777663</v>
      </c>
      <c r="D73" s="122" t="str">
        <f t="shared" si="1"/>
        <v>nv</v>
      </c>
      <c r="E73" s="122" t="str">
        <f t="shared" si="1"/>
        <v>nv</v>
      </c>
      <c r="F73" s="122" t="str">
        <f t="shared" si="1"/>
        <v>nv</v>
      </c>
      <c r="G73" s="122" t="str">
        <f t="shared" si="1"/>
        <v>nv</v>
      </c>
      <c r="H73" s="122" t="str">
        <f t="shared" si="1"/>
        <v>nv</v>
      </c>
      <c r="I73" s="122"/>
      <c r="J73" s="122">
        <f t="shared" si="2"/>
        <v>6558.9585674632553</v>
      </c>
      <c r="K73" s="3"/>
      <c r="L73" s="3"/>
      <c r="M73" s="3"/>
      <c r="N73" s="3"/>
      <c r="O73" s="3"/>
      <c r="P73" s="3"/>
    </row>
    <row r="74" spans="1:16" x14ac:dyDescent="0.25">
      <c r="A74" s="121">
        <f t="shared" si="3"/>
        <v>1E-13</v>
      </c>
      <c r="B74" s="122">
        <f t="shared" si="1"/>
        <v>6574.1338227104816</v>
      </c>
      <c r="C74" s="122">
        <f t="shared" si="1"/>
        <v>6543.6963819964058</v>
      </c>
      <c r="D74" s="122" t="str">
        <f t="shared" si="1"/>
        <v>nv</v>
      </c>
      <c r="E74" s="122" t="str">
        <f t="shared" si="1"/>
        <v>nv</v>
      </c>
      <c r="F74" s="122" t="str">
        <f t="shared" si="1"/>
        <v>nv</v>
      </c>
      <c r="G74" s="122" t="str">
        <f t="shared" si="1"/>
        <v>nv</v>
      </c>
      <c r="H74" s="122" t="str">
        <f t="shared" si="1"/>
        <v>nv</v>
      </c>
      <c r="I74" s="122"/>
      <c r="J74" s="122">
        <f t="shared" si="2"/>
        <v>6558.9151023534432</v>
      </c>
      <c r="K74" s="3"/>
      <c r="L74" s="3"/>
      <c r="M74" s="3"/>
      <c r="N74" s="3"/>
      <c r="O74" s="3"/>
      <c r="P74" s="3"/>
    </row>
    <row r="75" spans="1:16" x14ac:dyDescent="0.25">
      <c r="A75" s="121">
        <f t="shared" si="3"/>
        <v>9.9999999999999998E-13</v>
      </c>
      <c r="B75" s="122">
        <f t="shared" si="1"/>
        <v>6574.1506316160921</v>
      </c>
      <c r="C75" s="122">
        <f t="shared" si="1"/>
        <v>6543.8332903930823</v>
      </c>
      <c r="D75" s="122">
        <f t="shared" si="1"/>
        <v>6524.5046449016763</v>
      </c>
      <c r="E75" s="122" t="str">
        <f t="shared" si="1"/>
        <v>nv</v>
      </c>
      <c r="F75" s="122" t="str">
        <f t="shared" si="1"/>
        <v>nv</v>
      </c>
      <c r="G75" s="122" t="str">
        <f t="shared" si="1"/>
        <v>nv</v>
      </c>
      <c r="H75" s="122" t="str">
        <f t="shared" si="1"/>
        <v>nv</v>
      </c>
      <c r="I75" s="122"/>
      <c r="J75" s="122">
        <f t="shared" si="2"/>
        <v>6547.4961889702836</v>
      </c>
      <c r="K75" s="3"/>
      <c r="L75" s="3"/>
      <c r="M75" s="3"/>
      <c r="N75" s="3"/>
      <c r="O75" s="3"/>
      <c r="P75" s="3"/>
    </row>
    <row r="76" spans="1:16" x14ac:dyDescent="0.25">
      <c r="A76" s="121">
        <f t="shared" si="3"/>
        <v>9.9999999999999994E-12</v>
      </c>
      <c r="B76" s="122">
        <f t="shared" si="1"/>
        <v>6573.5797434798314</v>
      </c>
      <c r="C76" s="122">
        <f t="shared" si="1"/>
        <v>6542.4793088031165</v>
      </c>
      <c r="D76" s="122">
        <f t="shared" si="1"/>
        <v>6522.4538003378184</v>
      </c>
      <c r="E76" s="122" t="str">
        <f t="shared" si="1"/>
        <v>nv</v>
      </c>
      <c r="F76" s="122" t="str">
        <f t="shared" si="1"/>
        <v>nv</v>
      </c>
      <c r="G76" s="122" t="str">
        <f t="shared" si="1"/>
        <v>nv</v>
      </c>
      <c r="H76" s="122" t="str">
        <f t="shared" si="1"/>
        <v>nv</v>
      </c>
      <c r="I76" s="122"/>
      <c r="J76" s="122">
        <f t="shared" si="2"/>
        <v>6546.1709508735885</v>
      </c>
      <c r="K76" s="3"/>
      <c r="L76" s="3"/>
      <c r="M76" s="3"/>
      <c r="N76" s="3"/>
      <c r="O76" s="3"/>
      <c r="P76" s="3"/>
    </row>
    <row r="77" spans="1:16" x14ac:dyDescent="0.25">
      <c r="A77" s="121">
        <f t="shared" si="3"/>
        <v>1E-10</v>
      </c>
      <c r="B77" s="122">
        <f t="shared" si="1"/>
        <v>6570.704048932259</v>
      </c>
      <c r="C77" s="122">
        <f t="shared" si="1"/>
        <v>6539.9649554701336</v>
      </c>
      <c r="D77" s="122">
        <f t="shared" si="1"/>
        <v>6518.8071372571794</v>
      </c>
      <c r="E77" s="122" t="str">
        <f t="shared" si="1"/>
        <v>nv</v>
      </c>
      <c r="F77" s="122" t="str">
        <f t="shared" si="1"/>
        <v>nv</v>
      </c>
      <c r="G77" s="122" t="str">
        <f t="shared" si="1"/>
        <v>nv</v>
      </c>
      <c r="H77" s="122" t="str">
        <f t="shared" si="1"/>
        <v>nv</v>
      </c>
      <c r="I77" s="122"/>
      <c r="J77" s="122">
        <f t="shared" si="2"/>
        <v>6543.1587138865243</v>
      </c>
      <c r="K77" s="3"/>
      <c r="L77" s="3"/>
      <c r="M77" s="3"/>
      <c r="N77" s="3"/>
      <c r="O77" s="3"/>
      <c r="P77" s="3"/>
    </row>
    <row r="78" spans="1:16" x14ac:dyDescent="0.25">
      <c r="A78" s="121">
        <f t="shared" si="3"/>
        <v>1.0000000000000001E-9</v>
      </c>
      <c r="B78" s="122">
        <f t="shared" si="1"/>
        <v>6536.6848506260249</v>
      </c>
      <c r="C78" s="122">
        <f t="shared" si="1"/>
        <v>6482.8277293257443</v>
      </c>
      <c r="D78" s="122">
        <f t="shared" si="1"/>
        <v>6444.8428124495586</v>
      </c>
      <c r="E78" s="122">
        <f t="shared" si="1"/>
        <v>6418.7536836306981</v>
      </c>
      <c r="F78" s="122" t="str">
        <f t="shared" si="1"/>
        <v>nv</v>
      </c>
      <c r="G78" s="122" t="str">
        <f t="shared" si="1"/>
        <v>nv</v>
      </c>
      <c r="H78" s="122" t="str">
        <f t="shared" si="1"/>
        <v>nv</v>
      </c>
      <c r="I78" s="122"/>
      <c r="J78" s="122">
        <f t="shared" si="2"/>
        <v>6470.7772690080064</v>
      </c>
    </row>
    <row r="79" spans="1:16" x14ac:dyDescent="0.25">
      <c r="A79" s="121">
        <f t="shared" si="3"/>
        <v>1E-8</v>
      </c>
      <c r="B79" s="122">
        <f t="shared" si="1"/>
        <v>6407.6464393558199</v>
      </c>
      <c r="C79" s="122">
        <f t="shared" si="1"/>
        <v>6339.6817011393596</v>
      </c>
      <c r="D79" s="122">
        <f t="shared" si="1"/>
        <v>6301.7156969707121</v>
      </c>
      <c r="E79" s="122">
        <f t="shared" si="1"/>
        <v>6276.7765674851689</v>
      </c>
      <c r="F79" s="122" t="str">
        <f t="shared" si="1"/>
        <v>nv</v>
      </c>
      <c r="G79" s="122" t="str">
        <f t="shared" si="1"/>
        <v>nv</v>
      </c>
      <c r="H79" s="122" t="str">
        <f t="shared" si="1"/>
        <v>nv</v>
      </c>
      <c r="I79" s="122"/>
      <c r="J79" s="122">
        <f t="shared" si="2"/>
        <v>6331.4551012377651</v>
      </c>
    </row>
    <row r="80" spans="1:16" x14ac:dyDescent="0.25">
      <c r="A80" s="121">
        <f t="shared" si="3"/>
        <v>9.9999999999999995E-8</v>
      </c>
      <c r="B80" s="122">
        <f>IF($A80&gt;=10^B$4,IF($A80&lt;=10^INDEX($B$4:$H$34,$A$1,COLUMN(B12)-1),B45,"nv"),"nv")</f>
        <v>6251.4546460353013</v>
      </c>
      <c r="C80" s="122">
        <f t="shared" ref="C80:H80" si="4">IF($A80&gt;=10^C$4,IF($A80&lt;=10^INDEX($B$4:$H$34,$A$1,COLUMN(C12)-1),C45,"nv"),"nv")</f>
        <v>6183.5617555087138</v>
      </c>
      <c r="D80" s="122">
        <f t="shared" si="4"/>
        <v>6149.6289121450654</v>
      </c>
      <c r="E80" s="122">
        <f t="shared" si="4"/>
        <v>6114.2724729117745</v>
      </c>
      <c r="F80" s="122" t="str">
        <f t="shared" si="4"/>
        <v>nv</v>
      </c>
      <c r="G80" s="122" t="str">
        <f t="shared" si="4"/>
        <v>nv</v>
      </c>
      <c r="H80" s="122" t="str">
        <f t="shared" si="4"/>
        <v>nv</v>
      </c>
      <c r="I80" s="122"/>
      <c r="J80" s="122">
        <f t="shared" si="2"/>
        <v>6174.7294466502135</v>
      </c>
    </row>
    <row r="81" spans="1:10" x14ac:dyDescent="0.25">
      <c r="A81" s="121">
        <f t="shared" si="3"/>
        <v>9.9999999999999995E-7</v>
      </c>
      <c r="B81" s="122">
        <f t="shared" ref="B81:H102" si="5">IF($A81&gt;=10^B$4,IF($A81&lt;=10^INDEX($B$4:$H$34,$A$1,COLUMN(B13)-1),B46,"nv"),"nv")</f>
        <v>6040.8612076308073</v>
      </c>
      <c r="C81" s="122">
        <f t="shared" si="5"/>
        <v>5944.148489919191</v>
      </c>
      <c r="D81" s="122">
        <f t="shared" si="5"/>
        <v>5964.2075874003622</v>
      </c>
      <c r="E81" s="122">
        <f t="shared" si="5"/>
        <v>5936.4459190794541</v>
      </c>
      <c r="F81" s="122" t="str">
        <f t="shared" si="5"/>
        <v>nv</v>
      </c>
      <c r="G81" s="122" t="str">
        <f t="shared" si="5"/>
        <v>nv</v>
      </c>
      <c r="H81" s="122" t="str">
        <f t="shared" si="5"/>
        <v>nv</v>
      </c>
      <c r="I81" s="122"/>
      <c r="J81" s="122">
        <f t="shared" si="2"/>
        <v>5971.4158010074543</v>
      </c>
    </row>
    <row r="82" spans="1:10" x14ac:dyDescent="0.25">
      <c r="A82" s="121">
        <f t="shared" si="3"/>
        <v>1.0000000000000001E-5</v>
      </c>
      <c r="B82" s="122" t="str">
        <f t="shared" si="5"/>
        <v>nv</v>
      </c>
      <c r="C82" s="122">
        <f t="shared" si="5"/>
        <v>5543.5383927792373</v>
      </c>
      <c r="D82" s="122">
        <f t="shared" si="5"/>
        <v>5702.0661419876706</v>
      </c>
      <c r="E82" s="122">
        <f t="shared" si="5"/>
        <v>5738.4692775042522</v>
      </c>
      <c r="F82" s="122">
        <f t="shared" si="5"/>
        <v>5553.7107715147085</v>
      </c>
      <c r="G82" s="122" t="str">
        <f t="shared" si="5"/>
        <v>nv</v>
      </c>
      <c r="H82" s="122" t="str">
        <f t="shared" si="5"/>
        <v>nv</v>
      </c>
      <c r="I82" s="122"/>
      <c r="J82" s="122">
        <f t="shared" si="2"/>
        <v>5634.4461459464674</v>
      </c>
    </row>
    <row r="83" spans="1:10" x14ac:dyDescent="0.25">
      <c r="A83" s="121">
        <f t="shared" si="3"/>
        <v>1E-4</v>
      </c>
      <c r="B83" s="122" t="str">
        <f t="shared" si="5"/>
        <v>nv</v>
      </c>
      <c r="C83" s="122" t="str">
        <f t="shared" si="5"/>
        <v>nv</v>
      </c>
      <c r="D83" s="122">
        <f t="shared" si="5"/>
        <v>5284.9202357999275</v>
      </c>
      <c r="E83" s="122">
        <f t="shared" si="5"/>
        <v>5514.7479184940803</v>
      </c>
      <c r="F83" s="122">
        <f t="shared" si="5"/>
        <v>5296.2160470219478</v>
      </c>
      <c r="G83" s="122" t="str">
        <f t="shared" si="5"/>
        <v>nv</v>
      </c>
      <c r="H83" s="122" t="str">
        <f t="shared" si="5"/>
        <v>nv</v>
      </c>
      <c r="I83" s="122"/>
      <c r="J83" s="122">
        <f t="shared" si="2"/>
        <v>5365.2947337719852</v>
      </c>
    </row>
    <row r="84" spans="1:10" x14ac:dyDescent="0.25">
      <c r="A84" s="121">
        <f t="shared" si="3"/>
        <v>1E-3</v>
      </c>
      <c r="B84" s="122" t="str">
        <f t="shared" si="5"/>
        <v>nv</v>
      </c>
      <c r="C84" s="122" t="str">
        <f t="shared" si="5"/>
        <v>nv</v>
      </c>
      <c r="D84" s="122">
        <f t="shared" si="5"/>
        <v>4774.4926987056033</v>
      </c>
      <c r="E84" s="122">
        <f t="shared" si="5"/>
        <v>5200.5147674812997</v>
      </c>
      <c r="F84" s="122">
        <f t="shared" si="5"/>
        <v>5014.3504980568096</v>
      </c>
      <c r="G84" s="122" t="str">
        <f t="shared" si="5"/>
        <v>nv</v>
      </c>
      <c r="H84" s="122" t="str">
        <f t="shared" si="5"/>
        <v>nv</v>
      </c>
      <c r="I84" s="122"/>
      <c r="J84" s="122">
        <f t="shared" si="2"/>
        <v>4996.4526547479045</v>
      </c>
    </row>
    <row r="85" spans="1:10" x14ac:dyDescent="0.25">
      <c r="A85" s="121">
        <f t="shared" si="3"/>
        <v>0.01</v>
      </c>
      <c r="B85" s="122" t="str">
        <f t="shared" si="5"/>
        <v>nv</v>
      </c>
      <c r="C85" s="122" t="str">
        <f t="shared" si="5"/>
        <v>nv</v>
      </c>
      <c r="D85" s="122" t="str">
        <f t="shared" si="5"/>
        <v>nv</v>
      </c>
      <c r="E85" s="122">
        <f t="shared" si="5"/>
        <v>4749.5822565467097</v>
      </c>
      <c r="F85" s="122">
        <f t="shared" si="5"/>
        <v>4737.7084148388376</v>
      </c>
      <c r="G85" s="122" t="str">
        <f t="shared" si="5"/>
        <v>nv</v>
      </c>
      <c r="H85" s="122" t="str">
        <f t="shared" si="5"/>
        <v>nv</v>
      </c>
      <c r="I85" s="122"/>
      <c r="J85" s="122">
        <f t="shared" si="2"/>
        <v>4743.6453356927741</v>
      </c>
    </row>
    <row r="86" spans="1:10" x14ac:dyDescent="0.25">
      <c r="A86" s="121">
        <f t="shared" si="3"/>
        <v>0.1</v>
      </c>
      <c r="B86" s="122" t="str">
        <f t="shared" si="5"/>
        <v>nv</v>
      </c>
      <c r="C86" s="122" t="str">
        <f t="shared" si="5"/>
        <v>nv</v>
      </c>
      <c r="D86" s="122" t="str">
        <f t="shared" si="5"/>
        <v>nv</v>
      </c>
      <c r="E86" s="122">
        <f t="shared" si="5"/>
        <v>4246.056616977512</v>
      </c>
      <c r="F86" s="122">
        <f t="shared" si="5"/>
        <v>4438.626264954587</v>
      </c>
      <c r="G86" s="122" t="str">
        <f t="shared" si="5"/>
        <v>nv</v>
      </c>
      <c r="H86" s="122" t="str">
        <f t="shared" si="5"/>
        <v>nv</v>
      </c>
      <c r="I86" s="122"/>
      <c r="J86" s="122">
        <f t="shared" si="2"/>
        <v>4342.341440966049</v>
      </c>
    </row>
    <row r="87" spans="1:10" x14ac:dyDescent="0.25">
      <c r="A87" s="121">
        <f t="shared" si="3"/>
        <v>1</v>
      </c>
      <c r="B87" s="122" t="str">
        <f t="shared" si="5"/>
        <v>nv</v>
      </c>
      <c r="C87" s="122" t="str">
        <f t="shared" si="5"/>
        <v>nv</v>
      </c>
      <c r="D87" s="122" t="str">
        <f t="shared" si="5"/>
        <v>nv</v>
      </c>
      <c r="E87" s="122">
        <f t="shared" si="5"/>
        <v>3786.419811928924</v>
      </c>
      <c r="F87" s="122">
        <f t="shared" si="5"/>
        <v>4115.3629839514006</v>
      </c>
      <c r="G87" s="122" t="str">
        <f t="shared" si="5"/>
        <v>nv</v>
      </c>
      <c r="H87" s="122" t="str">
        <f t="shared" si="5"/>
        <v>nv</v>
      </c>
      <c r="I87" s="122"/>
      <c r="J87" s="122">
        <f t="shared" si="2"/>
        <v>3950.8913979401623</v>
      </c>
    </row>
    <row r="88" spans="1:10" x14ac:dyDescent="0.25">
      <c r="A88" s="121">
        <f t="shared" si="3"/>
        <v>10</v>
      </c>
      <c r="B88" s="122" t="str">
        <f t="shared" si="5"/>
        <v>nv</v>
      </c>
      <c r="C88" s="122" t="str">
        <f t="shared" si="5"/>
        <v>nv</v>
      </c>
      <c r="D88" s="122" t="str">
        <f t="shared" si="5"/>
        <v>nv</v>
      </c>
      <c r="E88" s="122" t="str">
        <f t="shared" si="5"/>
        <v>nv</v>
      </c>
      <c r="F88" s="122">
        <f t="shared" si="5"/>
        <v>3662.5886079597385</v>
      </c>
      <c r="G88" s="122" t="str">
        <f t="shared" si="5"/>
        <v>nv</v>
      </c>
      <c r="H88" s="122" t="str">
        <f t="shared" si="5"/>
        <v>nv</v>
      </c>
      <c r="I88" s="122"/>
      <c r="J88" s="122">
        <f t="shared" si="2"/>
        <v>3662.5886079597385</v>
      </c>
    </row>
    <row r="89" spans="1:10" x14ac:dyDescent="0.25">
      <c r="A89" s="121">
        <f t="shared" si="3"/>
        <v>100</v>
      </c>
      <c r="B89" s="122" t="str">
        <f t="shared" si="5"/>
        <v>nv</v>
      </c>
      <c r="C89" s="122" t="str">
        <f t="shared" si="5"/>
        <v>nv</v>
      </c>
      <c r="D89" s="122" t="str">
        <f t="shared" si="5"/>
        <v>nv</v>
      </c>
      <c r="E89" s="122" t="str">
        <f t="shared" si="5"/>
        <v>nv</v>
      </c>
      <c r="F89" s="122">
        <f t="shared" si="5"/>
        <v>3039.7716426269371</v>
      </c>
      <c r="G89" s="122" t="str">
        <f t="shared" si="5"/>
        <v>nv</v>
      </c>
      <c r="H89" s="122" t="str">
        <f t="shared" si="5"/>
        <v>nv</v>
      </c>
      <c r="I89" s="122"/>
      <c r="J89" s="122">
        <f t="shared" si="2"/>
        <v>3039.7716426269371</v>
      </c>
    </row>
    <row r="90" spans="1:10" x14ac:dyDescent="0.25">
      <c r="A90" s="121">
        <f t="shared" si="3"/>
        <v>1000</v>
      </c>
      <c r="B90" s="122" t="str">
        <f t="shared" si="5"/>
        <v>nv</v>
      </c>
      <c r="C90" s="122" t="str">
        <f t="shared" si="5"/>
        <v>nv</v>
      </c>
      <c r="D90" s="122" t="str">
        <f t="shared" si="5"/>
        <v>nv</v>
      </c>
      <c r="E90" s="122" t="str">
        <f t="shared" si="5"/>
        <v>nv</v>
      </c>
      <c r="F90" s="122">
        <f t="shared" si="5"/>
        <v>2356.5178874385392</v>
      </c>
      <c r="G90" s="122" t="str">
        <f t="shared" si="5"/>
        <v>nv</v>
      </c>
      <c r="H90" s="122" t="str">
        <f t="shared" si="5"/>
        <v>nv</v>
      </c>
      <c r="I90" s="122"/>
      <c r="J90" s="122">
        <f t="shared" si="2"/>
        <v>2356.5178874385392</v>
      </c>
    </row>
    <row r="91" spans="1:10" x14ac:dyDescent="0.25">
      <c r="A91" s="121">
        <f t="shared" si="3"/>
        <v>10000</v>
      </c>
      <c r="B91" s="122" t="str">
        <f t="shared" si="5"/>
        <v>nv</v>
      </c>
      <c r="C91" s="122" t="str">
        <f t="shared" si="5"/>
        <v>nv</v>
      </c>
      <c r="D91" s="122" t="str">
        <f t="shared" si="5"/>
        <v>nv</v>
      </c>
      <c r="E91" s="122" t="str">
        <f t="shared" si="5"/>
        <v>nv</v>
      </c>
      <c r="F91" s="122">
        <f t="shared" si="5"/>
        <v>1664.6092730189016</v>
      </c>
      <c r="G91" s="122">
        <f t="shared" si="5"/>
        <v>1795.0114899594196</v>
      </c>
      <c r="H91" s="122" t="str">
        <f t="shared" si="5"/>
        <v>nv</v>
      </c>
      <c r="I91" s="122"/>
      <c r="J91" s="122">
        <f t="shared" si="2"/>
        <v>1729.8103814891606</v>
      </c>
    </row>
    <row r="92" spans="1:10" x14ac:dyDescent="0.25">
      <c r="A92" s="121">
        <f t="shared" si="3"/>
        <v>100000</v>
      </c>
      <c r="B92" s="122" t="str">
        <f t="shared" si="5"/>
        <v>nv</v>
      </c>
      <c r="C92" s="122" t="str">
        <f t="shared" si="5"/>
        <v>nv</v>
      </c>
      <c r="D92" s="122" t="str">
        <f t="shared" si="5"/>
        <v>nv</v>
      </c>
      <c r="E92" s="122" t="str">
        <f t="shared" si="5"/>
        <v>nv</v>
      </c>
      <c r="F92" s="122">
        <f t="shared" si="5"/>
        <v>1039.9214556238178</v>
      </c>
      <c r="G92" s="122">
        <f t="shared" si="5"/>
        <v>1098.4361292888755</v>
      </c>
      <c r="H92" s="122" t="str">
        <f t="shared" si="5"/>
        <v>nv</v>
      </c>
      <c r="I92" s="122"/>
      <c r="J92" s="122">
        <f t="shared" si="2"/>
        <v>1069.1787924563466</v>
      </c>
    </row>
    <row r="93" spans="1:10" x14ac:dyDescent="0.25">
      <c r="A93" s="121">
        <f t="shared" si="3"/>
        <v>1000000</v>
      </c>
      <c r="B93" s="122" t="str">
        <f t="shared" si="5"/>
        <v>nv</v>
      </c>
      <c r="C93" s="122" t="str">
        <f t="shared" si="5"/>
        <v>nv</v>
      </c>
      <c r="D93" s="122" t="str">
        <f t="shared" si="5"/>
        <v>nv</v>
      </c>
      <c r="E93" s="122" t="str">
        <f t="shared" si="5"/>
        <v>nv</v>
      </c>
      <c r="F93" s="122" t="str">
        <f t="shared" si="5"/>
        <v>nv</v>
      </c>
      <c r="G93" s="122">
        <f t="shared" si="5"/>
        <v>576.73877856701984</v>
      </c>
      <c r="H93" s="122">
        <f t="shared" si="5"/>
        <v>658.62508717073331</v>
      </c>
      <c r="I93" s="122"/>
      <c r="J93" s="122">
        <f t="shared" si="2"/>
        <v>617.68193286887663</v>
      </c>
    </row>
    <row r="94" spans="1:10" x14ac:dyDescent="0.25">
      <c r="A94" s="121">
        <f t="shared" si="3"/>
        <v>10000000</v>
      </c>
      <c r="B94" s="122" t="str">
        <f t="shared" si="5"/>
        <v>nv</v>
      </c>
      <c r="C94" s="122" t="str">
        <f t="shared" si="5"/>
        <v>nv</v>
      </c>
      <c r="D94" s="122" t="str">
        <f t="shared" si="5"/>
        <v>nv</v>
      </c>
      <c r="E94" s="122" t="str">
        <f t="shared" si="5"/>
        <v>nv</v>
      </c>
      <c r="F94" s="122" t="str">
        <f t="shared" si="5"/>
        <v>nv</v>
      </c>
      <c r="G94" s="122">
        <f t="shared" si="5"/>
        <v>329.71267972476699</v>
      </c>
      <c r="H94" s="122">
        <f t="shared" si="5"/>
        <v>354.26420533608314</v>
      </c>
      <c r="I94" s="122"/>
      <c r="J94" s="122">
        <f t="shared" si="2"/>
        <v>341.98844253042506</v>
      </c>
    </row>
    <row r="95" spans="1:10" x14ac:dyDescent="0.25">
      <c r="A95" s="121">
        <f t="shared" si="3"/>
        <v>100000000</v>
      </c>
      <c r="B95" s="122" t="str">
        <f t="shared" si="5"/>
        <v>nv</v>
      </c>
      <c r="C95" s="122" t="str">
        <f t="shared" si="5"/>
        <v>nv</v>
      </c>
      <c r="D95" s="122" t="str">
        <f t="shared" si="5"/>
        <v>nv</v>
      </c>
      <c r="E95" s="122" t="str">
        <f t="shared" si="5"/>
        <v>nv</v>
      </c>
      <c r="F95" s="122" t="str">
        <f t="shared" si="5"/>
        <v>nv</v>
      </c>
      <c r="G95" s="122">
        <f t="shared" si="5"/>
        <v>199.72159559682123</v>
      </c>
      <c r="H95" s="122">
        <f t="shared" si="5"/>
        <v>202.99226696738995</v>
      </c>
      <c r="I95" s="122"/>
      <c r="J95" s="122">
        <f t="shared" si="2"/>
        <v>201.35693128210559</v>
      </c>
    </row>
    <row r="96" spans="1:10" x14ac:dyDescent="0.25">
      <c r="A96" s="121">
        <f t="shared" si="3"/>
        <v>1000000000</v>
      </c>
      <c r="B96" s="122" t="str">
        <f t="shared" si="5"/>
        <v>nv</v>
      </c>
      <c r="C96" s="122" t="str">
        <f t="shared" si="5"/>
        <v>nv</v>
      </c>
      <c r="D96" s="122" t="str">
        <f t="shared" si="5"/>
        <v>nv</v>
      </c>
      <c r="E96" s="122" t="str">
        <f t="shared" si="5"/>
        <v>nv</v>
      </c>
      <c r="F96" s="122" t="str">
        <f t="shared" si="5"/>
        <v>nv</v>
      </c>
      <c r="G96" s="122">
        <f t="shared" si="5"/>
        <v>164.76995716030706</v>
      </c>
      <c r="H96" s="122">
        <f t="shared" si="5"/>
        <v>167.78018397173952</v>
      </c>
      <c r="I96" s="122"/>
      <c r="J96" s="122">
        <f t="shared" si="2"/>
        <v>166.27507056602329</v>
      </c>
    </row>
    <row r="97" spans="1:36" x14ac:dyDescent="0.25">
      <c r="A97" s="121">
        <f t="shared" si="3"/>
        <v>10000000000</v>
      </c>
      <c r="B97" s="122" t="str">
        <f t="shared" si="5"/>
        <v>nv</v>
      </c>
      <c r="C97" s="122" t="str">
        <f t="shared" si="5"/>
        <v>nv</v>
      </c>
      <c r="D97" s="122" t="str">
        <f t="shared" si="5"/>
        <v>nv</v>
      </c>
      <c r="E97" s="122" t="str">
        <f t="shared" si="5"/>
        <v>nv</v>
      </c>
      <c r="F97" s="122" t="str">
        <f t="shared" si="5"/>
        <v>nv</v>
      </c>
      <c r="G97" s="122">
        <f t="shared" si="5"/>
        <v>148.18152165412499</v>
      </c>
      <c r="H97" s="122">
        <f t="shared" si="5"/>
        <v>149.86858824674454</v>
      </c>
      <c r="I97" s="122"/>
      <c r="J97" s="122">
        <f t="shared" si="2"/>
        <v>149.02505495043476</v>
      </c>
    </row>
    <row r="98" spans="1:36" x14ac:dyDescent="0.25">
      <c r="A98" s="121">
        <f t="shared" si="3"/>
        <v>100000000000</v>
      </c>
      <c r="B98" s="122" t="str">
        <f t="shared" si="5"/>
        <v>nv</v>
      </c>
      <c r="C98" s="122" t="str">
        <f t="shared" si="5"/>
        <v>nv</v>
      </c>
      <c r="D98" s="122" t="str">
        <f t="shared" si="5"/>
        <v>nv</v>
      </c>
      <c r="E98" s="122" t="str">
        <f t="shared" si="5"/>
        <v>nv</v>
      </c>
      <c r="F98" s="122" t="str">
        <f t="shared" si="5"/>
        <v>nv</v>
      </c>
      <c r="G98" s="122">
        <f t="shared" si="5"/>
        <v>139.99713355837719</v>
      </c>
      <c r="H98" s="122">
        <f t="shared" si="5"/>
        <v>142.76406915440978</v>
      </c>
      <c r="I98" s="122"/>
      <c r="J98" s="122">
        <f t="shared" si="2"/>
        <v>141.38060135639347</v>
      </c>
    </row>
    <row r="99" spans="1:36" x14ac:dyDescent="0.25">
      <c r="A99" s="121">
        <f t="shared" si="3"/>
        <v>1000000000000</v>
      </c>
      <c r="B99" s="122" t="str">
        <f t="shared" si="5"/>
        <v>nv</v>
      </c>
      <c r="C99" s="122" t="str">
        <f t="shared" si="5"/>
        <v>nv</v>
      </c>
      <c r="D99" s="122" t="str">
        <f t="shared" si="5"/>
        <v>nv</v>
      </c>
      <c r="E99" s="122" t="str">
        <f t="shared" si="5"/>
        <v>nv</v>
      </c>
      <c r="F99" s="122" t="str">
        <f t="shared" si="5"/>
        <v>nv</v>
      </c>
      <c r="G99" s="122">
        <f t="shared" si="5"/>
        <v>137.17563048762031</v>
      </c>
      <c r="H99" s="122">
        <f t="shared" si="5"/>
        <v>140.705130289257</v>
      </c>
      <c r="I99" s="122"/>
      <c r="J99" s="122">
        <f t="shared" si="2"/>
        <v>138.94038038843865</v>
      </c>
    </row>
    <row r="100" spans="1:36" x14ac:dyDescent="0.25">
      <c r="A100" s="121">
        <f t="shared" si="3"/>
        <v>10000000000000</v>
      </c>
      <c r="B100" s="122" t="str">
        <f t="shared" si="5"/>
        <v>nv</v>
      </c>
      <c r="C100" s="122" t="str">
        <f t="shared" si="5"/>
        <v>nv</v>
      </c>
      <c r="D100" s="122" t="str">
        <f t="shared" si="5"/>
        <v>nv</v>
      </c>
      <c r="E100" s="122" t="str">
        <f t="shared" si="5"/>
        <v>nv</v>
      </c>
      <c r="F100" s="122" t="str">
        <f t="shared" si="5"/>
        <v>nv</v>
      </c>
      <c r="G100" s="122">
        <f t="shared" si="5"/>
        <v>133.5821486178711</v>
      </c>
      <c r="H100" s="122">
        <f t="shared" si="5"/>
        <v>137.99524633465816</v>
      </c>
      <c r="I100" s="122"/>
      <c r="J100" s="122">
        <f t="shared" si="2"/>
        <v>135.78869747626464</v>
      </c>
    </row>
    <row r="101" spans="1:36" x14ac:dyDescent="0.25">
      <c r="A101" s="121">
        <f t="shared" si="3"/>
        <v>100000000000000</v>
      </c>
      <c r="B101" s="122" t="str">
        <f t="shared" si="5"/>
        <v>nv</v>
      </c>
      <c r="C101" s="122" t="str">
        <f t="shared" si="5"/>
        <v>nv</v>
      </c>
      <c r="D101" s="122" t="str">
        <f t="shared" si="5"/>
        <v>nv</v>
      </c>
      <c r="E101" s="122" t="str">
        <f t="shared" si="5"/>
        <v>nv</v>
      </c>
      <c r="F101" s="122" t="str">
        <f t="shared" si="5"/>
        <v>nv</v>
      </c>
      <c r="G101" s="122" t="str">
        <f t="shared" si="5"/>
        <v>nv</v>
      </c>
      <c r="H101" s="122">
        <f t="shared" si="5"/>
        <v>134.40767382480121</v>
      </c>
      <c r="I101" s="122"/>
      <c r="J101" s="122">
        <f t="shared" si="2"/>
        <v>134.40767382480121</v>
      </c>
    </row>
    <row r="102" spans="1:36" x14ac:dyDescent="0.25">
      <c r="A102" s="121">
        <f t="shared" si="3"/>
        <v>1000000000000000</v>
      </c>
      <c r="B102" s="122" t="str">
        <f t="shared" si="5"/>
        <v>nv</v>
      </c>
      <c r="C102" s="122" t="str">
        <f t="shared" si="5"/>
        <v>nv</v>
      </c>
      <c r="D102" s="122" t="str">
        <f t="shared" si="5"/>
        <v>nv</v>
      </c>
      <c r="E102" s="122" t="str">
        <f t="shared" si="5"/>
        <v>nv</v>
      </c>
      <c r="F102" s="122" t="str">
        <f t="shared" si="5"/>
        <v>nv</v>
      </c>
      <c r="G102" s="122" t="str">
        <f t="shared" si="5"/>
        <v>nv</v>
      </c>
      <c r="H102" s="122">
        <f t="shared" si="5"/>
        <v>131.29432585165318</v>
      </c>
      <c r="I102" s="122"/>
      <c r="J102" s="122">
        <f>IF(ISERROR(AVERAGE(B102:H102)),J101,AVERAGE(B102:H102))</f>
        <v>131.29432585165318</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1" t="s">
        <v>26</v>
      </c>
      <c r="B108" s="131"/>
      <c r="C108" s="131"/>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6574.1468688875048</v>
      </c>
      <c r="G109" s="26">
        <f t="shared" ref="G109:AJ109" si="7">INDEX($J$72:$J$102,COLUMN(B72),1)</f>
        <v>6558.9585674632553</v>
      </c>
      <c r="H109" s="26">
        <f t="shared" si="7"/>
        <v>6558.9151023534432</v>
      </c>
      <c r="I109" s="26">
        <f t="shared" si="7"/>
        <v>6547.4961889702836</v>
      </c>
      <c r="J109" s="26">
        <f t="shared" si="7"/>
        <v>6546.1709508735885</v>
      </c>
      <c r="K109" s="26">
        <f t="shared" si="7"/>
        <v>6543.1587138865243</v>
      </c>
      <c r="L109" s="26">
        <f t="shared" si="7"/>
        <v>6470.7772690080064</v>
      </c>
      <c r="M109" s="26">
        <f t="shared" si="7"/>
        <v>6331.4551012377651</v>
      </c>
      <c r="N109" s="26">
        <f t="shared" si="7"/>
        <v>6174.7294466502135</v>
      </c>
      <c r="O109" s="26">
        <f t="shared" si="7"/>
        <v>5971.4158010074543</v>
      </c>
      <c r="P109" s="26">
        <f t="shared" si="7"/>
        <v>5634.4461459464674</v>
      </c>
      <c r="Q109" s="26">
        <f t="shared" si="7"/>
        <v>5365.2947337719852</v>
      </c>
      <c r="R109" s="26">
        <f t="shared" si="7"/>
        <v>4996.4526547479045</v>
      </c>
      <c r="S109" s="26">
        <f t="shared" si="7"/>
        <v>4743.6453356927741</v>
      </c>
      <c r="T109" s="26">
        <f t="shared" si="7"/>
        <v>4342.341440966049</v>
      </c>
      <c r="U109" s="26">
        <f t="shared" si="7"/>
        <v>3950.8913979401623</v>
      </c>
      <c r="V109" s="26">
        <f t="shared" si="7"/>
        <v>3662.5886079597385</v>
      </c>
      <c r="W109" s="26">
        <f t="shared" si="7"/>
        <v>3039.7716426269371</v>
      </c>
      <c r="X109" s="26">
        <f t="shared" si="7"/>
        <v>2356.5178874385392</v>
      </c>
      <c r="Y109" s="26">
        <f t="shared" si="7"/>
        <v>1729.8103814891606</v>
      </c>
      <c r="Z109" s="26">
        <f t="shared" si="7"/>
        <v>1069.1787924563466</v>
      </c>
      <c r="AA109" s="26">
        <f t="shared" si="7"/>
        <v>617.68193286887663</v>
      </c>
      <c r="AB109" s="26">
        <f t="shared" si="7"/>
        <v>341.98844253042506</v>
      </c>
      <c r="AC109" s="26">
        <f t="shared" si="7"/>
        <v>201.35693128210559</v>
      </c>
      <c r="AD109" s="26">
        <f t="shared" si="7"/>
        <v>166.27507056602329</v>
      </c>
      <c r="AE109" s="26">
        <f t="shared" si="7"/>
        <v>149.02505495043476</v>
      </c>
      <c r="AF109" s="26">
        <f t="shared" si="7"/>
        <v>141.38060135639347</v>
      </c>
      <c r="AG109" s="26">
        <f t="shared" si="7"/>
        <v>138.94038038843865</v>
      </c>
      <c r="AH109" s="26">
        <f t="shared" si="7"/>
        <v>135.78869747626464</v>
      </c>
      <c r="AI109" s="26">
        <f t="shared" si="7"/>
        <v>134.40767382480121</v>
      </c>
      <c r="AJ109" s="26">
        <f t="shared" si="7"/>
        <v>131.29432585165318</v>
      </c>
    </row>
    <row r="110" spans="1:36" x14ac:dyDescent="0.25">
      <c r="A110" s="14" t="s">
        <v>20</v>
      </c>
      <c r="B110" s="105">
        <v>1.8656407823539597E-2</v>
      </c>
      <c r="C110" s="18">
        <f>ABS(B110/$B$142)</f>
        <v>1.952464132033991E-2</v>
      </c>
      <c r="D110" s="111"/>
      <c r="E110" s="77" t="s">
        <v>22</v>
      </c>
      <c r="F110" s="27">
        <f>($C$110+SUM(F111:F141))*$B$144</f>
        <v>6524.0922323475133</v>
      </c>
      <c r="G110" s="27">
        <f t="shared" ref="G110:AJ110" si="8">($C$110+SUM(G111:G141))*$B$144</f>
        <v>6524.0916234780861</v>
      </c>
      <c r="H110" s="27">
        <f t="shared" si="8"/>
        <v>6524.0855350739894</v>
      </c>
      <c r="I110" s="27">
        <f t="shared" si="8"/>
        <v>6524.0246800369987</v>
      </c>
      <c r="J110" s="27">
        <f t="shared" si="8"/>
        <v>6523.4190147912504</v>
      </c>
      <c r="K110" s="27">
        <f t="shared" si="8"/>
        <v>6517.6362259405541</v>
      </c>
      <c r="L110" s="27">
        <f t="shared" si="8"/>
        <v>6477.1327981212235</v>
      </c>
      <c r="M110" s="27">
        <f t="shared" si="8"/>
        <v>6330.0349509043281</v>
      </c>
      <c r="N110" s="27">
        <f t="shared" si="8"/>
        <v>6176.7244290276321</v>
      </c>
      <c r="O110" s="27">
        <f t="shared" si="8"/>
        <v>5967.4721060386673</v>
      </c>
      <c r="P110" s="27">
        <f t="shared" si="8"/>
        <v>5641.1899718904151</v>
      </c>
      <c r="Q110" s="27">
        <f t="shared" si="8"/>
        <v>5355.5453200109914</v>
      </c>
      <c r="R110" s="27">
        <f t="shared" si="8"/>
        <v>5008.4438556128198</v>
      </c>
      <c r="S110" s="27">
        <f t="shared" si="8"/>
        <v>4731.0584735645643</v>
      </c>
      <c r="T110" s="27">
        <f t="shared" si="8"/>
        <v>4353.6741083488732</v>
      </c>
      <c r="U110" s="27">
        <f t="shared" si="8"/>
        <v>3942.1741867089113</v>
      </c>
      <c r="V110" s="27">
        <f t="shared" si="8"/>
        <v>3668.3403643876386</v>
      </c>
      <c r="W110" s="27">
        <f t="shared" si="8"/>
        <v>3036.4627657355568</v>
      </c>
      <c r="X110" s="27">
        <f t="shared" si="8"/>
        <v>2358.143831140268</v>
      </c>
      <c r="Y110" s="27">
        <f t="shared" si="8"/>
        <v>1729.1284041284368</v>
      </c>
      <c r="Z110" s="27">
        <f t="shared" si="8"/>
        <v>1069.4155452364369</v>
      </c>
      <c r="AA110" s="27">
        <f t="shared" si="8"/>
        <v>617.62660569844206</v>
      </c>
      <c r="AB110" s="27">
        <f t="shared" si="8"/>
        <v>341.96101327397753</v>
      </c>
      <c r="AC110" s="27">
        <f t="shared" si="8"/>
        <v>201.42504977440302</v>
      </c>
      <c r="AD110" s="27">
        <f t="shared" si="8"/>
        <v>166.24143677995912</v>
      </c>
      <c r="AE110" s="27">
        <f t="shared" si="8"/>
        <v>149.05831366448461</v>
      </c>
      <c r="AF110" s="27">
        <f t="shared" si="8"/>
        <v>141.37639978875245</v>
      </c>
      <c r="AG110" s="27">
        <f t="shared" si="8"/>
        <v>138.88788939164164</v>
      </c>
      <c r="AH110" s="27">
        <f t="shared" si="8"/>
        <v>135.84152121292294</v>
      </c>
      <c r="AI110" s="27">
        <f t="shared" si="8"/>
        <v>134.36848369788021</v>
      </c>
      <c r="AJ110" s="27">
        <f t="shared" si="8"/>
        <v>131.30076686895762</v>
      </c>
    </row>
    <row r="111" spans="1:36" x14ac:dyDescent="0.25">
      <c r="A111" s="3">
        <f>0.000000000000001/10^5</f>
        <v>1.0000000000000001E-20</v>
      </c>
      <c r="B111" s="105">
        <v>0</v>
      </c>
      <c r="C111" s="18">
        <f t="shared" ref="C111:C141" si="9">ABS(B111/$B$142)</f>
        <v>0</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5">
        <v>0</v>
      </c>
      <c r="C112" s="18">
        <f t="shared" si="9"/>
        <v>0</v>
      </c>
      <c r="D112" s="17"/>
      <c r="E112" s="11"/>
      <c r="F112" s="3">
        <f t="shared" ref="F112:U141" si="11">$C112*EXP(-F$108/$A112)</f>
        <v>0</v>
      </c>
      <c r="G112" s="3">
        <f t="shared" si="11"/>
        <v>0</v>
      </c>
      <c r="H112" s="3">
        <f t="shared" si="11"/>
        <v>0</v>
      </c>
      <c r="I112" s="3">
        <f t="shared" si="11"/>
        <v>0</v>
      </c>
      <c r="J112" s="3">
        <f t="shared" si="11"/>
        <v>0</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5">
        <v>0</v>
      </c>
      <c r="C113" s="18">
        <f t="shared" si="9"/>
        <v>0</v>
      </c>
      <c r="D113" s="17"/>
      <c r="E113" s="11"/>
      <c r="F113" s="3">
        <f t="shared" si="11"/>
        <v>0</v>
      </c>
      <c r="G113" s="3">
        <f t="shared" si="10"/>
        <v>0</v>
      </c>
      <c r="H113" s="3">
        <f t="shared" si="10"/>
        <v>0</v>
      </c>
      <c r="I113" s="3">
        <f t="shared" si="10"/>
        <v>0</v>
      </c>
      <c r="J113" s="3">
        <f t="shared" si="10"/>
        <v>0</v>
      </c>
      <c r="K113" s="3">
        <f t="shared" si="10"/>
        <v>0</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5">
        <v>0</v>
      </c>
      <c r="C114" s="18">
        <f t="shared" si="9"/>
        <v>0</v>
      </c>
      <c r="D114" s="17"/>
      <c r="E114" s="11"/>
      <c r="F114" s="3">
        <f t="shared" si="11"/>
        <v>0</v>
      </c>
      <c r="G114" s="3">
        <f t="shared" si="10"/>
        <v>0</v>
      </c>
      <c r="H114" s="3">
        <f t="shared" si="10"/>
        <v>0</v>
      </c>
      <c r="I114" s="3">
        <f t="shared" si="10"/>
        <v>0</v>
      </c>
      <c r="J114" s="3">
        <f t="shared" si="10"/>
        <v>0</v>
      </c>
      <c r="K114" s="3">
        <f t="shared" si="10"/>
        <v>0</v>
      </c>
      <c r="L114" s="3">
        <f t="shared" si="10"/>
        <v>0</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5">
        <v>0</v>
      </c>
      <c r="C115" s="18">
        <f t="shared" si="9"/>
        <v>0</v>
      </c>
      <c r="D115" s="17"/>
      <c r="E115" s="11"/>
      <c r="F115" s="3">
        <f t="shared" si="11"/>
        <v>0</v>
      </c>
      <c r="G115" s="3">
        <f t="shared" si="10"/>
        <v>0</v>
      </c>
      <c r="H115" s="3">
        <f t="shared" si="10"/>
        <v>0</v>
      </c>
      <c r="I115" s="3">
        <f t="shared" si="10"/>
        <v>0</v>
      </c>
      <c r="J115" s="3">
        <f t="shared" si="10"/>
        <v>0</v>
      </c>
      <c r="K115" s="3">
        <f t="shared" si="10"/>
        <v>0</v>
      </c>
      <c r="L115" s="3">
        <f t="shared" si="10"/>
        <v>0</v>
      </c>
      <c r="M115" s="3">
        <f t="shared" si="10"/>
        <v>0</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5">
        <v>3.0828319235254842E-3</v>
      </c>
      <c r="C116" s="18">
        <f t="shared" si="9"/>
        <v>3.2263010182368981E-3</v>
      </c>
      <c r="D116" s="17"/>
      <c r="E116" s="11"/>
      <c r="F116" s="3">
        <f t="shared" si="11"/>
        <v>3.2262955456484272E-3</v>
      </c>
      <c r="G116" s="3">
        <f t="shared" si="10"/>
        <v>3.2262462927699158E-3</v>
      </c>
      <c r="H116" s="3">
        <f t="shared" si="10"/>
        <v>3.2257538053373129E-3</v>
      </c>
      <c r="I116" s="3">
        <f t="shared" si="10"/>
        <v>3.2208330639275423E-3</v>
      </c>
      <c r="J116" s="3">
        <f t="shared" si="10"/>
        <v>3.1720366164836918E-3</v>
      </c>
      <c r="K116" s="3">
        <f t="shared" si="10"/>
        <v>2.7229392541067788E-3</v>
      </c>
      <c r="L116" s="3">
        <f t="shared" si="10"/>
        <v>5.9161007473201952E-4</v>
      </c>
      <c r="M116" s="3">
        <f t="shared" si="10"/>
        <v>1.3867930118369899E-10</v>
      </c>
      <c r="N116" s="3">
        <f t="shared" si="10"/>
        <v>6.9466029848905905E-77</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5">
        <v>2.8489449165986582E-2</v>
      </c>
      <c r="C117" s="18">
        <f t="shared" si="9"/>
        <v>2.9815293578547581E-2</v>
      </c>
      <c r="D117" s="17"/>
      <c r="E117" s="11"/>
      <c r="F117" s="3">
        <f t="shared" si="11"/>
        <v>2.9815289016351765E-2</v>
      </c>
      <c r="G117" s="3">
        <f t="shared" si="10"/>
        <v>2.981524795662082E-2</v>
      </c>
      <c r="H117" s="3">
        <f t="shared" si="10"/>
        <v>2.981483736242134E-2</v>
      </c>
      <c r="I117" s="3">
        <f t="shared" si="10"/>
        <v>2.9810731731406186E-2</v>
      </c>
      <c r="J117" s="3">
        <f t="shared" si="10"/>
        <v>2.9769706503377701E-2</v>
      </c>
      <c r="K117" s="3">
        <f t="shared" si="10"/>
        <v>2.936254665595614E-2</v>
      </c>
      <c r="L117" s="3">
        <f t="shared" si="10"/>
        <v>2.5584998066463274E-2</v>
      </c>
      <c r="M117" s="3">
        <f t="shared" si="10"/>
        <v>6.4550866250506515E-3</v>
      </c>
      <c r="N117" s="3">
        <f t="shared" si="10"/>
        <v>6.7463510641667525E-9</v>
      </c>
      <c r="O117" s="3">
        <f t="shared" si="10"/>
        <v>1.0489083938495689E-68</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5">
        <v>1.9697201588324411E-2</v>
      </c>
      <c r="C118" s="18">
        <f t="shared" si="9"/>
        <v>2.0613871634024932E-2</v>
      </c>
      <c r="D118" s="17"/>
      <c r="E118" s="11"/>
      <c r="F118" s="3">
        <f t="shared" si="11"/>
        <v>2.0613871349486442E-2</v>
      </c>
      <c r="G118" s="3">
        <f t="shared" si="10"/>
        <v>2.0613868788640223E-2</v>
      </c>
      <c r="H118" s="3">
        <f t="shared" si="10"/>
        <v>2.0613843180195504E-2</v>
      </c>
      <c r="I118" s="3">
        <f t="shared" si="10"/>
        <v>2.061358709749804E-2</v>
      </c>
      <c r="J118" s="3">
        <f t="shared" si="10"/>
        <v>2.0611026445487141E-2</v>
      </c>
      <c r="K118" s="3">
        <f t="shared" si="10"/>
        <v>2.0585437413710782E-2</v>
      </c>
      <c r="L118" s="3">
        <f t="shared" si="10"/>
        <v>2.0331287917371915E-2</v>
      </c>
      <c r="M118" s="3">
        <f t="shared" si="10"/>
        <v>1.7956132444551284E-2</v>
      </c>
      <c r="N118" s="3">
        <f t="shared" si="10"/>
        <v>5.1843211341834096E-3</v>
      </c>
      <c r="O118" s="3">
        <f t="shared" si="10"/>
        <v>2.086809705100749E-8</v>
      </c>
      <c r="P118" s="3">
        <f t="shared" si="10"/>
        <v>2.3301955716182722E-62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5">
        <v>3.2729014178237995E-2</v>
      </c>
      <c r="C119" s="18">
        <f t="shared" si="9"/>
        <v>3.4252159828546111E-2</v>
      </c>
      <c r="D119" s="17"/>
      <c r="E119" s="11"/>
      <c r="F119" s="3">
        <f t="shared" si="11"/>
        <v>3.4252159785896408E-2</v>
      </c>
      <c r="G119" s="3">
        <f t="shared" si="10"/>
        <v>3.4252159402049086E-2</v>
      </c>
      <c r="H119" s="3">
        <f t="shared" si="10"/>
        <v>3.4252155563576102E-2</v>
      </c>
      <c r="I119" s="3">
        <f t="shared" si="10"/>
        <v>3.4252117178869883E-2</v>
      </c>
      <c r="J119" s="3">
        <f t="shared" si="10"/>
        <v>3.4251733334173612E-2</v>
      </c>
      <c r="K119" s="3">
        <f t="shared" si="10"/>
        <v>3.4247895123787481E-2</v>
      </c>
      <c r="L119" s="3">
        <f t="shared" si="10"/>
        <v>3.4209536667778054E-2</v>
      </c>
      <c r="M119" s="3">
        <f t="shared" si="10"/>
        <v>3.3828307116825523E-2</v>
      </c>
      <c r="N119" s="3">
        <f t="shared" si="10"/>
        <v>3.0242033544059941E-2</v>
      </c>
      <c r="O119" s="3">
        <f t="shared" si="10"/>
        <v>9.8609385144902591E-3</v>
      </c>
      <c r="P119" s="3">
        <f t="shared" si="10"/>
        <v>1.3396484682386519E-7</v>
      </c>
      <c r="Q119" s="3">
        <f t="shared" si="10"/>
        <v>2.8689095859424615E-56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5">
        <v>6.1989659957071494E-2</v>
      </c>
      <c r="C120" s="18">
        <f t="shared" si="9"/>
        <v>6.4874540033614508E-2</v>
      </c>
      <c r="D120" s="17"/>
      <c r="E120" s="11"/>
      <c r="F120" s="3">
        <f t="shared" si="11"/>
        <v>6.4874540026327504E-2</v>
      </c>
      <c r="G120" s="3">
        <f t="shared" ref="G120:AJ128" si="12">$C120*EXP(-G$108/$A120)</f>
        <v>6.4874539960744479E-2</v>
      </c>
      <c r="H120" s="3">
        <f t="shared" si="12"/>
        <v>6.4874539304914242E-2</v>
      </c>
      <c r="I120" s="3">
        <f t="shared" si="12"/>
        <v>6.4874532746612229E-2</v>
      </c>
      <c r="J120" s="3">
        <f t="shared" si="12"/>
        <v>6.487446716362856E-2</v>
      </c>
      <c r="K120" s="3">
        <f t="shared" si="12"/>
        <v>6.4873811337438289E-2</v>
      </c>
      <c r="L120" s="3">
        <f t="shared" si="12"/>
        <v>6.486725344016625E-2</v>
      </c>
      <c r="M120" s="3">
        <f t="shared" si="12"/>
        <v>6.4801710916880487E-2</v>
      </c>
      <c r="N120" s="3">
        <f t="shared" si="12"/>
        <v>6.4149917030704898E-2</v>
      </c>
      <c r="O120" s="3">
        <f t="shared" si="12"/>
        <v>5.7981889639160178E-2</v>
      </c>
      <c r="P120" s="3">
        <f t="shared" si="12"/>
        <v>2.1098667336511792E-2</v>
      </c>
      <c r="Q120" s="3">
        <f t="shared" si="12"/>
        <v>8.5877940620623906E-7</v>
      </c>
      <c r="R120" s="3">
        <f t="shared" si="12"/>
        <v>1.0718835072640572E-50</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5">
        <v>2.8779093251192607E-2</v>
      </c>
      <c r="C121" s="18">
        <f t="shared" si="9"/>
        <v>3.0118417144868331E-2</v>
      </c>
      <c r="D121" s="17"/>
      <c r="E121" s="11"/>
      <c r="F121" s="3">
        <f t="shared" si="11"/>
        <v>3.0118417144563155E-2</v>
      </c>
      <c r="G121" s="3">
        <f t="shared" si="12"/>
        <v>3.011841714181655E-2</v>
      </c>
      <c r="H121" s="3">
        <f t="shared" si="12"/>
        <v>3.011841711435052E-2</v>
      </c>
      <c r="I121" s="3">
        <f t="shared" si="12"/>
        <v>3.0118416839690226E-2</v>
      </c>
      <c r="J121" s="3">
        <f t="shared" si="12"/>
        <v>3.0118414093087426E-2</v>
      </c>
      <c r="K121" s="3">
        <f t="shared" si="12"/>
        <v>3.011838662707322E-2</v>
      </c>
      <c r="L121" s="3">
        <f t="shared" si="12"/>
        <v>3.0118111968308717E-2</v>
      </c>
      <c r="M121" s="3">
        <f t="shared" si="12"/>
        <v>3.0115365518418268E-2</v>
      </c>
      <c r="N121" s="3">
        <f t="shared" si="12"/>
        <v>3.0087914790324282E-2</v>
      </c>
      <c r="O121" s="3">
        <f t="shared" si="12"/>
        <v>2.9814779955256387E-2</v>
      </c>
      <c r="P121" s="3">
        <f t="shared" si="12"/>
        <v>2.7216156143530755E-2</v>
      </c>
      <c r="Q121" s="3">
        <f t="shared" si="12"/>
        <v>1.0933987738431315E-2</v>
      </c>
      <c r="R121" s="3">
        <f t="shared" si="12"/>
        <v>1.1975579244266584E-6</v>
      </c>
      <c r="S121" s="3">
        <f t="shared" si="12"/>
        <v>2.9749248026688531E-46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5">
        <v>7.6723750698020315E-2</v>
      </c>
      <c r="C122" s="18">
        <f t="shared" si="9"/>
        <v>8.0294327144796299E-2</v>
      </c>
      <c r="D122" s="17"/>
      <c r="E122" s="11"/>
      <c r="F122" s="3">
        <f t="shared" si="11"/>
        <v>8.0294327144722899E-2</v>
      </c>
      <c r="G122" s="3">
        <f t="shared" si="12"/>
        <v>8.0294327144062372E-2</v>
      </c>
      <c r="H122" s="3">
        <f t="shared" si="12"/>
        <v>8.0294327137457031E-2</v>
      </c>
      <c r="I122" s="3">
        <f t="shared" si="12"/>
        <v>8.0294327071403632E-2</v>
      </c>
      <c r="J122" s="3">
        <f t="shared" si="12"/>
        <v>8.0294326410869615E-2</v>
      </c>
      <c r="K122" s="3">
        <f t="shared" si="12"/>
        <v>8.0294319805529715E-2</v>
      </c>
      <c r="L122" s="3">
        <f t="shared" si="12"/>
        <v>8.0294253752160594E-2</v>
      </c>
      <c r="M122" s="3">
        <f t="shared" si="12"/>
        <v>8.0293593221458057E-2</v>
      </c>
      <c r="N122" s="3">
        <f t="shared" si="12"/>
        <v>8.0286988213282784E-2</v>
      </c>
      <c r="O122" s="3">
        <f t="shared" si="12"/>
        <v>8.022096800745393E-2</v>
      </c>
      <c r="P122" s="3">
        <f t="shared" si="12"/>
        <v>7.9563744467974026E-2</v>
      </c>
      <c r="Q122" s="3">
        <f t="shared" si="12"/>
        <v>7.3280491070957951E-2</v>
      </c>
      <c r="R122" s="3">
        <f t="shared" si="12"/>
        <v>3.2189923287548376E-2</v>
      </c>
      <c r="S122" s="3">
        <f t="shared" si="12"/>
        <v>8.6106442955843092E-6</v>
      </c>
      <c r="T122" s="3">
        <f t="shared" si="12"/>
        <v>1.6150750996680614E-41</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5">
        <v>4.893476288773708E-3</v>
      </c>
      <c r="C123" s="18">
        <f t="shared" si="9"/>
        <v>5.1212093052202439E-3</v>
      </c>
      <c r="D123" s="17"/>
      <c r="E123" s="11"/>
      <c r="F123" s="3">
        <f t="shared" si="11"/>
        <v>5.1212093052198215E-3</v>
      </c>
      <c r="G123" s="3">
        <f t="shared" si="12"/>
        <v>5.1212093052160207E-3</v>
      </c>
      <c r="H123" s="3">
        <f t="shared" si="12"/>
        <v>5.1212093051780172E-3</v>
      </c>
      <c r="I123" s="3">
        <f t="shared" si="12"/>
        <v>5.1212093047979775E-3</v>
      </c>
      <c r="J123" s="3">
        <f t="shared" si="12"/>
        <v>5.1212093009975757E-3</v>
      </c>
      <c r="K123" s="3">
        <f t="shared" si="12"/>
        <v>5.1212092629935643E-3</v>
      </c>
      <c r="L123" s="3">
        <f t="shared" si="12"/>
        <v>5.1212088829534616E-3</v>
      </c>
      <c r="M123" s="3">
        <f t="shared" si="12"/>
        <v>5.1212050825539882E-3</v>
      </c>
      <c r="N123" s="3">
        <f t="shared" si="12"/>
        <v>5.1211670787143686E-3</v>
      </c>
      <c r="O123" s="3">
        <f t="shared" si="12"/>
        <v>5.1207870558290331E-3</v>
      </c>
      <c r="P123" s="3">
        <f t="shared" si="12"/>
        <v>5.1169883776356158E-3</v>
      </c>
      <c r="Q123" s="3">
        <f t="shared" si="12"/>
        <v>5.079156236769352E-3</v>
      </c>
      <c r="R123" s="3">
        <f t="shared" si="12"/>
        <v>4.7158826284277085E-3</v>
      </c>
      <c r="S123" s="3">
        <f t="shared" si="12"/>
        <v>2.2453143010439922E-3</v>
      </c>
      <c r="T123" s="3">
        <f t="shared" si="12"/>
        <v>1.3440601093092028E-6</v>
      </c>
      <c r="U123" s="3">
        <f t="shared" si="12"/>
        <v>7.9402501401734402E-39</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5">
        <v>0.11608849381954542</v>
      </c>
      <c r="C124" s="18">
        <f t="shared" si="9"/>
        <v>0.12149103003555009</v>
      </c>
      <c r="D124" s="17"/>
      <c r="E124" s="11"/>
      <c r="F124" s="3">
        <f t="shared" si="11"/>
        <v>0.12149103003554919</v>
      </c>
      <c r="G124" s="3">
        <f t="shared" si="12"/>
        <v>0.12149103003554106</v>
      </c>
      <c r="H124" s="3">
        <f t="shared" si="12"/>
        <v>0.12149103003545972</v>
      </c>
      <c r="I124" s="3">
        <f t="shared" si="12"/>
        <v>0.12149103003464644</v>
      </c>
      <c r="J124" s="3">
        <f t="shared" si="12"/>
        <v>0.12149103002651349</v>
      </c>
      <c r="K124" s="3">
        <f t="shared" si="12"/>
        <v>0.12149102994518406</v>
      </c>
      <c r="L124" s="3">
        <f t="shared" si="12"/>
        <v>0.12149102913188976</v>
      </c>
      <c r="M124" s="3">
        <f t="shared" si="12"/>
        <v>0.12149102099894717</v>
      </c>
      <c r="N124" s="3">
        <f t="shared" si="12"/>
        <v>0.12149093966955103</v>
      </c>
      <c r="O124" s="3">
        <f t="shared" si="12"/>
        <v>0.12149012637858421</v>
      </c>
      <c r="P124" s="3">
        <f t="shared" si="12"/>
        <v>0.1214819937683505</v>
      </c>
      <c r="Q124" s="3">
        <f t="shared" si="12"/>
        <v>0.12140069760205766</v>
      </c>
      <c r="R124" s="3">
        <f t="shared" si="12"/>
        <v>0.12059072214199643</v>
      </c>
      <c r="S124" s="3">
        <f t="shared" si="12"/>
        <v>0.1127823219362948</v>
      </c>
      <c r="T124" s="3">
        <f t="shared" si="12"/>
        <v>5.7744734335370904E-2</v>
      </c>
      <c r="U124" s="3">
        <f t="shared" si="12"/>
        <v>7.1486815160369855E-5</v>
      </c>
      <c r="V124" s="3">
        <f t="shared" si="12"/>
        <v>6.0445164415996259E-34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5">
        <v>0</v>
      </c>
      <c r="C125" s="18">
        <f t="shared" si="9"/>
        <v>0</v>
      </c>
      <c r="D125" s="17"/>
      <c r="E125" s="11"/>
      <c r="F125" s="3">
        <f t="shared" si="11"/>
        <v>0</v>
      </c>
      <c r="G125" s="3">
        <f t="shared" si="12"/>
        <v>0</v>
      </c>
      <c r="H125" s="3">
        <f t="shared" si="12"/>
        <v>0</v>
      </c>
      <c r="I125" s="3">
        <f t="shared" si="12"/>
        <v>0</v>
      </c>
      <c r="J125" s="3">
        <f t="shared" si="12"/>
        <v>0</v>
      </c>
      <c r="K125" s="3">
        <f t="shared" si="12"/>
        <v>0</v>
      </c>
      <c r="L125" s="3">
        <f t="shared" si="12"/>
        <v>0</v>
      </c>
      <c r="M125" s="3">
        <f t="shared" si="12"/>
        <v>0</v>
      </c>
      <c r="N125" s="3">
        <f t="shared" si="12"/>
        <v>0</v>
      </c>
      <c r="O125" s="3">
        <f t="shared" si="12"/>
        <v>0</v>
      </c>
      <c r="P125" s="3">
        <f t="shared" si="12"/>
        <v>0</v>
      </c>
      <c r="Q125" s="3">
        <f t="shared" si="12"/>
        <v>0</v>
      </c>
      <c r="R125" s="3">
        <f t="shared" si="12"/>
        <v>0</v>
      </c>
      <c r="S125" s="3">
        <f t="shared" si="12"/>
        <v>0</v>
      </c>
      <c r="T125" s="3">
        <f t="shared" si="12"/>
        <v>0</v>
      </c>
      <c r="U125" s="3">
        <f t="shared" si="12"/>
        <v>0</v>
      </c>
      <c r="V125" s="3">
        <f t="shared" si="12"/>
        <v>0</v>
      </c>
      <c r="W125" s="3">
        <f t="shared" si="12"/>
        <v>0</v>
      </c>
      <c r="X125" s="3">
        <f t="shared" si="12"/>
        <v>0</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5">
        <v>8.6660485492819184E-2</v>
      </c>
      <c r="C126" s="18">
        <f t="shared" si="9"/>
        <v>9.0693498550075996E-2</v>
      </c>
      <c r="D126" s="17"/>
      <c r="E126" s="11"/>
      <c r="F126" s="3">
        <f t="shared" si="11"/>
        <v>9.0693498550075982E-2</v>
      </c>
      <c r="G126" s="3">
        <f t="shared" si="12"/>
        <v>9.0693498550075941E-2</v>
      </c>
      <c r="H126" s="3">
        <f t="shared" si="12"/>
        <v>9.0693498550075441E-2</v>
      </c>
      <c r="I126" s="3">
        <f t="shared" si="12"/>
        <v>9.0693498550070514E-2</v>
      </c>
      <c r="J126" s="3">
        <f t="shared" si="12"/>
        <v>9.0693498550021096E-2</v>
      </c>
      <c r="K126" s="3">
        <f t="shared" si="12"/>
        <v>9.0693498549527046E-2</v>
      </c>
      <c r="L126" s="3">
        <f t="shared" si="12"/>
        <v>9.0693498544586526E-2</v>
      </c>
      <c r="M126" s="3">
        <f t="shared" si="12"/>
        <v>9.0693498495181296E-2</v>
      </c>
      <c r="N126" s="3">
        <f t="shared" si="12"/>
        <v>9.0693498001129094E-2</v>
      </c>
      <c r="O126" s="3">
        <f t="shared" si="12"/>
        <v>9.069349306060713E-2</v>
      </c>
      <c r="P126" s="3">
        <f t="shared" si="12"/>
        <v>9.0693443655402356E-2</v>
      </c>
      <c r="Q126" s="3">
        <f t="shared" si="12"/>
        <v>9.0692949604834705E-2</v>
      </c>
      <c r="R126" s="3">
        <f t="shared" si="12"/>
        <v>9.0688009247179041E-2</v>
      </c>
      <c r="S126" s="3">
        <f t="shared" si="12"/>
        <v>9.0638620469711037E-2</v>
      </c>
      <c r="T126" s="3">
        <f t="shared" si="12"/>
        <v>9.014620962538035E-2</v>
      </c>
      <c r="U126" s="3">
        <f t="shared" si="12"/>
        <v>8.5366860236033307E-2</v>
      </c>
      <c r="V126" s="3">
        <f t="shared" si="12"/>
        <v>4.9511682744553545E-2</v>
      </c>
      <c r="W126" s="3">
        <f t="shared" si="12"/>
        <v>2.1325119349283972E-4</v>
      </c>
      <c r="X126" s="3">
        <f t="shared" si="12"/>
        <v>4.6852126387405495E-28</v>
      </c>
      <c r="Y126" s="3">
        <f t="shared" si="12"/>
        <v>1.2277435559839998E-264</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5">
        <v>0.11194777531982238</v>
      </c>
      <c r="C127" s="18">
        <f t="shared" si="9"/>
        <v>0.1171576104255016</v>
      </c>
      <c r="D127" s="17"/>
      <c r="E127" s="11"/>
      <c r="F127" s="3">
        <f t="shared" si="11"/>
        <v>0.1171576104255016</v>
      </c>
      <c r="G127" s="3">
        <f t="shared" si="12"/>
        <v>0.1171576104255016</v>
      </c>
      <c r="H127" s="3">
        <f t="shared" si="12"/>
        <v>0.11715761042550153</v>
      </c>
      <c r="I127" s="3">
        <f t="shared" si="12"/>
        <v>0.11715761042550096</v>
      </c>
      <c r="J127" s="3">
        <f t="shared" si="12"/>
        <v>0.1171576104254952</v>
      </c>
      <c r="K127" s="3">
        <f t="shared" si="12"/>
        <v>0.11715761042543764</v>
      </c>
      <c r="L127" s="3">
        <f t="shared" si="12"/>
        <v>0.11715761042486192</v>
      </c>
      <c r="M127" s="3">
        <f t="shared" si="12"/>
        <v>0.11715761041910468</v>
      </c>
      <c r="N127" s="3">
        <f t="shared" si="12"/>
        <v>0.11715761036153234</v>
      </c>
      <c r="O127" s="3">
        <f t="shared" si="12"/>
        <v>0.11715760978580907</v>
      </c>
      <c r="P127" s="3">
        <f t="shared" si="12"/>
        <v>0.11715760402857647</v>
      </c>
      <c r="Q127" s="3">
        <f t="shared" si="12"/>
        <v>0.11715754645626601</v>
      </c>
      <c r="R127" s="3">
        <f t="shared" si="12"/>
        <v>0.11715697073471745</v>
      </c>
      <c r="S127" s="3">
        <f t="shared" si="12"/>
        <v>0.1171512136748324</v>
      </c>
      <c r="T127" s="3">
        <f t="shared" si="12"/>
        <v>0.11709365863320322</v>
      </c>
      <c r="U127" s="3">
        <f t="shared" si="12"/>
        <v>0.11651966111411398</v>
      </c>
      <c r="V127" s="3">
        <f t="shared" si="12"/>
        <v>0.11093218887336471</v>
      </c>
      <c r="W127" s="3">
        <f t="shared" si="12"/>
        <v>6.7864285024102147E-2</v>
      </c>
      <c r="X127" s="3">
        <f t="shared" si="12"/>
        <v>4.9828548204282396E-4</v>
      </c>
      <c r="Y127" s="3">
        <f t="shared" si="12"/>
        <v>2.2690694682687475E-25</v>
      </c>
      <c r="Z127" s="3">
        <f t="shared" si="12"/>
        <v>8.7004832519379017E-239</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5">
        <v>8.8289348427660425E-2</v>
      </c>
      <c r="C128" s="18">
        <f t="shared" si="9"/>
        <v>9.2398165646956465E-2</v>
      </c>
      <c r="D128" s="17"/>
      <c r="E128" s="11"/>
      <c r="F128" s="3">
        <f t="shared" si="11"/>
        <v>9.2398165646956465E-2</v>
      </c>
      <c r="G128" s="3">
        <f t="shared" si="12"/>
        <v>9.2398165646956465E-2</v>
      </c>
      <c r="H128" s="3">
        <f t="shared" si="12"/>
        <v>9.2398165646956465E-2</v>
      </c>
      <c r="I128" s="3">
        <f t="shared" si="12"/>
        <v>9.2398165646956423E-2</v>
      </c>
      <c r="J128" s="3">
        <f t="shared" si="12"/>
        <v>9.2398165646956007E-2</v>
      </c>
      <c r="K128" s="3">
        <f t="shared" si="12"/>
        <v>9.2398165646951913E-2</v>
      </c>
      <c r="L128" s="3">
        <f t="shared" si="12"/>
        <v>9.239816564691096E-2</v>
      </c>
      <c r="M128" s="3">
        <f t="shared" si="12"/>
        <v>9.2398165646501357E-2</v>
      </c>
      <c r="N128" s="3">
        <f t="shared" si="12"/>
        <v>9.2398165642405425E-2</v>
      </c>
      <c r="O128" s="3">
        <f t="shared" si="12"/>
        <v>9.239816560144605E-2</v>
      </c>
      <c r="P128" s="3">
        <f t="shared" si="12"/>
        <v>9.2398165191852399E-2</v>
      </c>
      <c r="Q128" s="3">
        <f t="shared" si="12"/>
        <v>9.2398161095915921E-2</v>
      </c>
      <c r="R128" s="3">
        <f t="shared" si="12"/>
        <v>9.2398120136561152E-2</v>
      </c>
      <c r="S128" s="3">
        <f t="shared" si="12"/>
        <v>9.2397710544012079E-2</v>
      </c>
      <c r="T128" s="3">
        <f t="shared" si="12"/>
        <v>9.2393614718382727E-2</v>
      </c>
      <c r="U128" s="3">
        <f t="shared" si="12"/>
        <v>9.2352666446596704E-2</v>
      </c>
      <c r="V128" s="3">
        <f t="shared" ref="G128:AJ136" si="13">$C128*EXP(-V$108/$A128)</f>
        <v>9.1944180543780132E-2</v>
      </c>
      <c r="W128" s="3">
        <f t="shared" si="13"/>
        <v>8.7957387268892059E-2</v>
      </c>
      <c r="X128" s="3">
        <f t="shared" si="13"/>
        <v>5.646158417948316E-2</v>
      </c>
      <c r="Y128" s="3">
        <f t="shared" si="13"/>
        <v>6.7074963986259184E-4</v>
      </c>
      <c r="Z128" s="3">
        <f t="shared" si="13"/>
        <v>3.7552109371173222E-23</v>
      </c>
      <c r="AA128" s="3">
        <f t="shared" si="13"/>
        <v>1.1359866483164067E-215</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5">
        <v>0.11184265956116979</v>
      </c>
      <c r="C129" s="18">
        <f t="shared" si="9"/>
        <v>0.11704760278071707</v>
      </c>
      <c r="D129" s="17"/>
      <c r="E129" s="11"/>
      <c r="F129" s="3">
        <f t="shared" si="11"/>
        <v>0.11704760278071707</v>
      </c>
      <c r="G129" s="3">
        <f t="shared" si="13"/>
        <v>0.11704760278071707</v>
      </c>
      <c r="H129" s="3">
        <f t="shared" si="13"/>
        <v>0.11704760278071707</v>
      </c>
      <c r="I129" s="3">
        <f t="shared" si="13"/>
        <v>0.11704760278071707</v>
      </c>
      <c r="J129" s="3">
        <f t="shared" si="13"/>
        <v>0.11704760278071702</v>
      </c>
      <c r="K129" s="3">
        <f t="shared" si="13"/>
        <v>0.11704760278071656</v>
      </c>
      <c r="L129" s="3">
        <f t="shared" si="13"/>
        <v>0.11704760278071187</v>
      </c>
      <c r="M129" s="3">
        <f t="shared" si="13"/>
        <v>0.11704760278066507</v>
      </c>
      <c r="N129" s="3">
        <f t="shared" si="13"/>
        <v>0.117047602780197</v>
      </c>
      <c r="O129" s="3">
        <f t="shared" si="13"/>
        <v>0.11704760277551644</v>
      </c>
      <c r="P129" s="3">
        <f t="shared" si="13"/>
        <v>0.11704760272871072</v>
      </c>
      <c r="Q129" s="3">
        <f t="shared" si="13"/>
        <v>0.11704760226065344</v>
      </c>
      <c r="R129" s="3">
        <f t="shared" si="13"/>
        <v>0.11704759758008093</v>
      </c>
      <c r="S129" s="3">
        <f t="shared" si="13"/>
        <v>0.11704755077436602</v>
      </c>
      <c r="T129" s="3">
        <f t="shared" si="13"/>
        <v>0.11704708271824624</v>
      </c>
      <c r="U129" s="3">
        <f t="shared" si="13"/>
        <v>0.11704240225999006</v>
      </c>
      <c r="V129" s="3">
        <f t="shared" si="13"/>
        <v>0.11699560797006762</v>
      </c>
      <c r="W129" s="3">
        <f t="shared" si="13"/>
        <v>0.11652869281351476</v>
      </c>
      <c r="X129" s="3">
        <f t="shared" si="13"/>
        <v>0.11196081101670716</v>
      </c>
      <c r="Y129" s="3">
        <f t="shared" si="13"/>
        <v>7.5058113746999458E-2</v>
      </c>
      <c r="Z129" s="3">
        <f t="shared" si="13"/>
        <v>1.3763020296522252E-3</v>
      </c>
      <c r="AA129" s="3">
        <f t="shared" si="13"/>
        <v>5.9139111062555768E-21</v>
      </c>
      <c r="AB129" s="3">
        <f t="shared" si="13"/>
        <v>1.2690689286850999E-194</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5">
        <v>8.3915264093269173E-2</v>
      </c>
      <c r="C130" s="18">
        <f t="shared" si="9"/>
        <v>8.782051980314344E-2</v>
      </c>
      <c r="D130" s="17"/>
      <c r="E130" s="11"/>
      <c r="F130" s="3">
        <f t="shared" si="11"/>
        <v>8.782051980314344E-2</v>
      </c>
      <c r="G130" s="3">
        <f t="shared" si="13"/>
        <v>8.782051980314344E-2</v>
      </c>
      <c r="H130" s="3">
        <f t="shared" si="13"/>
        <v>8.782051980314344E-2</v>
      </c>
      <c r="I130" s="3">
        <f t="shared" si="13"/>
        <v>8.782051980314344E-2</v>
      </c>
      <c r="J130" s="3">
        <f t="shared" si="13"/>
        <v>8.782051980314344E-2</v>
      </c>
      <c r="K130" s="3">
        <f t="shared" si="13"/>
        <v>8.7820519803143399E-2</v>
      </c>
      <c r="L130" s="3">
        <f t="shared" si="13"/>
        <v>8.7820519803143093E-2</v>
      </c>
      <c r="M130" s="3">
        <f t="shared" si="13"/>
        <v>8.7820519803139915E-2</v>
      </c>
      <c r="N130" s="3">
        <f t="shared" si="13"/>
        <v>8.7820519803108246E-2</v>
      </c>
      <c r="O130" s="3">
        <f t="shared" si="13"/>
        <v>8.7820519802791444E-2</v>
      </c>
      <c r="P130" s="3">
        <f t="shared" si="13"/>
        <v>8.7820519799623492E-2</v>
      </c>
      <c r="Q130" s="3">
        <f t="shared" si="13"/>
        <v>8.782051976794393E-2</v>
      </c>
      <c r="R130" s="3">
        <f t="shared" si="13"/>
        <v>8.7820519451148396E-2</v>
      </c>
      <c r="S130" s="3">
        <f t="shared" si="13"/>
        <v>8.7820516283193054E-2</v>
      </c>
      <c r="T130" s="3">
        <f t="shared" si="13"/>
        <v>8.7820484603645943E-2</v>
      </c>
      <c r="U130" s="3">
        <f t="shared" si="13"/>
        <v>8.7820167808803348E-2</v>
      </c>
      <c r="V130" s="3">
        <f t="shared" si="13"/>
        <v>8.781699992322925E-2</v>
      </c>
      <c r="W130" s="3">
        <f t="shared" si="13"/>
        <v>8.7785327351838874E-2</v>
      </c>
      <c r="X130" s="3">
        <f t="shared" si="13"/>
        <v>8.7469229235023635E-2</v>
      </c>
      <c r="Y130" s="3">
        <f t="shared" si="13"/>
        <v>8.4370178140856053E-2</v>
      </c>
      <c r="Z130" s="3">
        <f t="shared" si="13"/>
        <v>5.8820082711358218E-2</v>
      </c>
      <c r="AA130" s="3">
        <f t="shared" si="13"/>
        <v>1.5954833583752004E-3</v>
      </c>
      <c r="AB130" s="3">
        <f t="shared" si="13"/>
        <v>3.4400024875892745E-19</v>
      </c>
      <c r="AC130" s="3">
        <f t="shared" si="13"/>
        <v>7.4683306288629153E-176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5">
        <v>2.5087199701842769E-2</v>
      </c>
      <c r="C131" s="18">
        <f t="shared" si="9"/>
        <v>2.6254709938972984E-2</v>
      </c>
      <c r="D131" s="17"/>
      <c r="E131" s="11"/>
      <c r="F131" s="3">
        <f t="shared" si="11"/>
        <v>2.6254709938972984E-2</v>
      </c>
      <c r="G131" s="3">
        <f t="shared" si="13"/>
        <v>2.6254709938972984E-2</v>
      </c>
      <c r="H131" s="3">
        <f t="shared" si="13"/>
        <v>2.6254709938972984E-2</v>
      </c>
      <c r="I131" s="3">
        <f t="shared" si="13"/>
        <v>2.6254709938972984E-2</v>
      </c>
      <c r="J131" s="3">
        <f t="shared" si="13"/>
        <v>2.6254709938972984E-2</v>
      </c>
      <c r="K131" s="3">
        <f t="shared" si="13"/>
        <v>2.6254709938972984E-2</v>
      </c>
      <c r="L131" s="3">
        <f t="shared" si="13"/>
        <v>2.6254709938972973E-2</v>
      </c>
      <c r="M131" s="3">
        <f t="shared" si="13"/>
        <v>2.6254709938972887E-2</v>
      </c>
      <c r="N131" s="3">
        <f t="shared" si="13"/>
        <v>2.6254709938972033E-2</v>
      </c>
      <c r="O131" s="3">
        <f t="shared" si="13"/>
        <v>2.6254709938963491E-2</v>
      </c>
      <c r="P131" s="3">
        <f t="shared" si="13"/>
        <v>2.6254709938878056E-2</v>
      </c>
      <c r="Q131" s="3">
        <f t="shared" si="13"/>
        <v>2.6254709938023705E-2</v>
      </c>
      <c r="R131" s="3">
        <f t="shared" si="13"/>
        <v>2.6254709929480181E-2</v>
      </c>
      <c r="S131" s="3">
        <f t="shared" si="13"/>
        <v>2.6254709844044974E-2</v>
      </c>
      <c r="T131" s="3">
        <f t="shared" si="13"/>
        <v>2.625470898969293E-2</v>
      </c>
      <c r="U131" s="3">
        <f t="shared" si="13"/>
        <v>2.6254700446174006E-2</v>
      </c>
      <c r="V131" s="3">
        <f t="shared" si="13"/>
        <v>2.6254615011137641E-2</v>
      </c>
      <c r="W131" s="3">
        <f t="shared" si="13"/>
        <v>2.6253760676064584E-2</v>
      </c>
      <c r="X131" s="3">
        <f t="shared" si="13"/>
        <v>2.6245218854205946E-2</v>
      </c>
      <c r="Y131" s="3">
        <f t="shared" si="13"/>
        <v>2.6159953338895901E-2</v>
      </c>
      <c r="Z131" s="3">
        <f t="shared" si="13"/>
        <v>2.5322386245974885E-2</v>
      </c>
      <c r="AA131" s="3">
        <f t="shared" si="13"/>
        <v>1.8288633942867231E-2</v>
      </c>
      <c r="AB131" s="3">
        <f t="shared" si="13"/>
        <v>7.0623242342871646E-4</v>
      </c>
      <c r="AC131" s="3">
        <f t="shared" si="13"/>
        <v>5.2072868506432833E-18</v>
      </c>
      <c r="AD131" s="3">
        <f t="shared" si="13"/>
        <v>2.4731473893052795E-159</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5">
        <v>3.949860837307366E-2</v>
      </c>
      <c r="C132" s="18">
        <f t="shared" si="9"/>
        <v>4.1336797974784102E-2</v>
      </c>
      <c r="D132" s="17"/>
      <c r="E132" s="11"/>
      <c r="F132" s="3">
        <f t="shared" si="11"/>
        <v>4.1336797974784102E-2</v>
      </c>
      <c r="G132" s="3">
        <f t="shared" si="13"/>
        <v>4.1336797974784102E-2</v>
      </c>
      <c r="H132" s="3">
        <f t="shared" si="13"/>
        <v>4.1336797974784102E-2</v>
      </c>
      <c r="I132" s="3">
        <f t="shared" si="13"/>
        <v>4.1336797974784102E-2</v>
      </c>
      <c r="J132" s="3">
        <f t="shared" si="13"/>
        <v>4.1336797974784102E-2</v>
      </c>
      <c r="K132" s="3">
        <f t="shared" si="13"/>
        <v>4.1336797974784102E-2</v>
      </c>
      <c r="L132" s="3">
        <f t="shared" si="13"/>
        <v>4.1336797974784095E-2</v>
      </c>
      <c r="M132" s="3">
        <f t="shared" si="13"/>
        <v>4.1336797974784061E-2</v>
      </c>
      <c r="N132" s="3">
        <f t="shared" si="13"/>
        <v>4.1336797974783686E-2</v>
      </c>
      <c r="O132" s="3">
        <f t="shared" si="13"/>
        <v>4.1336797974779967E-2</v>
      </c>
      <c r="P132" s="3">
        <f t="shared" si="13"/>
        <v>4.1336797974742767E-2</v>
      </c>
      <c r="Q132" s="3">
        <f t="shared" si="13"/>
        <v>4.1336797974370731E-2</v>
      </c>
      <c r="R132" s="3">
        <f t="shared" si="13"/>
        <v>4.1336797970650423E-2</v>
      </c>
      <c r="S132" s="3">
        <f t="shared" si="13"/>
        <v>4.1336797933447307E-2</v>
      </c>
      <c r="T132" s="3">
        <f t="shared" si="13"/>
        <v>4.1336797561416123E-2</v>
      </c>
      <c r="U132" s="3">
        <f t="shared" si="13"/>
        <v>4.1336793841104516E-2</v>
      </c>
      <c r="V132" s="3">
        <f t="shared" si="13"/>
        <v>4.1336756638006796E-2</v>
      </c>
      <c r="W132" s="3">
        <f t="shared" si="13"/>
        <v>4.1336384608871186E-2</v>
      </c>
      <c r="X132" s="3">
        <f t="shared" si="13"/>
        <v>4.1332664501663723E-2</v>
      </c>
      <c r="Y132" s="3">
        <f t="shared" si="13"/>
        <v>4.1295481838320561E-2</v>
      </c>
      <c r="Z132" s="3">
        <f t="shared" si="13"/>
        <v>4.0925489962657949E-2</v>
      </c>
      <c r="AA132" s="3">
        <f t="shared" si="13"/>
        <v>3.7403081549377729E-2</v>
      </c>
      <c r="AB132" s="3">
        <f t="shared" si="13"/>
        <v>1.5206958138780384E-2</v>
      </c>
      <c r="AC132" s="3">
        <f t="shared" si="13"/>
        <v>1.8766877246612243E-6</v>
      </c>
      <c r="AD132" s="3">
        <f t="shared" si="13"/>
        <v>1.537760290716211E-45</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5">
        <v>9.5599743612226496E-3</v>
      </c>
      <c r="C133" s="18">
        <f t="shared" si="9"/>
        <v>1.0004877262546067E-2</v>
      </c>
      <c r="D133" s="17"/>
      <c r="E133" s="11"/>
      <c r="F133" s="3">
        <f t="shared" si="11"/>
        <v>1.0004877262546067E-2</v>
      </c>
      <c r="G133" s="3">
        <f t="shared" si="13"/>
        <v>1.0004877262546067E-2</v>
      </c>
      <c r="H133" s="3">
        <f t="shared" si="13"/>
        <v>1.0004877262546067E-2</v>
      </c>
      <c r="I133" s="3">
        <f t="shared" si="13"/>
        <v>1.0004877262546067E-2</v>
      </c>
      <c r="J133" s="3">
        <f t="shared" si="13"/>
        <v>1.0004877262546067E-2</v>
      </c>
      <c r="K133" s="3">
        <f t="shared" si="13"/>
        <v>1.0004877262546067E-2</v>
      </c>
      <c r="L133" s="3">
        <f t="shared" si="13"/>
        <v>1.0004877262546067E-2</v>
      </c>
      <c r="M133" s="3">
        <f t="shared" si="13"/>
        <v>1.0004877262546065E-2</v>
      </c>
      <c r="N133" s="3">
        <f t="shared" si="13"/>
        <v>1.0004877262546057E-2</v>
      </c>
      <c r="O133" s="3">
        <f t="shared" si="13"/>
        <v>1.0004877262545966E-2</v>
      </c>
      <c r="P133" s="3">
        <f t="shared" si="13"/>
        <v>1.0004877262545066E-2</v>
      </c>
      <c r="Q133" s="3">
        <f t="shared" si="13"/>
        <v>1.0004877262536063E-2</v>
      </c>
      <c r="R133" s="3">
        <f t="shared" si="13"/>
        <v>1.0004877262446019E-2</v>
      </c>
      <c r="S133" s="3">
        <f t="shared" si="13"/>
        <v>1.0004877261545579E-2</v>
      </c>
      <c r="T133" s="3">
        <f t="shared" si="13"/>
        <v>1.000487725254119E-2</v>
      </c>
      <c r="U133" s="3">
        <f t="shared" si="13"/>
        <v>1.0004877162497296E-2</v>
      </c>
      <c r="V133" s="3">
        <f t="shared" si="13"/>
        <v>1.0004876262058392E-2</v>
      </c>
      <c r="W133" s="3">
        <f t="shared" si="13"/>
        <v>1.0004867257673807E-2</v>
      </c>
      <c r="X133" s="3">
        <f t="shared" si="13"/>
        <v>1.0004777214273683E-2</v>
      </c>
      <c r="Y133" s="3">
        <f t="shared" si="13"/>
        <v>1.0003876824842531E-2</v>
      </c>
      <c r="Z133" s="3">
        <f t="shared" si="13"/>
        <v>9.9948773860550899E-3</v>
      </c>
      <c r="AA133" s="3">
        <f t="shared" si="13"/>
        <v>9.905327070464565E-3</v>
      </c>
      <c r="AB133" s="3">
        <f t="shared" si="13"/>
        <v>9.052787310008862E-3</v>
      </c>
      <c r="AC133" s="3">
        <f t="shared" si="13"/>
        <v>3.680588656334317E-3</v>
      </c>
      <c r="AD133" s="3">
        <f t="shared" si="13"/>
        <v>4.542207250018732E-7</v>
      </c>
      <c r="AE133" s="3">
        <f t="shared" si="13"/>
        <v>3.7218903547434731E-46</v>
      </c>
      <c r="AF133" s="3">
        <f t="shared" si="13"/>
        <v>0</v>
      </c>
      <c r="AG133" s="3">
        <f t="shared" si="13"/>
        <v>0</v>
      </c>
      <c r="AH133" s="3">
        <f t="shared" si="13"/>
        <v>0</v>
      </c>
      <c r="AI133" s="3">
        <f t="shared" si="13"/>
        <v>0</v>
      </c>
      <c r="AJ133" s="3">
        <f t="shared" si="13"/>
        <v>0</v>
      </c>
    </row>
    <row r="134" spans="1:36" x14ac:dyDescent="0.25">
      <c r="A134" s="3">
        <f t="shared" si="14"/>
        <v>1000000000</v>
      </c>
      <c r="B134" s="105">
        <v>2.5822207231615919E-3</v>
      </c>
      <c r="C134" s="18">
        <f t="shared" si="9"/>
        <v>2.702392331178867E-3</v>
      </c>
      <c r="D134" s="17"/>
      <c r="E134" s="11"/>
      <c r="F134" s="3">
        <f t="shared" si="11"/>
        <v>2.702392331178867E-3</v>
      </c>
      <c r="G134" s="3">
        <f t="shared" si="13"/>
        <v>2.702392331178867E-3</v>
      </c>
      <c r="H134" s="3">
        <f t="shared" si="13"/>
        <v>2.702392331178867E-3</v>
      </c>
      <c r="I134" s="3">
        <f t="shared" si="13"/>
        <v>2.702392331178867E-3</v>
      </c>
      <c r="J134" s="3">
        <f t="shared" si="13"/>
        <v>2.702392331178867E-3</v>
      </c>
      <c r="K134" s="3">
        <f t="shared" si="13"/>
        <v>2.702392331178867E-3</v>
      </c>
      <c r="L134" s="3">
        <f t="shared" si="13"/>
        <v>2.702392331178867E-3</v>
      </c>
      <c r="M134" s="3">
        <f t="shared" si="13"/>
        <v>2.702392331178867E-3</v>
      </c>
      <c r="N134" s="3">
        <f t="shared" si="13"/>
        <v>2.7023923311788665E-3</v>
      </c>
      <c r="O134" s="3">
        <f t="shared" si="13"/>
        <v>2.7023923311788644E-3</v>
      </c>
      <c r="P134" s="3">
        <f t="shared" si="13"/>
        <v>2.7023923311788401E-3</v>
      </c>
      <c r="Q134" s="3">
        <f t="shared" si="13"/>
        <v>2.7023923311785968E-3</v>
      </c>
      <c r="R134" s="3">
        <f t="shared" si="13"/>
        <v>2.7023923311761647E-3</v>
      </c>
      <c r="S134" s="3">
        <f t="shared" si="13"/>
        <v>2.702392331151843E-3</v>
      </c>
      <c r="T134" s="3">
        <f t="shared" si="13"/>
        <v>2.7023923309086278E-3</v>
      </c>
      <c r="U134" s="3">
        <f t="shared" si="13"/>
        <v>2.7023923284764748E-3</v>
      </c>
      <c r="V134" s="3">
        <f t="shared" si="13"/>
        <v>2.7023923041549439E-3</v>
      </c>
      <c r="W134" s="3">
        <f t="shared" si="13"/>
        <v>2.7023920609396475E-3</v>
      </c>
      <c r="X134" s="3">
        <f t="shared" si="13"/>
        <v>2.7023896287878871E-3</v>
      </c>
      <c r="Y134" s="3">
        <f t="shared" si="13"/>
        <v>2.7023653073906745E-3</v>
      </c>
      <c r="Z134" s="3">
        <f t="shared" si="13"/>
        <v>2.7021221054572605E-3</v>
      </c>
      <c r="AA134" s="3">
        <f t="shared" si="13"/>
        <v>2.6996912895935676E-3</v>
      </c>
      <c r="AB134" s="3">
        <f t="shared" si="13"/>
        <v>2.675503078208664E-3</v>
      </c>
      <c r="AC134" s="3">
        <f t="shared" si="13"/>
        <v>2.4452256994640636E-3</v>
      </c>
      <c r="AD134" s="3">
        <f t="shared" si="13"/>
        <v>9.9415458062007299E-4</v>
      </c>
      <c r="AE134" s="3">
        <f t="shared" si="13"/>
        <v>1.2268842202619827E-7</v>
      </c>
      <c r="AF134" s="3">
        <f t="shared" si="13"/>
        <v>1.0053104789001445E-46</v>
      </c>
      <c r="AG134" s="3">
        <f t="shared" si="13"/>
        <v>0</v>
      </c>
      <c r="AH134" s="3">
        <f t="shared" si="13"/>
        <v>0</v>
      </c>
      <c r="AI134" s="3">
        <f t="shared" si="13"/>
        <v>0</v>
      </c>
      <c r="AJ134" s="3">
        <f t="shared" si="13"/>
        <v>0</v>
      </c>
    </row>
    <row r="135" spans="1:36" x14ac:dyDescent="0.25">
      <c r="A135" s="3">
        <f t="shared" si="14"/>
        <v>10000000000</v>
      </c>
      <c r="B135" s="105">
        <v>2.9062786837318151E-3</v>
      </c>
      <c r="C135" s="18">
        <f t="shared" si="9"/>
        <v>3.0415313287275409E-3</v>
      </c>
      <c r="D135" s="17"/>
      <c r="E135" s="11"/>
      <c r="F135" s="3">
        <f t="shared" si="11"/>
        <v>3.0415313287275409E-3</v>
      </c>
      <c r="G135" s="3">
        <f t="shared" si="13"/>
        <v>3.0415313287275409E-3</v>
      </c>
      <c r="H135" s="3">
        <f t="shared" si="13"/>
        <v>3.0415313287275409E-3</v>
      </c>
      <c r="I135" s="3">
        <f t="shared" si="13"/>
        <v>3.0415313287275409E-3</v>
      </c>
      <c r="J135" s="3">
        <f t="shared" si="13"/>
        <v>3.0415313287275409E-3</v>
      </c>
      <c r="K135" s="3">
        <f t="shared" si="13"/>
        <v>3.0415313287275409E-3</v>
      </c>
      <c r="L135" s="3">
        <f t="shared" si="13"/>
        <v>3.0415313287275409E-3</v>
      </c>
      <c r="M135" s="3">
        <f t="shared" si="13"/>
        <v>3.0415313287275409E-3</v>
      </c>
      <c r="N135" s="3">
        <f t="shared" si="13"/>
        <v>3.0415313287275409E-3</v>
      </c>
      <c r="O135" s="3">
        <f t="shared" si="13"/>
        <v>3.0415313287275405E-3</v>
      </c>
      <c r="P135" s="3">
        <f t="shared" si="13"/>
        <v>3.0415313287275379E-3</v>
      </c>
      <c r="Q135" s="3">
        <f t="shared" si="13"/>
        <v>3.0415313287275106E-3</v>
      </c>
      <c r="R135" s="3">
        <f t="shared" si="13"/>
        <v>3.0415313287272365E-3</v>
      </c>
      <c r="S135" s="3">
        <f t="shared" si="13"/>
        <v>3.0415313287244995E-3</v>
      </c>
      <c r="T135" s="3">
        <f t="shared" si="13"/>
        <v>3.0415313286971256E-3</v>
      </c>
      <c r="U135" s="3">
        <f t="shared" si="13"/>
        <v>3.041531328423388E-3</v>
      </c>
      <c r="V135" s="3">
        <f t="shared" si="13"/>
        <v>3.0415313256860095E-3</v>
      </c>
      <c r="W135" s="3">
        <f t="shared" si="13"/>
        <v>3.0415312983122279E-3</v>
      </c>
      <c r="X135" s="3">
        <f t="shared" si="13"/>
        <v>3.0415310245744233E-3</v>
      </c>
      <c r="Y135" s="3">
        <f t="shared" si="13"/>
        <v>3.041528287197733E-3</v>
      </c>
      <c r="Z135" s="3">
        <f t="shared" si="13"/>
        <v>3.0415009135663297E-3</v>
      </c>
      <c r="AA135" s="3">
        <f t="shared" si="13"/>
        <v>3.041227190801818E-3</v>
      </c>
      <c r="AB135" s="3">
        <f t="shared" si="13"/>
        <v>3.0384913176576826E-3</v>
      </c>
      <c r="AC135" s="3">
        <f t="shared" si="13"/>
        <v>3.0112675863495884E-3</v>
      </c>
      <c r="AD135" s="3">
        <f t="shared" si="13"/>
        <v>2.7520913543613093E-3</v>
      </c>
      <c r="AE135" s="3">
        <f t="shared" si="13"/>
        <v>1.1189168455177222E-3</v>
      </c>
      <c r="AF135" s="3">
        <f t="shared" si="13"/>
        <v>1.3808530869462759E-7</v>
      </c>
      <c r="AG135" s="3">
        <f t="shared" si="13"/>
        <v>1.1314727626314057E-46</v>
      </c>
      <c r="AH135" s="3">
        <f t="shared" si="13"/>
        <v>0</v>
      </c>
      <c r="AI135" s="3">
        <f t="shared" si="13"/>
        <v>0</v>
      </c>
      <c r="AJ135" s="3">
        <f t="shared" si="13"/>
        <v>0</v>
      </c>
    </row>
    <row r="136" spans="1:36" x14ac:dyDescent="0.25">
      <c r="A136" s="3">
        <f t="shared" si="14"/>
        <v>100000000000</v>
      </c>
      <c r="B136" s="105">
        <v>0</v>
      </c>
      <c r="C136" s="18">
        <f t="shared" si="9"/>
        <v>0</v>
      </c>
      <c r="D136" s="17"/>
      <c r="E136" s="11"/>
      <c r="F136" s="3">
        <f t="shared" si="11"/>
        <v>0</v>
      </c>
      <c r="G136" s="3">
        <f t="shared" si="13"/>
        <v>0</v>
      </c>
      <c r="H136" s="3">
        <f t="shared" si="13"/>
        <v>0</v>
      </c>
      <c r="I136" s="3">
        <f t="shared" si="13"/>
        <v>0</v>
      </c>
      <c r="J136" s="3">
        <f t="shared" si="13"/>
        <v>0</v>
      </c>
      <c r="K136" s="3">
        <f t="shared" si="13"/>
        <v>0</v>
      </c>
      <c r="L136" s="3">
        <f t="shared" si="13"/>
        <v>0</v>
      </c>
      <c r="M136" s="3">
        <f t="shared" si="13"/>
        <v>0</v>
      </c>
      <c r="N136" s="3">
        <f t="shared" si="13"/>
        <v>0</v>
      </c>
      <c r="O136" s="3">
        <f t="shared" si="13"/>
        <v>0</v>
      </c>
      <c r="P136" s="3">
        <f t="shared" si="13"/>
        <v>0</v>
      </c>
      <c r="Q136" s="3">
        <f t="shared" si="13"/>
        <v>0</v>
      </c>
      <c r="R136" s="3">
        <f t="shared" si="13"/>
        <v>0</v>
      </c>
      <c r="S136" s="3">
        <f t="shared" si="13"/>
        <v>0</v>
      </c>
      <c r="T136" s="3">
        <f t="shared" si="13"/>
        <v>0</v>
      </c>
      <c r="U136" s="3">
        <f t="shared" si="13"/>
        <v>0</v>
      </c>
      <c r="V136" s="3">
        <f t="shared" si="13"/>
        <v>0</v>
      </c>
      <c r="W136" s="3">
        <f t="shared" si="13"/>
        <v>0</v>
      </c>
      <c r="X136" s="3">
        <f t="shared" si="13"/>
        <v>0</v>
      </c>
      <c r="Y136" s="3">
        <f t="shared" si="13"/>
        <v>0</v>
      </c>
      <c r="Z136" s="3">
        <f t="shared" si="13"/>
        <v>0</v>
      </c>
      <c r="AA136" s="3">
        <f t="shared" si="13"/>
        <v>0</v>
      </c>
      <c r="AB136" s="3">
        <f t="shared" si="13"/>
        <v>0</v>
      </c>
      <c r="AC136" s="3">
        <f t="shared" si="13"/>
        <v>0</v>
      </c>
      <c r="AD136" s="3">
        <f t="shared" si="13"/>
        <v>0</v>
      </c>
      <c r="AE136" s="3">
        <f t="shared" si="13"/>
        <v>0</v>
      </c>
      <c r="AF136" s="3">
        <f t="shared" si="13"/>
        <v>0</v>
      </c>
      <c r="AG136" s="3">
        <f t="shared" si="13"/>
        <v>0</v>
      </c>
      <c r="AH136" s="3">
        <f t="shared" si="13"/>
        <v>0</v>
      </c>
      <c r="AI136" s="3">
        <f t="shared" si="13"/>
        <v>0</v>
      </c>
      <c r="AJ136" s="3">
        <f t="shared" si="13"/>
        <v>0</v>
      </c>
    </row>
    <row r="137" spans="1:36" x14ac:dyDescent="0.25">
      <c r="A137" s="3">
        <f t="shared" si="14"/>
        <v>1000000000000</v>
      </c>
      <c r="B137" s="105">
        <v>6.1422922523215627E-4</v>
      </c>
      <c r="C137" s="18">
        <f t="shared" si="9"/>
        <v>6.4281427724776361E-4</v>
      </c>
      <c r="D137" s="17"/>
      <c r="E137" s="11"/>
      <c r="F137" s="3">
        <f t="shared" si="11"/>
        <v>6.4281427724776361E-4</v>
      </c>
      <c r="G137" s="3">
        <f t="shared" ref="G137:AJ141" si="15">$C137*EXP(-G$108/$A137)</f>
        <v>6.4281427724776361E-4</v>
      </c>
      <c r="H137" s="3">
        <f t="shared" si="15"/>
        <v>6.4281427724776361E-4</v>
      </c>
      <c r="I137" s="3">
        <f t="shared" si="15"/>
        <v>6.4281427724776361E-4</v>
      </c>
      <c r="J137" s="3">
        <f t="shared" si="15"/>
        <v>6.4281427724776361E-4</v>
      </c>
      <c r="K137" s="3">
        <f t="shared" si="15"/>
        <v>6.4281427724776361E-4</v>
      </c>
      <c r="L137" s="3">
        <f t="shared" si="15"/>
        <v>6.4281427724776361E-4</v>
      </c>
      <c r="M137" s="3">
        <f t="shared" si="15"/>
        <v>6.4281427724776361E-4</v>
      </c>
      <c r="N137" s="3">
        <f t="shared" si="15"/>
        <v>6.4281427724776361E-4</v>
      </c>
      <c r="O137" s="3">
        <f t="shared" si="15"/>
        <v>6.4281427724776361E-4</v>
      </c>
      <c r="P137" s="3">
        <f t="shared" si="15"/>
        <v>6.4281427724776361E-4</v>
      </c>
      <c r="Q137" s="3">
        <f t="shared" si="15"/>
        <v>6.428142772477635E-4</v>
      </c>
      <c r="R137" s="3">
        <f t="shared" si="15"/>
        <v>6.4281427724776296E-4</v>
      </c>
      <c r="S137" s="3">
        <f t="shared" si="15"/>
        <v>6.4281427724775721E-4</v>
      </c>
      <c r="T137" s="3">
        <f t="shared" si="15"/>
        <v>6.4281427724769931E-4</v>
      </c>
      <c r="U137" s="3">
        <f t="shared" si="15"/>
        <v>6.4281427724712078E-4</v>
      </c>
      <c r="V137" s="3">
        <f t="shared" si="15"/>
        <v>6.4281427724133548E-4</v>
      </c>
      <c r="W137" s="3">
        <f t="shared" si="15"/>
        <v>6.4281427718348213E-4</v>
      </c>
      <c r="X137" s="3">
        <f t="shared" si="15"/>
        <v>6.4281427660494936E-4</v>
      </c>
      <c r="Y137" s="3">
        <f t="shared" si="15"/>
        <v>6.4281427081962087E-4</v>
      </c>
      <c r="Z137" s="3">
        <f t="shared" si="15"/>
        <v>6.4281421296633913E-4</v>
      </c>
      <c r="AA137" s="3">
        <f t="shared" si="15"/>
        <v>6.4281363443380779E-4</v>
      </c>
      <c r="AB137" s="3">
        <f t="shared" si="15"/>
        <v>6.4280784913713172E-4</v>
      </c>
      <c r="AC137" s="3">
        <f t="shared" si="15"/>
        <v>6.4274999903400306E-4</v>
      </c>
      <c r="AD137" s="3">
        <f t="shared" si="15"/>
        <v>6.4217178427054551E-4</v>
      </c>
      <c r="AE137" s="3">
        <f t="shared" si="15"/>
        <v>6.3641816832073997E-4</v>
      </c>
      <c r="AF137" s="3">
        <f t="shared" si="15"/>
        <v>5.8164241090151783E-4</v>
      </c>
      <c r="AG137" s="3">
        <f t="shared" si="15"/>
        <v>2.3647815709093188E-4</v>
      </c>
      <c r="AH137" s="3">
        <f t="shared" si="15"/>
        <v>2.9183723037370934E-8</v>
      </c>
      <c r="AI137" s="3">
        <f t="shared" si="15"/>
        <v>2.3913179498326024E-47</v>
      </c>
      <c r="AJ137" s="3">
        <f t="shared" si="15"/>
        <v>0</v>
      </c>
    </row>
    <row r="138" spans="1:36" x14ac:dyDescent="0.25">
      <c r="A138" s="3">
        <f t="shared" si="14"/>
        <v>10000000000000</v>
      </c>
      <c r="B138" s="105">
        <v>3.9652513274774899E-4</v>
      </c>
      <c r="C138" s="18">
        <f t="shared" si="9"/>
        <v>4.1497865315913272E-4</v>
      </c>
      <c r="D138" s="17"/>
      <c r="E138" s="11"/>
      <c r="F138" s="3">
        <f t="shared" si="11"/>
        <v>4.1497865315913272E-4</v>
      </c>
      <c r="G138" s="3">
        <f t="shared" si="15"/>
        <v>4.1497865315913272E-4</v>
      </c>
      <c r="H138" s="3">
        <f t="shared" si="15"/>
        <v>4.1497865315913272E-4</v>
      </c>
      <c r="I138" s="3">
        <f t="shared" si="15"/>
        <v>4.1497865315913272E-4</v>
      </c>
      <c r="J138" s="3">
        <f t="shared" si="15"/>
        <v>4.1497865315913272E-4</v>
      </c>
      <c r="K138" s="3">
        <f t="shared" si="15"/>
        <v>4.1497865315913272E-4</v>
      </c>
      <c r="L138" s="3">
        <f t="shared" si="15"/>
        <v>4.1497865315913272E-4</v>
      </c>
      <c r="M138" s="3">
        <f t="shared" si="15"/>
        <v>4.1497865315913272E-4</v>
      </c>
      <c r="N138" s="3">
        <f t="shared" si="15"/>
        <v>4.1497865315913272E-4</v>
      </c>
      <c r="O138" s="3">
        <f t="shared" si="15"/>
        <v>4.1497865315913272E-4</v>
      </c>
      <c r="P138" s="3">
        <f t="shared" si="15"/>
        <v>4.1497865315913272E-4</v>
      </c>
      <c r="Q138" s="3">
        <f t="shared" si="15"/>
        <v>4.1497865315913272E-4</v>
      </c>
      <c r="R138" s="3">
        <f t="shared" si="15"/>
        <v>4.1497865315913267E-4</v>
      </c>
      <c r="S138" s="3">
        <f t="shared" si="15"/>
        <v>4.1497865315913229E-4</v>
      </c>
      <c r="T138" s="3">
        <f t="shared" si="15"/>
        <v>4.149786531591286E-4</v>
      </c>
      <c r="U138" s="3">
        <f t="shared" si="15"/>
        <v>4.1497865315909119E-4</v>
      </c>
      <c r="V138" s="3">
        <f t="shared" si="15"/>
        <v>4.1497865315871774E-4</v>
      </c>
      <c r="W138" s="3">
        <f t="shared" si="15"/>
        <v>4.1497865315498294E-4</v>
      </c>
      <c r="X138" s="3">
        <f t="shared" si="15"/>
        <v>4.1497865311763483E-4</v>
      </c>
      <c r="Y138" s="3">
        <f t="shared" si="15"/>
        <v>4.1497865274415407E-4</v>
      </c>
      <c r="Z138" s="3">
        <f t="shared" si="15"/>
        <v>4.1497864900934619E-4</v>
      </c>
      <c r="AA138" s="3">
        <f t="shared" si="15"/>
        <v>4.1497861166126952E-4</v>
      </c>
      <c r="AB138" s="3">
        <f t="shared" si="15"/>
        <v>4.1497823818068707E-4</v>
      </c>
      <c r="AC138" s="3">
        <f t="shared" si="15"/>
        <v>4.1497450339334998E-4</v>
      </c>
      <c r="AD138" s="3">
        <f t="shared" si="15"/>
        <v>4.1493715736864089E-4</v>
      </c>
      <c r="AE138" s="3">
        <f t="shared" si="15"/>
        <v>4.1456388192615435E-4</v>
      </c>
      <c r="AF138" s="3">
        <f t="shared" si="15"/>
        <v>4.1084954656965306E-4</v>
      </c>
      <c r="AG138" s="3">
        <f t="shared" si="15"/>
        <v>3.7548821306454961E-4</v>
      </c>
      <c r="AH138" s="3">
        <f t="shared" si="15"/>
        <v>1.5266211502225954E-4</v>
      </c>
      <c r="AI138" s="3">
        <f t="shared" si="15"/>
        <v>1.884000170635519E-8</v>
      </c>
      <c r="AJ138" s="3">
        <f t="shared" si="15"/>
        <v>1.5437521181787727E-47</v>
      </c>
    </row>
    <row r="139" spans="1:36" x14ac:dyDescent="0.25">
      <c r="A139" s="3">
        <f t="shared" si="14"/>
        <v>100000000000000</v>
      </c>
      <c r="B139" s="105">
        <v>0</v>
      </c>
      <c r="C139" s="18">
        <f t="shared" si="9"/>
        <v>0</v>
      </c>
      <c r="D139" s="17"/>
      <c r="E139" s="11"/>
      <c r="F139" s="3">
        <f t="shared" si="11"/>
        <v>0</v>
      </c>
      <c r="G139" s="3">
        <f t="shared" si="15"/>
        <v>0</v>
      </c>
      <c r="H139" s="3">
        <f t="shared" si="15"/>
        <v>0</v>
      </c>
      <c r="I139" s="3">
        <f t="shared" si="15"/>
        <v>0</v>
      </c>
      <c r="J139" s="3">
        <f t="shared" si="15"/>
        <v>0</v>
      </c>
      <c r="K139" s="3">
        <f t="shared" si="15"/>
        <v>0</v>
      </c>
      <c r="L139" s="3">
        <f t="shared" si="15"/>
        <v>0</v>
      </c>
      <c r="M139" s="3">
        <f t="shared" si="15"/>
        <v>0</v>
      </c>
      <c r="N139" s="3">
        <f t="shared" si="15"/>
        <v>0</v>
      </c>
      <c r="O139" s="3">
        <f t="shared" si="15"/>
        <v>0</v>
      </c>
      <c r="P139" s="3">
        <f t="shared" si="15"/>
        <v>0</v>
      </c>
      <c r="Q139" s="3">
        <f t="shared" si="15"/>
        <v>0</v>
      </c>
      <c r="R139" s="3">
        <f t="shared" si="15"/>
        <v>0</v>
      </c>
      <c r="S139" s="3">
        <f t="shared" si="15"/>
        <v>0</v>
      </c>
      <c r="T139" s="3">
        <f t="shared" si="15"/>
        <v>0</v>
      </c>
      <c r="U139" s="3">
        <f t="shared" si="15"/>
        <v>0</v>
      </c>
      <c r="V139" s="3">
        <f t="shared" si="15"/>
        <v>0</v>
      </c>
      <c r="W139" s="3">
        <f t="shared" si="15"/>
        <v>0</v>
      </c>
      <c r="X139" s="3">
        <f t="shared" si="15"/>
        <v>0</v>
      </c>
      <c r="Y139" s="3">
        <f t="shared" si="15"/>
        <v>0</v>
      </c>
      <c r="Z139" s="3">
        <f t="shared" si="15"/>
        <v>0</v>
      </c>
      <c r="AA139" s="3">
        <f t="shared" si="15"/>
        <v>0</v>
      </c>
      <c r="AB139" s="3">
        <f t="shared" si="15"/>
        <v>0</v>
      </c>
      <c r="AC139" s="3">
        <f t="shared" si="15"/>
        <v>0</v>
      </c>
      <c r="AD139" s="3">
        <f t="shared" si="15"/>
        <v>0</v>
      </c>
      <c r="AE139" s="3">
        <f t="shared" si="15"/>
        <v>0</v>
      </c>
      <c r="AF139" s="3">
        <f t="shared" si="15"/>
        <v>0</v>
      </c>
      <c r="AG139" s="3">
        <f t="shared" si="15"/>
        <v>0</v>
      </c>
      <c r="AH139" s="3">
        <f t="shared" si="15"/>
        <v>0</v>
      </c>
      <c r="AI139" s="3">
        <f t="shared" si="15"/>
        <v>0</v>
      </c>
      <c r="AJ139" s="3">
        <f t="shared" si="15"/>
        <v>0</v>
      </c>
    </row>
    <row r="140" spans="1:36" x14ac:dyDescent="0.25">
      <c r="A140" s="3">
        <f t="shared" si="14"/>
        <v>1000000000000000</v>
      </c>
      <c r="B140" s="105">
        <v>7.8678930755304768E-4</v>
      </c>
      <c r="C140" s="18">
        <f t="shared" si="9"/>
        <v>8.2340497538166163E-4</v>
      </c>
      <c r="D140" s="17"/>
      <c r="E140" s="11"/>
      <c r="F140" s="3">
        <f t="shared" si="11"/>
        <v>8.2340497538166163E-4</v>
      </c>
      <c r="G140" s="3">
        <f t="shared" si="15"/>
        <v>8.2340497538166163E-4</v>
      </c>
      <c r="H140" s="3">
        <f t="shared" si="15"/>
        <v>8.2340497538166163E-4</v>
      </c>
      <c r="I140" s="3">
        <f t="shared" si="15"/>
        <v>8.2340497538166163E-4</v>
      </c>
      <c r="J140" s="3">
        <f t="shared" si="15"/>
        <v>8.2340497538166163E-4</v>
      </c>
      <c r="K140" s="3">
        <f t="shared" si="15"/>
        <v>8.2340497538166163E-4</v>
      </c>
      <c r="L140" s="3">
        <f t="shared" si="15"/>
        <v>8.2340497538166163E-4</v>
      </c>
      <c r="M140" s="3">
        <f t="shared" si="15"/>
        <v>8.2340497538166163E-4</v>
      </c>
      <c r="N140" s="3">
        <f t="shared" si="15"/>
        <v>8.2340497538166163E-4</v>
      </c>
      <c r="O140" s="3">
        <f t="shared" si="15"/>
        <v>8.2340497538166163E-4</v>
      </c>
      <c r="P140" s="3">
        <f t="shared" si="15"/>
        <v>8.2340497538166163E-4</v>
      </c>
      <c r="Q140" s="3">
        <f t="shared" si="15"/>
        <v>8.2340497538166163E-4</v>
      </c>
      <c r="R140" s="3">
        <f t="shared" si="15"/>
        <v>8.2340497538166163E-4</v>
      </c>
      <c r="S140" s="3">
        <f t="shared" si="15"/>
        <v>8.2340497538166163E-4</v>
      </c>
      <c r="T140" s="3">
        <f t="shared" si="15"/>
        <v>8.2340497538166153E-4</v>
      </c>
      <c r="U140" s="3">
        <f t="shared" si="15"/>
        <v>8.2340497538166077E-4</v>
      </c>
      <c r="V140" s="3">
        <f t="shared" si="15"/>
        <v>8.2340497538165339E-4</v>
      </c>
      <c r="W140" s="3">
        <f t="shared" si="15"/>
        <v>8.2340497538157924E-4</v>
      </c>
      <c r="X140" s="3">
        <f t="shared" si="15"/>
        <v>8.2340497538083829E-4</v>
      </c>
      <c r="Y140" s="3">
        <f t="shared" si="15"/>
        <v>8.2340497537342755E-4</v>
      </c>
      <c r="Z140" s="3">
        <f t="shared" si="15"/>
        <v>8.2340497529932114E-4</v>
      </c>
      <c r="AA140" s="3">
        <f t="shared" si="15"/>
        <v>8.2340497455825671E-4</v>
      </c>
      <c r="AB140" s="3">
        <f t="shared" si="15"/>
        <v>8.2340496714761191E-4</v>
      </c>
      <c r="AC140" s="3">
        <f t="shared" si="15"/>
        <v>8.2340489304116827E-4</v>
      </c>
      <c r="AD140" s="3">
        <f t="shared" si="15"/>
        <v>8.2340415197709792E-4</v>
      </c>
      <c r="AE140" s="3">
        <f t="shared" si="15"/>
        <v>8.2339674137307795E-4</v>
      </c>
      <c r="AF140" s="3">
        <f t="shared" si="15"/>
        <v>8.233226390010111E-4</v>
      </c>
      <c r="AG140" s="3">
        <f t="shared" si="15"/>
        <v>8.2258198197156782E-4</v>
      </c>
      <c r="AH140" s="3">
        <f t="shared" si="15"/>
        <v>8.1521195898485196E-4</v>
      </c>
      <c r="AI140" s="3">
        <f t="shared" si="15"/>
        <v>7.4504763192230548E-4</v>
      </c>
      <c r="AJ140" s="3">
        <f t="shared" si="15"/>
        <v>3.0291376220119092E-4</v>
      </c>
    </row>
    <row r="141" spans="1:36" x14ac:dyDescent="0.25">
      <c r="A141" s="3">
        <f t="shared" si="14"/>
        <v>1E+16</v>
      </c>
      <c r="B141" s="105">
        <v>3.1466127465354068E-4</v>
      </c>
      <c r="C141" s="18">
        <f t="shared" si="9"/>
        <v>3.293050078622123E-4</v>
      </c>
      <c r="D141" s="17"/>
      <c r="E141" s="11"/>
      <c r="F141" s="3">
        <f t="shared" si="11"/>
        <v>3.293050078622123E-4</v>
      </c>
      <c r="G141" s="3">
        <f t="shared" si="15"/>
        <v>3.293050078622123E-4</v>
      </c>
      <c r="H141" s="3">
        <f t="shared" si="15"/>
        <v>3.293050078622123E-4</v>
      </c>
      <c r="I141" s="3">
        <f t="shared" si="15"/>
        <v>3.293050078622123E-4</v>
      </c>
      <c r="J141" s="3">
        <f t="shared" si="15"/>
        <v>3.293050078622123E-4</v>
      </c>
      <c r="K141" s="3">
        <f t="shared" si="15"/>
        <v>3.293050078622123E-4</v>
      </c>
      <c r="L141" s="3">
        <f t="shared" si="15"/>
        <v>3.293050078622123E-4</v>
      </c>
      <c r="M141" s="3">
        <f t="shared" si="15"/>
        <v>3.293050078622123E-4</v>
      </c>
      <c r="N141" s="3">
        <f t="shared" si="15"/>
        <v>3.293050078622123E-4</v>
      </c>
      <c r="O141" s="3">
        <f t="shared" si="15"/>
        <v>3.293050078622123E-4</v>
      </c>
      <c r="P141" s="3">
        <f t="shared" si="15"/>
        <v>3.293050078622123E-4</v>
      </c>
      <c r="Q141" s="3">
        <f t="shared" si="15"/>
        <v>3.293050078622123E-4</v>
      </c>
      <c r="R141" s="3">
        <f t="shared" si="15"/>
        <v>3.293050078622123E-4</v>
      </c>
      <c r="S141" s="3">
        <f t="shared" si="15"/>
        <v>3.293050078622123E-4</v>
      </c>
      <c r="T141" s="3">
        <f t="shared" si="15"/>
        <v>3.293050078622123E-4</v>
      </c>
      <c r="U141" s="3">
        <f t="shared" si="15"/>
        <v>3.2930500786221224E-4</v>
      </c>
      <c r="V141" s="3">
        <f t="shared" si="15"/>
        <v>3.2930500786221197E-4</v>
      </c>
      <c r="W141" s="3">
        <f t="shared" si="15"/>
        <v>3.2930500786220899E-4</v>
      </c>
      <c r="X141" s="3">
        <f t="shared" si="15"/>
        <v>3.2930500786217934E-4</v>
      </c>
      <c r="Y141" s="3">
        <f t="shared" si="15"/>
        <v>3.2930500786188303E-4</v>
      </c>
      <c r="Z141" s="3">
        <f t="shared" si="15"/>
        <v>3.2930500785891925E-4</v>
      </c>
      <c r="AA141" s="3">
        <f t="shared" si="15"/>
        <v>3.2930500782928177E-4</v>
      </c>
      <c r="AB141" s="3">
        <f t="shared" si="15"/>
        <v>3.293050075329073E-4</v>
      </c>
      <c r="AC141" s="3">
        <f t="shared" si="15"/>
        <v>3.2930500456916222E-4</v>
      </c>
      <c r="AD141" s="3">
        <f t="shared" si="15"/>
        <v>3.2930497493171315E-4</v>
      </c>
      <c r="AE141" s="3">
        <f t="shared" si="15"/>
        <v>3.2930467855736908E-4</v>
      </c>
      <c r="AF141" s="3">
        <f t="shared" si="15"/>
        <v>3.2930171482859887E-4</v>
      </c>
      <c r="AG141" s="3">
        <f t="shared" si="15"/>
        <v>3.2927207900789623E-4</v>
      </c>
      <c r="AH141" s="3">
        <f t="shared" si="15"/>
        <v>3.2897586745198358E-4</v>
      </c>
      <c r="AI141" s="3">
        <f t="shared" si="15"/>
        <v>3.2602836828675181E-4</v>
      </c>
      <c r="AJ141" s="3">
        <f t="shared" si="15"/>
        <v>2.9796749306035551E-4</v>
      </c>
    </row>
    <row r="142" spans="1:36" x14ac:dyDescent="0.25">
      <c r="A142" s="11"/>
      <c r="B142" s="123">
        <f>SUM(B110:B141)</f>
        <v>0.95553139837217771</v>
      </c>
      <c r="C142" s="18">
        <f>SUM(C110:C141)</f>
        <v>0.99999999999999978</v>
      </c>
      <c r="D142" s="11"/>
      <c r="E142" s="11"/>
      <c r="F142" s="3">
        <f t="shared" ref="F142:AJ142" si="16">F109-F110</f>
        <v>50.054636539991407</v>
      </c>
      <c r="G142" s="3">
        <f t="shared" si="16"/>
        <v>34.8669439851692</v>
      </c>
      <c r="H142" s="3">
        <f t="shared" si="16"/>
        <v>34.82956727945384</v>
      </c>
      <c r="I142" s="3">
        <f t="shared" si="16"/>
        <v>23.471508933284895</v>
      </c>
      <c r="J142" s="3">
        <f t="shared" si="16"/>
        <v>22.751936082338034</v>
      </c>
      <c r="K142" s="3">
        <f t="shared" si="16"/>
        <v>25.52248794597017</v>
      </c>
      <c r="L142" s="3">
        <f t="shared" si="16"/>
        <v>-6.3555291132170169</v>
      </c>
      <c r="M142" s="3">
        <f t="shared" si="16"/>
        <v>1.42015033343705</v>
      </c>
      <c r="N142" s="3">
        <f t="shared" si="16"/>
        <v>-1.994982377418637</v>
      </c>
      <c r="O142" s="3">
        <f t="shared" si="16"/>
        <v>3.9436949687869856</v>
      </c>
      <c r="P142" s="3">
        <f t="shared" si="16"/>
        <v>-6.7438259439477406</v>
      </c>
      <c r="Q142" s="3">
        <f t="shared" si="16"/>
        <v>9.7494137609937752</v>
      </c>
      <c r="R142" s="3">
        <f t="shared" si="16"/>
        <v>-11.991200864915299</v>
      </c>
      <c r="S142" s="3">
        <f t="shared" si="16"/>
        <v>12.586862128209759</v>
      </c>
      <c r="T142" s="3">
        <f t="shared" si="16"/>
        <v>-11.332667382824184</v>
      </c>
      <c r="U142" s="3">
        <f t="shared" si="16"/>
        <v>8.7172112312509853</v>
      </c>
      <c r="V142" s="3">
        <f t="shared" si="16"/>
        <v>-5.7517564279000908</v>
      </c>
      <c r="W142" s="3">
        <f t="shared" si="16"/>
        <v>3.3088768913803506</v>
      </c>
      <c r="X142" s="3">
        <f t="shared" si="16"/>
        <v>-1.6259437017288292</v>
      </c>
      <c r="Y142" s="3">
        <f t="shared" si="16"/>
        <v>0.68197736072374937</v>
      </c>
      <c r="Z142" s="3">
        <f t="shared" si="16"/>
        <v>-0.23675278009022804</v>
      </c>
      <c r="AA142" s="3">
        <f t="shared" si="16"/>
        <v>5.5327170434566142E-2</v>
      </c>
      <c r="AB142" s="3">
        <f t="shared" si="16"/>
        <v>2.7429256447533135E-2</v>
      </c>
      <c r="AC142" s="3">
        <f t="shared" si="16"/>
        <v>-6.8118492297429611E-2</v>
      </c>
      <c r="AD142" s="3">
        <f t="shared" si="16"/>
        <v>3.3633786064172E-2</v>
      </c>
      <c r="AE142" s="3">
        <f t="shared" si="16"/>
        <v>-3.3258714049850369E-2</v>
      </c>
      <c r="AF142" s="3">
        <f t="shared" si="16"/>
        <v>4.2015676410187552E-3</v>
      </c>
      <c r="AG142" s="3">
        <f t="shared" si="16"/>
        <v>5.2490996797018852E-2</v>
      </c>
      <c r="AH142" s="3">
        <f t="shared" si="16"/>
        <v>-5.2823736658297094E-2</v>
      </c>
      <c r="AI142" s="3">
        <f t="shared" si="16"/>
        <v>3.9190126920999546E-2</v>
      </c>
      <c r="AJ142" s="3">
        <f t="shared" si="16"/>
        <v>-6.4410173044393559E-3</v>
      </c>
    </row>
    <row r="143" spans="1:36" x14ac:dyDescent="0.25">
      <c r="A143" s="11"/>
      <c r="B143" s="11"/>
      <c r="C143" s="11"/>
      <c r="D143" s="11"/>
      <c r="E143" s="11"/>
      <c r="F143" s="57">
        <f t="shared" ref="F143:AJ143" si="17">F142/F110</f>
        <v>7.6722760435256193E-3</v>
      </c>
      <c r="G143" s="57">
        <f t="shared" si="17"/>
        <v>5.3443369586801013E-3</v>
      </c>
      <c r="H143" s="57">
        <f t="shared" si="17"/>
        <v>5.3386129124468693E-3</v>
      </c>
      <c r="I143" s="57">
        <f t="shared" si="17"/>
        <v>3.5977038843991289E-3</v>
      </c>
      <c r="J143" s="57">
        <f t="shared" si="17"/>
        <v>3.4877318214191237E-3</v>
      </c>
      <c r="K143" s="57">
        <f t="shared" si="17"/>
        <v>3.915911698844015E-3</v>
      </c>
      <c r="L143" s="57">
        <f t="shared" si="17"/>
        <v>-9.8122569218598091E-4</v>
      </c>
      <c r="M143" s="57">
        <f t="shared" si="17"/>
        <v>2.2435110460711799E-4</v>
      </c>
      <c r="N143" s="57">
        <f t="shared" si="17"/>
        <v>-3.2298387281828211E-4</v>
      </c>
      <c r="O143" s="57">
        <f t="shared" si="17"/>
        <v>6.6086525394835785E-4</v>
      </c>
      <c r="P143" s="57">
        <f t="shared" si="17"/>
        <v>-1.195461591889596E-3</v>
      </c>
      <c r="Q143" s="57">
        <f t="shared" si="17"/>
        <v>1.8204334345869686E-3</v>
      </c>
      <c r="R143" s="57">
        <f t="shared" si="17"/>
        <v>-2.3941969223588489E-3</v>
      </c>
      <c r="S143" s="57">
        <f t="shared" si="17"/>
        <v>2.6604748595986652E-3</v>
      </c>
      <c r="T143" s="57">
        <f t="shared" si="17"/>
        <v>-2.6030123295383923E-3</v>
      </c>
      <c r="U143" s="57">
        <f t="shared" si="17"/>
        <v>2.2112699283154888E-3</v>
      </c>
      <c r="V143" s="57">
        <f t="shared" si="17"/>
        <v>-1.5679451350093681E-3</v>
      </c>
      <c r="W143" s="57">
        <f t="shared" si="17"/>
        <v>1.0897142980703747E-3</v>
      </c>
      <c r="X143" s="57">
        <f t="shared" si="17"/>
        <v>-6.8950149700691189E-4</v>
      </c>
      <c r="Y143" s="57">
        <f t="shared" si="17"/>
        <v>3.9440527325528403E-4</v>
      </c>
      <c r="Z143" s="57">
        <f t="shared" si="17"/>
        <v>-2.2138520535334506E-4</v>
      </c>
      <c r="AA143" s="57">
        <f t="shared" si="17"/>
        <v>8.9580289974716202E-5</v>
      </c>
      <c r="AB143" s="57">
        <f t="shared" si="17"/>
        <v>8.0211648061637213E-5</v>
      </c>
      <c r="AC143" s="57">
        <f t="shared" si="17"/>
        <v>-3.3818282469694129E-4</v>
      </c>
      <c r="AD143" s="57">
        <f t="shared" si="17"/>
        <v>2.023189086646937E-4</v>
      </c>
      <c r="AE143" s="57">
        <f t="shared" si="17"/>
        <v>-2.2312552203369491E-4</v>
      </c>
      <c r="AF143" s="57">
        <f t="shared" si="17"/>
        <v>2.9719017086987818E-5</v>
      </c>
      <c r="AG143" s="57">
        <f t="shared" si="17"/>
        <v>3.7793789672332505E-4</v>
      </c>
      <c r="AH143" s="57">
        <f t="shared" si="17"/>
        <v>-3.8886296462698801E-4</v>
      </c>
      <c r="AI143" s="57">
        <f t="shared" si="17"/>
        <v>2.9166159982214494E-4</v>
      </c>
      <c r="AJ143" s="57">
        <f t="shared" si="17"/>
        <v>-4.905544314807923E-5</v>
      </c>
    </row>
    <row r="144" spans="1:36" x14ac:dyDescent="0.25">
      <c r="A144" s="13" t="s">
        <v>21</v>
      </c>
      <c r="B144" s="3">
        <f>STUTT!D8</f>
        <v>6524.0923000000003</v>
      </c>
      <c r="C144" s="11"/>
      <c r="D144" s="11"/>
      <c r="E144" s="11" t="s">
        <v>24</v>
      </c>
      <c r="F144" s="20">
        <f t="shared" ref="F144:AJ144" si="18">(F109-F110)^2</f>
        <v>2505.466639150643</v>
      </c>
      <c r="G144" s="20">
        <f t="shared" si="18"/>
        <v>1215.7037828649268</v>
      </c>
      <c r="H144" s="20">
        <f t="shared" si="18"/>
        <v>1213.0987568740015</v>
      </c>
      <c r="I144" s="20">
        <f t="shared" si="18"/>
        <v>550.91173160527262</v>
      </c>
      <c r="J144" s="20">
        <f t="shared" si="18"/>
        <v>517.65059549479531</v>
      </c>
      <c r="K144" s="20">
        <f t="shared" si="18"/>
        <v>651.39739095219261</v>
      </c>
      <c r="L144" s="20">
        <f t="shared" si="18"/>
        <v>40.392750308949083</v>
      </c>
      <c r="M144" s="20">
        <f t="shared" si="18"/>
        <v>2.0168269695613641</v>
      </c>
      <c r="N144" s="20">
        <f t="shared" si="18"/>
        <v>3.9799546862109172</v>
      </c>
      <c r="O144" s="20">
        <f t="shared" si="18"/>
        <v>15.552730006835782</v>
      </c>
      <c r="P144" s="20">
        <f t="shared" si="18"/>
        <v>45.479188362262633</v>
      </c>
      <c r="Q144" s="20">
        <f t="shared" si="18"/>
        <v>95.051068683054794</v>
      </c>
      <c r="R144" s="20">
        <f t="shared" si="18"/>
        <v>143.78889818274541</v>
      </c>
      <c r="S144" s="20">
        <f t="shared" si="18"/>
        <v>158.42909823456111</v>
      </c>
      <c r="T144" s="20">
        <f t="shared" si="18"/>
        <v>128.42935000972713</v>
      </c>
      <c r="U144" s="20">
        <f t="shared" si="18"/>
        <v>75.989771650248315</v>
      </c>
      <c r="V144" s="20">
        <f t="shared" si="18"/>
        <v>33.082702005890013</v>
      </c>
      <c r="W144" s="20">
        <f t="shared" si="18"/>
        <v>10.948666282310892</v>
      </c>
      <c r="X144" s="20">
        <f t="shared" si="18"/>
        <v>2.643692921191648</v>
      </c>
      <c r="Y144" s="20">
        <f t="shared" si="18"/>
        <v>0.46509312053973095</v>
      </c>
      <c r="Z144" s="20">
        <f t="shared" si="18"/>
        <v>5.6051878880451877E-2</v>
      </c>
      <c r="AA144" s="20">
        <f t="shared" si="18"/>
        <v>3.0610957882955298E-3</v>
      </c>
      <c r="AB144" s="20">
        <f t="shared" si="18"/>
        <v>7.52364109264538E-4</v>
      </c>
      <c r="AC144" s="20">
        <f t="shared" si="18"/>
        <v>4.640128992874977E-3</v>
      </c>
      <c r="AD144" s="20">
        <f t="shared" si="18"/>
        <v>1.1312315650104906E-3</v>
      </c>
      <c r="AE144" s="20">
        <f t="shared" si="18"/>
        <v>1.1061420602497144E-3</v>
      </c>
      <c r="AF144" s="20">
        <f t="shared" si="18"/>
        <v>1.7653170642055907E-5</v>
      </c>
      <c r="AG144" s="20">
        <f t="shared" si="18"/>
        <v>2.7553047447446432E-3</v>
      </c>
      <c r="AH144" s="20">
        <f t="shared" si="18"/>
        <v>2.7903471545451201E-3</v>
      </c>
      <c r="AI144" s="20">
        <f t="shared" si="18"/>
        <v>1.5358660480840533E-3</v>
      </c>
      <c r="AJ144" s="20">
        <f t="shared" si="18"/>
        <v>4.1486703916087226E-5</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2" t="s">
        <v>25</v>
      </c>
      <c r="F146" s="132"/>
      <c r="G146" s="104">
        <f>SUM(F144:AJ144)</f>
        <v>7410.5525718651379</v>
      </c>
      <c r="H146" s="11"/>
      <c r="I146" s="3">
        <f>G146+C216</f>
        <v>7410.5525718651379</v>
      </c>
      <c r="J146" s="11"/>
      <c r="K146" s="3">
        <f>SUM(Z144:AJ144)</f>
        <v>7.3883499218079088E-2</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7.6138604047435573E-3</v>
      </c>
      <c r="G148" s="31">
        <f t="shared" si="19"/>
        <v>5.3159268543229036E-3</v>
      </c>
      <c r="H148" s="31">
        <f t="shared" si="19"/>
        <v>5.310263471310436E-3</v>
      </c>
      <c r="I148" s="31">
        <f t="shared" si="19"/>
        <v>3.5848068110103364E-3</v>
      </c>
      <c r="J148" s="31">
        <f t="shared" si="19"/>
        <v>3.4756098264286514E-3</v>
      </c>
      <c r="K148" s="31">
        <f t="shared" si="19"/>
        <v>3.9006371482024236E-3</v>
      </c>
      <c r="L148" s="31">
        <f t="shared" si="19"/>
        <v>9.8218944170077151E-4</v>
      </c>
      <c r="M148" s="31">
        <f t="shared" si="19"/>
        <v>2.2430078247880465E-4</v>
      </c>
      <c r="N148" s="31">
        <f t="shared" si="19"/>
        <v>3.2308822510448835E-4</v>
      </c>
      <c r="O148" s="31">
        <f t="shared" si="19"/>
        <v>6.6042879950206006E-4</v>
      </c>
      <c r="P148" s="31">
        <f t="shared" si="19"/>
        <v>1.1968924308202648E-3</v>
      </c>
      <c r="Q148" s="31">
        <f t="shared" si="19"/>
        <v>1.8171254786108655E-3</v>
      </c>
      <c r="R148" s="31">
        <f t="shared" si="19"/>
        <v>2.3999428581637015E-3</v>
      </c>
      <c r="S148" s="31">
        <f t="shared" si="19"/>
        <v>2.6534155143307192E-3</v>
      </c>
      <c r="T148" s="31">
        <f t="shared" si="19"/>
        <v>2.6098056859165325E-3</v>
      </c>
      <c r="U148" s="31">
        <f t="shared" si="19"/>
        <v>2.2063910022421251E-3</v>
      </c>
      <c r="V148" s="31">
        <f t="shared" si="19"/>
        <v>1.5704074477270141E-3</v>
      </c>
      <c r="W148" s="31">
        <f t="shared" si="19"/>
        <v>1.0885281134213277E-3</v>
      </c>
      <c r="X148" s="31">
        <f t="shared" si="19"/>
        <v>6.8997723734496186E-4</v>
      </c>
      <c r="Y148" s="31">
        <f t="shared" si="19"/>
        <v>3.9424977906344169E-4</v>
      </c>
      <c r="Z148" s="31">
        <f t="shared" si="19"/>
        <v>2.2143422761529793E-4</v>
      </c>
      <c r="AA148" s="31">
        <f t="shared" si="19"/>
        <v>8.957226606514839E-5</v>
      </c>
      <c r="AB148" s="31">
        <f t="shared" si="19"/>
        <v>8.0205214669185458E-5</v>
      </c>
      <c r="AC148" s="31">
        <f t="shared" si="19"/>
        <v>3.3829723101011142E-4</v>
      </c>
      <c r="AD148" s="31">
        <f t="shared" si="19"/>
        <v>2.0227798400372318E-4</v>
      </c>
      <c r="AE148" s="31">
        <f t="shared" si="19"/>
        <v>2.2317531814306061E-4</v>
      </c>
      <c r="AF148" s="31">
        <f t="shared" si="19"/>
        <v>2.9718133893258852E-5</v>
      </c>
      <c r="AG148" s="31">
        <f t="shared" si="19"/>
        <v>3.7779511363268637E-4</v>
      </c>
      <c r="AH148" s="31">
        <f t="shared" si="19"/>
        <v>3.8901423785680313E-4</v>
      </c>
      <c r="AI148" s="31">
        <f t="shared" si="19"/>
        <v>2.9157655813672817E-4</v>
      </c>
      <c r="AJ148" s="31">
        <f t="shared" si="19"/>
        <v>4.905784970263629E-5</v>
      </c>
    </row>
    <row r="149" spans="1:36" x14ac:dyDescent="0.25">
      <c r="A149" s="11"/>
      <c r="B149" s="11"/>
      <c r="C149" s="11"/>
      <c r="D149" s="11"/>
      <c r="E149" s="13" t="s">
        <v>31</v>
      </c>
      <c r="F149" s="32">
        <f>AVERAGE(F148:AJ148)</f>
        <v>1.6229023047475493E-3</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1.8030875001637803E-3</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-24.635271452940994</v>
      </c>
      <c r="M1" s="54">
        <v>1</v>
      </c>
      <c r="N1" s="56">
        <f>INDEX($H$217:$P$217,1,Q1)</f>
        <v>0.43306062872478701</v>
      </c>
      <c r="O1" s="11"/>
      <c r="P1" s="55">
        <v>1</v>
      </c>
      <c r="Q1" s="11">
        <v>2</v>
      </c>
    </row>
    <row r="2" spans="1:17" x14ac:dyDescent="0.25">
      <c r="A2" s="11">
        <f>'Mastercurve bestimmen'!M119</f>
        <v>0</v>
      </c>
      <c r="B2" s="11">
        <f>'Mastercurve bestimmen'!N119</f>
        <v>-21.515325340007891</v>
      </c>
      <c r="M2" s="54">
        <v>2</v>
      </c>
      <c r="N2" s="56">
        <f t="shared" ref="N2:N9" si="0">INDEX($H$217:$P$217,1,Q2)</f>
        <v>2.1310873427484978E-3</v>
      </c>
      <c r="O2" s="11"/>
      <c r="P2" s="55">
        <v>2</v>
      </c>
      <c r="Q2" s="11">
        <f>Q1+1</f>
        <v>3</v>
      </c>
    </row>
    <row r="3" spans="1:17" x14ac:dyDescent="0.25">
      <c r="A3" s="11">
        <f>'Mastercurve bestimmen'!M120</f>
        <v>25</v>
      </c>
      <c r="B3" s="11">
        <f>'Mastercurve bestimmen'!N120</f>
        <v>-17.30798424296643</v>
      </c>
      <c r="M3" s="54">
        <v>3</v>
      </c>
      <c r="N3" s="56">
        <f t="shared" si="0"/>
        <v>-2.1107824535769515E-5</v>
      </c>
      <c r="O3" s="11"/>
      <c r="P3" s="55">
        <v>3</v>
      </c>
      <c r="Q3" s="11">
        <f t="shared" ref="Q3:Q8" si="1">Q2+1</f>
        <v>4</v>
      </c>
    </row>
    <row r="4" spans="1:17" x14ac:dyDescent="0.25">
      <c r="A4" s="11">
        <f>'Mastercurve bestimmen'!M121</f>
        <v>50</v>
      </c>
      <c r="B4" s="11">
        <f>'Mastercurve bestimmen'!N121</f>
        <v>-10.743895843593299</v>
      </c>
      <c r="M4" s="54">
        <v>4</v>
      </c>
      <c r="N4" s="56">
        <f t="shared" si="0"/>
        <v>-5.7948187756999232E-7</v>
      </c>
      <c r="O4" s="11"/>
      <c r="P4" s="55">
        <v>4</v>
      </c>
      <c r="Q4" s="11">
        <f t="shared" si="1"/>
        <v>5</v>
      </c>
    </row>
    <row r="5" spans="1:17" x14ac:dyDescent="0.25">
      <c r="A5" s="11">
        <f>'Mastercurve bestimmen'!M122</f>
        <v>80</v>
      </c>
      <c r="B5" s="11">
        <f>'Mastercurve bestimmen'!N122</f>
        <v>0</v>
      </c>
      <c r="M5" s="54">
        <v>5</v>
      </c>
      <c r="N5" s="56">
        <f t="shared" si="0"/>
        <v>-2.9092433155025724E-9</v>
      </c>
      <c r="O5" s="11"/>
      <c r="P5" s="55">
        <v>5</v>
      </c>
      <c r="Q5" s="11">
        <f t="shared" si="1"/>
        <v>6</v>
      </c>
    </row>
    <row r="6" spans="1:17" x14ac:dyDescent="0.25">
      <c r="A6" s="11">
        <f>'Mastercurve bestimmen'!M123</f>
        <v>125</v>
      </c>
      <c r="B6" s="11">
        <f>'Mastercurve bestimmen'!N123</f>
        <v>19.380392094928641</v>
      </c>
      <c r="M6" s="54">
        <v>6</v>
      </c>
      <c r="N6" s="56">
        <f t="shared" si="0"/>
        <v>3.6922608315251456E-11</v>
      </c>
      <c r="O6" s="11"/>
      <c r="P6" s="55">
        <v>6</v>
      </c>
      <c r="Q6" s="11">
        <f t="shared" si="1"/>
        <v>7</v>
      </c>
    </row>
    <row r="7" spans="1:17" x14ac:dyDescent="0.25">
      <c r="A7" s="11">
        <f>'Mastercurve bestimmen'!M124</f>
        <v>160</v>
      </c>
      <c r="B7" s="11">
        <f>'Mastercurve bestimmen'!N124</f>
        <v>23.582578516418124</v>
      </c>
      <c r="M7" s="54">
        <v>7</v>
      </c>
      <c r="N7" s="56">
        <f t="shared" si="0"/>
        <v>4.0209861733373531E-13</v>
      </c>
      <c r="O7" s="11"/>
      <c r="P7" s="55">
        <v>7</v>
      </c>
      <c r="Q7" s="11">
        <f t="shared" si="1"/>
        <v>8</v>
      </c>
    </row>
    <row r="8" spans="1:17" x14ac:dyDescent="0.25">
      <c r="A8" s="11"/>
      <c r="B8" s="11"/>
      <c r="M8" s="54">
        <v>8</v>
      </c>
      <c r="N8" s="56">
        <f t="shared" si="0"/>
        <v>9.6802211503814371E-16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-24.635271452940994</v>
      </c>
      <c r="E15" s="11">
        <f>A15-'Mastercurve bestimmen'!$B$2</f>
        <v>-120</v>
      </c>
      <c r="F15" s="11">
        <f>B15</f>
        <v>-24.635271452940994</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-24.575044664280437</v>
      </c>
      <c r="E16" s="11">
        <f>A16-'Mastercurve bestimmen'!$B$2</f>
        <v>-119</v>
      </c>
      <c r="F16" s="11">
        <f t="shared" ref="F16:F79" si="4">B16</f>
        <v>-24.575044664280437</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-24.514751189450408</v>
      </c>
      <c r="E17" s="11">
        <f>A17-'Mastercurve bestimmen'!$B$2</f>
        <v>-118</v>
      </c>
      <c r="F17" s="11">
        <f t="shared" si="4"/>
        <v>-24.514751189450408</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-24.454324342281453</v>
      </c>
      <c r="E18" s="11">
        <f>A18-'Mastercurve bestimmen'!$B$2</f>
        <v>-117</v>
      </c>
      <c r="F18" s="11">
        <f t="shared" si="4"/>
        <v>-24.454324342281453</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-24.3936974366041</v>
      </c>
      <c r="E19" s="11">
        <f>A19-'Mastercurve bestimmen'!$B$2</f>
        <v>-116</v>
      </c>
      <c r="F19" s="11">
        <f t="shared" si="4"/>
        <v>-24.3936974366041</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-24.332803786248874</v>
      </c>
      <c r="E20" s="11">
        <f>A20-'Mastercurve bestimmen'!$B$2</f>
        <v>-115</v>
      </c>
      <c r="F20" s="11">
        <f t="shared" si="4"/>
        <v>-24.332803786248874</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-24.271576705046321</v>
      </c>
      <c r="E21" s="11">
        <f>A21-'Mastercurve bestimmen'!$B$2</f>
        <v>-114</v>
      </c>
      <c r="F21" s="11">
        <f t="shared" si="4"/>
        <v>-24.271576705046321</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-24.20994950682697</v>
      </c>
      <c r="E22" s="11">
        <f>A22-'Mastercurve bestimmen'!$B$2</f>
        <v>-113</v>
      </c>
      <c r="F22" s="11">
        <f t="shared" si="4"/>
        <v>-24.20994950682697</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-24.147855505421354</v>
      </c>
      <c r="E23" s="11">
        <f>A23-'Mastercurve bestimmen'!$B$2</f>
        <v>-112</v>
      </c>
      <c r="F23" s="11">
        <f t="shared" si="4"/>
        <v>-24.147855505421354</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-24.085228014660011</v>
      </c>
      <c r="E24" s="11">
        <f>A24-'Mastercurve bestimmen'!$B$2</f>
        <v>-111</v>
      </c>
      <c r="F24" s="11">
        <f t="shared" si="4"/>
        <v>-24.085228014660011</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-24.022000348373467</v>
      </c>
      <c r="E25" s="11">
        <f>A25-'Mastercurve bestimmen'!$B$2</f>
        <v>-110</v>
      </c>
      <c r="F25" s="11">
        <f t="shared" si="4"/>
        <v>-24.022000348373467</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-23.958105820392262</v>
      </c>
      <c r="E26" s="11">
        <f>A26-'Mastercurve bestimmen'!$B$2</f>
        <v>-109</v>
      </c>
      <c r="F26" s="11">
        <f t="shared" si="4"/>
        <v>-23.958105820392262</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-23.893477744546928</v>
      </c>
      <c r="E27" s="11">
        <f>A27-'Mastercurve bestimmen'!$B$2</f>
        <v>-108</v>
      </c>
      <c r="F27" s="11">
        <f t="shared" si="4"/>
        <v>-23.893477744546928</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-23.828049434667996</v>
      </c>
      <c r="E28" s="11">
        <f>A28-'Mastercurve bestimmen'!$B$2</f>
        <v>-107</v>
      </c>
      <c r="F28" s="11">
        <f t="shared" si="4"/>
        <v>-23.828049434667996</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-23.761754204586005</v>
      </c>
      <c r="E29" s="11">
        <f>A29-'Mastercurve bestimmen'!$B$2</f>
        <v>-106</v>
      </c>
      <c r="F29" s="11">
        <f t="shared" si="4"/>
        <v>-23.761754204586005</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-23.694525368131487</v>
      </c>
      <c r="E30" s="11">
        <f>A30-'Mastercurve bestimmen'!$B$2</f>
        <v>-105</v>
      </c>
      <c r="F30" s="11">
        <f t="shared" si="4"/>
        <v>-23.694525368131487</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-23.626296239134973</v>
      </c>
      <c r="E31" s="11">
        <f>A31-'Mastercurve bestimmen'!$B$2</f>
        <v>-104</v>
      </c>
      <c r="F31" s="11">
        <f t="shared" si="4"/>
        <v>-23.626296239134973</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-23.557000131426996</v>
      </c>
      <c r="E32" s="11">
        <f>A32-'Mastercurve bestimmen'!$B$2</f>
        <v>-103</v>
      </c>
      <c r="F32" s="11">
        <f t="shared" si="4"/>
        <v>-23.557000131426996</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-23.486570358838094</v>
      </c>
      <c r="E33" s="11">
        <f>A33-'Mastercurve bestimmen'!$B$2</f>
        <v>-102</v>
      </c>
      <c r="F33" s="11">
        <f t="shared" si="4"/>
        <v>-23.486570358838094</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-23.414940235198799</v>
      </c>
      <c r="E34" s="11">
        <f>A34-'Mastercurve bestimmen'!$B$2</f>
        <v>-101</v>
      </c>
      <c r="F34" s="11">
        <f t="shared" si="4"/>
        <v>-23.414940235198799</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-23.342043074339642</v>
      </c>
      <c r="E35" s="11">
        <f>A35-'Mastercurve bestimmen'!$B$2</f>
        <v>-100</v>
      </c>
      <c r="F35" s="11">
        <f t="shared" si="4"/>
        <v>-23.342043074339642</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-23.267812190091156</v>
      </c>
      <c r="E36" s="11">
        <f>A36-'Mastercurve bestimmen'!$B$2</f>
        <v>-99</v>
      </c>
      <c r="F36" s="11">
        <f t="shared" si="4"/>
        <v>-23.267812190091156</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-23.192180896283887</v>
      </c>
      <c r="E37" s="11">
        <f>A37-'Mastercurve bestimmen'!$B$2</f>
        <v>-98</v>
      </c>
      <c r="F37" s="11">
        <f t="shared" si="4"/>
        <v>-23.192180896283887</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-23.115082506748355</v>
      </c>
      <c r="E38" s="11">
        <f>A38-'Mastercurve bestimmen'!$B$2</f>
        <v>-97</v>
      </c>
      <c r="F38" s="11">
        <f t="shared" si="4"/>
        <v>-23.115082506748355</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-23.036450335315095</v>
      </c>
      <c r="E39" s="11">
        <f>A39-'Mastercurve bestimmen'!$B$2</f>
        <v>-96</v>
      </c>
      <c r="F39" s="11">
        <f t="shared" si="4"/>
        <v>-23.036450335315095</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-22.956217695814644</v>
      </c>
      <c r="E40" s="11">
        <f>A40-'Mastercurve bestimmen'!$B$2</f>
        <v>-95</v>
      </c>
      <c r="F40" s="11">
        <f t="shared" si="4"/>
        <v>-22.956217695814644</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-22.874317902077539</v>
      </c>
      <c r="E41" s="11">
        <f>A41-'Mastercurve bestimmen'!$B$2</f>
        <v>-94</v>
      </c>
      <c r="F41" s="11">
        <f t="shared" si="4"/>
        <v>-22.874317902077539</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-22.79068426793431</v>
      </c>
      <c r="E42" s="11">
        <f>A42-'Mastercurve bestimmen'!$B$2</f>
        <v>-93</v>
      </c>
      <c r="F42" s="11">
        <f t="shared" si="4"/>
        <v>-22.79068426793431</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-22.705250107215491</v>
      </c>
      <c r="E43" s="11">
        <f>A43-'Mastercurve bestimmen'!$B$2</f>
        <v>-92</v>
      </c>
      <c r="F43" s="11">
        <f t="shared" si="4"/>
        <v>-22.705250107215491</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-22.617948733751611</v>
      </c>
      <c r="E44" s="11">
        <f>A44-'Mastercurve bestimmen'!$B$2</f>
        <v>-91</v>
      </c>
      <c r="F44" s="11">
        <f t="shared" si="4"/>
        <v>-22.617948733751611</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-22.528713461373215</v>
      </c>
      <c r="E45" s="11">
        <f>A45-'Mastercurve bestimmen'!$B$2</f>
        <v>-90</v>
      </c>
      <c r="F45" s="11">
        <f t="shared" si="4"/>
        <v>-22.528713461373215</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-22.437477603910828</v>
      </c>
      <c r="E46" s="11">
        <f>A46-'Mastercurve bestimmen'!$B$2</f>
        <v>-89</v>
      </c>
      <c r="F46" s="11">
        <f t="shared" si="4"/>
        <v>-22.437477603910828</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-22.344174475194983</v>
      </c>
      <c r="E47" s="11">
        <f>A47-'Mastercurve bestimmen'!$B$2</f>
        <v>-88</v>
      </c>
      <c r="F47" s="11">
        <f t="shared" si="4"/>
        <v>-22.344174475194983</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-22.248737389056217</v>
      </c>
      <c r="E48" s="11">
        <f>A48-'Mastercurve bestimmen'!$B$2</f>
        <v>-87</v>
      </c>
      <c r="F48" s="11">
        <f t="shared" si="4"/>
        <v>-22.248737389056217</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-22.151099659325062</v>
      </c>
      <c r="E49" s="11">
        <f>A49-'Mastercurve bestimmen'!$B$2</f>
        <v>-86</v>
      </c>
      <c r="F49" s="11">
        <f t="shared" si="4"/>
        <v>-22.151099659325062</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-22.051194599832058</v>
      </c>
      <c r="E50" s="11">
        <f>A50-'Mastercurve bestimmen'!$B$2</f>
        <v>-85</v>
      </c>
      <c r="F50" s="11">
        <f t="shared" si="4"/>
        <v>-22.051194599832058</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-21.948955524407729</v>
      </c>
      <c r="E51" s="11">
        <f>A51-'Mastercurve bestimmen'!$B$2</f>
        <v>-84</v>
      </c>
      <c r="F51" s="11">
        <f t="shared" si="4"/>
        <v>-21.948955524407729</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-21.844315746882614</v>
      </c>
      <c r="E52" s="11">
        <f>A52-'Mastercurve bestimmen'!$B$2</f>
        <v>-83</v>
      </c>
      <c r="F52" s="11">
        <f t="shared" si="4"/>
        <v>-21.844315746882614</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-21.737208581087252</v>
      </c>
      <c r="E53" s="11">
        <f>A53-'Mastercurve bestimmen'!$B$2</f>
        <v>-82</v>
      </c>
      <c r="F53" s="11">
        <f t="shared" si="4"/>
        <v>-21.737208581087252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-21.627567340852163</v>
      </c>
      <c r="E54" s="11">
        <f>A54-'Mastercurve bestimmen'!$B$2</f>
        <v>-81</v>
      </c>
      <c r="F54" s="11">
        <f t="shared" si="4"/>
        <v>-21.627567340852163</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-21.515325340007887</v>
      </c>
      <c r="E55" s="11">
        <f>A55-'Mastercurve bestimmen'!$B$2</f>
        <v>-80</v>
      </c>
      <c r="F55" s="11">
        <f t="shared" si="4"/>
        <v>-21.515325340007887</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-21.386141796204079</v>
      </c>
      <c r="E56" s="11">
        <f>A56-'Mastercurve bestimmen'!$B$2</f>
        <v>-79</v>
      </c>
      <c r="F56" s="11">
        <f t="shared" si="4"/>
        <v>-21.386141796204079</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-21.254222529287631</v>
      </c>
      <c r="E57" s="11">
        <f>A57-'Mastercurve bestimmen'!$B$2</f>
        <v>-78</v>
      </c>
      <c r="F57" s="11">
        <f t="shared" si="4"/>
        <v>-21.254222529287631</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-21.11949926292457</v>
      </c>
      <c r="E58" s="11">
        <f>A58-'Mastercurve bestimmen'!$B$2</f>
        <v>-77</v>
      </c>
      <c r="F58" s="11">
        <f t="shared" si="4"/>
        <v>-21.11949926292457</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-20.981903720780913</v>
      </c>
      <c r="E59" s="11">
        <f>A59-'Mastercurve bestimmen'!$B$2</f>
        <v>-76</v>
      </c>
      <c r="F59" s="11">
        <f t="shared" si="4"/>
        <v>-20.981903720780913</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-20.841367626522683</v>
      </c>
      <c r="E60" s="11">
        <f>A60-'Mastercurve bestimmen'!$B$2</f>
        <v>-75</v>
      </c>
      <c r="F60" s="11">
        <f t="shared" si="4"/>
        <v>-20.841367626522683</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-20.697822703815895</v>
      </c>
      <c r="E61" s="11">
        <f>A61-'Mastercurve bestimmen'!$B$2</f>
        <v>-74</v>
      </c>
      <c r="F61" s="11">
        <f t="shared" si="4"/>
        <v>-20.697822703815895</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-20.551200676326573</v>
      </c>
      <c r="E62" s="11">
        <f>A62-'Mastercurve bestimmen'!$B$2</f>
        <v>-73</v>
      </c>
      <c r="F62" s="11">
        <f t="shared" si="4"/>
        <v>-20.551200676326573</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-20.401433267720726</v>
      </c>
      <c r="E63" s="11">
        <f>A63-'Mastercurve bestimmen'!$B$2</f>
        <v>-72</v>
      </c>
      <c r="F63" s="11">
        <f t="shared" si="4"/>
        <v>-20.401433267720726</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-20.248452201664382</v>
      </c>
      <c r="E64" s="11">
        <f>A64-'Mastercurve bestimmen'!$B$2</f>
        <v>-71</v>
      </c>
      <c r="F64" s="11">
        <f t="shared" si="4"/>
        <v>-20.248452201664382</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-20.092189201823558</v>
      </c>
      <c r="E65" s="11">
        <f>A65-'Mastercurve bestimmen'!$B$2</f>
        <v>-70</v>
      </c>
      <c r="F65" s="11">
        <f t="shared" si="4"/>
        <v>-20.092189201823558</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-19.932575991864269</v>
      </c>
      <c r="E66" s="11">
        <f>A66-'Mastercurve bestimmen'!$B$2</f>
        <v>-69</v>
      </c>
      <c r="F66" s="11">
        <f t="shared" si="4"/>
        <v>-19.932575991864269</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-19.76954429545254</v>
      </c>
      <c r="E67" s="11">
        <f>A67-'Mastercurve bestimmen'!$B$2</f>
        <v>-68</v>
      </c>
      <c r="F67" s="11">
        <f t="shared" si="4"/>
        <v>-19.76954429545254</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-19.603025836254389</v>
      </c>
      <c r="E68" s="11">
        <f>A68-'Mastercurve bestimmen'!$B$2</f>
        <v>-67</v>
      </c>
      <c r="F68" s="11">
        <f t="shared" si="4"/>
        <v>-19.603025836254389</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-19.432952337935831</v>
      </c>
      <c r="E69" s="11">
        <f>A69-'Mastercurve bestimmen'!$B$2</f>
        <v>-66</v>
      </c>
      <c r="F69" s="11">
        <f t="shared" si="4"/>
        <v>-19.432952337935831</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-19.259255524162889</v>
      </c>
      <c r="E70" s="11">
        <f>A70-'Mastercurve bestimmen'!$B$2</f>
        <v>-65</v>
      </c>
      <c r="F70" s="11">
        <f t="shared" si="4"/>
        <v>-19.259255524162889</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-19.081867118601579</v>
      </c>
      <c r="E71" s="11">
        <f>A71-'Mastercurve bestimmen'!$B$2</f>
        <v>-64</v>
      </c>
      <c r="F71" s="11">
        <f t="shared" si="4"/>
        <v>-19.081867118601579</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-18.900718844917918</v>
      </c>
      <c r="E72" s="11">
        <f>A72-'Mastercurve bestimmen'!$B$2</f>
        <v>-63</v>
      </c>
      <c r="F72" s="11">
        <f t="shared" si="4"/>
        <v>-18.900718844917918</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-18.715742426777933</v>
      </c>
      <c r="E73" s="11">
        <f>A73-'Mastercurve bestimmen'!$B$2</f>
        <v>-62</v>
      </c>
      <c r="F73" s="11">
        <f t="shared" si="4"/>
        <v>-18.715742426777933</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-18.526869587847639</v>
      </c>
      <c r="E74" s="11">
        <f>A74-'Mastercurve bestimmen'!$B$2</f>
        <v>-61</v>
      </c>
      <c r="F74" s="11">
        <f t="shared" si="4"/>
        <v>-18.526869587847639</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-18.334032051793052</v>
      </c>
      <c r="E75" s="11">
        <f>A75-'Mastercurve bestimmen'!$B$2</f>
        <v>-60</v>
      </c>
      <c r="F75" s="11">
        <f t="shared" si="4"/>
        <v>-18.334032051793052</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-18.137161542280197</v>
      </c>
      <c r="E76" s="11">
        <f>A76-'Mastercurve bestimmen'!$B$2</f>
        <v>-59</v>
      </c>
      <c r="F76" s="11">
        <f t="shared" si="4"/>
        <v>-18.137161542280197</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-17.936189782975088</v>
      </c>
      <c r="E77" s="11">
        <f>A77-'Mastercurve bestimmen'!$B$2</f>
        <v>-58</v>
      </c>
      <c r="F77" s="11">
        <f t="shared" si="4"/>
        <v>-17.936189782975088</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-17.731048497543743</v>
      </c>
      <c r="E78" s="11">
        <f>A78-'Mastercurve bestimmen'!$B$2</f>
        <v>-57</v>
      </c>
      <c r="F78" s="11">
        <f t="shared" si="4"/>
        <v>-17.731048497543743</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-17.521669409652187</v>
      </c>
      <c r="E79" s="11">
        <f>A79-'Mastercurve bestimmen'!$B$2</f>
        <v>-56</v>
      </c>
      <c r="F79" s="11">
        <f t="shared" si="4"/>
        <v>-17.521669409652187</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-17.307984242966434</v>
      </c>
      <c r="E80" s="11">
        <f>A80-'Mastercurve bestimmen'!$B$2</f>
        <v>-55</v>
      </c>
      <c r="F80" s="11">
        <f t="shared" ref="F80:F143" si="10">B80</f>
        <v>-17.307984242966434</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-17.089948863530282</v>
      </c>
      <c r="E81" s="11">
        <f>A81-'Mastercurve bestimmen'!$B$2</f>
        <v>-54</v>
      </c>
      <c r="F81" s="11">
        <f t="shared" si="10"/>
        <v>-17.089948863530282</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-16.867615706898636</v>
      </c>
      <c r="E82" s="11">
        <f>A82-'Mastercurve bestimmen'!$B$2</f>
        <v>-53</v>
      </c>
      <c r="F82" s="11">
        <f t="shared" si="10"/>
        <v>-16.867615706898636</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-16.641061351004193</v>
      </c>
      <c r="E83" s="11">
        <f>A83-'Mastercurve bestimmen'!$B$2</f>
        <v>-52</v>
      </c>
      <c r="F83" s="11">
        <f t="shared" si="10"/>
        <v>-16.641061351004193</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-16.410362373779627</v>
      </c>
      <c r="E84" s="11">
        <f>A84-'Mastercurve bestimmen'!$B$2</f>
        <v>-51</v>
      </c>
      <c r="F84" s="11">
        <f t="shared" si="10"/>
        <v>-16.410362373779627</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-16.175595353157632</v>
      </c>
      <c r="E85" s="11">
        <f>A85-'Mastercurve bestimmen'!$B$2</f>
        <v>-50</v>
      </c>
      <c r="F85" s="11">
        <f t="shared" si="10"/>
        <v>-16.175595353157632</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-15.936836867070889</v>
      </c>
      <c r="E86" s="11">
        <f>A86-'Mastercurve bestimmen'!$B$2</f>
        <v>-49</v>
      </c>
      <c r="F86" s="11">
        <f t="shared" si="10"/>
        <v>-15.936836867070889</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-15.694163493452084</v>
      </c>
      <c r="E87" s="11">
        <f>A87-'Mastercurve bestimmen'!$B$2</f>
        <v>-48</v>
      </c>
      <c r="F87" s="11">
        <f t="shared" si="10"/>
        <v>-15.694163493452084</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-15.447651810233907</v>
      </c>
      <c r="E88" s="11">
        <f>A88-'Mastercurve bestimmen'!$B$2</f>
        <v>-47</v>
      </c>
      <c r="F88" s="11">
        <f t="shared" si="10"/>
        <v>-15.447651810233907</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-15.197378395349039</v>
      </c>
      <c r="E89" s="11">
        <f>A89-'Mastercurve bestimmen'!$B$2</f>
        <v>-46</v>
      </c>
      <c r="F89" s="11">
        <f t="shared" si="10"/>
        <v>-15.197378395349039</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-14.943419826730171</v>
      </c>
      <c r="E90" s="11">
        <f>A90-'Mastercurve bestimmen'!$B$2</f>
        <v>-45</v>
      </c>
      <c r="F90" s="11">
        <f t="shared" si="10"/>
        <v>-14.943419826730171</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-14.685852682309987</v>
      </c>
      <c r="E91" s="11">
        <f>A91-'Mastercurve bestimmen'!$B$2</f>
        <v>-44</v>
      </c>
      <c r="F91" s="11">
        <f t="shared" si="10"/>
        <v>-14.685852682309987</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-14.424753540021168</v>
      </c>
      <c r="E92" s="11">
        <f>A92-'Mastercurve bestimmen'!$B$2</f>
        <v>-43</v>
      </c>
      <c r="F92" s="11">
        <f t="shared" si="10"/>
        <v>-14.424753540021168</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-14.160198977796409</v>
      </c>
      <c r="E93" s="11">
        <f>A93-'Mastercurve bestimmen'!$B$2</f>
        <v>-42</v>
      </c>
      <c r="F93" s="11">
        <f t="shared" si="10"/>
        <v>-14.160198977796409</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-13.892265573568389</v>
      </c>
      <c r="E94" s="11">
        <f>A94-'Mastercurve bestimmen'!$B$2</f>
        <v>-41</v>
      </c>
      <c r="F94" s="11">
        <f t="shared" si="10"/>
        <v>-13.892265573568389</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-13.621029905269797</v>
      </c>
      <c r="E95" s="11">
        <f>A95-'Mastercurve bestimmen'!$B$2</f>
        <v>-40</v>
      </c>
      <c r="F95" s="11">
        <f t="shared" si="10"/>
        <v>-13.621029905269797</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-13.346568550833318</v>
      </c>
      <c r="E96" s="11">
        <f>A96-'Mastercurve bestimmen'!$B$2</f>
        <v>-39</v>
      </c>
      <c r="F96" s="11">
        <f t="shared" si="10"/>
        <v>-13.346568550833318</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-13.068958088191639</v>
      </c>
      <c r="E97" s="11">
        <f>A97-'Mastercurve bestimmen'!$B$2</f>
        <v>-38</v>
      </c>
      <c r="F97" s="11">
        <f t="shared" si="10"/>
        <v>-13.068958088191639</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-12.788275095277445</v>
      </c>
      <c r="E98" s="11">
        <f>A98-'Mastercurve bestimmen'!$B$2</f>
        <v>-37</v>
      </c>
      <c r="F98" s="11">
        <f t="shared" si="10"/>
        <v>-12.788275095277445</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-12.504596150023424</v>
      </c>
      <c r="E99" s="11">
        <f>A99-'Mastercurve bestimmen'!$B$2</f>
        <v>-36</v>
      </c>
      <c r="F99" s="11">
        <f t="shared" si="10"/>
        <v>-12.504596150023424</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-12.217997830362258</v>
      </c>
      <c r="E100" s="11">
        <f>A100-'Mastercurve bestimmen'!$B$2</f>
        <v>-35</v>
      </c>
      <c r="F100" s="11">
        <f t="shared" si="10"/>
        <v>-12.217997830362258</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-11.928556714226634</v>
      </c>
      <c r="E101" s="11">
        <f>A101-'Mastercurve bestimmen'!$B$2</f>
        <v>-34</v>
      </c>
      <c r="F101" s="11">
        <f t="shared" si="10"/>
        <v>-11.928556714226634</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-11.636349379549243</v>
      </c>
      <c r="E102" s="11">
        <f>A102-'Mastercurve bestimmen'!$B$2</f>
        <v>-33</v>
      </c>
      <c r="F102" s="11">
        <f t="shared" si="10"/>
        <v>-11.636349379549243</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-11.341452404262764</v>
      </c>
      <c r="E103" s="11">
        <f>A103-'Mastercurve bestimmen'!$B$2</f>
        <v>-32</v>
      </c>
      <c r="F103" s="11">
        <f t="shared" si="10"/>
        <v>-11.341452404262764</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-11.043942366299888</v>
      </c>
      <c r="E104" s="11">
        <f>A104-'Mastercurve bestimmen'!$B$2</f>
        <v>-31</v>
      </c>
      <c r="F104" s="11">
        <f t="shared" si="10"/>
        <v>-11.043942366299888</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-10.7438958435933</v>
      </c>
      <c r="E105" s="11">
        <f>A105-'Mastercurve bestimmen'!$B$2</f>
        <v>-30</v>
      </c>
      <c r="F105" s="11">
        <f t="shared" si="10"/>
        <v>-10.7438958435933</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-10.441354493286694</v>
      </c>
      <c r="E106" s="11">
        <f>A106-'Mastercurve bestimmen'!$B$2</f>
        <v>-29</v>
      </c>
      <c r="F106" s="11">
        <f t="shared" si="10"/>
        <v>-10.441354493286694</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-10.136220289367817</v>
      </c>
      <c r="E107" s="11">
        <f>A107-'Mastercurve bestimmen'!$B$2</f>
        <v>-28</v>
      </c>
      <c r="F107" s="11">
        <f t="shared" si="10"/>
        <v>-10.136220289367817</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-9.828360285035421</v>
      </c>
      <c r="E108" s="11">
        <f>A108-'Mastercurve bestimmen'!$B$2</f>
        <v>-27</v>
      </c>
      <c r="F108" s="11">
        <f t="shared" si="10"/>
        <v>-9.828360285035421</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-9.5176415334882662</v>
      </c>
      <c r="E109" s="11">
        <f>A109-'Mastercurve bestimmen'!$B$2</f>
        <v>-26</v>
      </c>
      <c r="F109" s="11">
        <f t="shared" si="10"/>
        <v>-9.5176415334882662</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-9.2039310879250991</v>
      </c>
      <c r="E110" s="11">
        <f>A110-'Mastercurve bestimmen'!$B$2</f>
        <v>-25</v>
      </c>
      <c r="F110" s="11">
        <f t="shared" si="10"/>
        <v>-9.2039310879250991</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-8.8870960015446769</v>
      </c>
      <c r="E111" s="11">
        <f>A111-'Mastercurve bestimmen'!$B$2</f>
        <v>-24</v>
      </c>
      <c r="F111" s="11">
        <f t="shared" si="10"/>
        <v>-8.8870960015446769</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-8.5670033275457556</v>
      </c>
      <c r="E112" s="11">
        <f>A112-'Mastercurve bestimmen'!$B$2</f>
        <v>-23</v>
      </c>
      <c r="F112" s="11">
        <f t="shared" si="10"/>
        <v>-8.5670033275457556</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-8.2435201191270906</v>
      </c>
      <c r="E113" s="11">
        <f>A113-'Mastercurve bestimmen'!$B$2</f>
        <v>-22</v>
      </c>
      <c r="F113" s="11">
        <f t="shared" si="10"/>
        <v>-8.2435201191270906</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-7.9165134294874342</v>
      </c>
      <c r="E114" s="11">
        <f>A114-'Mastercurve bestimmen'!$B$2</f>
        <v>-21</v>
      </c>
      <c r="F114" s="11">
        <f t="shared" si="10"/>
        <v>-7.9165134294874342</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-7.5858503118255411</v>
      </c>
      <c r="E115" s="11">
        <f>A115-'Mastercurve bestimmen'!$B$2</f>
        <v>-20</v>
      </c>
      <c r="F115" s="11">
        <f t="shared" si="10"/>
        <v>-7.5858503118255411</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-7.2513978193401654</v>
      </c>
      <c r="E116" s="11">
        <f>A116-'Mastercurve bestimmen'!$B$2</f>
        <v>-19</v>
      </c>
      <c r="F116" s="11">
        <f t="shared" si="10"/>
        <v>-7.2513978193401654</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-6.9130230052300643</v>
      </c>
      <c r="E117" s="11">
        <f>A117-'Mastercurve bestimmen'!$B$2</f>
        <v>-18</v>
      </c>
      <c r="F117" s="11">
        <f t="shared" si="10"/>
        <v>-6.9130230052300643</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-6.5705929226939892</v>
      </c>
      <c r="E118" s="11">
        <f>A118-'Mastercurve bestimmen'!$B$2</f>
        <v>-17</v>
      </c>
      <c r="F118" s="11">
        <f t="shared" si="10"/>
        <v>-6.5705929226939892</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-6.2239746249306958</v>
      </c>
      <c r="E119" s="11">
        <f>A119-'Mastercurve bestimmen'!$B$2</f>
        <v>-16</v>
      </c>
      <c r="F119" s="11">
        <f t="shared" si="10"/>
        <v>-6.2239746249306958</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-5.8730351651389379</v>
      </c>
      <c r="E120" s="11">
        <f>A120-'Mastercurve bestimmen'!$B$2</f>
        <v>-15</v>
      </c>
      <c r="F120" s="11">
        <f t="shared" si="10"/>
        <v>-5.8730351651389379</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-5.517641596517473</v>
      </c>
      <c r="E121" s="11">
        <f>A121-'Mastercurve bestimmen'!$B$2</f>
        <v>-14</v>
      </c>
      <c r="F121" s="11">
        <f t="shared" si="10"/>
        <v>-5.517641596517473</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-5.1576609722650524</v>
      </c>
      <c r="E122" s="11">
        <f>A122-'Mastercurve bestimmen'!$B$2</f>
        <v>-13</v>
      </c>
      <c r="F122" s="11">
        <f t="shared" si="10"/>
        <v>-5.1576609722650524</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-4.7929603455804308</v>
      </c>
      <c r="E123" s="11">
        <f>A123-'Mastercurve bestimmen'!$B$2</f>
        <v>-12</v>
      </c>
      <c r="F123" s="11">
        <f t="shared" si="10"/>
        <v>-4.7929603455804308</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-4.423406769662364</v>
      </c>
      <c r="E124" s="11">
        <f>A124-'Mastercurve bestimmen'!$B$2</f>
        <v>-11</v>
      </c>
      <c r="F124" s="11">
        <f t="shared" si="10"/>
        <v>-4.423406769662364</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-4.0488672977096059</v>
      </c>
      <c r="E125" s="11">
        <f>A125-'Mastercurve bestimmen'!$B$2</f>
        <v>-10</v>
      </c>
      <c r="F125" s="11">
        <f t="shared" si="10"/>
        <v>-4.0488672977096059</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-3.6692089829209116</v>
      </c>
      <c r="E126" s="11">
        <f>A126-'Mastercurve bestimmen'!$B$2</f>
        <v>-9</v>
      </c>
      <c r="F126" s="11">
        <f t="shared" si="10"/>
        <v>-3.6692089829209116</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-3.2842988784950347</v>
      </c>
      <c r="E127" s="11">
        <f>A127-'Mastercurve bestimmen'!$B$2</f>
        <v>-8</v>
      </c>
      <c r="F127" s="11">
        <f t="shared" si="10"/>
        <v>-3.2842988784950347</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-2.8940040376307299</v>
      </c>
      <c r="E128" s="11">
        <f>A128-'Mastercurve bestimmen'!$B$2</f>
        <v>-7</v>
      </c>
      <c r="F128" s="11">
        <f t="shared" si="10"/>
        <v>-2.8940040376307299</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-2.4981915135267521</v>
      </c>
      <c r="E129" s="11">
        <f>A129-'Mastercurve bestimmen'!$B$2</f>
        <v>-6</v>
      </c>
      <c r="F129" s="11">
        <f t="shared" si="10"/>
        <v>-2.4981915135267521</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-2.0967283593818555</v>
      </c>
      <c r="E130" s="11">
        <f>A130-'Mastercurve bestimmen'!$B$2</f>
        <v>-5</v>
      </c>
      <c r="F130" s="11">
        <f t="shared" si="10"/>
        <v>-2.0967283593818555</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-1.6894816283947947</v>
      </c>
      <c r="E131" s="11">
        <f>A131-'Mastercurve bestimmen'!$B$2</f>
        <v>-4</v>
      </c>
      <c r="F131" s="11">
        <f t="shared" si="10"/>
        <v>-1.6894816283947947</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-1.2763183737643242</v>
      </c>
      <c r="E132" s="11">
        <f>A132-'Mastercurve bestimmen'!$B$2</f>
        <v>-3</v>
      </c>
      <c r="F132" s="11">
        <f t="shared" si="10"/>
        <v>-1.2763183737643242</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-0.8571056486891987</v>
      </c>
      <c r="E133" s="11">
        <f>A133-'Mastercurve bestimmen'!$B$2</f>
        <v>-2</v>
      </c>
      <c r="F133" s="11">
        <f t="shared" si="10"/>
        <v>-0.8571056486891987</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-0.43171050636817243</v>
      </c>
      <c r="E134" s="11">
        <f>A134-'Mastercurve bestimmen'!$B$2</f>
        <v>-1</v>
      </c>
      <c r="F134" s="11">
        <f t="shared" si="10"/>
        <v>-0.43171050636817243</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1.1102230246251565E-16</v>
      </c>
      <c r="E135" s="11">
        <f>A135-'Mastercurve bestimmen'!$B$2</f>
        <v>0</v>
      </c>
      <c r="F135" s="11">
        <f t="shared" si="10"/>
        <v>1.1102230246251565E-16</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0.43806291911107564</v>
      </c>
      <c r="E136" s="11">
        <f>A136-'Mastercurve bestimmen'!$B$2</f>
        <v>1</v>
      </c>
      <c r="F136" s="11">
        <f t="shared" si="10"/>
        <v>0.43806291911107564</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0.88213170723885792</v>
      </c>
      <c r="E137" s="11">
        <f>A137-'Mastercurve bestimmen'!$B$2</f>
        <v>2</v>
      </c>
      <c r="F137" s="11">
        <f t="shared" si="10"/>
        <v>0.88213170723885792</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1.3317639225516622</v>
      </c>
      <c r="E138" s="11">
        <f>A138-'Mastercurve bestimmen'!$B$2</f>
        <v>3</v>
      </c>
      <c r="F138" s="11">
        <f t="shared" si="10"/>
        <v>1.3317639225516622</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1.7865171232178034</v>
      </c>
      <c r="E139" s="11">
        <f>A139-'Mastercurve bestimmen'!$B$2</f>
        <v>4</v>
      </c>
      <c r="F139" s="11">
        <f t="shared" si="10"/>
        <v>1.7865171232178034</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2.2459488674055965</v>
      </c>
      <c r="E140" s="11">
        <f>A140-'Mastercurve bestimmen'!$B$2</f>
        <v>5</v>
      </c>
      <c r="F140" s="11">
        <f t="shared" si="10"/>
        <v>2.2459488674055965</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2.7096167132833564</v>
      </c>
      <c r="E141" s="11">
        <f>A141-'Mastercurve bestimmen'!$B$2</f>
        <v>6</v>
      </c>
      <c r="F141" s="11">
        <f t="shared" si="10"/>
        <v>2.7096167132833564</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3.177078219019398</v>
      </c>
      <c r="E142" s="11">
        <f>A142-'Mastercurve bestimmen'!$B$2</f>
        <v>7</v>
      </c>
      <c r="F142" s="11">
        <f t="shared" si="10"/>
        <v>3.177078219019398</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3.6478909427820367</v>
      </c>
      <c r="E143" s="11">
        <f>A143-'Mastercurve bestimmen'!$B$2</f>
        <v>8</v>
      </c>
      <c r="F143" s="11">
        <f t="shared" si="10"/>
        <v>3.6478909427820367</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4.1216124427395879</v>
      </c>
      <c r="E144" s="11">
        <f>A144-'Mastercurve bestimmen'!$B$2</f>
        <v>9</v>
      </c>
      <c r="F144" s="11">
        <f t="shared" ref="F144:F207" si="15">B144</f>
        <v>4.1216124427395879</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4.5978002770603661</v>
      </c>
      <c r="E145" s="11">
        <f>A145-'Mastercurve bestimmen'!$B$2</f>
        <v>10</v>
      </c>
      <c r="F145" s="11">
        <f t="shared" si="15"/>
        <v>4.5978002770603661</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5.0760120039126857</v>
      </c>
      <c r="E146" s="11">
        <f>A146-'Mastercurve bestimmen'!$B$2</f>
        <v>11</v>
      </c>
      <c r="F146" s="11">
        <f t="shared" si="15"/>
        <v>5.0760120039126857</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5.5558051814648639</v>
      </c>
      <c r="E147" s="11">
        <f>A147-'Mastercurve bestimmen'!$B$2</f>
        <v>12</v>
      </c>
      <c r="F147" s="11">
        <f t="shared" si="15"/>
        <v>5.5558051814648639</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6.0367373678852134</v>
      </c>
      <c r="E148" s="11">
        <f>A148-'Mastercurve bestimmen'!$B$2</f>
        <v>13</v>
      </c>
      <c r="F148" s="11">
        <f t="shared" si="15"/>
        <v>6.0367373678852134</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6.5183661213420505</v>
      </c>
      <c r="E149" s="11">
        <f>A149-'Mastercurve bestimmen'!$B$2</f>
        <v>14</v>
      </c>
      <c r="F149" s="11">
        <f t="shared" si="15"/>
        <v>6.5183661213420505</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7.0002490000036905</v>
      </c>
      <c r="E150" s="11">
        <f>A150-'Mastercurve bestimmen'!$B$2</f>
        <v>15</v>
      </c>
      <c r="F150" s="11">
        <f t="shared" si="15"/>
        <v>7.0002490000036905</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7.4819435620384471</v>
      </c>
      <c r="E151" s="11">
        <f>A151-'Mastercurve bestimmen'!$B$2</f>
        <v>16</v>
      </c>
      <c r="F151" s="11">
        <f t="shared" si="15"/>
        <v>7.4819435620384471</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7.9630073656146356</v>
      </c>
      <c r="E152" s="11">
        <f>A152-'Mastercurve bestimmen'!$B$2</f>
        <v>17</v>
      </c>
      <c r="F152" s="11">
        <f t="shared" si="15"/>
        <v>7.9630073656146356</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8.4429979689005741</v>
      </c>
      <c r="E153" s="11">
        <f>A153-'Mastercurve bestimmen'!$B$2</f>
        <v>18</v>
      </c>
      <c r="F153" s="11">
        <f t="shared" si="15"/>
        <v>8.4429979689005741</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8.9214729300645743</v>
      </c>
      <c r="E154" s="11">
        <f>A154-'Mastercurve bestimmen'!$B$2</f>
        <v>19</v>
      </c>
      <c r="F154" s="11">
        <f t="shared" si="15"/>
        <v>8.9214729300645743</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9.3979898072749499</v>
      </c>
      <c r="E155" s="11">
        <f>A155-'Mastercurve bestimmen'!$B$2</f>
        <v>20</v>
      </c>
      <c r="F155" s="11">
        <f t="shared" si="15"/>
        <v>9.3979898072749499</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9.872106158700019</v>
      </c>
      <c r="E156" s="11">
        <f>A156-'Mastercurve bestimmen'!$B$2</f>
        <v>21</v>
      </c>
      <c r="F156" s="11">
        <f t="shared" si="15"/>
        <v>9.872106158700019</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10.343379542508098</v>
      </c>
      <c r="E157" s="11">
        <f>A157-'Mastercurve bestimmen'!$B$2</f>
        <v>22</v>
      </c>
      <c r="F157" s="11">
        <f t="shared" si="15"/>
        <v>10.343379542508098</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10.811367516867499</v>
      </c>
      <c r="E158" s="11">
        <f>A158-'Mastercurve bestimmen'!$B$2</f>
        <v>23</v>
      </c>
      <c r="F158" s="11">
        <f t="shared" si="15"/>
        <v>10.811367516867499</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11.275627639946537</v>
      </c>
      <c r="E159" s="11">
        <f>A159-'Mastercurve bestimmen'!$B$2</f>
        <v>24</v>
      </c>
      <c r="F159" s="11">
        <f t="shared" si="15"/>
        <v>11.275627639946537</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11.735717469913528</v>
      </c>
      <c r="E160" s="11">
        <f>A160-'Mastercurve bestimmen'!$B$2</f>
        <v>25</v>
      </c>
      <c r="F160" s="11">
        <f t="shared" si="15"/>
        <v>11.735717469913528</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12.191194564936787</v>
      </c>
      <c r="E161" s="11">
        <f>A161-'Mastercurve bestimmen'!$B$2</f>
        <v>26</v>
      </c>
      <c r="F161" s="11">
        <f t="shared" si="15"/>
        <v>12.191194564936787</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12.641616483184631</v>
      </c>
      <c r="E162" s="11">
        <f>A162-'Mastercurve bestimmen'!$B$2</f>
        <v>27</v>
      </c>
      <c r="F162" s="11">
        <f t="shared" si="15"/>
        <v>12.641616483184631</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13.08654078282537</v>
      </c>
      <c r="E163" s="11">
        <f>A163-'Mastercurve bestimmen'!$B$2</f>
        <v>28</v>
      </c>
      <c r="F163" s="11">
        <f t="shared" si="15"/>
        <v>13.08654078282537</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13.525525022027322</v>
      </c>
      <c r="E164" s="11">
        <f>A164-'Mastercurve bestimmen'!$B$2</f>
        <v>29</v>
      </c>
      <c r="F164" s="11">
        <f t="shared" si="15"/>
        <v>13.525525022027322</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13.958126758958805</v>
      </c>
      <c r="E165" s="11">
        <f>A165-'Mastercurve bestimmen'!$B$2</f>
        <v>30</v>
      </c>
      <c r="F165" s="11">
        <f t="shared" si="15"/>
        <v>13.958126758958805</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14.38390355178813</v>
      </c>
      <c r="E166" s="11">
        <f>A166-'Mastercurve bestimmen'!$B$2</f>
        <v>31</v>
      </c>
      <c r="F166" s="11">
        <f t="shared" si="15"/>
        <v>14.38390355178813</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14.802412958683613</v>
      </c>
      <c r="E167" s="11">
        <f>A167-'Mastercurve bestimmen'!$B$2</f>
        <v>32</v>
      </c>
      <c r="F167" s="11">
        <f t="shared" si="15"/>
        <v>14.802412958683613</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15.213212537813568</v>
      </c>
      <c r="E168" s="11">
        <f>A168-'Mastercurve bestimmen'!$B$2</f>
        <v>33</v>
      </c>
      <c r="F168" s="11">
        <f t="shared" si="15"/>
        <v>15.213212537813568</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15.615859847346311</v>
      </c>
      <c r="E169" s="11">
        <f>A169-'Mastercurve bestimmen'!$B$2</f>
        <v>34</v>
      </c>
      <c r="F169" s="11">
        <f t="shared" si="15"/>
        <v>15.615859847346311</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16.009912445450162</v>
      </c>
      <c r="E170" s="11">
        <f>A170-'Mastercurve bestimmen'!$B$2</f>
        <v>35</v>
      </c>
      <c r="F170" s="11">
        <f t="shared" si="15"/>
        <v>16.009912445450162</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16.394927890293427</v>
      </c>
      <c r="E171" s="11">
        <f>A171-'Mastercurve bestimmen'!$B$2</f>
        <v>36</v>
      </c>
      <c r="F171" s="11">
        <f t="shared" si="15"/>
        <v>16.394927890293427</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16.770463740044427</v>
      </c>
      <c r="E172" s="11">
        <f>A172-'Mastercurve bestimmen'!$B$2</f>
        <v>37</v>
      </c>
      <c r="F172" s="11">
        <f t="shared" si="15"/>
        <v>16.770463740044427</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17.13607755287148</v>
      </c>
      <c r="E173" s="11">
        <f>A173-'Mastercurve bestimmen'!$B$2</f>
        <v>38</v>
      </c>
      <c r="F173" s="11">
        <f t="shared" si="15"/>
        <v>17.13607755287148</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17.49132688694289</v>
      </c>
      <c r="E174" s="11">
        <f>A174-'Mastercurve bestimmen'!$B$2</f>
        <v>39</v>
      </c>
      <c r="F174" s="11">
        <f t="shared" si="15"/>
        <v>17.49132688694289</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17.835769300426982</v>
      </c>
      <c r="E175" s="11">
        <f>A175-'Mastercurve bestimmen'!$B$2</f>
        <v>40</v>
      </c>
      <c r="F175" s="11">
        <f t="shared" si="15"/>
        <v>17.835769300426982</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18.168962351492063</v>
      </c>
      <c r="E176" s="11">
        <f>A176-'Mastercurve bestimmen'!$B$2</f>
        <v>41</v>
      </c>
      <c r="F176" s="11">
        <f t="shared" si="15"/>
        <v>18.168962351492063</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18.490463598306455</v>
      </c>
      <c r="E177" s="11">
        <f>A177-'Mastercurve bestimmen'!$B$2</f>
        <v>42</v>
      </c>
      <c r="F177" s="11">
        <f t="shared" si="15"/>
        <v>18.490463598306455</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18.799830599038479</v>
      </c>
      <c r="E178" s="11">
        <f>A178-'Mastercurve bestimmen'!$B$2</f>
        <v>43</v>
      </c>
      <c r="F178" s="11">
        <f t="shared" si="15"/>
        <v>18.799830599038479</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19.096620911856434</v>
      </c>
      <c r="E179" s="11">
        <f>A179-'Mastercurve bestimmen'!$B$2</f>
        <v>44</v>
      </c>
      <c r="F179" s="11">
        <f t="shared" si="15"/>
        <v>19.096620911856434</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19.380392094928641</v>
      </c>
      <c r="E180" s="11">
        <f>A180-'Mastercurve bestimmen'!$B$2</f>
        <v>45</v>
      </c>
      <c r="F180" s="11">
        <f t="shared" si="15"/>
        <v>19.380392094928641</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19.650839549450499</v>
      </c>
      <c r="E181" s="11">
        <f>A181-'Mastercurve bestimmen'!$B$2</f>
        <v>46</v>
      </c>
      <c r="F181" s="11">
        <f t="shared" si="15"/>
        <v>19.650839549450499</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19.908210048725707</v>
      </c>
      <c r="E182" s="11">
        <f>A182-'Mastercurve bestimmen'!$B$2</f>
        <v>47</v>
      </c>
      <c r="F182" s="11">
        <f t="shared" si="15"/>
        <v>19.908210048725707</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20.152888209085052</v>
      </c>
      <c r="E183" s="11">
        <f>A183-'Mastercurve bestimmen'!$B$2</f>
        <v>48</v>
      </c>
      <c r="F183" s="11">
        <f t="shared" si="15"/>
        <v>20.152888209085052</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20.38525864685932</v>
      </c>
      <c r="E184" s="11">
        <f>A184-'Mastercurve bestimmen'!$B$2</f>
        <v>49</v>
      </c>
      <c r="F184" s="11">
        <f t="shared" si="15"/>
        <v>20.38525864685932</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20.605705978379291</v>
      </c>
      <c r="E185" s="11">
        <f>A185-'Mastercurve bestimmen'!$B$2</f>
        <v>50</v>
      </c>
      <c r="F185" s="11">
        <f t="shared" si="15"/>
        <v>20.605705978379291</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20.814614819975752</v>
      </c>
      <c r="E186" s="11">
        <f>A186-'Mastercurve bestimmen'!$B$2</f>
        <v>51</v>
      </c>
      <c r="F186" s="11">
        <f t="shared" si="15"/>
        <v>20.814614819975752</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21.012369787979484</v>
      </c>
      <c r="E187" s="11">
        <f>A187-'Mastercurve bestimmen'!$B$2</f>
        <v>52</v>
      </c>
      <c r="F187" s="11">
        <f t="shared" si="15"/>
        <v>21.012369787979484</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21.199355498721268</v>
      </c>
      <c r="E188" s="11">
        <f>A188-'Mastercurve bestimmen'!$B$2</f>
        <v>53</v>
      </c>
      <c r="F188" s="11">
        <f t="shared" si="15"/>
        <v>21.199355498721268</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21.37595656853189</v>
      </c>
      <c r="E189" s="11">
        <f>A189-'Mastercurve bestimmen'!$B$2</f>
        <v>54</v>
      </c>
      <c r="F189" s="11">
        <f t="shared" si="15"/>
        <v>21.37595656853189</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21.542557613742137</v>
      </c>
      <c r="E190" s="11">
        <f>A190-'Mastercurve bestimmen'!$B$2</f>
        <v>55</v>
      </c>
      <c r="F190" s="11">
        <f t="shared" si="15"/>
        <v>21.542557613742137</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21.699543250682787</v>
      </c>
      <c r="E191" s="11">
        <f>A191-'Mastercurve bestimmen'!$B$2</f>
        <v>56</v>
      </c>
      <c r="F191" s="11">
        <f t="shared" si="15"/>
        <v>21.699543250682787</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21.847298095684636</v>
      </c>
      <c r="E192" s="11">
        <f>A192-'Mastercurve bestimmen'!$B$2</f>
        <v>57</v>
      </c>
      <c r="F192" s="11">
        <f t="shared" si="15"/>
        <v>21.847298095684636</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21.98620676507845</v>
      </c>
      <c r="E193" s="11">
        <f>A193-'Mastercurve bestimmen'!$B$2</f>
        <v>58</v>
      </c>
      <c r="F193" s="11">
        <f t="shared" si="15"/>
        <v>21.98620676507845</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22.116653875195027</v>
      </c>
      <c r="E194" s="11">
        <f>A194-'Mastercurve bestimmen'!$B$2</f>
        <v>59</v>
      </c>
      <c r="F194" s="11">
        <f t="shared" si="15"/>
        <v>22.116653875195027</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22.239024042365145</v>
      </c>
      <c r="E195" s="11">
        <f>A195-'Mastercurve bestimmen'!$B$2</f>
        <v>60</v>
      </c>
      <c r="F195" s="11">
        <f t="shared" si="15"/>
        <v>22.239024042365145</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22.353701882919584</v>
      </c>
      <c r="E196" s="11">
        <f>A196-'Mastercurve bestimmen'!$B$2</f>
        <v>61</v>
      </c>
      <c r="F196" s="11">
        <f t="shared" si="15"/>
        <v>22.353701882919584</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22.461072013189131</v>
      </c>
      <c r="E197" s="11">
        <f>A197-'Mastercurve bestimmen'!$B$2</f>
        <v>62</v>
      </c>
      <c r="F197" s="11">
        <f t="shared" si="15"/>
        <v>22.461072013189131</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22.561519049504575</v>
      </c>
      <c r="E198" s="11">
        <f>A198-'Mastercurve bestimmen'!$B$2</f>
        <v>63</v>
      </c>
      <c r="F198" s="11">
        <f t="shared" si="15"/>
        <v>22.561519049504575</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22.655427608196696</v>
      </c>
      <c r="E199" s="11">
        <f>A199-'Mastercurve bestimmen'!$B$2</f>
        <v>64</v>
      </c>
      <c r="F199" s="11">
        <f t="shared" si="15"/>
        <v>22.655427608196696</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22.743182305596275</v>
      </c>
      <c r="E200" s="11">
        <f>A200-'Mastercurve bestimmen'!$B$2</f>
        <v>65</v>
      </c>
      <c r="F200" s="11">
        <f t="shared" si="15"/>
        <v>22.743182305596275</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22.825167758034098</v>
      </c>
      <c r="E201" s="11">
        <f>A201-'Mastercurve bestimmen'!$B$2</f>
        <v>66</v>
      </c>
      <c r="F201" s="11">
        <f t="shared" si="15"/>
        <v>22.825167758034098</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22.901768581840948</v>
      </c>
      <c r="E202" s="11">
        <f>A202-'Mastercurve bestimmen'!$B$2</f>
        <v>67</v>
      </c>
      <c r="F202" s="11">
        <f t="shared" si="15"/>
        <v>22.901768581840948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22.97336939334761</v>
      </c>
      <c r="E203" s="11">
        <f>A203-'Mastercurve bestimmen'!$B$2</f>
        <v>68</v>
      </c>
      <c r="F203" s="11">
        <f t="shared" si="15"/>
        <v>22.97336939334761</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23.040354808884867</v>
      </c>
      <c r="E204" s="11">
        <f>A204-'Mastercurve bestimmen'!$B$2</f>
        <v>69</v>
      </c>
      <c r="F204" s="11">
        <f t="shared" si="15"/>
        <v>23.040354808884867</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23.103109444783506</v>
      </c>
      <c r="E205" s="11">
        <f>A205-'Mastercurve bestimmen'!$B$2</f>
        <v>70</v>
      </c>
      <c r="F205" s="11">
        <f t="shared" si="15"/>
        <v>23.103109444783506</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23.1620179173743</v>
      </c>
      <c r="E206" s="11">
        <f>A206-'Mastercurve bestimmen'!$B$2</f>
        <v>71</v>
      </c>
      <c r="F206" s="11">
        <f t="shared" si="15"/>
        <v>23.1620179173743</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23.217464842988051</v>
      </c>
      <c r="E207" s="11">
        <f>A207-'Mastercurve bestimmen'!$B$2</f>
        <v>72</v>
      </c>
      <c r="F207" s="11">
        <f t="shared" si="15"/>
        <v>23.217464842988051</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23.269834837955525</v>
      </c>
      <c r="E208" s="11">
        <f>A208-'Mastercurve bestimmen'!$B$2</f>
        <v>73</v>
      </c>
      <c r="F208" s="11">
        <f t="shared" ref="F208:F215" si="21">B208</f>
        <v>23.269834837955525</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23.319512518607514</v>
      </c>
      <c r="E209" s="11">
        <f>A209-'Mastercurve bestimmen'!$B$2</f>
        <v>74</v>
      </c>
      <c r="F209" s="11">
        <f t="shared" si="21"/>
        <v>23.319512518607514</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23.366882501274802</v>
      </c>
      <c r="E210" s="11">
        <f>A210-'Mastercurve bestimmen'!$B$2</f>
        <v>75</v>
      </c>
      <c r="F210" s="11">
        <f t="shared" si="21"/>
        <v>23.366882501274802</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23.412329402288165</v>
      </c>
      <c r="E211" s="11">
        <f>A211-'Mastercurve bestimmen'!$B$2</f>
        <v>76</v>
      </c>
      <c r="F211" s="11">
        <f t="shared" si="21"/>
        <v>23.412329402288165</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23.456237837978399</v>
      </c>
      <c r="E212" s="11">
        <f>A212-'Mastercurve bestimmen'!$B$2</f>
        <v>77</v>
      </c>
      <c r="F212" s="11">
        <f t="shared" si="21"/>
        <v>23.456237837978399</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23.498992424676281</v>
      </c>
      <c r="E213" s="11">
        <f>A213-'Mastercurve bestimmen'!$B$2</f>
        <v>78</v>
      </c>
      <c r="F213" s="11">
        <f t="shared" si="21"/>
        <v>23.498992424676281</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23.540977778712595</v>
      </c>
      <c r="E214" s="11">
        <f>A214-'Mastercurve bestimmen'!$B$2</f>
        <v>79</v>
      </c>
      <c r="F214" s="11">
        <f t="shared" si="21"/>
        <v>23.540977778712595</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23.582578516418124</v>
      </c>
      <c r="E215" s="11">
        <f>A215-'Mastercurve bestimmen'!$B$2</f>
        <v>80</v>
      </c>
      <c r="F215" s="11">
        <f t="shared" si="21"/>
        <v>23.582578516418124</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0.43306062872478701</v>
      </c>
      <c r="J217" s="98">
        <v>2.1310873427484978E-3</v>
      </c>
      <c r="K217" s="98">
        <v>-2.1107824535769515E-5</v>
      </c>
      <c r="L217" s="98">
        <v>-5.7948187756999232E-7</v>
      </c>
      <c r="M217" s="98">
        <v>-2.9092433155025724E-9</v>
      </c>
      <c r="N217" s="98">
        <v>3.6922608315251456E-11</v>
      </c>
      <c r="O217" s="98">
        <v>4.0209861733373531E-13</v>
      </c>
      <c r="P217" s="98">
        <v>9.6802211503814371E-16</v>
      </c>
    </row>
    <row r="218" spans="1:16" x14ac:dyDescent="0.25">
      <c r="G218" s="11"/>
      <c r="H218" s="11">
        <v>0</v>
      </c>
      <c r="I218" s="11">
        <v>9.5942388941133998E-4</v>
      </c>
      <c r="J218" s="11">
        <v>1.7870752209054871E-5</v>
      </c>
      <c r="K218" s="3">
        <v>9.0800566059165465E-7</v>
      </c>
      <c r="L218" s="3">
        <v>8.2676616253544536E-9</v>
      </c>
      <c r="M218" s="3">
        <v>2.5960612313311467E-10</v>
      </c>
      <c r="N218" s="3">
        <v>1.4265629264624749E-12</v>
      </c>
      <c r="O218" s="11">
        <v>2.2939962653779035E-14</v>
      </c>
      <c r="P218" s="11">
        <v>1.3949760490961307E-16</v>
      </c>
    </row>
    <row r="219" spans="1:16" x14ac:dyDescent="0.25">
      <c r="G219" s="11"/>
      <c r="H219" s="11">
        <v>0.99996938832874183</v>
      </c>
      <c r="I219" s="11">
        <v>9.9256944743178213E-2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-24.781083565296484</v>
      </c>
      <c r="G222">
        <f>F15</f>
        <v>-24.635271452940994</v>
      </c>
    </row>
    <row r="223" spans="1:16" x14ac:dyDescent="0.25">
      <c r="E223" s="11">
        <f t="shared" ref="E223:E286" si="25">E16</f>
        <v>-119</v>
      </c>
      <c r="F223" s="11">
        <f t="shared" ref="F223:F286" si="26">$H$217*0+E223*$I$217+E223^2*$J$217+E223^3*$K$217+E223^4*$L$217+E223^5*$M$217+E223^6*$N$217+E223^7*$O$217+E223^8*$P$217</f>
        <v>-24.669313635974646</v>
      </c>
      <c r="G223" s="11">
        <f t="shared" ref="G223:G286" si="27">F16</f>
        <v>-24.575044664280437</v>
      </c>
    </row>
    <row r="224" spans="1:16" x14ac:dyDescent="0.25">
      <c r="E224" s="11">
        <f t="shared" si="25"/>
        <v>-118</v>
      </c>
      <c r="F224" s="11">
        <f t="shared" si="26"/>
        <v>-24.565577031627804</v>
      </c>
      <c r="G224" s="11">
        <f t="shared" si="27"/>
        <v>-24.514751189450408</v>
      </c>
    </row>
    <row r="225" spans="5:7" x14ac:dyDescent="0.25">
      <c r="E225" s="11">
        <f t="shared" si="25"/>
        <v>-117</v>
      </c>
      <c r="F225" s="11">
        <f t="shared" si="26"/>
        <v>-24.469125864087339</v>
      </c>
      <c r="G225" s="11">
        <f t="shared" si="27"/>
        <v>-24.454324342281453</v>
      </c>
    </row>
    <row r="226" spans="5:7" x14ac:dyDescent="0.25">
      <c r="E226" s="11">
        <f t="shared" si="25"/>
        <v>-116</v>
      </c>
      <c r="F226" s="11">
        <f t="shared" si="26"/>
        <v>-24.379239524411961</v>
      </c>
      <c r="G226" s="11">
        <f t="shared" si="27"/>
        <v>-24.3936974366041</v>
      </c>
    </row>
    <row r="227" spans="5:7" x14ac:dyDescent="0.25">
      <c r="E227" s="11">
        <f t="shared" si="25"/>
        <v>-115</v>
      </c>
      <c r="F227" s="11">
        <f t="shared" si="26"/>
        <v>-24.295224719278703</v>
      </c>
      <c r="G227" s="11">
        <f t="shared" si="27"/>
        <v>-24.332803786248874</v>
      </c>
    </row>
    <row r="228" spans="5:7" x14ac:dyDescent="0.25">
      <c r="E228" s="11">
        <f t="shared" si="25"/>
        <v>-114</v>
      </c>
      <c r="F228" s="11">
        <f t="shared" si="26"/>
        <v>-24.216415450744687</v>
      </c>
      <c r="G228" s="11">
        <f t="shared" si="27"/>
        <v>-24.271576705046321</v>
      </c>
    </row>
    <row r="229" spans="5:7" x14ac:dyDescent="0.25">
      <c r="E229" s="11">
        <f t="shared" si="25"/>
        <v>-113</v>
      </c>
      <c r="F229" s="11">
        <f t="shared" si="26"/>
        <v>-24.142172941899169</v>
      </c>
      <c r="G229" s="11">
        <f t="shared" si="27"/>
        <v>-24.20994950682697</v>
      </c>
    </row>
    <row r="230" spans="5:7" x14ac:dyDescent="0.25">
      <c r="E230" s="11">
        <f t="shared" si="25"/>
        <v>-112</v>
      </c>
      <c r="F230" s="11">
        <f t="shared" si="26"/>
        <v>-24.071885510887896</v>
      </c>
      <c r="G230" s="11">
        <f t="shared" si="27"/>
        <v>-24.147855505421354</v>
      </c>
    </row>
    <row r="231" spans="5:7" x14ac:dyDescent="0.25">
      <c r="E231" s="11">
        <f t="shared" si="25"/>
        <v>-111</v>
      </c>
      <c r="F231" s="11">
        <f t="shared" si="26"/>
        <v>-24.004968395752066</v>
      </c>
      <c r="G231" s="11">
        <f t="shared" si="27"/>
        <v>-24.085228014660011</v>
      </c>
    </row>
    <row r="232" spans="5:7" x14ac:dyDescent="0.25">
      <c r="E232" s="11">
        <f t="shared" si="25"/>
        <v>-110</v>
      </c>
      <c r="F232" s="11">
        <f t="shared" si="26"/>
        <v>-23.940863532485093</v>
      </c>
      <c r="G232" s="11">
        <f t="shared" si="27"/>
        <v>-24.022000348373467</v>
      </c>
    </row>
    <row r="233" spans="5:7" x14ac:dyDescent="0.25">
      <c r="E233" s="11">
        <f t="shared" si="25"/>
        <v>-109</v>
      </c>
      <c r="F233" s="11">
        <f t="shared" si="26"/>
        <v>-23.879039288671994</v>
      </c>
      <c r="G233" s="11">
        <f t="shared" si="27"/>
        <v>-23.958105820392262</v>
      </c>
    </row>
    <row r="234" spans="5:7" x14ac:dyDescent="0.25">
      <c r="E234" s="11">
        <f t="shared" si="25"/>
        <v>-108</v>
      </c>
      <c r="F234" s="11">
        <f t="shared" si="26"/>
        <v>-23.818990155036047</v>
      </c>
      <c r="G234" s="11">
        <f t="shared" si="27"/>
        <v>-23.893477744546928</v>
      </c>
    </row>
    <row r="235" spans="5:7" x14ac:dyDescent="0.25">
      <c r="E235" s="11">
        <f t="shared" si="25"/>
        <v>-107</v>
      </c>
      <c r="F235" s="11">
        <f t="shared" si="26"/>
        <v>-23.760236397179941</v>
      </c>
      <c r="G235" s="11">
        <f t="shared" si="27"/>
        <v>-23.828049434667996</v>
      </c>
    </row>
    <row r="236" spans="5:7" x14ac:dyDescent="0.25">
      <c r="E236" s="11">
        <f t="shared" si="25"/>
        <v>-106</v>
      </c>
      <c r="F236" s="11">
        <f t="shared" si="26"/>
        <v>-23.702323669767701</v>
      </c>
      <c r="G236" s="11">
        <f t="shared" si="27"/>
        <v>-23.761754204586005</v>
      </c>
    </row>
    <row r="237" spans="5:7" x14ac:dyDescent="0.25">
      <c r="E237" s="11">
        <f t="shared" si="25"/>
        <v>-105</v>
      </c>
      <c r="F237" s="11">
        <f t="shared" si="26"/>
        <v>-23.644822595356633</v>
      </c>
      <c r="G237" s="11">
        <f t="shared" si="27"/>
        <v>-23.694525368131487</v>
      </c>
    </row>
    <row r="238" spans="5:7" x14ac:dyDescent="0.25">
      <c r="E238" s="11">
        <f t="shared" si="25"/>
        <v>-104</v>
      </c>
      <c r="F238" s="11">
        <f t="shared" si="26"/>
        <v>-23.587328310047528</v>
      </c>
      <c r="G238" s="11">
        <f t="shared" si="27"/>
        <v>-23.626296239134973</v>
      </c>
    </row>
    <row r="239" spans="5:7" x14ac:dyDescent="0.25">
      <c r="E239" s="11">
        <f t="shared" si="25"/>
        <v>-103</v>
      </c>
      <c r="F239" s="11">
        <f t="shared" si="26"/>
        <v>-23.52945997808423</v>
      </c>
      <c r="G239" s="11">
        <f t="shared" si="27"/>
        <v>-23.557000131426996</v>
      </c>
    </row>
    <row r="240" spans="5:7" x14ac:dyDescent="0.25">
      <c r="E240" s="11">
        <f t="shared" si="25"/>
        <v>-102</v>
      </c>
      <c r="F240" s="11">
        <f t="shared" si="26"/>
        <v>-23.470860277492925</v>
      </c>
      <c r="G240" s="11">
        <f t="shared" si="27"/>
        <v>-23.486570358838094</v>
      </c>
    </row>
    <row r="241" spans="5:7" x14ac:dyDescent="0.25">
      <c r="E241" s="11">
        <f t="shared" si="25"/>
        <v>-101</v>
      </c>
      <c r="F241" s="11">
        <f t="shared" si="26"/>
        <v>-23.411194858813872</v>
      </c>
      <c r="G241" s="11">
        <f t="shared" si="27"/>
        <v>-23.414940235198799</v>
      </c>
    </row>
    <row r="242" spans="5:7" x14ac:dyDescent="0.25">
      <c r="E242" s="11">
        <f t="shared" si="25"/>
        <v>-100</v>
      </c>
      <c r="F242" s="11">
        <f t="shared" si="26"/>
        <v>-23.350151778938347</v>
      </c>
      <c r="G242" s="11">
        <f t="shared" si="27"/>
        <v>-23.342043074339642</v>
      </c>
    </row>
    <row r="243" spans="5:7" x14ac:dyDescent="0.25">
      <c r="E243" s="11">
        <f t="shared" si="25"/>
        <v>-99</v>
      </c>
      <c r="F243" s="11">
        <f t="shared" si="26"/>
        <v>-23.287440912025062</v>
      </c>
      <c r="G243" s="11">
        <f t="shared" si="27"/>
        <v>-23.267812190091156</v>
      </c>
    </row>
    <row r="244" spans="5:7" x14ac:dyDescent="0.25">
      <c r="E244" s="11">
        <f t="shared" si="25"/>
        <v>-98</v>
      </c>
      <c r="F244" s="11">
        <f t="shared" si="26"/>
        <v>-23.222793339430748</v>
      </c>
      <c r="G244" s="11">
        <f t="shared" si="27"/>
        <v>-23.192180896283887</v>
      </c>
    </row>
    <row r="245" spans="5:7" x14ac:dyDescent="0.25">
      <c r="E245" s="11">
        <f t="shared" si="25"/>
        <v>-97</v>
      </c>
      <c r="F245" s="11">
        <f t="shared" si="26"/>
        <v>-23.155960720551491</v>
      </c>
      <c r="G245" s="11">
        <f t="shared" si="27"/>
        <v>-23.115082506748355</v>
      </c>
    </row>
    <row r="246" spans="5:7" x14ac:dyDescent="0.25">
      <c r="E246" s="11">
        <f t="shared" si="25"/>
        <v>-96</v>
      </c>
      <c r="F246" s="11">
        <f t="shared" si="26"/>
        <v>-23.086714646431126</v>
      </c>
      <c r="G246" s="11">
        <f t="shared" si="27"/>
        <v>-23.036450335315095</v>
      </c>
    </row>
    <row r="247" spans="5:7" x14ac:dyDescent="0.25">
      <c r="E247" s="11">
        <f t="shared" si="25"/>
        <v>-95</v>
      </c>
      <c r="F247" s="11">
        <f t="shared" si="26"/>
        <v>-23.014845977955176</v>
      </c>
      <c r="G247" s="11">
        <f t="shared" si="27"/>
        <v>-22.956217695814644</v>
      </c>
    </row>
    <row r="248" spans="5:7" x14ac:dyDescent="0.25">
      <c r="E248" s="11">
        <f t="shared" si="25"/>
        <v>-94</v>
      </c>
      <c r="F248" s="11">
        <f t="shared" si="26"/>
        <v>-22.940164170408906</v>
      </c>
      <c r="G248" s="11">
        <f t="shared" si="27"/>
        <v>-22.874317902077539</v>
      </c>
    </row>
    <row r="249" spans="5:7" x14ac:dyDescent="0.25">
      <c r="E249" s="11">
        <f t="shared" si="25"/>
        <v>-93</v>
      </c>
      <c r="F249" s="11">
        <f t="shared" si="26"/>
        <v>-22.862496586139549</v>
      </c>
      <c r="G249" s="11">
        <f t="shared" si="27"/>
        <v>-22.79068426793431</v>
      </c>
    </row>
    <row r="250" spans="5:7" x14ac:dyDescent="0.25">
      <c r="E250" s="11">
        <f t="shared" si="25"/>
        <v>-92</v>
      </c>
      <c r="F250" s="11">
        <f t="shared" si="26"/>
        <v>-22.781687797023523</v>
      </c>
      <c r="G250" s="11">
        <f t="shared" si="27"/>
        <v>-22.705250107215491</v>
      </c>
    </row>
    <row r="251" spans="5:7" x14ac:dyDescent="0.25">
      <c r="E251" s="11">
        <f t="shared" si="25"/>
        <v>-91</v>
      </c>
      <c r="F251" s="11">
        <f t="shared" si="26"/>
        <v>-22.697598878400299</v>
      </c>
      <c r="G251" s="11">
        <f t="shared" si="27"/>
        <v>-22.617948733751611</v>
      </c>
    </row>
    <row r="252" spans="5:7" x14ac:dyDescent="0.25">
      <c r="E252" s="11">
        <f t="shared" si="25"/>
        <v>-90</v>
      </c>
      <c r="F252" s="11">
        <f t="shared" si="26"/>
        <v>-22.610106696096032</v>
      </c>
      <c r="G252" s="11">
        <f t="shared" si="27"/>
        <v>-22.528713461373215</v>
      </c>
    </row>
    <row r="253" spans="5:7" x14ac:dyDescent="0.25">
      <c r="E253" s="11">
        <f t="shared" si="25"/>
        <v>-89</v>
      </c>
      <c r="F253" s="11">
        <f t="shared" si="26"/>
        <v>-22.519103188120393</v>
      </c>
      <c r="G253" s="11">
        <f t="shared" si="27"/>
        <v>-22.437477603910828</v>
      </c>
    </row>
    <row r="254" spans="5:7" x14ac:dyDescent="0.25">
      <c r="E254" s="11">
        <f t="shared" si="25"/>
        <v>-88</v>
      </c>
      <c r="F254" s="11">
        <f t="shared" si="26"/>
        <v>-22.424494642581532</v>
      </c>
      <c r="G254" s="11">
        <f t="shared" si="27"/>
        <v>-22.344174475194983</v>
      </c>
    </row>
    <row r="255" spans="5:7" x14ac:dyDescent="0.25">
      <c r="E255" s="11">
        <f t="shared" si="25"/>
        <v>-87</v>
      </c>
      <c r="F255" s="11">
        <f t="shared" si="26"/>
        <v>-22.326200973324696</v>
      </c>
      <c r="G255" s="11">
        <f t="shared" si="27"/>
        <v>-22.248737389056217</v>
      </c>
    </row>
    <row r="256" spans="5:7" x14ac:dyDescent="0.25">
      <c r="E256" s="11">
        <f t="shared" si="25"/>
        <v>-86</v>
      </c>
      <c r="F256" s="11">
        <f t="shared" si="26"/>
        <v>-22.224154994761442</v>
      </c>
      <c r="G256" s="11">
        <f t="shared" si="27"/>
        <v>-22.151099659325062</v>
      </c>
    </row>
    <row r="257" spans="5:7" x14ac:dyDescent="0.25">
      <c r="E257" s="11">
        <f t="shared" si="25"/>
        <v>-85</v>
      </c>
      <c r="F257" s="11">
        <f t="shared" si="26"/>
        <v>-22.118301697316756</v>
      </c>
      <c r="G257" s="11">
        <f t="shared" si="27"/>
        <v>-22.051194599832058</v>
      </c>
    </row>
    <row r="258" spans="5:7" x14ac:dyDescent="0.25">
      <c r="E258" s="11">
        <f t="shared" si="25"/>
        <v>-84</v>
      </c>
      <c r="F258" s="11">
        <f t="shared" si="26"/>
        <v>-22.008597524882891</v>
      </c>
      <c r="G258" s="11">
        <f t="shared" si="27"/>
        <v>-21.948955524407729</v>
      </c>
    </row>
    <row r="259" spans="5:7" x14ac:dyDescent="0.25">
      <c r="E259" s="11">
        <f t="shared" si="25"/>
        <v>-83</v>
      </c>
      <c r="F259" s="11">
        <f t="shared" si="26"/>
        <v>-21.895009655629451</v>
      </c>
      <c r="G259" s="11">
        <f t="shared" si="27"/>
        <v>-21.844315746882614</v>
      </c>
    </row>
    <row r="260" spans="5:7" x14ac:dyDescent="0.25">
      <c r="E260" s="11">
        <f t="shared" si="25"/>
        <v>-82</v>
      </c>
      <c r="F260" s="11">
        <f t="shared" si="26"/>
        <v>-21.777515287480291</v>
      </c>
      <c r="G260" s="11">
        <f t="shared" si="27"/>
        <v>-21.737208581087252</v>
      </c>
    </row>
    <row r="261" spans="5:7" x14ac:dyDescent="0.25">
      <c r="E261" s="11">
        <f t="shared" si="25"/>
        <v>-81</v>
      </c>
      <c r="F261" s="11">
        <f t="shared" si="26"/>
        <v>-21.656100929528616</v>
      </c>
      <c r="G261" s="11">
        <f t="shared" si="27"/>
        <v>-21.627567340852163</v>
      </c>
    </row>
    <row r="262" spans="5:7" x14ac:dyDescent="0.25">
      <c r="E262" s="11">
        <f t="shared" si="25"/>
        <v>-80</v>
      </c>
      <c r="F262" s="11">
        <f t="shared" si="26"/>
        <v>-21.530761700622957</v>
      </c>
      <c r="G262" s="11">
        <f t="shared" si="27"/>
        <v>-21.515325340007887</v>
      </c>
    </row>
    <row r="263" spans="5:7" x14ac:dyDescent="0.25">
      <c r="E263" s="11">
        <f t="shared" si="25"/>
        <v>-79</v>
      </c>
      <c r="F263" s="11">
        <f t="shared" si="26"/>
        <v>-21.401500636317333</v>
      </c>
      <c r="G263" s="11">
        <f t="shared" si="27"/>
        <v>-21.386141796204079</v>
      </c>
    </row>
    <row r="264" spans="5:7" x14ac:dyDescent="0.25">
      <c r="E264" s="11">
        <f t="shared" si="25"/>
        <v>-78</v>
      </c>
      <c r="F264" s="11">
        <f t="shared" si="26"/>
        <v>-21.268328005340049</v>
      </c>
      <c r="G264" s="11">
        <f t="shared" si="27"/>
        <v>-21.254222529287631</v>
      </c>
    </row>
    <row r="265" spans="5:7" x14ac:dyDescent="0.25">
      <c r="E265" s="11">
        <f t="shared" si="25"/>
        <v>-77</v>
      </c>
      <c r="F265" s="11">
        <f t="shared" si="26"/>
        <v>-21.131260636696588</v>
      </c>
      <c r="G265" s="11">
        <f t="shared" si="27"/>
        <v>-21.11949926292457</v>
      </c>
    </row>
    <row r="266" spans="5:7" x14ac:dyDescent="0.25">
      <c r="E266" s="11">
        <f t="shared" si="25"/>
        <v>-76</v>
      </c>
      <c r="F266" s="11">
        <f t="shared" si="26"/>
        <v>-20.990321258482798</v>
      </c>
      <c r="G266" s="11">
        <f t="shared" si="27"/>
        <v>-20.981903720780913</v>
      </c>
    </row>
    <row r="267" spans="5:7" x14ac:dyDescent="0.25">
      <c r="E267" s="11">
        <f t="shared" si="25"/>
        <v>-75</v>
      </c>
      <c r="F267" s="11">
        <f t="shared" si="26"/>
        <v>-20.845537849446007</v>
      </c>
      <c r="G267" s="11">
        <f t="shared" si="27"/>
        <v>-20.841367626522683</v>
      </c>
    </row>
    <row r="268" spans="5:7" x14ac:dyDescent="0.25">
      <c r="E268" s="11">
        <f t="shared" si="25"/>
        <v>-74</v>
      </c>
      <c r="F268" s="11">
        <f t="shared" si="26"/>
        <v>-20.69694300429191</v>
      </c>
      <c r="G268" s="11">
        <f t="shared" si="27"/>
        <v>-20.697822703815895</v>
      </c>
    </row>
    <row r="269" spans="5:7" x14ac:dyDescent="0.25">
      <c r="E269" s="11">
        <f t="shared" si="25"/>
        <v>-73</v>
      </c>
      <c r="F269" s="11">
        <f t="shared" si="26"/>
        <v>-20.54457331369699</v>
      </c>
      <c r="G269" s="11">
        <f t="shared" si="27"/>
        <v>-20.551200676326573</v>
      </c>
    </row>
    <row r="270" spans="5:7" x14ac:dyDescent="0.25">
      <c r="E270" s="11">
        <f t="shared" si="25"/>
        <v>-72</v>
      </c>
      <c r="F270" s="11">
        <f t="shared" si="26"/>
        <v>-20.388468759946289</v>
      </c>
      <c r="G270" s="11">
        <f t="shared" si="27"/>
        <v>-20.401433267720726</v>
      </c>
    </row>
    <row r="271" spans="5:7" x14ac:dyDescent="0.25">
      <c r="E271" s="11">
        <f t="shared" si="25"/>
        <v>-71</v>
      </c>
      <c r="F271" s="11">
        <f t="shared" si="26"/>
        <v>-20.228672129078049</v>
      </c>
      <c r="G271" s="11">
        <f t="shared" si="27"/>
        <v>-20.248452201664382</v>
      </c>
    </row>
    <row r="272" spans="5:7" x14ac:dyDescent="0.25">
      <c r="E272" s="11">
        <f t="shared" si="25"/>
        <v>-70</v>
      </c>
      <c r="F272" s="11">
        <f t="shared" si="26"/>
        <v>-20.065228440377197</v>
      </c>
      <c r="G272" s="11">
        <f t="shared" si="27"/>
        <v>-20.092189201823558</v>
      </c>
    </row>
    <row r="273" spans="5:7" x14ac:dyDescent="0.25">
      <c r="E273" s="11">
        <f t="shared" si="25"/>
        <v>-69</v>
      </c>
      <c r="F273" s="11">
        <f t="shared" si="26"/>
        <v>-19.898184394020912</v>
      </c>
      <c r="G273" s="11">
        <f t="shared" si="27"/>
        <v>-19.932575991864269</v>
      </c>
    </row>
    <row r="274" spans="5:7" x14ac:dyDescent="0.25">
      <c r="E274" s="11">
        <f t="shared" si="25"/>
        <v>-68</v>
      </c>
      <c r="F274" s="11">
        <f t="shared" si="26"/>
        <v>-19.727587837640385</v>
      </c>
      <c r="G274" s="11">
        <f t="shared" si="27"/>
        <v>-19.76954429545254</v>
      </c>
    </row>
    <row r="275" spans="5:7" x14ac:dyDescent="0.25">
      <c r="E275" s="11">
        <f t="shared" si="25"/>
        <v>-67</v>
      </c>
      <c r="F275" s="11">
        <f t="shared" si="26"/>
        <v>-19.553487252523809</v>
      </c>
      <c r="G275" s="11">
        <f t="shared" si="27"/>
        <v>-19.603025836254389</v>
      </c>
    </row>
    <row r="276" spans="5:7" x14ac:dyDescent="0.25">
      <c r="E276" s="11">
        <f t="shared" si="25"/>
        <v>-66</v>
      </c>
      <c r="F276" s="11">
        <f t="shared" si="26"/>
        <v>-19.375931260146704</v>
      </c>
      <c r="G276" s="11">
        <f t="shared" si="27"/>
        <v>-19.432952337935831</v>
      </c>
    </row>
    <row r="277" spans="5:7" x14ac:dyDescent="0.25">
      <c r="E277" s="11">
        <f t="shared" si="25"/>
        <v>-65</v>
      </c>
      <c r="F277" s="11">
        <f t="shared" si="26"/>
        <v>-19.194968149676544</v>
      </c>
      <c r="G277" s="11">
        <f t="shared" si="27"/>
        <v>-19.259255524162889</v>
      </c>
    </row>
    <row r="278" spans="5:7" x14ac:dyDescent="0.25">
      <c r="E278" s="11">
        <f t="shared" si="25"/>
        <v>-64</v>
      </c>
      <c r="F278" s="11">
        <f t="shared" si="26"/>
        <v>-19.010645427059785</v>
      </c>
      <c r="G278" s="11">
        <f t="shared" si="27"/>
        <v>-19.081867118601579</v>
      </c>
    </row>
    <row r="279" spans="5:7" x14ac:dyDescent="0.25">
      <c r="E279" s="11">
        <f t="shared" si="25"/>
        <v>-63</v>
      </c>
      <c r="F279" s="11">
        <f t="shared" si="26"/>
        <v>-18.8230093862601</v>
      </c>
      <c r="G279" s="11">
        <f t="shared" si="27"/>
        <v>-18.900718844917918</v>
      </c>
    </row>
    <row r="280" spans="5:7" x14ac:dyDescent="0.25">
      <c r="E280" s="11">
        <f t="shared" si="25"/>
        <v>-62</v>
      </c>
      <c r="F280" s="11">
        <f t="shared" si="26"/>
        <v>-18.632104703177863</v>
      </c>
      <c r="G280" s="11">
        <f t="shared" si="27"/>
        <v>-18.715742426777933</v>
      </c>
    </row>
    <row r="281" spans="5:7" x14ac:dyDescent="0.25">
      <c r="E281" s="11">
        <f t="shared" si="25"/>
        <v>-61</v>
      </c>
      <c r="F281" s="11">
        <f t="shared" si="26"/>
        <v>-18.437974052741794</v>
      </c>
      <c r="G281" s="11">
        <f t="shared" si="27"/>
        <v>-18.526869587847639</v>
      </c>
    </row>
    <row r="282" spans="5:7" x14ac:dyDescent="0.25">
      <c r="E282" s="11">
        <f t="shared" si="25"/>
        <v>-60</v>
      </c>
      <c r="F282" s="11">
        <f t="shared" si="26"/>
        <v>-18.240657749624518</v>
      </c>
      <c r="G282" s="11">
        <f t="shared" si="27"/>
        <v>-18.334032051793052</v>
      </c>
    </row>
    <row r="283" spans="5:7" x14ac:dyDescent="0.25">
      <c r="E283" s="11">
        <f t="shared" si="25"/>
        <v>-59</v>
      </c>
      <c r="F283" s="11">
        <f t="shared" si="26"/>
        <v>-18.040193412995023</v>
      </c>
      <c r="G283" s="11">
        <f t="shared" si="27"/>
        <v>-18.137161542280197</v>
      </c>
    </row>
    <row r="284" spans="5:7" x14ac:dyDescent="0.25">
      <c r="E284" s="11">
        <f t="shared" si="25"/>
        <v>-58</v>
      </c>
      <c r="F284" s="11">
        <f t="shared" si="26"/>
        <v>-17.836615655681694</v>
      </c>
      <c r="G284" s="11">
        <f t="shared" si="27"/>
        <v>-17.936189782975088</v>
      </c>
    </row>
    <row r="285" spans="5:7" x14ac:dyDescent="0.25">
      <c r="E285" s="11">
        <f t="shared" si="25"/>
        <v>-57</v>
      </c>
      <c r="F285" s="11">
        <f t="shared" si="26"/>
        <v>-17.6299557980808</v>
      </c>
      <c r="G285" s="11">
        <f t="shared" si="27"/>
        <v>-17.731048497543743</v>
      </c>
    </row>
    <row r="286" spans="5:7" x14ac:dyDescent="0.25">
      <c r="E286" s="11">
        <f t="shared" si="25"/>
        <v>-56</v>
      </c>
      <c r="F286" s="11">
        <f t="shared" si="26"/>
        <v>-17.42024160710616</v>
      </c>
      <c r="G286" s="11">
        <f t="shared" si="27"/>
        <v>-17.521669409652187</v>
      </c>
    </row>
    <row r="287" spans="5:7" x14ac:dyDescent="0.25">
      <c r="E287" s="11">
        <f t="shared" ref="E287:E350" si="28">E80</f>
        <v>-55</v>
      </c>
      <c r="F287" s="11">
        <f t="shared" ref="F287:F350" si="29">$H$217*0+E287*$I$217+E287^2*$J$217+E287^3*$K$217+E287^4*$L$217+E287^5*$M$217+E287^6*$N$217+E287^7*$O$217+E287^8*$P$217</f>
        <v>-17.207497060436577</v>
      </c>
      <c r="G287" s="11">
        <f t="shared" ref="G287:G350" si="30">F80</f>
        <v>-17.307984242966434</v>
      </c>
    </row>
    <row r="288" spans="5:7" x14ac:dyDescent="0.25">
      <c r="E288" s="11">
        <f t="shared" si="28"/>
        <v>-54</v>
      </c>
      <c r="F288" s="11">
        <f t="shared" si="29"/>
        <v>-16.991742136278994</v>
      </c>
      <c r="G288" s="11">
        <f t="shared" si="30"/>
        <v>-17.089948863530282</v>
      </c>
    </row>
    <row r="289" spans="5:7" x14ac:dyDescent="0.25">
      <c r="E289" s="11">
        <f t="shared" si="28"/>
        <v>-53</v>
      </c>
      <c r="F289" s="11">
        <f t="shared" si="29"/>
        <v>-16.772992628825737</v>
      </c>
      <c r="G289" s="11">
        <f t="shared" si="30"/>
        <v>-16.867615706898636</v>
      </c>
    </row>
    <row r="290" spans="5:7" x14ac:dyDescent="0.25">
      <c r="E290" s="11">
        <f t="shared" si="28"/>
        <v>-52</v>
      </c>
      <c r="F290" s="11">
        <f t="shared" si="29"/>
        <v>-16.551259989545642</v>
      </c>
      <c r="G290" s="11">
        <f t="shared" si="30"/>
        <v>-16.641061351004193</v>
      </c>
    </row>
    <row r="291" spans="5:7" x14ac:dyDescent="0.25">
      <c r="E291" s="11">
        <f t="shared" si="28"/>
        <v>-51</v>
      </c>
      <c r="F291" s="11">
        <f t="shared" si="29"/>
        <v>-16.326551194409642</v>
      </c>
      <c r="G291" s="11">
        <f t="shared" si="30"/>
        <v>-16.410362373779627</v>
      </c>
    </row>
    <row r="292" spans="5:7" x14ac:dyDescent="0.25">
      <c r="E292" s="11">
        <f t="shared" si="28"/>
        <v>-50</v>
      </c>
      <c r="F292" s="11">
        <f t="shared" si="29"/>
        <v>-16.098868637112314</v>
      </c>
      <c r="G292" s="11">
        <f t="shared" si="30"/>
        <v>-16.175595353157632</v>
      </c>
    </row>
    <row r="293" spans="5:7" x14ac:dyDescent="0.25">
      <c r="E293" s="11">
        <f t="shared" si="28"/>
        <v>-49</v>
      </c>
      <c r="F293" s="11">
        <f t="shared" si="29"/>
        <v>-15.86821004831196</v>
      </c>
      <c r="G293" s="11">
        <f t="shared" si="30"/>
        <v>-15.936836867070889</v>
      </c>
    </row>
    <row r="294" spans="5:7" x14ac:dyDescent="0.25">
      <c r="E294" s="11">
        <f t="shared" si="28"/>
        <v>-48</v>
      </c>
      <c r="F294" s="11">
        <f t="shared" si="29"/>
        <v>-15.634568440872743</v>
      </c>
      <c r="G294" s="11">
        <f t="shared" si="30"/>
        <v>-15.694163493452084</v>
      </c>
    </row>
    <row r="295" spans="5:7" x14ac:dyDescent="0.25">
      <c r="E295" s="11">
        <f t="shared" si="28"/>
        <v>-47</v>
      </c>
      <c r="F295" s="11">
        <f t="shared" si="29"/>
        <v>-15.397932081053293</v>
      </c>
      <c r="G295" s="11">
        <f t="shared" si="30"/>
        <v>-15.447651810233907</v>
      </c>
    </row>
    <row r="296" spans="5:7" x14ac:dyDescent="0.25">
      <c r="E296" s="11">
        <f t="shared" si="28"/>
        <v>-46</v>
      </c>
      <c r="F296" s="11">
        <f t="shared" si="29"/>
        <v>-15.158284485547281</v>
      </c>
      <c r="G296" s="11">
        <f t="shared" si="30"/>
        <v>-15.197378395349039</v>
      </c>
    </row>
    <row r="297" spans="5:7" x14ac:dyDescent="0.25">
      <c r="E297" s="11">
        <f t="shared" si="28"/>
        <v>-45</v>
      </c>
      <c r="F297" s="11">
        <f t="shared" si="29"/>
        <v>-14.915604444242314</v>
      </c>
      <c r="G297" s="11">
        <f t="shared" si="30"/>
        <v>-14.943419826730171</v>
      </c>
    </row>
    <row r="298" spans="5:7" x14ac:dyDescent="0.25">
      <c r="E298" s="11">
        <f t="shared" si="28"/>
        <v>-44</v>
      </c>
      <c r="F298" s="11">
        <f t="shared" si="29"/>
        <v>-14.669866068524609</v>
      </c>
      <c r="G298" s="11">
        <f t="shared" si="30"/>
        <v>-14.685852682309987</v>
      </c>
    </row>
    <row r="299" spans="5:7" x14ac:dyDescent="0.25">
      <c r="E299" s="11">
        <f t="shared" si="28"/>
        <v>-43</v>
      </c>
      <c r="F299" s="11">
        <f t="shared" si="29"/>
        <v>-14.421038864917676</v>
      </c>
      <c r="G299" s="11">
        <f t="shared" si="30"/>
        <v>-14.424753540021168</v>
      </c>
    </row>
    <row r="300" spans="5:7" x14ac:dyDescent="0.25">
      <c r="E300" s="11">
        <f t="shared" si="28"/>
        <v>-42</v>
      </c>
      <c r="F300" s="11">
        <f t="shared" si="29"/>
        <v>-14.169087833804472</v>
      </c>
      <c r="G300" s="11">
        <f t="shared" si="30"/>
        <v>-14.160198977796409</v>
      </c>
    </row>
    <row r="301" spans="5:7" x14ac:dyDescent="0.25">
      <c r="E301" s="11">
        <f t="shared" si="28"/>
        <v>-41</v>
      </c>
      <c r="F301" s="11">
        <f t="shared" si="29"/>
        <v>-13.913973592943172</v>
      </c>
      <c r="G301" s="11">
        <f t="shared" si="30"/>
        <v>-13.892265573568389</v>
      </c>
    </row>
    <row r="302" spans="5:7" x14ac:dyDescent="0.25">
      <c r="E302" s="11">
        <f t="shared" si="28"/>
        <v>-40</v>
      </c>
      <c r="F302" s="11">
        <f t="shared" si="29"/>
        <v>-13.655652525447927</v>
      </c>
      <c r="G302" s="11">
        <f t="shared" si="30"/>
        <v>-13.621029905269797</v>
      </c>
    </row>
    <row r="303" spans="5:7" x14ac:dyDescent="0.25">
      <c r="E303" s="11">
        <f t="shared" si="28"/>
        <v>-39</v>
      </c>
      <c r="F303" s="11">
        <f t="shared" si="29"/>
        <v>-13.394076951866765</v>
      </c>
      <c r="G303" s="11">
        <f t="shared" si="30"/>
        <v>-13.346568550833318</v>
      </c>
    </row>
    <row r="304" spans="5:7" x14ac:dyDescent="0.25">
      <c r="E304" s="11">
        <f t="shared" si="28"/>
        <v>-38</v>
      </c>
      <c r="F304" s="11">
        <f t="shared" si="29"/>
        <v>-13.129195325949844</v>
      </c>
      <c r="G304" s="11">
        <f t="shared" si="30"/>
        <v>-13.068958088191639</v>
      </c>
    </row>
    <row r="305" spans="5:7" x14ac:dyDescent="0.25">
      <c r="E305" s="11">
        <f t="shared" si="28"/>
        <v>-37</v>
      </c>
      <c r="F305" s="11">
        <f t="shared" si="29"/>
        <v>-12.860952453662257</v>
      </c>
      <c r="G305" s="11">
        <f t="shared" si="30"/>
        <v>-12.788275095277445</v>
      </c>
    </row>
    <row r="306" spans="5:7" x14ac:dyDescent="0.25">
      <c r="E306" s="11">
        <f t="shared" si="28"/>
        <v>-36</v>
      </c>
      <c r="F306" s="11">
        <f t="shared" si="29"/>
        <v>-12.589289734956473</v>
      </c>
      <c r="G306" s="11">
        <f t="shared" si="30"/>
        <v>-12.504596150023424</v>
      </c>
    </row>
    <row r="307" spans="5:7" x14ac:dyDescent="0.25">
      <c r="E307" s="11">
        <f t="shared" si="28"/>
        <v>-35</v>
      </c>
      <c r="F307" s="11">
        <f t="shared" si="29"/>
        <v>-12.314145427780536</v>
      </c>
      <c r="G307" s="11">
        <f t="shared" si="30"/>
        <v>-12.217997830362258</v>
      </c>
    </row>
    <row r="308" spans="5:7" x14ac:dyDescent="0.25">
      <c r="E308" s="11">
        <f t="shared" si="28"/>
        <v>-34</v>
      </c>
      <c r="F308" s="11">
        <f t="shared" si="29"/>
        <v>-12.035454933759118</v>
      </c>
      <c r="G308" s="11">
        <f t="shared" si="30"/>
        <v>-11.928556714226634</v>
      </c>
    </row>
    <row r="309" spans="5:7" x14ac:dyDescent="0.25">
      <c r="E309" s="11">
        <f t="shared" si="28"/>
        <v>-33</v>
      </c>
      <c r="F309" s="11">
        <f t="shared" si="29"/>
        <v>-11.753151104945426</v>
      </c>
      <c r="G309" s="11">
        <f t="shared" si="30"/>
        <v>-11.636349379549243</v>
      </c>
    </row>
    <row r="310" spans="5:7" x14ac:dyDescent="0.25">
      <c r="E310" s="11">
        <f t="shared" si="28"/>
        <v>-32</v>
      </c>
      <c r="F310" s="11">
        <f t="shared" si="29"/>
        <v>-11.467164571003011</v>
      </c>
      <c r="G310" s="11">
        <f t="shared" si="30"/>
        <v>-11.341452404262764</v>
      </c>
    </row>
    <row r="311" spans="5:7" x14ac:dyDescent="0.25">
      <c r="E311" s="11">
        <f t="shared" si="28"/>
        <v>-31</v>
      </c>
      <c r="F311" s="11">
        <f t="shared" si="29"/>
        <v>-11.177424086137435</v>
      </c>
      <c r="G311" s="11">
        <f t="shared" si="30"/>
        <v>-11.043942366299888</v>
      </c>
    </row>
    <row r="312" spans="5:7" x14ac:dyDescent="0.25">
      <c r="E312" s="11">
        <f t="shared" si="28"/>
        <v>-30</v>
      </c>
      <c r="F312" s="11">
        <f t="shared" si="29"/>
        <v>-10.883856895058761</v>
      </c>
      <c r="G312" s="11">
        <f t="shared" si="30"/>
        <v>-10.7438958435933</v>
      </c>
    </row>
    <row r="313" spans="5:7" x14ac:dyDescent="0.25">
      <c r="E313" s="11">
        <f t="shared" si="28"/>
        <v>-29</v>
      </c>
      <c r="F313" s="11">
        <f t="shared" si="29"/>
        <v>-10.586389117216761</v>
      </c>
      <c r="G313" s="11">
        <f t="shared" si="30"/>
        <v>-10.441354493286694</v>
      </c>
    </row>
    <row r="314" spans="5:7" x14ac:dyDescent="0.25">
      <c r="E314" s="11">
        <f t="shared" si="28"/>
        <v>-28</v>
      </c>
      <c r="F314" s="11">
        <f t="shared" si="29"/>
        <v>-10.284946148511779</v>
      </c>
      <c r="G314" s="11">
        <f t="shared" si="30"/>
        <v>-10.136220289367817</v>
      </c>
    </row>
    <row r="315" spans="5:7" x14ac:dyDescent="0.25">
      <c r="E315" s="11">
        <f t="shared" si="28"/>
        <v>-27</v>
      </c>
      <c r="F315" s="11">
        <f t="shared" si="29"/>
        <v>-9.9794530796450456</v>
      </c>
      <c r="G315" s="11">
        <f t="shared" si="30"/>
        <v>-9.828360285035421</v>
      </c>
    </row>
    <row r="316" spans="5:7" x14ac:dyDescent="0.25">
      <c r="E316" s="11">
        <f t="shared" si="28"/>
        <v>-26</v>
      </c>
      <c r="F316" s="11">
        <f t="shared" si="29"/>
        <v>-9.6698351302333219</v>
      </c>
      <c r="G316" s="11">
        <f t="shared" si="30"/>
        <v>-9.5176415334882662</v>
      </c>
    </row>
    <row r="317" spans="5:7" x14ac:dyDescent="0.25">
      <c r="E317" s="11">
        <f t="shared" si="28"/>
        <v>-25</v>
      </c>
      <c r="F317" s="11">
        <f t="shared" si="29"/>
        <v>-9.3560180977736476</v>
      </c>
      <c r="G317" s="11">
        <f t="shared" si="30"/>
        <v>-9.2039310879250991</v>
      </c>
    </row>
    <row r="318" spans="5:7" x14ac:dyDescent="0.25">
      <c r="E318" s="11">
        <f t="shared" si="28"/>
        <v>-24</v>
      </c>
      <c r="F318" s="11">
        <f t="shared" si="29"/>
        <v>-9.0379288205049377</v>
      </c>
      <c r="G318" s="11">
        <f t="shared" si="30"/>
        <v>-8.8870960015446769</v>
      </c>
    </row>
    <row r="319" spans="5:7" x14ac:dyDescent="0.25">
      <c r="E319" s="11">
        <f t="shared" si="28"/>
        <v>-23</v>
      </c>
      <c r="F319" s="11">
        <f t="shared" si="29"/>
        <v>-8.7154956531742211</v>
      </c>
      <c r="G319" s="11">
        <f t="shared" si="30"/>
        <v>-8.5670033275457556</v>
      </c>
    </row>
    <row r="320" spans="5:7" x14ac:dyDescent="0.25">
      <c r="E320" s="11">
        <f t="shared" si="28"/>
        <v>-22</v>
      </c>
      <c r="F320" s="11">
        <f t="shared" si="29"/>
        <v>-8.3886489546761673</v>
      </c>
      <c r="G320" s="11">
        <f t="shared" si="30"/>
        <v>-8.2435201191270906</v>
      </c>
    </row>
    <row r="321" spans="5:7" x14ac:dyDescent="0.25">
      <c r="E321" s="11">
        <f t="shared" si="28"/>
        <v>-21</v>
      </c>
      <c r="F321" s="11">
        <f t="shared" si="29"/>
        <v>-8.0573215864955969</v>
      </c>
      <c r="G321" s="11">
        <f t="shared" si="30"/>
        <v>-7.9165134294874342</v>
      </c>
    </row>
    <row r="322" spans="5:7" x14ac:dyDescent="0.25">
      <c r="E322" s="11">
        <f t="shared" si="28"/>
        <v>-20</v>
      </c>
      <c r="F322" s="11">
        <f t="shared" si="29"/>
        <v>-7.7214494208436415</v>
      </c>
      <c r="G322" s="11">
        <f t="shared" si="30"/>
        <v>-7.5858503118255411</v>
      </c>
    </row>
    <row r="323" spans="5:7" x14ac:dyDescent="0.25">
      <c r="E323" s="11">
        <f t="shared" si="28"/>
        <v>-19</v>
      </c>
      <c r="F323" s="11">
        <f t="shared" si="29"/>
        <v>-7.380971857339131</v>
      </c>
      <c r="G323" s="11">
        <f t="shared" si="30"/>
        <v>-7.2513978193401654</v>
      </c>
    </row>
    <row r="324" spans="5:7" x14ac:dyDescent="0.25">
      <c r="E324" s="11">
        <f t="shared" si="28"/>
        <v>-18</v>
      </c>
      <c r="F324" s="11">
        <f t="shared" si="29"/>
        <v>-7.0358323470477888</v>
      </c>
      <c r="G324" s="11">
        <f t="shared" si="30"/>
        <v>-6.9130230052300643</v>
      </c>
    </row>
    <row r="325" spans="5:7" x14ac:dyDescent="0.25">
      <c r="E325" s="11">
        <f t="shared" si="28"/>
        <v>-17</v>
      </c>
      <c r="F325" s="11">
        <f t="shared" si="29"/>
        <v>-6.6859789226528417</v>
      </c>
      <c r="G325" s="11">
        <f t="shared" si="30"/>
        <v>-6.5705929226939892</v>
      </c>
    </row>
    <row r="326" spans="5:7" x14ac:dyDescent="0.25">
      <c r="E326" s="11">
        <f t="shared" si="28"/>
        <v>-16</v>
      </c>
      <c r="F326" s="11">
        <f t="shared" si="29"/>
        <v>-6.3313647334914833</v>
      </c>
      <c r="G326" s="11">
        <f t="shared" si="30"/>
        <v>-6.2239746249306958</v>
      </c>
    </row>
    <row r="327" spans="5:7" x14ac:dyDescent="0.25">
      <c r="E327" s="11">
        <f t="shared" si="28"/>
        <v>-15</v>
      </c>
      <c r="F327" s="11">
        <f t="shared" si="29"/>
        <v>-5.9719485841527433</v>
      </c>
      <c r="G327" s="11">
        <f t="shared" si="30"/>
        <v>-5.8730351651389379</v>
      </c>
    </row>
    <row r="328" spans="5:7" x14ac:dyDescent="0.25">
      <c r="E328" s="11">
        <f t="shared" si="28"/>
        <v>-14</v>
      </c>
      <c r="F328" s="11">
        <f t="shared" si="29"/>
        <v>-5.6076954752932124</v>
      </c>
      <c r="G328" s="11">
        <f t="shared" si="30"/>
        <v>-5.517641596517473</v>
      </c>
    </row>
    <row r="329" spans="5:7" x14ac:dyDescent="0.25">
      <c r="E329" s="11">
        <f t="shared" si="28"/>
        <v>-13</v>
      </c>
      <c r="F329" s="11">
        <f t="shared" si="29"/>
        <v>-5.2385771452880112</v>
      </c>
      <c r="G329" s="11">
        <f t="shared" si="30"/>
        <v>-5.1576609722650524</v>
      </c>
    </row>
    <row r="330" spans="5:7" x14ac:dyDescent="0.25">
      <c r="E330" s="11">
        <f t="shared" si="28"/>
        <v>-12</v>
      </c>
      <c r="F330" s="11">
        <f t="shared" si="29"/>
        <v>-4.8645726112954542</v>
      </c>
      <c r="G330" s="11">
        <f t="shared" si="30"/>
        <v>-4.7929603455804308</v>
      </c>
    </row>
    <row r="331" spans="5:7" x14ac:dyDescent="0.25">
      <c r="E331" s="11">
        <f t="shared" si="28"/>
        <v>-11</v>
      </c>
      <c r="F331" s="11">
        <f t="shared" si="29"/>
        <v>-4.4856687082747451</v>
      </c>
      <c r="G331" s="11">
        <f t="shared" si="30"/>
        <v>-4.423406769662364</v>
      </c>
    </row>
    <row r="332" spans="5:7" x14ac:dyDescent="0.25">
      <c r="E332" s="11">
        <f t="shared" si="28"/>
        <v>-10</v>
      </c>
      <c r="F332" s="11">
        <f t="shared" si="29"/>
        <v>-4.1018606244570464</v>
      </c>
      <c r="G332" s="11">
        <f t="shared" si="30"/>
        <v>-4.0488672977096059</v>
      </c>
    </row>
    <row r="333" spans="5:7" x14ac:dyDescent="0.25">
      <c r="E333" s="11">
        <f t="shared" si="28"/>
        <v>-9</v>
      </c>
      <c r="F333" s="11">
        <f t="shared" si="29"/>
        <v>-3.7131524317312365</v>
      </c>
      <c r="G333" s="11">
        <f t="shared" si="30"/>
        <v>-3.6692089829209116</v>
      </c>
    </row>
    <row r="334" spans="5:7" x14ac:dyDescent="0.25">
      <c r="E334" s="11">
        <f t="shared" si="28"/>
        <v>-8</v>
      </c>
      <c r="F334" s="11">
        <f t="shared" si="29"/>
        <v>-3.319557609366611</v>
      </c>
      <c r="G334" s="11">
        <f t="shared" si="30"/>
        <v>-3.2842988784950347</v>
      </c>
    </row>
    <row r="335" spans="5:7" x14ac:dyDescent="0.25">
      <c r="E335" s="11">
        <f t="shared" si="28"/>
        <v>-7</v>
      </c>
      <c r="F335" s="11">
        <f t="shared" si="29"/>
        <v>-2.9210995594558065</v>
      </c>
      <c r="G335" s="11">
        <f t="shared" si="30"/>
        <v>-2.8940040376307299</v>
      </c>
    </row>
    <row r="336" spans="5:7" x14ac:dyDescent="0.25">
      <c r="E336" s="11">
        <f t="shared" si="28"/>
        <v>-6</v>
      </c>
      <c r="F336" s="11">
        <f t="shared" si="29"/>
        <v>-2.5178121124221184</v>
      </c>
      <c r="G336" s="11">
        <f t="shared" si="30"/>
        <v>-2.4981915135267521</v>
      </c>
    </row>
    <row r="337" spans="5:7" x14ac:dyDescent="0.25">
      <c r="E337" s="11">
        <f t="shared" si="28"/>
        <v>-5</v>
      </c>
      <c r="F337" s="11">
        <f t="shared" si="29"/>
        <v>-2.1097400208964383</v>
      </c>
      <c r="G337" s="11">
        <f t="shared" si="30"/>
        <v>-2.0967283593818555</v>
      </c>
    </row>
    <row r="338" spans="5:7" x14ac:dyDescent="0.25">
      <c r="E338" s="11">
        <f t="shared" si="28"/>
        <v>-4</v>
      </c>
      <c r="F338" s="11">
        <f t="shared" si="29"/>
        <v>-1.6969394402299254</v>
      </c>
      <c r="G338" s="11">
        <f t="shared" si="30"/>
        <v>-1.6894816283947947</v>
      </c>
    </row>
    <row r="339" spans="5:7" x14ac:dyDescent="0.25">
      <c r="E339" s="11">
        <f t="shared" si="28"/>
        <v>-3</v>
      </c>
      <c r="F339" s="11">
        <f t="shared" si="29"/>
        <v>-1.2794783938695733</v>
      </c>
      <c r="G339" s="11">
        <f t="shared" si="30"/>
        <v>-1.2763183737643242</v>
      </c>
    </row>
    <row r="340" spans="5:7" x14ac:dyDescent="0.25">
      <c r="E340" s="11">
        <f t="shared" si="28"/>
        <v>-2</v>
      </c>
      <c r="F340" s="11">
        <f t="shared" si="29"/>
        <v>-0.85743722178472281</v>
      </c>
      <c r="G340" s="11">
        <f t="shared" si="30"/>
        <v>-0.8571056486891987</v>
      </c>
    </row>
    <row r="341" spans="5:7" x14ac:dyDescent="0.25">
      <c r="E341" s="11">
        <f t="shared" si="28"/>
        <v>-1</v>
      </c>
      <c r="F341" s="11">
        <f t="shared" si="29"/>
        <v>-0.4309090100936156</v>
      </c>
      <c r="G341" s="11">
        <f t="shared" si="30"/>
        <v>-0.43171050636817243</v>
      </c>
    </row>
    <row r="342" spans="5:7" x14ac:dyDescent="0.25">
      <c r="E342" s="11">
        <f t="shared" si="28"/>
        <v>0</v>
      </c>
      <c r="F342" s="11">
        <f t="shared" si="29"/>
        <v>0</v>
      </c>
      <c r="G342" s="11">
        <f t="shared" si="30"/>
        <v>1.1102230246251565E-16</v>
      </c>
    </row>
    <row r="343" spans="5:7" x14ac:dyDescent="0.25">
      <c r="E343" s="11">
        <f t="shared" si="28"/>
        <v>1</v>
      </c>
      <c r="F343" s="11">
        <f t="shared" si="29"/>
        <v>0.4351700258892045</v>
      </c>
      <c r="G343" s="11">
        <f t="shared" si="30"/>
        <v>0.43806291911107564</v>
      </c>
    </row>
    <row r="344" spans="5:7" x14ac:dyDescent="0.25">
      <c r="E344" s="11">
        <f t="shared" si="28"/>
        <v>2</v>
      </c>
      <c r="F344" s="11">
        <f t="shared" si="29"/>
        <v>0.87446738183321804</v>
      </c>
      <c r="G344" s="11">
        <f t="shared" si="30"/>
        <v>0.88213170723885792</v>
      </c>
    </row>
    <row r="345" spans="5:7" x14ac:dyDescent="0.25">
      <c r="E345" s="11">
        <f t="shared" si="28"/>
        <v>3</v>
      </c>
      <c r="F345" s="11">
        <f t="shared" si="29"/>
        <v>1.3177441438207451</v>
      </c>
      <c r="G345" s="11">
        <f t="shared" si="30"/>
        <v>1.3317639225516622</v>
      </c>
    </row>
    <row r="346" spans="5:7" x14ac:dyDescent="0.25">
      <c r="E346" s="11">
        <f t="shared" si="28"/>
        <v>4</v>
      </c>
      <c r="F346" s="11">
        <f t="shared" si="29"/>
        <v>1.7648378430734497</v>
      </c>
      <c r="G346" s="11">
        <f t="shared" si="30"/>
        <v>1.7865171232178034</v>
      </c>
    </row>
    <row r="347" spans="5:7" x14ac:dyDescent="0.25">
      <c r="E347" s="11">
        <f t="shared" si="28"/>
        <v>5</v>
      </c>
      <c r="F347" s="11">
        <f t="shared" si="29"/>
        <v>2.2155711902746771</v>
      </c>
      <c r="G347" s="11">
        <f t="shared" si="30"/>
        <v>2.2459488674055965</v>
      </c>
    </row>
    <row r="348" spans="5:7" x14ac:dyDescent="0.25">
      <c r="E348" s="11">
        <f t="shared" si="28"/>
        <v>6</v>
      </c>
      <c r="F348" s="11">
        <f t="shared" si="29"/>
        <v>2.6697518326475875</v>
      </c>
      <c r="G348" s="11">
        <f t="shared" si="30"/>
        <v>2.7096167132833564</v>
      </c>
    </row>
    <row r="349" spans="5:7" x14ac:dyDescent="0.25">
      <c r="E349" s="11">
        <f t="shared" si="28"/>
        <v>7</v>
      </c>
      <c r="F349" s="11">
        <f t="shared" si="29"/>
        <v>3.127172146045869</v>
      </c>
      <c r="G349" s="11">
        <f t="shared" si="30"/>
        <v>3.177078219019398</v>
      </c>
    </row>
    <row r="350" spans="5:7" x14ac:dyDescent="0.25">
      <c r="E350" s="11">
        <f t="shared" si="28"/>
        <v>8</v>
      </c>
      <c r="F350" s="11">
        <f t="shared" si="29"/>
        <v>3.5876090642592668</v>
      </c>
      <c r="G350" s="11">
        <f t="shared" si="30"/>
        <v>3.6478909427820367</v>
      </c>
    </row>
    <row r="351" spans="5:7" x14ac:dyDescent="0.25">
      <c r="E351" s="11">
        <f t="shared" ref="E351:E414" si="31">E144</f>
        <v>9</v>
      </c>
      <c r="F351" s="11">
        <f t="shared" ref="F351:F414" si="32">$H$217*0+E351*$I$217+E351^2*$J$217+E351^3*$K$217+E351^4*$L$217+E351^5*$M$217+E351^6*$N$217+E351^7*$O$217+E351^8*$P$217</f>
        <v>4.0508239477751466</v>
      </c>
      <c r="G351" s="11">
        <f t="shared" ref="G351:G414" si="33">F144</f>
        <v>4.1216124427395879</v>
      </c>
    </row>
    <row r="352" spans="5:7" x14ac:dyDescent="0.25">
      <c r="E352" s="11">
        <f t="shared" si="31"/>
        <v>10</v>
      </c>
      <c r="F352" s="11">
        <f t="shared" si="32"/>
        <v>4.5165624942764016</v>
      </c>
      <c r="G352" s="11">
        <f t="shared" si="33"/>
        <v>4.5978002770603661</v>
      </c>
    </row>
    <row r="353" spans="5:7" x14ac:dyDescent="0.25">
      <c r="E353" s="11">
        <f t="shared" si="31"/>
        <v>11</v>
      </c>
      <c r="F353" s="11">
        <f t="shared" si="32"/>
        <v>4.98455469319497</v>
      </c>
      <c r="G353" s="11">
        <f t="shared" si="33"/>
        <v>5.0760120039126857</v>
      </c>
    </row>
    <row r="354" spans="5:7" x14ac:dyDescent="0.25">
      <c r="E354" s="11">
        <f t="shared" si="31"/>
        <v>12</v>
      </c>
      <c r="F354" s="11">
        <f t="shared" si="32"/>
        <v>5.4545148266793539</v>
      </c>
      <c r="G354" s="11">
        <f t="shared" si="33"/>
        <v>5.5558051814648639</v>
      </c>
    </row>
    <row r="355" spans="5:7" x14ac:dyDescent="0.25">
      <c r="E355" s="11">
        <f t="shared" si="31"/>
        <v>13</v>
      </c>
      <c r="F355" s="11">
        <f t="shared" si="32"/>
        <v>5.9261415193734441</v>
      </c>
      <c r="G355" s="11">
        <f t="shared" si="33"/>
        <v>6.0367373678852134</v>
      </c>
    </row>
    <row r="356" spans="5:7" x14ac:dyDescent="0.25">
      <c r="E356" s="11">
        <f t="shared" si="31"/>
        <v>14</v>
      </c>
      <c r="F356" s="11">
        <f t="shared" si="32"/>
        <v>6.3991178394431003</v>
      </c>
      <c r="G356" s="11">
        <f t="shared" si="33"/>
        <v>6.5183661213420505</v>
      </c>
    </row>
    <row r="357" spans="5:7" x14ac:dyDescent="0.25">
      <c r="E357" s="11">
        <f t="shared" si="31"/>
        <v>15</v>
      </c>
      <c r="F357" s="11">
        <f t="shared" si="32"/>
        <v>6.8731114533258939</v>
      </c>
      <c r="G357" s="11">
        <f t="shared" si="33"/>
        <v>7.0002490000036905</v>
      </c>
    </row>
    <row r="358" spans="5:7" x14ac:dyDescent="0.25">
      <c r="E358" s="11">
        <f t="shared" si="31"/>
        <v>16</v>
      </c>
      <c r="F358" s="11">
        <f t="shared" si="32"/>
        <v>7.3477748367184876</v>
      </c>
      <c r="G358" s="11">
        <f t="shared" si="33"/>
        <v>7.4819435620384471</v>
      </c>
    </row>
    <row r="359" spans="5:7" x14ac:dyDescent="0.25">
      <c r="E359" s="11">
        <f t="shared" si="31"/>
        <v>17</v>
      </c>
      <c r="F359" s="11">
        <f t="shared" si="32"/>
        <v>7.8227455443551079</v>
      </c>
      <c r="G359" s="11">
        <f t="shared" si="33"/>
        <v>7.9630073656146356</v>
      </c>
    </row>
    <row r="360" spans="5:7" x14ac:dyDescent="0.25">
      <c r="E360" s="11">
        <f t="shared" si="31"/>
        <v>18</v>
      </c>
      <c r="F360" s="11">
        <f t="shared" si="32"/>
        <v>8.297646541169696</v>
      </c>
      <c r="G360" s="11">
        <f t="shared" si="33"/>
        <v>8.4429979689005741</v>
      </c>
    </row>
    <row r="361" spans="5:7" x14ac:dyDescent="0.25">
      <c r="E361" s="11">
        <f t="shared" si="31"/>
        <v>19</v>
      </c>
      <c r="F361" s="11">
        <f t="shared" si="32"/>
        <v>8.7720865974731979</v>
      </c>
      <c r="G361" s="11">
        <f t="shared" si="33"/>
        <v>8.9214729300645743</v>
      </c>
    </row>
    <row r="362" spans="5:7" x14ac:dyDescent="0.25">
      <c r="E362" s="11">
        <f t="shared" si="31"/>
        <v>20</v>
      </c>
      <c r="F362" s="11">
        <f t="shared" si="32"/>
        <v>9.2456607508166861</v>
      </c>
      <c r="G362" s="11">
        <f t="shared" si="33"/>
        <v>9.3979898072749499</v>
      </c>
    </row>
    <row r="363" spans="5:7" x14ac:dyDescent="0.25">
      <c r="E363" s="11">
        <f t="shared" si="31"/>
        <v>21</v>
      </c>
      <c r="F363" s="11">
        <f t="shared" si="32"/>
        <v>9.7179508372498233</v>
      </c>
      <c r="G363" s="11">
        <f t="shared" si="33"/>
        <v>9.872106158700019</v>
      </c>
    </row>
    <row r="364" spans="5:7" x14ac:dyDescent="0.25">
      <c r="E364" s="11">
        <f t="shared" si="31"/>
        <v>22</v>
      </c>
      <c r="F364" s="11">
        <f t="shared" si="32"/>
        <v>10.188526094723397</v>
      </c>
      <c r="G364" s="11">
        <f t="shared" si="33"/>
        <v>10.343379542508098</v>
      </c>
    </row>
    <row r="365" spans="5:7" x14ac:dyDescent="0.25">
      <c r="E365" s="11">
        <f t="shared" si="31"/>
        <v>23</v>
      </c>
      <c r="F365" s="11">
        <f t="shared" si="32"/>
        <v>10.656943841423503</v>
      </c>
      <c r="G365" s="11">
        <f t="shared" si="33"/>
        <v>10.811367516867499</v>
      </c>
    </row>
    <row r="366" spans="5:7" x14ac:dyDescent="0.25">
      <c r="E366" s="11">
        <f t="shared" si="31"/>
        <v>24</v>
      </c>
      <c r="F366" s="11">
        <f t="shared" si="32"/>
        <v>11.122750231864224</v>
      </c>
      <c r="G366" s="11">
        <f t="shared" si="33"/>
        <v>11.275627639946537</v>
      </c>
    </row>
    <row r="367" spans="5:7" x14ac:dyDescent="0.25">
      <c r="E367" s="11">
        <f t="shared" si="31"/>
        <v>25</v>
      </c>
      <c r="F367" s="11">
        <f t="shared" si="32"/>
        <v>11.58548109360437</v>
      </c>
      <c r="G367" s="11">
        <f t="shared" si="33"/>
        <v>11.735717469913528</v>
      </c>
    </row>
    <row r="368" spans="5:7" x14ac:dyDescent="0.25">
      <c r="E368" s="11">
        <f t="shared" si="31"/>
        <v>26</v>
      </c>
      <c r="F368" s="11">
        <f t="shared" si="32"/>
        <v>12.044662847493198</v>
      </c>
      <c r="G368" s="11">
        <f t="shared" si="33"/>
        <v>12.191194564936787</v>
      </c>
    </row>
    <row r="369" spans="5:7" x14ac:dyDescent="0.25">
      <c r="E369" s="11">
        <f t="shared" si="31"/>
        <v>27</v>
      </c>
      <c r="F369" s="11">
        <f t="shared" si="32"/>
        <v>12.49981351438881</v>
      </c>
      <c r="G369" s="11">
        <f t="shared" si="33"/>
        <v>12.641616483184631</v>
      </c>
    </row>
    <row r="370" spans="5:7" x14ac:dyDescent="0.25">
      <c r="E370" s="11">
        <f t="shared" si="31"/>
        <v>28</v>
      </c>
      <c r="F370" s="11">
        <f t="shared" si="32"/>
        <v>12.950443811332107</v>
      </c>
      <c r="G370" s="11">
        <f t="shared" si="33"/>
        <v>13.08654078282537</v>
      </c>
    </row>
    <row r="371" spans="5:7" x14ac:dyDescent="0.25">
      <c r="E371" s="11">
        <f t="shared" si="31"/>
        <v>29</v>
      </c>
      <c r="F371" s="11">
        <f t="shared" si="32"/>
        <v>13.39605834019812</v>
      </c>
      <c r="G371" s="11">
        <f t="shared" si="33"/>
        <v>13.525525022027322</v>
      </c>
    </row>
    <row r="372" spans="5:7" x14ac:dyDescent="0.25">
      <c r="E372" s="11">
        <f t="shared" si="31"/>
        <v>30</v>
      </c>
      <c r="F372" s="11">
        <f t="shared" si="32"/>
        <v>13.836156871885658</v>
      </c>
      <c r="G372" s="11">
        <f t="shared" si="33"/>
        <v>13.958126758958805</v>
      </c>
    </row>
    <row r="373" spans="5:7" x14ac:dyDescent="0.25">
      <c r="E373" s="11">
        <f t="shared" si="31"/>
        <v>31</v>
      </c>
      <c r="F373" s="11">
        <f t="shared" si="32"/>
        <v>14.270235729145149</v>
      </c>
      <c r="G373" s="11">
        <f t="shared" si="33"/>
        <v>14.38390355178813</v>
      </c>
    </row>
    <row r="374" spans="5:7" x14ac:dyDescent="0.25">
      <c r="E374" s="11">
        <f t="shared" si="31"/>
        <v>32</v>
      </c>
      <c r="F374" s="11">
        <f t="shared" si="32"/>
        <v>14.697789271183639</v>
      </c>
      <c r="G374" s="11">
        <f t="shared" si="33"/>
        <v>14.802412958683613</v>
      </c>
    </row>
    <row r="375" spans="5:7" x14ac:dyDescent="0.25">
      <c r="E375" s="11">
        <f t="shared" si="31"/>
        <v>33</v>
      </c>
      <c r="F375" s="11">
        <f t="shared" si="32"/>
        <v>15.118311483224923</v>
      </c>
      <c r="G375" s="11">
        <f t="shared" si="33"/>
        <v>15.213212537813568</v>
      </c>
    </row>
    <row r="376" spans="5:7" x14ac:dyDescent="0.25">
      <c r="E376" s="11">
        <f t="shared" si="31"/>
        <v>34</v>
      </c>
      <c r="F376" s="11">
        <f t="shared" si="32"/>
        <v>15.531297674241856</v>
      </c>
      <c r="G376" s="11">
        <f t="shared" si="33"/>
        <v>15.615859847346311</v>
      </c>
    </row>
    <row r="377" spans="5:7" x14ac:dyDescent="0.25">
      <c r="E377" s="11">
        <f t="shared" si="31"/>
        <v>35</v>
      </c>
      <c r="F377" s="11">
        <f t="shared" si="32"/>
        <v>15.936246286116821</v>
      </c>
      <c r="G377" s="11">
        <f t="shared" si="33"/>
        <v>16.009912445450162</v>
      </c>
    </row>
    <row r="378" spans="5:7" x14ac:dyDescent="0.25">
      <c r="E378" s="11">
        <f t="shared" si="31"/>
        <v>36</v>
      </c>
      <c r="F378" s="11">
        <f t="shared" si="32"/>
        <v>16.332660817525497</v>
      </c>
      <c r="G378" s="11">
        <f t="shared" si="33"/>
        <v>16.394927890293427</v>
      </c>
    </row>
    <row r="379" spans="5:7" x14ac:dyDescent="0.25">
      <c r="E379" s="11">
        <f t="shared" si="31"/>
        <v>37</v>
      </c>
      <c r="F379" s="11">
        <f t="shared" si="32"/>
        <v>16.720051865877966</v>
      </c>
      <c r="G379" s="11">
        <f t="shared" si="33"/>
        <v>16.770463740044427</v>
      </c>
    </row>
    <row r="380" spans="5:7" x14ac:dyDescent="0.25">
      <c r="E380" s="11">
        <f t="shared" si="31"/>
        <v>38</v>
      </c>
      <c r="F380" s="11">
        <f t="shared" si="32"/>
        <v>17.097939290690388</v>
      </c>
      <c r="G380" s="11">
        <f t="shared" si="33"/>
        <v>17.13607755287148</v>
      </c>
    </row>
    <row r="381" spans="5:7" x14ac:dyDescent="0.25">
      <c r="E381" s="11">
        <f t="shared" si="31"/>
        <v>39</v>
      </c>
      <c r="F381" s="11">
        <f t="shared" si="32"/>
        <v>17.465854501799239</v>
      </c>
      <c r="G381" s="11">
        <f t="shared" si="33"/>
        <v>17.49132688694289</v>
      </c>
    </row>
    <row r="382" spans="5:7" x14ac:dyDescent="0.25">
      <c r="E382" s="11">
        <f t="shared" si="31"/>
        <v>40</v>
      </c>
      <c r="F382" s="11">
        <f t="shared" si="32"/>
        <v>17.823342875869525</v>
      </c>
      <c r="G382" s="11">
        <f t="shared" si="33"/>
        <v>17.835769300426982</v>
      </c>
    </row>
    <row r="383" spans="5:7" x14ac:dyDescent="0.25">
      <c r="E383" s="11">
        <f t="shared" si="31"/>
        <v>41</v>
      </c>
      <c r="F383" s="11">
        <f t="shared" si="32"/>
        <v>18.169966304687048</v>
      </c>
      <c r="G383" s="11">
        <f t="shared" si="33"/>
        <v>18.168962351492063</v>
      </c>
    </row>
    <row r="384" spans="5:7" x14ac:dyDescent="0.25">
      <c r="E384" s="11">
        <f t="shared" si="31"/>
        <v>42</v>
      </c>
      <c r="F384" s="11">
        <f t="shared" si="32"/>
        <v>18.505305878763988</v>
      </c>
      <c r="G384" s="11">
        <f t="shared" si="33"/>
        <v>18.490463598306455</v>
      </c>
    </row>
    <row r="385" spans="5:7" x14ac:dyDescent="0.25">
      <c r="E385" s="11">
        <f t="shared" si="31"/>
        <v>43</v>
      </c>
      <c r="F385" s="11">
        <f t="shared" si="32"/>
        <v>18.82896470982617</v>
      </c>
      <c r="G385" s="11">
        <f t="shared" si="33"/>
        <v>18.799830599038479</v>
      </c>
    </row>
    <row r="386" spans="5:7" x14ac:dyDescent="0.25">
      <c r="E386" s="11">
        <f t="shared" si="31"/>
        <v>44</v>
      </c>
      <c r="F386" s="11">
        <f t="shared" si="32"/>
        <v>19.140570895789295</v>
      </c>
      <c r="G386" s="11">
        <f t="shared" si="33"/>
        <v>19.096620911856434</v>
      </c>
    </row>
    <row r="387" spans="5:7" x14ac:dyDescent="0.25">
      <c r="E387" s="11">
        <f t="shared" si="31"/>
        <v>45</v>
      </c>
      <c r="F387" s="11">
        <f t="shared" si="32"/>
        <v>19.439780631870413</v>
      </c>
      <c r="G387" s="11">
        <f t="shared" si="33"/>
        <v>19.380392094928641</v>
      </c>
    </row>
    <row r="388" spans="5:7" x14ac:dyDescent="0.25">
      <c r="E388" s="11">
        <f t="shared" si="31"/>
        <v>46</v>
      </c>
      <c r="F388" s="11">
        <f t="shared" si="32"/>
        <v>19.726281471520132</v>
      </c>
      <c r="G388" s="11">
        <f t="shared" si="33"/>
        <v>19.650839549450499</v>
      </c>
    </row>
    <row r="389" spans="5:7" x14ac:dyDescent="0.25">
      <c r="E389" s="11">
        <f t="shared" si="31"/>
        <v>47</v>
      </c>
      <c r="F389" s="11">
        <f t="shared" si="32"/>
        <v>19.999795740899959</v>
      </c>
      <c r="G389" s="11">
        <f t="shared" si="33"/>
        <v>19.908210048725707</v>
      </c>
    </row>
    <row r="390" spans="5:7" x14ac:dyDescent="0.25">
      <c r="E390" s="11">
        <f t="shared" si="31"/>
        <v>48</v>
      </c>
      <c r="F390" s="11">
        <f t="shared" si="32"/>
        <v>20.260084110668064</v>
      </c>
      <c r="G390" s="11">
        <f t="shared" si="33"/>
        <v>20.152888209085052</v>
      </c>
    </row>
    <row r="391" spans="5:7" x14ac:dyDescent="0.25">
      <c r="E391" s="11">
        <f t="shared" si="31"/>
        <v>49</v>
      </c>
      <c r="F391" s="11">
        <f t="shared" si="32"/>
        <v>20.506949328876164</v>
      </c>
      <c r="G391" s="11">
        <f t="shared" si="33"/>
        <v>20.38525864685932</v>
      </c>
    </row>
    <row r="392" spans="5:7" x14ac:dyDescent="0.25">
      <c r="E392" s="11">
        <f t="shared" si="31"/>
        <v>50</v>
      </c>
      <c r="F392" s="11">
        <f t="shared" si="32"/>
        <v>20.740240118818864</v>
      </c>
      <c r="G392" s="11">
        <f t="shared" si="33"/>
        <v>20.605705978379291</v>
      </c>
    </row>
    <row r="393" spans="5:7" x14ac:dyDescent="0.25">
      <c r="E393" s="11">
        <f t="shared" si="31"/>
        <v>51</v>
      </c>
      <c r="F393" s="11">
        <f t="shared" si="32"/>
        <v>20.959855245716046</v>
      </c>
      <c r="G393" s="11">
        <f t="shared" si="33"/>
        <v>20.814614819975752</v>
      </c>
    </row>
    <row r="394" spans="5:7" x14ac:dyDescent="0.25">
      <c r="E394" s="11">
        <f t="shared" si="31"/>
        <v>52</v>
      </c>
      <c r="F394" s="11">
        <f t="shared" si="32"/>
        <v>21.165747756147894</v>
      </c>
      <c r="G394" s="11">
        <f t="shared" si="33"/>
        <v>21.012369787979484</v>
      </c>
    </row>
    <row r="395" spans="5:7" x14ac:dyDescent="0.25">
      <c r="E395" s="11">
        <f t="shared" si="31"/>
        <v>53</v>
      </c>
      <c r="F395" s="11">
        <f t="shared" si="32"/>
        <v>21.357929394201054</v>
      </c>
      <c r="G395" s="11">
        <f t="shared" si="33"/>
        <v>21.199355498721268</v>
      </c>
    </row>
    <row r="396" spans="5:7" x14ac:dyDescent="0.25">
      <c r="E396" s="11">
        <f t="shared" si="31"/>
        <v>54</v>
      </c>
      <c r="F396" s="11">
        <f t="shared" si="32"/>
        <v>21.536475198323714</v>
      </c>
      <c r="G396" s="11">
        <f t="shared" si="33"/>
        <v>21.37595656853189</v>
      </c>
    </row>
    <row r="397" spans="5:7" x14ac:dyDescent="0.25">
      <c r="E397" s="11">
        <f t="shared" si="31"/>
        <v>55</v>
      </c>
      <c r="F397" s="11">
        <f t="shared" si="32"/>
        <v>21.701528282926102</v>
      </c>
      <c r="G397" s="11">
        <f t="shared" si="33"/>
        <v>21.542557613742137</v>
      </c>
    </row>
    <row r="398" spans="5:7" x14ac:dyDescent="0.25">
      <c r="E398" s="11">
        <f t="shared" si="31"/>
        <v>56</v>
      </c>
      <c r="F398" s="11">
        <f t="shared" si="32"/>
        <v>21.853304808802154</v>
      </c>
      <c r="G398" s="11">
        <f t="shared" si="33"/>
        <v>21.699543250682787</v>
      </c>
    </row>
    <row r="399" spans="5:7" x14ac:dyDescent="0.25">
      <c r="E399" s="11">
        <f t="shared" si="31"/>
        <v>57</v>
      </c>
      <c r="F399" s="11">
        <f t="shared" si="32"/>
        <v>21.992099146487085</v>
      </c>
      <c r="G399" s="11">
        <f t="shared" si="33"/>
        <v>21.847298095684636</v>
      </c>
    </row>
    <row r="400" spans="5:7" x14ac:dyDescent="0.25">
      <c r="E400" s="11">
        <f t="shared" si="31"/>
        <v>58</v>
      </c>
      <c r="F400" s="11">
        <f t="shared" si="32"/>
        <v>22.118289236704612</v>
      </c>
      <c r="G400" s="11">
        <f t="shared" si="33"/>
        <v>21.98620676507845</v>
      </c>
    </row>
    <row r="401" spans="5:7" x14ac:dyDescent="0.25">
      <c r="E401" s="11">
        <f t="shared" si="31"/>
        <v>59</v>
      </c>
      <c r="F401" s="11">
        <f t="shared" si="32"/>
        <v>22.232342152096546</v>
      </c>
      <c r="G401" s="11">
        <f t="shared" si="33"/>
        <v>22.116653875195027</v>
      </c>
    </row>
    <row r="402" spans="5:7" x14ac:dyDescent="0.25">
      <c r="E402" s="11">
        <f t="shared" si="31"/>
        <v>60</v>
      </c>
      <c r="F402" s="11">
        <f t="shared" si="32"/>
        <v>22.334819864466624</v>
      </c>
      <c r="G402" s="11">
        <f t="shared" si="33"/>
        <v>22.239024042365145</v>
      </c>
    </row>
    <row r="403" spans="5:7" x14ac:dyDescent="0.25">
      <c r="E403" s="11">
        <f t="shared" si="31"/>
        <v>61</v>
      </c>
      <c r="F403" s="11">
        <f t="shared" si="32"/>
        <v>22.426385221809422</v>
      </c>
      <c r="G403" s="11">
        <f t="shared" si="33"/>
        <v>22.353701882919584</v>
      </c>
    </row>
    <row r="404" spans="5:7" x14ac:dyDescent="0.25">
      <c r="E404" s="11">
        <f t="shared" si="31"/>
        <v>62</v>
      </c>
      <c r="F404" s="11">
        <f t="shared" si="32"/>
        <v>22.507808139434136</v>
      </c>
      <c r="G404" s="11">
        <f t="shared" si="33"/>
        <v>22.461072013189131</v>
      </c>
    </row>
    <row r="405" spans="5:7" x14ac:dyDescent="0.25">
      <c r="E405" s="11">
        <f t="shared" si="31"/>
        <v>63</v>
      </c>
      <c r="F405" s="11">
        <f t="shared" si="32"/>
        <v>22.579972009532291</v>
      </c>
      <c r="G405" s="11">
        <f t="shared" si="33"/>
        <v>22.561519049504575</v>
      </c>
    </row>
    <row r="406" spans="5:7" x14ac:dyDescent="0.25">
      <c r="E406" s="11">
        <f t="shared" si="31"/>
        <v>64</v>
      </c>
      <c r="F406" s="11">
        <f t="shared" si="32"/>
        <v>22.643880333577098</v>
      </c>
      <c r="G406" s="11">
        <f t="shared" si="33"/>
        <v>22.655427608196696</v>
      </c>
    </row>
    <row r="407" spans="5:7" x14ac:dyDescent="0.25">
      <c r="E407" s="11">
        <f t="shared" si="31"/>
        <v>65</v>
      </c>
      <c r="F407" s="11">
        <f t="shared" si="32"/>
        <v>22.700663581981626</v>
      </c>
      <c r="G407" s="11">
        <f t="shared" si="33"/>
        <v>22.743182305596275</v>
      </c>
    </row>
    <row r="408" spans="5:7" x14ac:dyDescent="0.25">
      <c r="E408" s="11">
        <f t="shared" si="31"/>
        <v>66</v>
      </c>
      <c r="F408" s="11">
        <f t="shared" si="32"/>
        <v>22.751586285481654</v>
      </c>
      <c r="G408" s="11">
        <f t="shared" si="33"/>
        <v>22.825167758034098</v>
      </c>
    </row>
    <row r="409" spans="5:7" x14ac:dyDescent="0.25">
      <c r="E409" s="11">
        <f t="shared" si="31"/>
        <v>67</v>
      </c>
      <c r="F409" s="11">
        <f t="shared" si="32"/>
        <v>22.79805436274826</v>
      </c>
      <c r="G409" s="11">
        <f t="shared" si="33"/>
        <v>22.901768581840948</v>
      </c>
    </row>
    <row r="410" spans="5:7" x14ac:dyDescent="0.25">
      <c r="E410" s="11">
        <f t="shared" si="31"/>
        <v>68</v>
      </c>
      <c r="F410" s="11">
        <f t="shared" si="32"/>
        <v>22.841622688774216</v>
      </c>
      <c r="G410" s="11">
        <f t="shared" si="33"/>
        <v>22.97336939334761</v>
      </c>
    </row>
    <row r="411" spans="5:7" x14ac:dyDescent="0.25">
      <c r="E411" s="11">
        <f t="shared" si="31"/>
        <v>69</v>
      </c>
      <c r="F411" s="11">
        <f t="shared" si="32"/>
        <v>22.884002908617237</v>
      </c>
      <c r="G411" s="11">
        <f t="shared" si="33"/>
        <v>23.040354808884867</v>
      </c>
    </row>
    <row r="412" spans="5:7" x14ac:dyDescent="0.25">
      <c r="E412" s="11">
        <f t="shared" si="31"/>
        <v>70</v>
      </c>
      <c r="F412" s="11">
        <f t="shared" si="32"/>
        <v>22.927071501122278</v>
      </c>
      <c r="G412" s="11">
        <f t="shared" si="33"/>
        <v>23.103109444783506</v>
      </c>
    </row>
    <row r="413" spans="5:7" x14ac:dyDescent="0.25">
      <c r="E413" s="11">
        <f t="shared" si="31"/>
        <v>71</v>
      </c>
      <c r="F413" s="11">
        <f t="shared" si="32"/>
        <v>22.972878097283925</v>
      </c>
      <c r="G413" s="11">
        <f t="shared" si="33"/>
        <v>23.1620179173743</v>
      </c>
    </row>
    <row r="414" spans="5:7" x14ac:dyDescent="0.25">
      <c r="E414" s="11">
        <f t="shared" si="31"/>
        <v>72</v>
      </c>
      <c r="F414" s="11">
        <f t="shared" si="32"/>
        <v>23.023654057949084</v>
      </c>
      <c r="G414" s="11">
        <f t="shared" si="33"/>
        <v>23.217464842988051</v>
      </c>
    </row>
    <row r="415" spans="5:7" x14ac:dyDescent="0.25">
      <c r="E415" s="11">
        <f t="shared" ref="E415:E422" si="34">E208</f>
        <v>73</v>
      </c>
      <c r="F415" s="11">
        <f t="shared" ref="F415:F422" si="35">$H$217*0+E415*$I$217+E415^2*$J$217+E415^3*$K$217+E415^4*$L$217+E415^5*$M$217+E415^6*$N$217+E415^7*$O$217+E415^8*$P$217</f>
        <v>23.081821315599282</v>
      </c>
      <c r="G415" s="11">
        <f t="shared" ref="G415:G422" si="36">F208</f>
        <v>23.269834837955525</v>
      </c>
    </row>
    <row r="416" spans="5:7" x14ac:dyDescent="0.25">
      <c r="E416" s="11">
        <f t="shared" si="34"/>
        <v>74</v>
      </c>
      <c r="F416" s="11">
        <f t="shared" si="35"/>
        <v>23.150001484990653</v>
      </c>
      <c r="G416" s="11">
        <f t="shared" si="36"/>
        <v>23.319512518607514</v>
      </c>
    </row>
    <row r="417" spans="5:7" x14ac:dyDescent="0.25">
      <c r="E417" s="11">
        <f t="shared" si="34"/>
        <v>75</v>
      </c>
      <c r="F417" s="11">
        <f t="shared" si="35"/>
        <v>23.231025247468942</v>
      </c>
      <c r="G417" s="11">
        <f t="shared" si="36"/>
        <v>23.366882501274802</v>
      </c>
    </row>
    <row r="418" spans="5:7" x14ac:dyDescent="0.25">
      <c r="E418" s="11">
        <f t="shared" si="34"/>
        <v>76</v>
      </c>
      <c r="F418" s="11">
        <f t="shared" si="35"/>
        <v>23.327942013815925</v>
      </c>
      <c r="G418" s="11">
        <f t="shared" si="36"/>
        <v>23.412329402288165</v>
      </c>
    </row>
    <row r="419" spans="5:7" x14ac:dyDescent="0.25">
      <c r="E419" s="11">
        <f t="shared" si="34"/>
        <v>77</v>
      </c>
      <c r="F419" s="11">
        <f t="shared" si="35"/>
        <v>23.44402987052241</v>
      </c>
      <c r="G419" s="11">
        <f t="shared" si="36"/>
        <v>23.456237837978399</v>
      </c>
    </row>
    <row r="420" spans="5:7" x14ac:dyDescent="0.25">
      <c r="E420" s="11">
        <f t="shared" si="34"/>
        <v>78</v>
      </c>
      <c r="F420" s="11">
        <f t="shared" si="35"/>
        <v>23.582805814422276</v>
      </c>
      <c r="G420" s="11">
        <f t="shared" si="36"/>
        <v>23.498992424676281</v>
      </c>
    </row>
    <row r="421" spans="5:7" x14ac:dyDescent="0.25">
      <c r="E421" s="11">
        <f t="shared" si="34"/>
        <v>79</v>
      </c>
      <c r="F421" s="11">
        <f t="shared" si="35"/>
        <v>23.748036280661001</v>
      </c>
      <c r="G421" s="11">
        <f t="shared" si="36"/>
        <v>23.540977778712595</v>
      </c>
    </row>
    <row r="422" spans="5:7" x14ac:dyDescent="0.25">
      <c r="E422" s="11">
        <f t="shared" si="34"/>
        <v>80</v>
      </c>
      <c r="F422" s="11">
        <f t="shared" si="35"/>
        <v>23.943747969010875</v>
      </c>
      <c r="G422" s="11">
        <f t="shared" si="36"/>
        <v>23.582578516418124</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3.8009999999999997E-5</v>
      </c>
      <c r="C3" s="2">
        <v>1.4990000000000001E-4</v>
      </c>
      <c r="D3" s="2">
        <v>-4.6210000000000001E-4</v>
      </c>
      <c r="E3" s="2">
        <v>0</v>
      </c>
      <c r="F3" s="2">
        <v>0</v>
      </c>
      <c r="G3" s="2">
        <v>0</v>
      </c>
      <c r="H3" s="2">
        <v>7.0572289999999994E-5</v>
      </c>
      <c r="I3" s="2">
        <v>1.5235524000000001E-5</v>
      </c>
      <c r="J3" s="2">
        <v>-1.9562213E-4</v>
      </c>
      <c r="K3" s="3"/>
      <c r="L3" s="3">
        <f>-B3/D3</f>
        <v>8.2254923176801553E-2</v>
      </c>
      <c r="M3" s="3"/>
      <c r="N3" s="2">
        <f>IF('Modell einstellen'!$B$1="Voll",H3/0.35,H3/0.35*2)</f>
        <v>2.0163511428571428E-4</v>
      </c>
      <c r="O3" s="2">
        <f>IF('Modell einstellen'!$B$1="Voll",J3/0.35,J3/0.35*2)</f>
        <v>-5.5892037142857146E-4</v>
      </c>
      <c r="P3" s="3">
        <f>-N3/O3</f>
        <v>0.36075821278502584</v>
      </c>
      <c r="Q3" s="3"/>
      <c r="R3" s="3"/>
      <c r="S3" s="3"/>
      <c r="T3" s="3"/>
      <c r="U3" s="3"/>
      <c r="V3" s="3"/>
      <c r="W3" s="3"/>
    </row>
    <row r="4" spans="1:23" x14ac:dyDescent="0.25">
      <c r="A4" s="2">
        <v>1E-14</v>
      </c>
      <c r="B4" s="2">
        <v>3.8000000000000002E-5</v>
      </c>
      <c r="C4" s="2">
        <v>1.4990000000000001E-4</v>
      </c>
      <c r="D4" s="2">
        <v>-4.6210000000000001E-4</v>
      </c>
      <c r="E4" s="2">
        <v>0</v>
      </c>
      <c r="F4" s="2">
        <v>0</v>
      </c>
      <c r="G4" s="2">
        <v>0</v>
      </c>
      <c r="H4" s="2">
        <v>7.0573720999999996E-5</v>
      </c>
      <c r="I4" s="2">
        <v>1.5236729E-5</v>
      </c>
      <c r="J4" s="2">
        <v>-1.9561843000000001E-4</v>
      </c>
      <c r="K4" s="3"/>
      <c r="L4" s="3">
        <f t="shared" ref="L4:L33" si="0">-B4/D4</f>
        <v>8.2233282839212288E-2</v>
      </c>
      <c r="M4" s="3"/>
      <c r="N4" s="2">
        <f>IF('Modell einstellen'!$B$1="Voll",H4/0.35,H4/0.35*2)</f>
        <v>2.0163920285714285E-4</v>
      </c>
      <c r="O4" s="2">
        <f>IF('Modell einstellen'!$B$1="Voll",J4/0.35,J4/0.35*2)</f>
        <v>-5.5890980000000007E-4</v>
      </c>
      <c r="P4" s="3">
        <f t="shared" ref="P4:P33" si="1">-N4/O4</f>
        <v>0.36077235156217125</v>
      </c>
      <c r="Q4" s="3"/>
      <c r="R4" s="3"/>
      <c r="S4" s="3"/>
      <c r="T4" s="3"/>
      <c r="U4" s="3"/>
      <c r="V4" s="3"/>
      <c r="W4" s="3"/>
    </row>
    <row r="5" spans="1:23" x14ac:dyDescent="0.25">
      <c r="A5" s="2">
        <v>1E-13</v>
      </c>
      <c r="B5" s="2">
        <v>3.8000000000000002E-5</v>
      </c>
      <c r="C5" s="2">
        <v>1.4990000000000001E-4</v>
      </c>
      <c r="D5" s="2">
        <v>-4.6210000000000001E-4</v>
      </c>
      <c r="E5" s="2">
        <v>0</v>
      </c>
      <c r="F5" s="2">
        <v>0</v>
      </c>
      <c r="G5" s="2">
        <v>0</v>
      </c>
      <c r="H5" s="2">
        <v>7.0574096999999998E-5</v>
      </c>
      <c r="I5" s="2">
        <v>1.5236904000000001E-5</v>
      </c>
      <c r="J5" s="2">
        <v>-1.9561943999999999E-4</v>
      </c>
      <c r="K5" s="3"/>
      <c r="L5" s="3">
        <f t="shared" si="0"/>
        <v>8.2233282839212288E-2</v>
      </c>
      <c r="M5" s="3"/>
      <c r="N5" s="2">
        <f>IF('Modell einstellen'!$B$1="Voll",H5/0.35,H5/0.35*2)</f>
        <v>2.0164027714285714E-4</v>
      </c>
      <c r="O5" s="2">
        <f>IF('Modell einstellen'!$B$1="Voll",J5/0.35,J5/0.35*2)</f>
        <v>-5.5891268571428576E-4</v>
      </c>
      <c r="P5" s="3">
        <f t="shared" si="1"/>
        <v>0.3607724109628368</v>
      </c>
      <c r="Q5" s="3"/>
      <c r="R5" s="3"/>
      <c r="S5" s="3"/>
      <c r="T5" s="3"/>
      <c r="U5" s="3"/>
      <c r="V5" s="3"/>
      <c r="W5" s="3"/>
    </row>
    <row r="6" spans="1:23" x14ac:dyDescent="0.25">
      <c r="A6" s="2">
        <v>9.9999999999999998E-13</v>
      </c>
      <c r="B6" s="2">
        <v>3.8000000000000002E-5</v>
      </c>
      <c r="C6" s="2">
        <v>1.4990000000000001E-4</v>
      </c>
      <c r="D6" s="2">
        <v>-4.6210000000000001E-4</v>
      </c>
      <c r="E6" s="2">
        <v>0</v>
      </c>
      <c r="F6" s="2">
        <v>0</v>
      </c>
      <c r="G6" s="2">
        <v>0</v>
      </c>
      <c r="H6" s="2">
        <v>7.0574212999999995E-5</v>
      </c>
      <c r="I6" s="2">
        <v>1.5236953E-5</v>
      </c>
      <c r="J6" s="2">
        <v>-1.9561974000000001E-4</v>
      </c>
      <c r="K6" s="3"/>
      <c r="L6" s="3">
        <f t="shared" si="0"/>
        <v>8.2233282839212288E-2</v>
      </c>
      <c r="M6" s="3"/>
      <c r="N6" s="2">
        <f>IF('Modell einstellen'!$B$1="Voll",H6/0.35,H6/0.35*2)</f>
        <v>2.0164060857142858E-4</v>
      </c>
      <c r="O6" s="2">
        <f>IF('Modell einstellen'!$B$1="Voll",J6/0.35,J6/0.35*2)</f>
        <v>-5.5891354285714288E-4</v>
      </c>
      <c r="P6" s="3">
        <f t="shared" si="1"/>
        <v>0.36077245067394526</v>
      </c>
      <c r="Q6" s="3"/>
      <c r="R6" s="3"/>
      <c r="S6" s="3"/>
      <c r="T6" s="3"/>
      <c r="U6" s="3"/>
      <c r="V6" s="3"/>
      <c r="W6" s="3"/>
    </row>
    <row r="7" spans="1:23" x14ac:dyDescent="0.25">
      <c r="A7" s="2">
        <v>9.9999999999999994E-12</v>
      </c>
      <c r="B7" s="2">
        <v>3.8000000000000002E-5</v>
      </c>
      <c r="C7" s="2">
        <v>1.4990000000000001E-4</v>
      </c>
      <c r="D7" s="2">
        <v>-4.6210000000000001E-4</v>
      </c>
      <c r="E7" s="2">
        <v>0</v>
      </c>
      <c r="F7" s="2">
        <v>0</v>
      </c>
      <c r="G7" s="2">
        <v>0</v>
      </c>
      <c r="H7" s="2">
        <v>7.0574252000000002E-5</v>
      </c>
      <c r="I7" s="2">
        <v>1.5236967E-5</v>
      </c>
      <c r="J7" s="2">
        <v>-1.9561983E-4</v>
      </c>
      <c r="K7" s="3"/>
      <c r="L7" s="3">
        <f t="shared" si="0"/>
        <v>8.2233282839212288E-2</v>
      </c>
      <c r="M7" s="3"/>
      <c r="N7" s="2">
        <f>IF('Modell einstellen'!$B$1="Voll",H7/0.35,H7/0.35*2)</f>
        <v>2.0164072000000002E-4</v>
      </c>
      <c r="O7" s="2">
        <f>IF('Modell einstellen'!$B$1="Voll",J7/0.35,J7/0.35*2)</f>
        <v>-5.5891380000000002E-4</v>
      </c>
      <c r="P7" s="3">
        <f t="shared" si="1"/>
        <v>0.36077248405747009</v>
      </c>
      <c r="Q7" s="3"/>
      <c r="R7" s="3"/>
      <c r="S7" s="3"/>
      <c r="T7" s="3"/>
      <c r="U7" s="3"/>
      <c r="V7" s="3"/>
      <c r="W7" s="3"/>
    </row>
    <row r="8" spans="1:23" x14ac:dyDescent="0.25">
      <c r="A8" s="2">
        <v>1E-10</v>
      </c>
      <c r="B8" s="2">
        <v>3.8000000000000002E-5</v>
      </c>
      <c r="C8" s="2">
        <v>1.4990000000000001E-4</v>
      </c>
      <c r="D8" s="2">
        <v>-4.6210000000000001E-4</v>
      </c>
      <c r="E8" s="2">
        <v>0</v>
      </c>
      <c r="F8" s="2">
        <v>0</v>
      </c>
      <c r="G8" s="2">
        <v>0</v>
      </c>
      <c r="H8" s="2">
        <v>7.0574265000000004E-5</v>
      </c>
      <c r="I8" s="2">
        <v>1.5236972E-5</v>
      </c>
      <c r="J8" s="2">
        <v>-1.9561985999999999E-4</v>
      </c>
      <c r="K8" s="3"/>
      <c r="L8" s="3">
        <f t="shared" si="0"/>
        <v>8.2233282839212288E-2</v>
      </c>
      <c r="M8" s="3"/>
      <c r="N8" s="2">
        <f>IF('Modell einstellen'!$B$1="Voll",H8/0.35,H8/0.35*2)</f>
        <v>2.0164075714285717E-4</v>
      </c>
      <c r="O8" s="2">
        <f>IF('Modell einstellen'!$B$1="Voll",J8/0.35,J8/0.35*2)</f>
        <v>-5.5891388571428573E-4</v>
      </c>
      <c r="P8" s="3">
        <f t="shared" si="1"/>
        <v>0.36077249518530485</v>
      </c>
      <c r="Q8" s="3"/>
      <c r="R8" s="3"/>
      <c r="S8" s="3"/>
      <c r="T8" s="3"/>
      <c r="U8" s="3"/>
      <c r="V8" s="3"/>
      <c r="W8" s="3"/>
    </row>
    <row r="9" spans="1:23" x14ac:dyDescent="0.25">
      <c r="A9" s="2">
        <v>1.0000000000000001E-9</v>
      </c>
      <c r="B9" s="2">
        <v>3.8000000000000002E-5</v>
      </c>
      <c r="C9" s="2">
        <v>1.4990000000000001E-4</v>
      </c>
      <c r="D9" s="2">
        <v>-4.6210000000000001E-4</v>
      </c>
      <c r="E9" s="2">
        <v>0</v>
      </c>
      <c r="F9" s="2">
        <v>0</v>
      </c>
      <c r="G9" s="2">
        <v>0</v>
      </c>
      <c r="H9" s="2">
        <v>7.0574269000000001E-5</v>
      </c>
      <c r="I9" s="2">
        <v>1.5236972999999999E-5</v>
      </c>
      <c r="J9" s="2">
        <v>-1.9561987000000001E-4</v>
      </c>
      <c r="K9" s="3"/>
      <c r="L9" s="3">
        <f t="shared" si="0"/>
        <v>8.2233282839212288E-2</v>
      </c>
      <c r="M9" s="3"/>
      <c r="N9" s="2">
        <f>IF('Modell einstellen'!$B$1="Voll",H9/0.35,H9/0.35*2)</f>
        <v>2.0164076857142859E-4</v>
      </c>
      <c r="O9" s="2">
        <f>IF('Modell einstellen'!$B$1="Voll",J9/0.35,J9/0.35*2)</f>
        <v>-5.5891391428571438E-4</v>
      </c>
      <c r="P9" s="3">
        <f t="shared" si="1"/>
        <v>0.36077249719059723</v>
      </c>
      <c r="Q9" s="3"/>
      <c r="R9" s="3"/>
      <c r="S9" s="3"/>
      <c r="T9" s="3"/>
      <c r="U9" s="3"/>
      <c r="V9" s="3"/>
      <c r="W9" s="3"/>
    </row>
    <row r="10" spans="1:23" x14ac:dyDescent="0.25">
      <c r="A10" s="2">
        <v>1E-8</v>
      </c>
      <c r="B10" s="2">
        <v>3.8000000000000002E-5</v>
      </c>
      <c r="C10" s="2">
        <v>1.4990000000000001E-4</v>
      </c>
      <c r="D10" s="2">
        <v>-4.6210000000000001E-4</v>
      </c>
      <c r="E10" s="2">
        <v>0</v>
      </c>
      <c r="F10" s="2">
        <v>0</v>
      </c>
      <c r="G10" s="2">
        <v>0</v>
      </c>
      <c r="H10" s="2">
        <v>7.0574270999999993E-5</v>
      </c>
      <c r="I10" s="2">
        <v>1.5236974000000001E-5</v>
      </c>
      <c r="J10" s="2">
        <v>-1.9561987000000001E-4</v>
      </c>
      <c r="K10" s="3"/>
      <c r="L10" s="3">
        <f t="shared" si="0"/>
        <v>8.2233282839212288E-2</v>
      </c>
      <c r="M10" s="3"/>
      <c r="N10" s="2">
        <f>IF('Modell einstellen'!$B$1="Voll",H10/0.35,H10/0.35*2)</f>
        <v>2.0164077428571427E-4</v>
      </c>
      <c r="O10" s="2">
        <f>IF('Modell einstellen'!$B$1="Voll",J10/0.35,J10/0.35*2)</f>
        <v>-5.5891391428571438E-4</v>
      </c>
      <c r="P10" s="3">
        <f t="shared" si="1"/>
        <v>0.36077250741450745</v>
      </c>
      <c r="Q10" s="3"/>
      <c r="R10" s="3"/>
      <c r="S10" s="3"/>
      <c r="T10" s="3"/>
      <c r="U10" s="3"/>
      <c r="V10" s="3"/>
      <c r="W10" s="3"/>
    </row>
    <row r="11" spans="1:23" x14ac:dyDescent="0.25">
      <c r="A11" s="2">
        <v>9.9999999999999995E-8</v>
      </c>
      <c r="B11" s="2">
        <v>3.8000000000000002E-5</v>
      </c>
      <c r="C11" s="2">
        <v>1.4990000000000001E-4</v>
      </c>
      <c r="D11" s="2">
        <v>-4.6210000000000001E-4</v>
      </c>
      <c r="E11" s="2">
        <v>0</v>
      </c>
      <c r="F11" s="2">
        <v>0</v>
      </c>
      <c r="G11" s="2">
        <v>0</v>
      </c>
      <c r="H11" s="2">
        <v>7.0574270999999993E-5</v>
      </c>
      <c r="I11" s="2">
        <v>1.5236974000000001E-5</v>
      </c>
      <c r="J11" s="2">
        <v>-1.9561987000000001E-4</v>
      </c>
      <c r="K11" s="3"/>
      <c r="L11" s="3">
        <f t="shared" si="0"/>
        <v>8.2233282839212288E-2</v>
      </c>
      <c r="M11" s="3"/>
      <c r="N11" s="2">
        <f>IF('Modell einstellen'!$B$1="Voll",H11/0.35,H11/0.35*2)</f>
        <v>2.0164077428571427E-4</v>
      </c>
      <c r="O11" s="2">
        <f>IF('Modell einstellen'!$B$1="Voll",J11/0.35,J11/0.35*2)</f>
        <v>-5.5891391428571438E-4</v>
      </c>
      <c r="P11" s="3">
        <f t="shared" si="1"/>
        <v>0.36077250741450745</v>
      </c>
      <c r="Q11" s="3"/>
      <c r="R11" s="3"/>
      <c r="S11" s="3"/>
      <c r="T11" s="3"/>
      <c r="U11" s="3"/>
      <c r="V11" s="3"/>
      <c r="W11" s="3"/>
    </row>
    <row r="12" spans="1:23" x14ac:dyDescent="0.25">
      <c r="A12" s="2">
        <v>9.9999999999999995E-7</v>
      </c>
      <c r="B12" s="2">
        <v>3.8000000000000002E-5</v>
      </c>
      <c r="C12" s="2">
        <v>1.4990000000000001E-4</v>
      </c>
      <c r="D12" s="2">
        <v>-4.6210000000000001E-4</v>
      </c>
      <c r="E12" s="2">
        <v>0</v>
      </c>
      <c r="F12" s="2">
        <v>0</v>
      </c>
      <c r="G12" s="2">
        <v>0</v>
      </c>
      <c r="H12" s="2">
        <v>7.0574270999999993E-5</v>
      </c>
      <c r="I12" s="2">
        <v>1.5236974000000001E-5</v>
      </c>
      <c r="J12" s="2">
        <v>-1.9561987000000001E-4</v>
      </c>
      <c r="K12" s="3"/>
      <c r="L12" s="3">
        <f t="shared" si="0"/>
        <v>8.2233282839212288E-2</v>
      </c>
      <c r="M12" s="3"/>
      <c r="N12" s="2">
        <f>IF('Modell einstellen'!$B$1="Voll",H12/0.35,H12/0.35*2)</f>
        <v>2.0164077428571427E-4</v>
      </c>
      <c r="O12" s="2">
        <f>IF('Modell einstellen'!$B$1="Voll",J12/0.35,J12/0.35*2)</f>
        <v>-5.5891391428571438E-4</v>
      </c>
      <c r="P12" s="3">
        <f t="shared" si="1"/>
        <v>0.36077250741450745</v>
      </c>
      <c r="Q12" s="3"/>
      <c r="R12" s="3"/>
      <c r="S12" s="3"/>
      <c r="T12" s="3"/>
      <c r="U12" s="3"/>
      <c r="V12" s="3"/>
      <c r="W12" s="3"/>
    </row>
    <row r="13" spans="1:23" x14ac:dyDescent="0.25">
      <c r="A13" s="2">
        <v>1.0000000000000001E-5</v>
      </c>
      <c r="B13" s="2">
        <v>3.8000000000000002E-5</v>
      </c>
      <c r="C13" s="2">
        <v>1.4990000000000001E-4</v>
      </c>
      <c r="D13" s="2">
        <v>-4.6210000000000001E-4</v>
      </c>
      <c r="E13" s="2">
        <v>0</v>
      </c>
      <c r="F13" s="2">
        <v>0</v>
      </c>
      <c r="G13" s="2">
        <v>0</v>
      </c>
      <c r="H13" s="2">
        <v>7.0574272000000003E-5</v>
      </c>
      <c r="I13" s="2">
        <v>1.5236974000000001E-5</v>
      </c>
      <c r="J13" s="2">
        <v>-1.9561987000000001E-4</v>
      </c>
      <c r="K13" s="3"/>
      <c r="L13" s="3">
        <f t="shared" si="0"/>
        <v>8.2233282839212288E-2</v>
      </c>
      <c r="M13" s="3"/>
      <c r="N13" s="2">
        <f>IF('Modell einstellen'!$B$1="Voll",H13/0.35,H13/0.35*2)</f>
        <v>2.0164077714285717E-4</v>
      </c>
      <c r="O13" s="2">
        <f>IF('Modell einstellen'!$B$1="Voll",J13/0.35,J13/0.35*2)</f>
        <v>-5.5891391428571438E-4</v>
      </c>
      <c r="P13" s="3">
        <f t="shared" si="1"/>
        <v>0.3607725125264627</v>
      </c>
      <c r="Q13" s="3"/>
      <c r="R13" s="3"/>
      <c r="S13" s="3"/>
      <c r="T13" s="3"/>
      <c r="U13" s="3"/>
      <c r="V13" s="3"/>
      <c r="W13" s="3"/>
    </row>
    <row r="14" spans="1:23" x14ac:dyDescent="0.25">
      <c r="A14" s="2">
        <v>1E-4</v>
      </c>
      <c r="B14" s="2">
        <v>3.8000000000000002E-5</v>
      </c>
      <c r="C14" s="2">
        <v>1.4990000000000001E-4</v>
      </c>
      <c r="D14" s="2">
        <v>-4.6210000000000001E-4</v>
      </c>
      <c r="E14" s="2">
        <v>0</v>
      </c>
      <c r="F14" s="2">
        <v>0</v>
      </c>
      <c r="G14" s="2">
        <v>0</v>
      </c>
      <c r="H14" s="2">
        <v>7.0574272999999999E-5</v>
      </c>
      <c r="I14" s="2">
        <v>1.5236974000000001E-5</v>
      </c>
      <c r="J14" s="2">
        <v>-1.9561987999999999E-4</v>
      </c>
      <c r="K14" s="3"/>
      <c r="L14" s="3">
        <f t="shared" si="0"/>
        <v>8.2233282839212288E-2</v>
      </c>
      <c r="M14" s="3"/>
      <c r="N14" s="2">
        <f>IF('Modell einstellen'!$B$1="Voll",H14/0.35,H14/0.35*2)</f>
        <v>2.0164078E-4</v>
      </c>
      <c r="O14" s="2">
        <f>IF('Modell einstellen'!$B$1="Voll",J14/0.35,J14/0.35*2)</f>
        <v>-5.5891394285714291E-4</v>
      </c>
      <c r="P14" s="3">
        <f t="shared" si="1"/>
        <v>0.36077249919588944</v>
      </c>
      <c r="Q14" s="3"/>
      <c r="R14" s="3"/>
      <c r="S14" s="3"/>
      <c r="T14" s="3"/>
      <c r="U14" s="3"/>
      <c r="V14" s="3"/>
      <c r="W14" s="3"/>
    </row>
    <row r="15" spans="1:23" x14ac:dyDescent="0.25">
      <c r="A15" s="2">
        <v>1E-3</v>
      </c>
      <c r="B15" s="2">
        <v>3.8000000000000002E-5</v>
      </c>
      <c r="C15" s="2">
        <v>1.4990000000000001E-4</v>
      </c>
      <c r="D15" s="2">
        <v>-4.6210000000000001E-4</v>
      </c>
      <c r="E15" s="2">
        <v>0</v>
      </c>
      <c r="F15" s="2">
        <v>0</v>
      </c>
      <c r="G15" s="2">
        <v>0</v>
      </c>
      <c r="H15" s="2">
        <v>7.0574283999999996E-5</v>
      </c>
      <c r="I15" s="2">
        <v>1.5236975999999999E-5</v>
      </c>
      <c r="J15" s="2">
        <v>-1.9561989000000001E-4</v>
      </c>
      <c r="K15" s="3"/>
      <c r="L15" s="3">
        <f t="shared" si="0"/>
        <v>8.2233282839212288E-2</v>
      </c>
      <c r="M15" s="3"/>
      <c r="N15" s="2">
        <f>IF('Modell einstellen'!$B$1="Voll",H15/0.35,H15/0.35*2)</f>
        <v>2.0164081142857142E-4</v>
      </c>
      <c r="O15" s="2">
        <f>IF('Modell einstellen'!$B$1="Voll",J15/0.35,J15/0.35*2)</f>
        <v>-5.5891397142857145E-4</v>
      </c>
      <c r="P15" s="3">
        <f t="shared" si="1"/>
        <v>0.36077253698486383</v>
      </c>
      <c r="Q15" s="3"/>
      <c r="R15" s="3"/>
      <c r="S15" s="3"/>
      <c r="T15" s="3"/>
      <c r="U15" s="3"/>
      <c r="V15" s="3"/>
      <c r="W15" s="3"/>
    </row>
    <row r="16" spans="1:23" x14ac:dyDescent="0.25">
      <c r="A16" s="2">
        <v>0.01</v>
      </c>
      <c r="B16" s="2">
        <v>3.8000000000000002E-5</v>
      </c>
      <c r="C16" s="2">
        <v>1.4990000000000001E-4</v>
      </c>
      <c r="D16" s="2">
        <v>-4.6210000000000001E-4</v>
      </c>
      <c r="E16" s="2">
        <v>0</v>
      </c>
      <c r="F16" s="2">
        <v>0</v>
      </c>
      <c r="G16" s="2">
        <v>0</v>
      </c>
      <c r="H16" s="2">
        <v>7.0574398999999997E-5</v>
      </c>
      <c r="I16" s="2">
        <v>1.5236988E-5</v>
      </c>
      <c r="J16" s="2">
        <v>-1.9562006999999999E-4</v>
      </c>
      <c r="K16" s="3"/>
      <c r="L16" s="3">
        <f t="shared" si="0"/>
        <v>8.2233282839212288E-2</v>
      </c>
      <c r="M16" s="3"/>
      <c r="N16" s="2">
        <f>IF('Modell einstellen'!$B$1="Voll",H16/0.35,H16/0.35*2)</f>
        <v>2.0164114E-4</v>
      </c>
      <c r="O16" s="2">
        <f>IF('Modell einstellen'!$B$1="Voll",J16/0.35,J16/0.35*2)</f>
        <v>-5.5891448571428572E-4</v>
      </c>
      <c r="P16" s="3">
        <f t="shared" si="1"/>
        <v>0.36077279289389885</v>
      </c>
      <c r="Q16" s="3"/>
      <c r="R16" s="3"/>
      <c r="S16" s="3"/>
      <c r="T16" s="3"/>
      <c r="U16" s="3"/>
      <c r="V16" s="3"/>
      <c r="W16" s="3"/>
    </row>
    <row r="17" spans="1:23" x14ac:dyDescent="0.25">
      <c r="A17" s="2">
        <v>0.1</v>
      </c>
      <c r="B17" s="2">
        <v>3.8000000000000002E-5</v>
      </c>
      <c r="C17" s="2">
        <v>1.4990000000000001E-4</v>
      </c>
      <c r="D17" s="2">
        <v>-4.6210000000000001E-4</v>
      </c>
      <c r="E17" s="2">
        <v>0</v>
      </c>
      <c r="F17" s="2">
        <v>0</v>
      </c>
      <c r="G17" s="2">
        <v>0</v>
      </c>
      <c r="H17" s="2">
        <v>7.0575541999999997E-5</v>
      </c>
      <c r="I17" s="2">
        <v>1.5237115E-5</v>
      </c>
      <c r="J17" s="2">
        <v>-1.9562188E-4</v>
      </c>
      <c r="K17" s="3"/>
      <c r="L17" s="3">
        <f t="shared" si="0"/>
        <v>8.2233282839212288E-2</v>
      </c>
      <c r="M17" s="3"/>
      <c r="N17" s="2">
        <f>IF('Modell einstellen'!$B$1="Voll",H17/0.35,H17/0.35*2)</f>
        <v>2.0164440571428572E-4</v>
      </c>
      <c r="O17" s="2">
        <f>IF('Modell einstellen'!$B$1="Voll",J17/0.35,J17/0.35*2)</f>
        <v>-5.5891965714285712E-4</v>
      </c>
      <c r="P17" s="3">
        <f t="shared" si="1"/>
        <v>0.36077529773254408</v>
      </c>
      <c r="Q17" s="3"/>
      <c r="R17" s="3"/>
      <c r="S17" s="3"/>
      <c r="T17" s="3"/>
      <c r="U17" s="3"/>
      <c r="V17" s="3"/>
      <c r="W17" s="3"/>
    </row>
    <row r="18" spans="1:23" x14ac:dyDescent="0.25">
      <c r="A18" s="2">
        <v>1</v>
      </c>
      <c r="B18" s="2">
        <v>3.799E-5</v>
      </c>
      <c r="C18" s="2">
        <v>1.4990000000000001E-4</v>
      </c>
      <c r="D18" s="2">
        <v>-4.6220000000000001E-4</v>
      </c>
      <c r="E18" s="2">
        <v>0</v>
      </c>
      <c r="F18" s="2">
        <v>0</v>
      </c>
      <c r="G18" s="2">
        <v>0</v>
      </c>
      <c r="H18" s="2">
        <v>7.0586947999999998E-5</v>
      </c>
      <c r="I18" s="2">
        <v>1.523838E-5</v>
      </c>
      <c r="J18" s="2">
        <v>-1.9563986000000001E-4</v>
      </c>
      <c r="K18" s="3"/>
      <c r="L18" s="3">
        <f t="shared" si="0"/>
        <v>8.2193855473820854E-2</v>
      </c>
      <c r="M18" s="3"/>
      <c r="N18" s="2">
        <f>IF('Modell einstellen'!$B$1="Voll",H18/0.35,H18/0.35*2)</f>
        <v>2.0167699428571428E-4</v>
      </c>
      <c r="O18" s="2">
        <f>IF('Modell einstellen'!$B$1="Voll",J18/0.35,J18/0.35*2)</f>
        <v>-5.5897102857142866E-4</v>
      </c>
      <c r="P18" s="3">
        <f t="shared" si="1"/>
        <v>0.36080044220027546</v>
      </c>
      <c r="Q18" s="3"/>
      <c r="R18" s="3"/>
      <c r="S18" s="3"/>
      <c r="T18" s="3"/>
      <c r="U18" s="3"/>
      <c r="V18" s="3"/>
      <c r="W18" s="3"/>
    </row>
    <row r="19" spans="1:23" x14ac:dyDescent="0.25">
      <c r="A19" s="2">
        <v>10</v>
      </c>
      <c r="B19" s="2">
        <v>3.786E-5</v>
      </c>
      <c r="C19" s="2">
        <v>1.4999999999999999E-4</v>
      </c>
      <c r="D19" s="2">
        <v>-4.6220000000000001E-4</v>
      </c>
      <c r="E19" s="2">
        <v>0</v>
      </c>
      <c r="F19" s="2">
        <v>0</v>
      </c>
      <c r="G19" s="2">
        <v>0</v>
      </c>
      <c r="H19" s="2">
        <v>7.0698582999999994E-5</v>
      </c>
      <c r="I19" s="2">
        <v>1.5250763E-5</v>
      </c>
      <c r="J19" s="2">
        <v>-1.9581582000000001E-4</v>
      </c>
      <c r="K19" s="3"/>
      <c r="L19" s="3">
        <f t="shared" si="0"/>
        <v>8.1912591951536134E-2</v>
      </c>
      <c r="M19" s="3"/>
      <c r="N19" s="2">
        <f>IF('Modell einstellen'!$B$1="Voll",H19/0.35,H19/0.35*2)</f>
        <v>2.0199595142857143E-4</v>
      </c>
      <c r="O19" s="2">
        <f>IF('Modell einstellen'!$B$1="Voll",J19/0.35,J19/0.35*2)</f>
        <v>-5.5947377142857152E-4</v>
      </c>
      <c r="P19" s="3">
        <f t="shared" si="1"/>
        <v>0.36104632914746104</v>
      </c>
      <c r="Q19" s="3"/>
      <c r="R19" s="3"/>
      <c r="S19" s="3"/>
      <c r="T19" s="3"/>
      <c r="U19" s="3"/>
      <c r="V19" s="3"/>
      <c r="W19" s="3"/>
    </row>
    <row r="20" spans="1:23" x14ac:dyDescent="0.25">
      <c r="A20" s="2">
        <v>100</v>
      </c>
      <c r="B20" s="2">
        <v>3.6820000000000003E-5</v>
      </c>
      <c r="C20" s="2">
        <v>1.5090000000000001E-4</v>
      </c>
      <c r="D20" s="2">
        <v>-4.6289999999999998E-4</v>
      </c>
      <c r="E20" s="2">
        <v>0</v>
      </c>
      <c r="F20" s="2">
        <v>0</v>
      </c>
      <c r="G20" s="2">
        <v>0</v>
      </c>
      <c r="H20" s="2">
        <v>7.1605658000000003E-5</v>
      </c>
      <c r="I20" s="2">
        <v>1.5351167999999999E-5</v>
      </c>
      <c r="J20" s="2">
        <v>-1.9724388999999999E-4</v>
      </c>
      <c r="K20" s="3"/>
      <c r="L20" s="3">
        <f t="shared" si="0"/>
        <v>7.9542017714409177E-2</v>
      </c>
      <c r="M20" s="3"/>
      <c r="N20" s="2">
        <f>IF('Modell einstellen'!$B$1="Voll",H20/0.35,H20/0.35*2)</f>
        <v>2.0458759428571431E-4</v>
      </c>
      <c r="O20" s="2">
        <f>IF('Modell einstellen'!$B$1="Voll",J20/0.35,J20/0.35*2)</f>
        <v>-5.6355397142857143E-4</v>
      </c>
      <c r="P20" s="3">
        <f t="shared" si="1"/>
        <v>0.36303105764137994</v>
      </c>
      <c r="Q20" s="3"/>
      <c r="R20" s="3"/>
      <c r="S20" s="3"/>
      <c r="T20" s="3"/>
      <c r="U20" s="3"/>
      <c r="V20" s="3"/>
      <c r="W20" s="3"/>
    </row>
    <row r="21" spans="1:23" x14ac:dyDescent="0.25">
      <c r="A21" s="2">
        <v>1000</v>
      </c>
      <c r="B21" s="2">
        <v>3.4539999999999998E-5</v>
      </c>
      <c r="C21" s="2">
        <v>1.5359999999999999E-4</v>
      </c>
      <c r="D21" s="2">
        <v>-4.6529999999999998E-4</v>
      </c>
      <c r="E21" s="2">
        <v>0</v>
      </c>
      <c r="F21" s="2">
        <v>0</v>
      </c>
      <c r="G21" s="2">
        <v>0</v>
      </c>
      <c r="H21" s="2">
        <v>7.4043992000000003E-5</v>
      </c>
      <c r="I21" s="2">
        <v>1.5652086E-5</v>
      </c>
      <c r="J21" s="2">
        <v>-2.011618E-4</v>
      </c>
      <c r="K21" s="3"/>
      <c r="L21" s="3">
        <f t="shared" si="0"/>
        <v>7.4231678486997632E-2</v>
      </c>
      <c r="M21" s="3"/>
      <c r="N21" s="2">
        <f>IF('Modell einstellen'!$B$1="Voll",H21/0.35,H21/0.35*2)</f>
        <v>2.1155426285714287E-4</v>
      </c>
      <c r="O21" s="2">
        <f>IF('Modell einstellen'!$B$1="Voll",J21/0.35,J21/0.35*2)</f>
        <v>-5.7474800000000003E-4</v>
      </c>
      <c r="P21" s="3">
        <f t="shared" si="1"/>
        <v>0.36808177298075478</v>
      </c>
      <c r="Q21" s="3"/>
      <c r="R21" s="3"/>
      <c r="S21" s="3"/>
      <c r="T21" s="3"/>
      <c r="U21" s="3"/>
      <c r="V21" s="3"/>
      <c r="W21" s="3"/>
    </row>
    <row r="22" spans="1:23" x14ac:dyDescent="0.25">
      <c r="A22" s="2">
        <v>10000</v>
      </c>
      <c r="B22" s="2">
        <v>3.222E-5</v>
      </c>
      <c r="C22" s="2">
        <v>1.5689999999999999E-4</v>
      </c>
      <c r="D22" s="2">
        <v>-4.682E-4</v>
      </c>
      <c r="E22" s="2">
        <v>0</v>
      </c>
      <c r="F22" s="2">
        <v>0</v>
      </c>
      <c r="G22" s="2">
        <v>0</v>
      </c>
      <c r="H22" s="2">
        <v>7.6758646000000007E-5</v>
      </c>
      <c r="I22" s="2">
        <v>1.6019991000000001E-5</v>
      </c>
      <c r="J22" s="2">
        <v>-2.0558295E-4</v>
      </c>
      <c r="K22" s="3"/>
      <c r="L22" s="3">
        <f t="shared" si="0"/>
        <v>6.8816744980777445E-2</v>
      </c>
      <c r="M22" s="3"/>
      <c r="N22" s="2">
        <f>IF('Modell einstellen'!$B$1="Voll",H22/0.35,H22/0.35*2)</f>
        <v>2.1931041714285719E-4</v>
      </c>
      <c r="O22" s="2">
        <f>IF('Modell einstellen'!$B$1="Voll",J22/0.35,J22/0.35*2)</f>
        <v>-5.8737985714285719E-4</v>
      </c>
      <c r="P22" s="3">
        <f t="shared" si="1"/>
        <v>0.37337068078846036</v>
      </c>
      <c r="Q22" s="3"/>
      <c r="R22" s="3"/>
      <c r="S22" s="3"/>
      <c r="T22" s="3"/>
      <c r="U22" s="3"/>
      <c r="V22" s="3"/>
      <c r="W22" s="3"/>
    </row>
    <row r="23" spans="1:23" x14ac:dyDescent="0.25">
      <c r="A23" s="2">
        <v>100000</v>
      </c>
      <c r="B23" s="2">
        <v>3.3930000000000002E-5</v>
      </c>
      <c r="C23" s="2">
        <v>1.652E-4</v>
      </c>
      <c r="D23" s="2">
        <v>-4.7919999999999999E-4</v>
      </c>
      <c r="E23" s="2">
        <v>0</v>
      </c>
      <c r="F23" s="2">
        <v>0</v>
      </c>
      <c r="G23" s="2">
        <v>0</v>
      </c>
      <c r="H23" s="2">
        <v>8.0551175999999996E-5</v>
      </c>
      <c r="I23" s="2">
        <v>1.6932984000000002E-5</v>
      </c>
      <c r="J23" s="2">
        <v>-2.1281621E-4</v>
      </c>
      <c r="K23" s="3"/>
      <c r="L23" s="3">
        <f t="shared" si="0"/>
        <v>7.0805509181969956E-2</v>
      </c>
      <c r="M23" s="3"/>
      <c r="N23" s="2">
        <f>IF('Modell einstellen'!$B$1="Voll",H23/0.35,H23/0.35*2)</f>
        <v>2.3014621714285714E-4</v>
      </c>
      <c r="O23" s="2">
        <f>IF('Modell einstellen'!$B$1="Voll",J23/0.35,J23/0.35*2)</f>
        <v>-6.0804631428571431E-4</v>
      </c>
      <c r="P23" s="3">
        <f t="shared" si="1"/>
        <v>0.3785011301535724</v>
      </c>
      <c r="Q23" s="3"/>
      <c r="R23" s="3"/>
      <c r="S23" s="3"/>
      <c r="T23" s="3"/>
      <c r="U23" s="3"/>
      <c r="V23" s="3"/>
      <c r="W23" s="3"/>
    </row>
    <row r="24" spans="1:23" x14ac:dyDescent="0.25">
      <c r="A24" s="2">
        <v>1000000</v>
      </c>
      <c r="B24" s="2">
        <v>5.1549999999999999E-5</v>
      </c>
      <c r="C24" s="2">
        <v>1.886E-4</v>
      </c>
      <c r="D24" s="2">
        <v>-5.1730000000000005E-4</v>
      </c>
      <c r="E24" s="2">
        <v>0</v>
      </c>
      <c r="F24" s="2">
        <v>0</v>
      </c>
      <c r="G24" s="2">
        <v>0</v>
      </c>
      <c r="H24" s="2">
        <v>8.6782694999999998E-5</v>
      </c>
      <c r="I24" s="2">
        <v>1.9571083E-5</v>
      </c>
      <c r="J24" s="2">
        <v>-2.2780095000000001E-4</v>
      </c>
      <c r="K24" s="3"/>
      <c r="L24" s="3">
        <f t="shared" si="0"/>
        <v>9.9652039435530623E-2</v>
      </c>
      <c r="M24" s="3"/>
      <c r="N24" s="2">
        <f>IF('Modell einstellen'!$B$1="Voll",H24/0.35,H24/0.35*2)</f>
        <v>2.4795055714285717E-4</v>
      </c>
      <c r="O24" s="2">
        <f>IF('Modell einstellen'!$B$1="Voll",J24/0.35,J24/0.35*2)</f>
        <v>-6.5085985714285718E-4</v>
      </c>
      <c r="P24" s="3">
        <f t="shared" si="1"/>
        <v>0.3809584420082533</v>
      </c>
      <c r="Q24" s="3"/>
      <c r="R24" s="3"/>
      <c r="S24" s="3"/>
      <c r="T24" s="3"/>
      <c r="U24" s="3"/>
      <c r="V24" s="3"/>
      <c r="W24" s="3"/>
    </row>
    <row r="25" spans="1:23" x14ac:dyDescent="0.25">
      <c r="A25" s="2">
        <v>10000000</v>
      </c>
      <c r="B25" s="2">
        <v>8.6429999999999997E-5</v>
      </c>
      <c r="C25" s="2">
        <v>2.2599999999999999E-4</v>
      </c>
      <c r="D25" s="2">
        <v>-5.8290000000000002E-4</v>
      </c>
      <c r="E25" s="2">
        <v>0</v>
      </c>
      <c r="F25" s="2">
        <v>0</v>
      </c>
      <c r="G25" s="2">
        <v>0</v>
      </c>
      <c r="H25" s="2">
        <v>9.5096234999999995E-5</v>
      </c>
      <c r="I25" s="2">
        <v>2.3913036000000001E-5</v>
      </c>
      <c r="J25" s="2">
        <v>-2.5016577000000001E-4</v>
      </c>
      <c r="K25" s="3"/>
      <c r="L25" s="3">
        <f t="shared" si="0"/>
        <v>0.14827586206896551</v>
      </c>
      <c r="M25" s="3"/>
      <c r="N25" s="2">
        <f>IF('Modell einstellen'!$B$1="Voll",H25/0.35,H25/0.35*2)</f>
        <v>2.7170352857142858E-4</v>
      </c>
      <c r="O25" s="2">
        <f>IF('Modell einstellen'!$B$1="Voll",J25/0.35,J25/0.35*2)</f>
        <v>-7.1475934285714299E-4</v>
      </c>
      <c r="P25" s="3">
        <f t="shared" si="1"/>
        <v>0.38013288148894225</v>
      </c>
      <c r="Q25" s="3"/>
      <c r="R25" s="3"/>
      <c r="S25" s="3"/>
      <c r="T25" s="3"/>
      <c r="U25" s="3"/>
      <c r="V25" s="3"/>
      <c r="W25" s="3"/>
    </row>
    <row r="26" spans="1:23" x14ac:dyDescent="0.25">
      <c r="A26" s="2">
        <v>100000000</v>
      </c>
      <c r="B26" s="2">
        <v>1.2239999999999999E-4</v>
      </c>
      <c r="C26" s="2">
        <v>2.6810000000000001E-4</v>
      </c>
      <c r="D26" s="2">
        <v>-6.5490000000000004E-4</v>
      </c>
      <c r="E26" s="2">
        <v>0</v>
      </c>
      <c r="F26" s="2">
        <v>0</v>
      </c>
      <c r="G26" s="2">
        <v>0</v>
      </c>
      <c r="H26" s="2">
        <v>1.0505922E-4</v>
      </c>
      <c r="I26" s="2">
        <v>2.8941176000000001E-5</v>
      </c>
      <c r="J26" s="2">
        <v>-2.7677771000000001E-4</v>
      </c>
      <c r="K26" s="3"/>
      <c r="L26" s="3">
        <f t="shared" si="0"/>
        <v>0.18689876316994958</v>
      </c>
      <c r="M26" s="3"/>
      <c r="N26" s="2">
        <f>IF('Modell einstellen'!$B$1="Voll",H26/0.35,H26/0.35*2)</f>
        <v>3.0016919999999999E-4</v>
      </c>
      <c r="O26" s="2">
        <f>IF('Modell einstellen'!$B$1="Voll",J26/0.35,J26/0.35*2)</f>
        <v>-7.9079345714285724E-4</v>
      </c>
      <c r="P26" s="3">
        <f t="shared" si="1"/>
        <v>0.37957977179592961</v>
      </c>
      <c r="Q26" s="3"/>
      <c r="R26" s="3"/>
      <c r="S26" s="3"/>
      <c r="T26" s="3"/>
      <c r="U26" s="3"/>
      <c r="V26" s="3"/>
      <c r="W26" s="3"/>
    </row>
    <row r="27" spans="1:23" x14ac:dyDescent="0.25">
      <c r="A27" s="2">
        <v>1000000000</v>
      </c>
      <c r="B27" s="2">
        <v>1.5320000000000001E-4</v>
      </c>
      <c r="C27" s="2">
        <v>3.0880000000000002E-4</v>
      </c>
      <c r="D27" s="2">
        <v>-7.224E-4</v>
      </c>
      <c r="E27" s="2">
        <v>0</v>
      </c>
      <c r="F27" s="2">
        <v>0</v>
      </c>
      <c r="G27" s="2">
        <v>0</v>
      </c>
      <c r="H27" s="2">
        <v>1.1559988E-4</v>
      </c>
      <c r="I27" s="2">
        <v>3.3982442000000003E-5</v>
      </c>
      <c r="J27" s="2">
        <v>-3.0446972999999998E-4</v>
      </c>
      <c r="K27" s="3"/>
      <c r="L27" s="3">
        <f t="shared" si="0"/>
        <v>0.21207087486157256</v>
      </c>
      <c r="M27" s="3"/>
      <c r="N27" s="2">
        <f>IF('Modell einstellen'!$B$1="Voll",H27/0.35,H27/0.35*2)</f>
        <v>3.3028537142857143E-4</v>
      </c>
      <c r="O27" s="2">
        <f>IF('Modell einstellen'!$B$1="Voll",J27/0.35,J27/0.35*2)</f>
        <v>-8.6991351428571432E-4</v>
      </c>
      <c r="P27" s="3">
        <f t="shared" si="1"/>
        <v>0.37967610113491412</v>
      </c>
      <c r="Q27" s="3"/>
      <c r="R27" s="3"/>
      <c r="S27" s="3"/>
      <c r="T27" s="3"/>
      <c r="U27" s="3"/>
      <c r="V27" s="3"/>
      <c r="W27" s="3"/>
    </row>
    <row r="28" spans="1:23" x14ac:dyDescent="0.25">
      <c r="A28" s="2">
        <v>10000000000</v>
      </c>
      <c r="B28" s="2">
        <v>1.771E-4</v>
      </c>
      <c r="C28" s="2">
        <v>3.4620000000000001E-4</v>
      </c>
      <c r="D28" s="2">
        <v>-7.8149999999999997E-4</v>
      </c>
      <c r="E28" s="2">
        <v>0</v>
      </c>
      <c r="F28" s="2">
        <v>0</v>
      </c>
      <c r="G28" s="2">
        <v>0</v>
      </c>
      <c r="H28" s="2">
        <v>1.2604727000000001E-4</v>
      </c>
      <c r="I28" s="2">
        <v>3.8786586000000001E-5</v>
      </c>
      <c r="J28" s="2">
        <v>-3.3164030000000001E-4</v>
      </c>
      <c r="K28" s="3"/>
      <c r="L28" s="3">
        <f t="shared" si="0"/>
        <v>0.22661548304542548</v>
      </c>
      <c r="M28" s="3"/>
      <c r="N28" s="2">
        <f>IF('Modell einstellen'!$B$1="Voll",H28/0.35,H28/0.35*2)</f>
        <v>3.6013505714285721E-4</v>
      </c>
      <c r="O28" s="2">
        <f>IF('Modell einstellen'!$B$1="Voll",J28/0.35,J28/0.35*2)</f>
        <v>-9.4754371428571436E-4</v>
      </c>
      <c r="P28" s="3">
        <f t="shared" si="1"/>
        <v>0.38007223488822078</v>
      </c>
      <c r="Q28" s="3"/>
      <c r="R28" s="3"/>
      <c r="S28" s="3"/>
      <c r="T28" s="3"/>
      <c r="U28" s="3"/>
      <c r="V28" s="3"/>
      <c r="W28" s="3"/>
    </row>
    <row r="29" spans="1:23" x14ac:dyDescent="0.25">
      <c r="A29" s="2">
        <v>100000000000</v>
      </c>
      <c r="B29" s="2">
        <v>1.9340000000000001E-4</v>
      </c>
      <c r="C29" s="2">
        <v>3.834E-4</v>
      </c>
      <c r="D29" s="2">
        <v>-8.3469999999999996E-4</v>
      </c>
      <c r="E29" s="2">
        <v>0</v>
      </c>
      <c r="F29" s="2">
        <v>0</v>
      </c>
      <c r="G29" s="2">
        <v>0</v>
      </c>
      <c r="H29" s="2">
        <v>1.3764195E-4</v>
      </c>
      <c r="I29" s="2">
        <v>4.3714880000000003E-5</v>
      </c>
      <c r="J29" s="2">
        <v>-3.6085418000000001E-4</v>
      </c>
      <c r="K29" s="3"/>
      <c r="L29" s="3">
        <f t="shared" si="0"/>
        <v>0.23170001198035226</v>
      </c>
      <c r="M29" s="3"/>
      <c r="N29" s="2">
        <f>IF('Modell einstellen'!$B$1="Voll",H29/0.35,H29/0.35*2)</f>
        <v>3.9326271428571431E-4</v>
      </c>
      <c r="O29" s="2">
        <f>IF('Modell einstellen'!$B$1="Voll",J29/0.35,J29/0.35*2)</f>
        <v>-1.0310119428571429E-3</v>
      </c>
      <c r="P29" s="3">
        <f t="shared" si="1"/>
        <v>0.38143371375107804</v>
      </c>
      <c r="Q29" s="3"/>
      <c r="R29" s="3"/>
      <c r="S29" s="3"/>
      <c r="T29" s="3"/>
      <c r="U29" s="3"/>
      <c r="V29" s="3"/>
      <c r="W29" s="3"/>
    </row>
    <row r="30" spans="1:23" x14ac:dyDescent="0.25">
      <c r="A30" s="2">
        <v>1000000000000</v>
      </c>
      <c r="B30" s="2">
        <v>2.018E-4</v>
      </c>
      <c r="C30" s="2">
        <v>4.2240000000000002E-4</v>
      </c>
      <c r="D30" s="2">
        <v>-8.8340000000000001E-4</v>
      </c>
      <c r="E30" s="2">
        <v>0</v>
      </c>
      <c r="F30" s="2">
        <v>0</v>
      </c>
      <c r="G30" s="2">
        <v>0</v>
      </c>
      <c r="H30" s="2">
        <v>1.5079275E-4</v>
      </c>
      <c r="I30" s="2">
        <v>4.9058842E-5</v>
      </c>
      <c r="J30" s="2">
        <v>-3.9345111000000001E-4</v>
      </c>
      <c r="K30" s="3"/>
      <c r="L30" s="3">
        <f t="shared" si="0"/>
        <v>0.22843558976681005</v>
      </c>
      <c r="M30" s="3"/>
      <c r="N30" s="2">
        <f>IF('Modell einstellen'!$B$1="Voll",H30/0.35,H30/0.35*2)</f>
        <v>4.308364285714286E-4</v>
      </c>
      <c r="O30" s="2">
        <f>IF('Modell einstellen'!$B$1="Voll",J30/0.35,J30/0.35*2)</f>
        <v>-1.1241460285714286E-3</v>
      </c>
      <c r="P30" s="3">
        <f t="shared" si="1"/>
        <v>0.3832566389252276</v>
      </c>
      <c r="Q30" s="3"/>
      <c r="R30" s="3"/>
      <c r="S30" s="3"/>
      <c r="T30" s="3"/>
      <c r="U30" s="3"/>
      <c r="V30" s="3"/>
      <c r="W30" s="3"/>
    </row>
    <row r="31" spans="1:23" x14ac:dyDescent="0.25">
      <c r="A31" s="2">
        <v>10000000000000</v>
      </c>
      <c r="B31" s="2">
        <v>1.9689999999999999E-4</v>
      </c>
      <c r="C31" s="2">
        <v>4.7429999999999998E-4</v>
      </c>
      <c r="D31" s="2">
        <v>-9.3380000000000004E-4</v>
      </c>
      <c r="E31" s="2">
        <v>0</v>
      </c>
      <c r="F31" s="2">
        <v>0</v>
      </c>
      <c r="G31" s="2">
        <v>0</v>
      </c>
      <c r="H31" s="2">
        <v>1.7001620000000001E-4</v>
      </c>
      <c r="I31" s="2">
        <v>5.6363604000000001E-5</v>
      </c>
      <c r="J31" s="2">
        <v>-4.3969864000000002E-4</v>
      </c>
      <c r="K31" s="3"/>
      <c r="L31" s="3">
        <f t="shared" si="0"/>
        <v>0.21085885628614262</v>
      </c>
      <c r="M31" s="3"/>
      <c r="N31" s="2">
        <f>IF('Modell einstellen'!$B$1="Voll",H31/0.35,H31/0.35*2)</f>
        <v>4.8576057142857146E-4</v>
      </c>
      <c r="O31" s="2">
        <f>IF('Modell einstellen'!$B$1="Voll",J31/0.35,J31/0.35*2)</f>
        <v>-1.2562818285714286E-3</v>
      </c>
      <c r="P31" s="3">
        <f t="shared" si="1"/>
        <v>0.38666528511436832</v>
      </c>
      <c r="Q31" s="3"/>
      <c r="R31" s="3"/>
      <c r="S31" s="3"/>
      <c r="T31" s="3"/>
      <c r="U31" s="3"/>
      <c r="V31" s="3"/>
      <c r="W31" s="3"/>
    </row>
    <row r="32" spans="1:23" x14ac:dyDescent="0.25">
      <c r="A32" s="2">
        <v>100000000000000</v>
      </c>
      <c r="B32" s="2">
        <v>1.6589999999999999E-4</v>
      </c>
      <c r="C32" s="2">
        <v>5.5060000000000005E-4</v>
      </c>
      <c r="D32" s="2">
        <v>-9.8489999999999992E-4</v>
      </c>
      <c r="E32" s="2">
        <v>0</v>
      </c>
      <c r="F32" s="2">
        <v>0</v>
      </c>
      <c r="G32" s="2">
        <v>0</v>
      </c>
      <c r="H32" s="2">
        <v>2.0030227E-4</v>
      </c>
      <c r="I32" s="2">
        <v>6.7535314999999998E-5</v>
      </c>
      <c r="J32" s="2">
        <v>-5.1150855999999997E-4</v>
      </c>
      <c r="K32" s="3"/>
      <c r="L32" s="3">
        <f t="shared" si="0"/>
        <v>0.16844349680170576</v>
      </c>
      <c r="M32" s="3"/>
      <c r="N32" s="2">
        <f>IF('Modell einstellen'!$B$1="Voll",H32/0.35,H32/0.35*2)</f>
        <v>5.7229220000000003E-4</v>
      </c>
      <c r="O32" s="2">
        <f>IF('Modell einstellen'!$B$1="Voll",J32/0.35,J32/0.35*2)</f>
        <v>-1.4614530285714286E-3</v>
      </c>
      <c r="P32" s="3">
        <f t="shared" si="1"/>
        <v>0.39159123749561497</v>
      </c>
      <c r="Q32" s="3"/>
      <c r="R32" s="3"/>
      <c r="S32" s="3"/>
      <c r="T32" s="3"/>
      <c r="U32" s="3"/>
      <c r="V32" s="3"/>
      <c r="W32" s="3"/>
    </row>
    <row r="33" spans="1:23" x14ac:dyDescent="0.25">
      <c r="A33" s="2">
        <v>1000000000000000</v>
      </c>
      <c r="B33" s="2">
        <v>7.6569999999999994E-5</v>
      </c>
      <c r="C33" s="2">
        <v>6.7009999999999997E-4</v>
      </c>
      <c r="D33" s="2">
        <v>-1.023E-3</v>
      </c>
      <c r="E33" s="2">
        <v>0</v>
      </c>
      <c r="F33" s="2">
        <v>0</v>
      </c>
      <c r="G33" s="2">
        <v>0</v>
      </c>
      <c r="H33" s="2">
        <v>2.5166108999999999E-4</v>
      </c>
      <c r="I33" s="2">
        <v>8.5884998000000003E-5</v>
      </c>
      <c r="J33" s="2">
        <v>-6.3097520000000005E-4</v>
      </c>
      <c r="K33" s="3"/>
      <c r="L33" s="3">
        <f t="shared" si="0"/>
        <v>7.4848484848484845E-2</v>
      </c>
      <c r="M33" s="3"/>
      <c r="N33" s="2">
        <f>IF('Modell einstellen'!$B$1="Voll",H33/0.35,H33/0.35*2)</f>
        <v>7.1903168571428578E-4</v>
      </c>
      <c r="O33" s="2">
        <f>IF('Modell einstellen'!$B$1="Voll",J33/0.35,J33/0.35*2)</f>
        <v>-1.802786285714286E-3</v>
      </c>
      <c r="P33" s="3">
        <f t="shared" si="1"/>
        <v>0.39884466140666064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4.0639999999999997E-5</v>
      </c>
      <c r="C3" s="3">
        <v>1.518E-4</v>
      </c>
      <c r="D3" s="3">
        <v>-4.661E-4</v>
      </c>
      <c r="E3" s="3">
        <v>0</v>
      </c>
      <c r="F3" s="3">
        <v>0</v>
      </c>
      <c r="G3" s="3">
        <v>0</v>
      </c>
      <c r="H3" s="3">
        <v>7.0840387000000005E-5</v>
      </c>
      <c r="I3" s="3">
        <v>1.5443532E-5</v>
      </c>
      <c r="J3" s="3">
        <v>-1.9659138E-4</v>
      </c>
      <c r="L3" s="3">
        <f>-B3/D3</f>
        <v>8.7191589787599222E-2</v>
      </c>
      <c r="M3" s="3"/>
      <c r="N3" s="2">
        <f>IF('Modell einstellen'!$B$1="Voll",H3/0.35,H3/0.35*2)</f>
        <v>2.0240110571428574E-4</v>
      </c>
      <c r="O3" s="2">
        <f>IF('Modell einstellen'!$B$1="Voll",J3/0.35,J3/0.35*2)</f>
        <v>-5.6168965714285715E-4</v>
      </c>
      <c r="P3" s="3">
        <f>-N3/O3</f>
        <v>0.36034330192910802</v>
      </c>
    </row>
    <row r="4" spans="1:16" x14ac:dyDescent="0.25">
      <c r="A4" s="3">
        <v>1E-14</v>
      </c>
      <c r="B4" s="3">
        <v>4.0639999999999997E-5</v>
      </c>
      <c r="C4" s="3">
        <v>1.518E-4</v>
      </c>
      <c r="D4" s="3">
        <v>-4.661E-4</v>
      </c>
      <c r="E4" s="3">
        <v>0</v>
      </c>
      <c r="F4" s="3">
        <v>0</v>
      </c>
      <c r="G4" s="3">
        <v>0</v>
      </c>
      <c r="H4" s="3">
        <v>7.0841911E-5</v>
      </c>
      <c r="I4" s="3">
        <v>1.5444687999999999E-5</v>
      </c>
      <c r="J4" s="3">
        <v>-1.9658762000000001E-4</v>
      </c>
      <c r="L4" s="3">
        <f t="shared" ref="L4:L33" si="0">-B4/D4</f>
        <v>8.7191589787599222E-2</v>
      </c>
      <c r="M4" s="3"/>
      <c r="N4" s="2">
        <f>IF('Modell einstellen'!$B$1="Voll",H4/0.35,H4/0.35*2)</f>
        <v>2.0240546000000002E-4</v>
      </c>
      <c r="O4" s="2">
        <f>IF('Modell einstellen'!$B$1="Voll",J4/0.35,J4/0.35*2)</f>
        <v>-5.6167891428571433E-4</v>
      </c>
      <c r="P4" s="3">
        <f t="shared" ref="P4:P33" si="1">-N4/O4</f>
        <v>0.36035794624300349</v>
      </c>
    </row>
    <row r="5" spans="1:16" x14ac:dyDescent="0.25">
      <c r="A5" s="3">
        <v>1E-13</v>
      </c>
      <c r="B5" s="3">
        <v>4.0639999999999997E-5</v>
      </c>
      <c r="C5" s="3">
        <v>1.518E-4</v>
      </c>
      <c r="D5" s="3">
        <v>-4.661E-4</v>
      </c>
      <c r="E5" s="3">
        <v>0</v>
      </c>
      <c r="F5" s="3">
        <v>0</v>
      </c>
      <c r="G5" s="3">
        <v>0</v>
      </c>
      <c r="H5" s="3">
        <v>7.0842286000000006E-5</v>
      </c>
      <c r="I5" s="3">
        <v>1.5444859999999999E-5</v>
      </c>
      <c r="J5" s="3">
        <v>-1.9658862E-4</v>
      </c>
      <c r="L5" s="3">
        <f t="shared" si="0"/>
        <v>8.7191589787599222E-2</v>
      </c>
      <c r="M5" s="3"/>
      <c r="N5" s="2">
        <f>IF('Modell einstellen'!$B$1="Voll",H5/0.35,H5/0.35*2)</f>
        <v>2.0240653142857145E-4</v>
      </c>
      <c r="O5" s="2">
        <f>IF('Modell einstellen'!$B$1="Voll",J5/0.35,J5/0.35*2)</f>
        <v>-5.6168177142857149E-4</v>
      </c>
      <c r="P5" s="3">
        <f t="shared" si="1"/>
        <v>0.36035802072368178</v>
      </c>
    </row>
    <row r="6" spans="1:16" x14ac:dyDescent="0.25">
      <c r="A6" s="3">
        <v>9.9999999999999998E-13</v>
      </c>
      <c r="B6" s="3">
        <v>4.0639999999999997E-5</v>
      </c>
      <c r="C6" s="3">
        <v>1.518E-4</v>
      </c>
      <c r="D6" s="3">
        <v>-4.661E-4</v>
      </c>
      <c r="E6" s="3">
        <v>0</v>
      </c>
      <c r="F6" s="3">
        <v>0</v>
      </c>
      <c r="G6" s="3">
        <v>0</v>
      </c>
      <c r="H6" s="3">
        <v>7.0842402999999999E-5</v>
      </c>
      <c r="I6" s="3">
        <v>1.5444908E-5</v>
      </c>
      <c r="J6" s="3">
        <v>-1.9658891E-4</v>
      </c>
      <c r="L6" s="3">
        <f t="shared" si="0"/>
        <v>8.7191589787599222E-2</v>
      </c>
      <c r="M6" s="3"/>
      <c r="N6" s="2">
        <f>IF('Modell einstellen'!$B$1="Voll",H6/0.35,H6/0.35*2)</f>
        <v>2.0240686571428571E-4</v>
      </c>
      <c r="O6" s="2">
        <f>IF('Modell einstellen'!$B$1="Voll",J6/0.35,J6/0.35*2)</f>
        <v>-5.6168260000000008E-4</v>
      </c>
      <c r="P6" s="3">
        <f t="shared" si="1"/>
        <v>0.36035808428868132</v>
      </c>
    </row>
    <row r="7" spans="1:16" x14ac:dyDescent="0.25">
      <c r="A7" s="3">
        <v>9.9999999999999994E-12</v>
      </c>
      <c r="B7" s="3">
        <v>4.0639999999999997E-5</v>
      </c>
      <c r="C7" s="3">
        <v>1.518E-4</v>
      </c>
      <c r="D7" s="3">
        <v>-4.661E-4</v>
      </c>
      <c r="E7" s="3">
        <v>0</v>
      </c>
      <c r="F7" s="3">
        <v>0</v>
      </c>
      <c r="G7" s="3">
        <v>0</v>
      </c>
      <c r="H7" s="3">
        <v>7.0842440999999997E-5</v>
      </c>
      <c r="I7" s="3">
        <v>1.5444921999999999E-5</v>
      </c>
      <c r="J7" s="3">
        <v>-1.96589E-4</v>
      </c>
      <c r="L7" s="3">
        <f t="shared" si="0"/>
        <v>8.7191589787599222E-2</v>
      </c>
      <c r="M7" s="3"/>
      <c r="N7" s="2">
        <f>IF('Modell einstellen'!$B$1="Voll",H7/0.35,H7/0.35*2)</f>
        <v>2.0240697428571428E-4</v>
      </c>
      <c r="O7" s="2">
        <f>IF('Modell einstellen'!$B$1="Voll",J7/0.35,J7/0.35*2)</f>
        <v>-5.6168285714285721E-4</v>
      </c>
      <c r="P7" s="3">
        <f t="shared" si="1"/>
        <v>0.36035811261057327</v>
      </c>
    </row>
    <row r="8" spans="1:16" x14ac:dyDescent="0.25">
      <c r="A8" s="3">
        <v>1E-10</v>
      </c>
      <c r="B8" s="3">
        <v>4.0639999999999997E-5</v>
      </c>
      <c r="C8" s="3">
        <v>1.518E-4</v>
      </c>
      <c r="D8" s="3">
        <v>-4.661E-4</v>
      </c>
      <c r="E8" s="3">
        <v>0</v>
      </c>
      <c r="F8" s="3">
        <v>0</v>
      </c>
      <c r="G8" s="3">
        <v>0</v>
      </c>
      <c r="H8" s="3">
        <v>7.0842453999999999E-5</v>
      </c>
      <c r="I8" s="3">
        <v>1.5444926E-5</v>
      </c>
      <c r="J8" s="3">
        <v>-1.9658903000000001E-4</v>
      </c>
      <c r="L8" s="3">
        <f t="shared" si="0"/>
        <v>8.7191589787599222E-2</v>
      </c>
      <c r="M8" s="3"/>
      <c r="N8" s="2">
        <f>IF('Modell einstellen'!$B$1="Voll",H8/0.35,H8/0.35*2)</f>
        <v>2.0240701142857143E-4</v>
      </c>
      <c r="O8" s="2">
        <f>IF('Modell einstellen'!$B$1="Voll",J8/0.35,J8/0.35*2)</f>
        <v>-5.6168294285714293E-4</v>
      </c>
      <c r="P8" s="3">
        <f t="shared" si="1"/>
        <v>0.36035812374678278</v>
      </c>
    </row>
    <row r="9" spans="1:16" x14ac:dyDescent="0.25">
      <c r="A9" s="3">
        <v>1.0000000000000001E-9</v>
      </c>
      <c r="B9" s="3">
        <v>4.0639999999999997E-5</v>
      </c>
      <c r="C9" s="3">
        <v>1.518E-4</v>
      </c>
      <c r="D9" s="3">
        <v>-4.661E-4</v>
      </c>
      <c r="E9" s="3">
        <v>0</v>
      </c>
      <c r="F9" s="3">
        <v>0</v>
      </c>
      <c r="G9" s="3">
        <v>0</v>
      </c>
      <c r="H9" s="3">
        <v>7.0842457999999997E-5</v>
      </c>
      <c r="I9" s="3">
        <v>1.5444927999999998E-5</v>
      </c>
      <c r="J9" s="3">
        <v>-1.9658904E-4</v>
      </c>
      <c r="L9" s="3">
        <f t="shared" si="0"/>
        <v>8.7191589787599222E-2</v>
      </c>
      <c r="M9" s="3"/>
      <c r="N9" s="2">
        <f>IF('Modell einstellen'!$B$1="Voll",H9/0.35,H9/0.35*2)</f>
        <v>2.0240702285714287E-4</v>
      </c>
      <c r="O9" s="2">
        <f>IF('Modell einstellen'!$B$1="Voll",J9/0.35,J9/0.35*2)</f>
        <v>-5.6168297142857146E-4</v>
      </c>
      <c r="P9" s="3">
        <f t="shared" si="1"/>
        <v>0.36035812576326737</v>
      </c>
    </row>
    <row r="10" spans="1:16" x14ac:dyDescent="0.25">
      <c r="A10" s="3">
        <v>1E-8</v>
      </c>
      <c r="B10" s="3">
        <v>4.0639999999999997E-5</v>
      </c>
      <c r="C10" s="3">
        <v>1.518E-4</v>
      </c>
      <c r="D10" s="3">
        <v>-4.661E-4</v>
      </c>
      <c r="E10" s="3">
        <v>0</v>
      </c>
      <c r="F10" s="3">
        <v>0</v>
      </c>
      <c r="G10" s="3">
        <v>0</v>
      </c>
      <c r="H10" s="3">
        <v>7.0842460000000002E-5</v>
      </c>
      <c r="I10" s="3">
        <v>1.5444927999999998E-5</v>
      </c>
      <c r="J10" s="3">
        <v>-1.9658904E-4</v>
      </c>
      <c r="L10" s="3">
        <f t="shared" si="0"/>
        <v>8.7191589787599222E-2</v>
      </c>
      <c r="M10" s="3"/>
      <c r="N10" s="2">
        <f>IF('Modell einstellen'!$B$1="Voll",H10/0.35,H10/0.35*2)</f>
        <v>2.0240702857142858E-4</v>
      </c>
      <c r="O10" s="2">
        <f>IF('Modell einstellen'!$B$1="Voll",J10/0.35,J10/0.35*2)</f>
        <v>-5.6168297142857146E-4</v>
      </c>
      <c r="P10" s="3">
        <f t="shared" si="1"/>
        <v>0.36035813593677452</v>
      </c>
    </row>
    <row r="11" spans="1:16" x14ac:dyDescent="0.25">
      <c r="A11" s="3">
        <v>9.9999999999999995E-8</v>
      </c>
      <c r="B11" s="3">
        <v>4.0639999999999997E-5</v>
      </c>
      <c r="C11" s="3">
        <v>1.518E-4</v>
      </c>
      <c r="D11" s="3">
        <v>-4.661E-4</v>
      </c>
      <c r="E11" s="3">
        <v>0</v>
      </c>
      <c r="F11" s="3">
        <v>0</v>
      </c>
      <c r="G11" s="3">
        <v>0</v>
      </c>
      <c r="H11" s="3">
        <v>7.0842460000000002E-5</v>
      </c>
      <c r="I11" s="3">
        <v>1.5444927999999998E-5</v>
      </c>
      <c r="J11" s="3">
        <v>-1.9658904999999999E-4</v>
      </c>
      <c r="L11" s="3">
        <f t="shared" si="0"/>
        <v>8.7191589787599222E-2</v>
      </c>
      <c r="M11" s="3"/>
      <c r="N11" s="2">
        <f>IF('Modell einstellen'!$B$1="Voll",H11/0.35,H11/0.35*2)</f>
        <v>2.0240702857142858E-4</v>
      </c>
      <c r="O11" s="2">
        <f>IF('Modell einstellen'!$B$1="Voll",J11/0.35,J11/0.35*2)</f>
        <v>-5.61683E-4</v>
      </c>
      <c r="P11" s="3">
        <f t="shared" si="1"/>
        <v>0.36035811760624514</v>
      </c>
    </row>
    <row r="12" spans="1:16" x14ac:dyDescent="0.25">
      <c r="A12" s="3">
        <v>9.9999999999999995E-7</v>
      </c>
      <c r="B12" s="3">
        <v>4.0639999999999997E-5</v>
      </c>
      <c r="C12" s="3">
        <v>1.518E-4</v>
      </c>
      <c r="D12" s="3">
        <v>-4.661E-4</v>
      </c>
      <c r="E12" s="3">
        <v>0</v>
      </c>
      <c r="F12" s="3">
        <v>0</v>
      </c>
      <c r="G12" s="3">
        <v>0</v>
      </c>
      <c r="H12" s="3">
        <v>7.0842460999999998E-5</v>
      </c>
      <c r="I12" s="3">
        <v>1.5444927999999998E-5</v>
      </c>
      <c r="J12" s="3">
        <v>-1.9658904999999999E-4</v>
      </c>
      <c r="L12" s="3">
        <f t="shared" si="0"/>
        <v>8.7191589787599222E-2</v>
      </c>
      <c r="M12" s="3"/>
      <c r="N12" s="2">
        <f>IF('Modell einstellen'!$B$1="Voll",H12/0.35,H12/0.35*2)</f>
        <v>2.0240703142857143E-4</v>
      </c>
      <c r="O12" s="2">
        <f>IF('Modell einstellen'!$B$1="Voll",J12/0.35,J12/0.35*2)</f>
        <v>-5.61683E-4</v>
      </c>
      <c r="P12" s="3">
        <f t="shared" si="1"/>
        <v>0.36035812269299844</v>
      </c>
    </row>
    <row r="13" spans="1:16" x14ac:dyDescent="0.25">
      <c r="A13" s="3">
        <v>1.0000000000000001E-5</v>
      </c>
      <c r="B13" s="3">
        <v>4.0639999999999997E-5</v>
      </c>
      <c r="C13" s="3">
        <v>1.518E-4</v>
      </c>
      <c r="D13" s="3">
        <v>-4.661E-4</v>
      </c>
      <c r="E13" s="3">
        <v>0</v>
      </c>
      <c r="F13" s="3">
        <v>0</v>
      </c>
      <c r="G13" s="3">
        <v>0</v>
      </c>
      <c r="H13" s="3">
        <v>7.0842464999999996E-5</v>
      </c>
      <c r="I13" s="3">
        <v>1.5444929000000001E-5</v>
      </c>
      <c r="J13" s="3">
        <v>-1.9658904999999999E-4</v>
      </c>
      <c r="L13" s="3">
        <f t="shared" si="0"/>
        <v>8.7191589787599222E-2</v>
      </c>
      <c r="M13" s="3"/>
      <c r="N13" s="2">
        <f>IF('Modell einstellen'!$B$1="Voll",H13/0.35,H13/0.35*2)</f>
        <v>2.0240704285714284E-4</v>
      </c>
      <c r="O13" s="2">
        <f>IF('Modell einstellen'!$B$1="Voll",J13/0.35,J13/0.35*2)</f>
        <v>-5.61683E-4</v>
      </c>
      <c r="P13" s="3">
        <f t="shared" si="1"/>
        <v>0.36035814304001162</v>
      </c>
    </row>
    <row r="14" spans="1:16" x14ac:dyDescent="0.25">
      <c r="A14" s="3">
        <v>1E-4</v>
      </c>
      <c r="B14" s="3">
        <v>4.0639999999999997E-5</v>
      </c>
      <c r="C14" s="3">
        <v>1.518E-4</v>
      </c>
      <c r="D14" s="3">
        <v>-4.661E-4</v>
      </c>
      <c r="E14" s="3">
        <v>0</v>
      </c>
      <c r="F14" s="3">
        <v>0</v>
      </c>
      <c r="G14" s="3">
        <v>0</v>
      </c>
      <c r="H14" s="3">
        <v>7.0842507000000004E-5</v>
      </c>
      <c r="I14" s="3">
        <v>1.5444934000000001E-5</v>
      </c>
      <c r="J14" s="3">
        <v>-1.9658912000000001E-4</v>
      </c>
      <c r="L14" s="3">
        <f t="shared" si="0"/>
        <v>8.7191589787599222E-2</v>
      </c>
      <c r="M14" s="3"/>
      <c r="N14" s="2">
        <f>IF('Modell einstellen'!$B$1="Voll",H14/0.35,H14/0.35*2)</f>
        <v>2.0240716285714288E-4</v>
      </c>
      <c r="O14" s="2">
        <f>IF('Modell einstellen'!$B$1="Voll",J14/0.35,J14/0.35*2)</f>
        <v>-5.6168320000000006E-4</v>
      </c>
      <c r="P14" s="3">
        <f t="shared" si="1"/>
        <v>0.36035822836991183</v>
      </c>
    </row>
    <row r="15" spans="1:16" x14ac:dyDescent="0.25">
      <c r="A15" s="3">
        <v>1E-3</v>
      </c>
      <c r="B15" s="3">
        <v>4.0639999999999997E-5</v>
      </c>
      <c r="C15" s="3">
        <v>1.518E-4</v>
      </c>
      <c r="D15" s="3">
        <v>-4.661E-4</v>
      </c>
      <c r="E15" s="3">
        <v>0</v>
      </c>
      <c r="F15" s="3">
        <v>0</v>
      </c>
      <c r="G15" s="3">
        <v>0</v>
      </c>
      <c r="H15" s="3">
        <v>7.0842922999999995E-5</v>
      </c>
      <c r="I15" s="3">
        <v>1.5444981E-5</v>
      </c>
      <c r="J15" s="3">
        <v>-1.9658978E-4</v>
      </c>
      <c r="L15" s="3">
        <f t="shared" si="0"/>
        <v>8.7191589787599222E-2</v>
      </c>
      <c r="M15" s="3"/>
      <c r="N15" s="2">
        <f>IF('Modell einstellen'!$B$1="Voll",H15/0.35,H15/0.35*2)</f>
        <v>2.0240835142857141E-4</v>
      </c>
      <c r="O15" s="2">
        <f>IF('Modell einstellen'!$B$1="Voll",J15/0.35,J15/0.35*2)</f>
        <v>-5.6168508571428574E-4</v>
      </c>
      <c r="P15" s="3">
        <f t="shared" si="1"/>
        <v>0.36035913464067154</v>
      </c>
    </row>
    <row r="16" spans="1:16" x14ac:dyDescent="0.25">
      <c r="A16" s="3">
        <v>0.01</v>
      </c>
      <c r="B16" s="3">
        <v>4.0639999999999997E-5</v>
      </c>
      <c r="C16" s="3">
        <v>1.518E-4</v>
      </c>
      <c r="D16" s="3">
        <v>-4.661E-4</v>
      </c>
      <c r="E16" s="3">
        <v>0</v>
      </c>
      <c r="F16" s="3">
        <v>0</v>
      </c>
      <c r="G16" s="3">
        <v>0</v>
      </c>
      <c r="H16" s="3">
        <v>7.0847080999999996E-5</v>
      </c>
      <c r="I16" s="3">
        <v>1.5445455999999999E-5</v>
      </c>
      <c r="J16" s="3">
        <v>-1.9659637000000001E-4</v>
      </c>
      <c r="L16" s="3">
        <f t="shared" si="0"/>
        <v>8.7191589787599222E-2</v>
      </c>
      <c r="M16" s="3"/>
      <c r="N16" s="2">
        <f>IF('Modell einstellen'!$B$1="Voll",H16/0.35,H16/0.35*2)</f>
        <v>2.0242023142857143E-4</v>
      </c>
      <c r="O16" s="2">
        <f>IF('Modell einstellen'!$B$1="Voll",J16/0.35,J16/0.35*2)</f>
        <v>-5.617039142857144E-4</v>
      </c>
      <c r="P16" s="3">
        <f t="shared" si="1"/>
        <v>0.36036820517082785</v>
      </c>
    </row>
    <row r="17" spans="1:16" x14ac:dyDescent="0.25">
      <c r="A17" s="3">
        <v>0.1</v>
      </c>
      <c r="B17" s="3">
        <v>4.0590000000000003E-5</v>
      </c>
      <c r="C17" s="3">
        <v>1.518E-4</v>
      </c>
      <c r="D17" s="3">
        <v>-4.661E-4</v>
      </c>
      <c r="E17" s="3">
        <v>0</v>
      </c>
      <c r="F17" s="3">
        <v>0</v>
      </c>
      <c r="G17" s="3">
        <v>0</v>
      </c>
      <c r="H17" s="3">
        <v>7.0888340999999996E-5</v>
      </c>
      <c r="I17" s="3">
        <v>1.5450167E-5</v>
      </c>
      <c r="J17" s="3">
        <v>-1.9666181000000001E-4</v>
      </c>
      <c r="L17" s="3">
        <f t="shared" si="0"/>
        <v>8.708431667024244E-2</v>
      </c>
      <c r="M17" s="3"/>
      <c r="N17" s="2">
        <f>IF('Modell einstellen'!$B$1="Voll",H17/0.35,H17/0.35*2)</f>
        <v>2.0253811714285715E-4</v>
      </c>
      <c r="O17" s="2">
        <f>IF('Modell einstellen'!$B$1="Voll",J17/0.35,J17/0.35*2)</f>
        <v>-5.6189088571428577E-4</v>
      </c>
      <c r="P17" s="3">
        <f t="shared" si="1"/>
        <v>0.36045809300748322</v>
      </c>
    </row>
    <row r="18" spans="1:16" x14ac:dyDescent="0.25">
      <c r="A18" s="3">
        <v>1</v>
      </c>
      <c r="B18" s="3">
        <v>4.0160000000000002E-5</v>
      </c>
      <c r="C18" s="3">
        <v>1.5220000000000001E-4</v>
      </c>
      <c r="D18" s="3">
        <v>-4.6640000000000001E-4</v>
      </c>
      <c r="E18" s="3">
        <v>0</v>
      </c>
      <c r="F18" s="3">
        <v>0</v>
      </c>
      <c r="G18" s="3">
        <v>0</v>
      </c>
      <c r="H18" s="3">
        <v>7.1270091999999999E-5</v>
      </c>
      <c r="I18" s="3">
        <v>1.5493726000000002E-5</v>
      </c>
      <c r="J18" s="3">
        <v>-1.9726695999999999E-4</v>
      </c>
      <c r="L18" s="3">
        <f t="shared" si="0"/>
        <v>8.6106346483704979E-2</v>
      </c>
      <c r="M18" s="3"/>
      <c r="N18" s="2">
        <f>IF('Modell einstellen'!$B$1="Voll",H18/0.35,H18/0.35*2)</f>
        <v>2.0362883428571429E-4</v>
      </c>
      <c r="O18" s="2">
        <f>IF('Modell einstellen'!$B$1="Voll",J18/0.35,J18/0.35*2)</f>
        <v>-5.6361988571428567E-4</v>
      </c>
      <c r="P18" s="3">
        <f t="shared" si="1"/>
        <v>0.36128752630445571</v>
      </c>
    </row>
    <row r="19" spans="1:16" x14ac:dyDescent="0.25">
      <c r="A19" s="3">
        <v>10</v>
      </c>
      <c r="B19" s="3">
        <v>3.8269999999999998E-5</v>
      </c>
      <c r="C19" s="3">
        <v>1.5449999999999999E-4</v>
      </c>
      <c r="D19" s="3">
        <v>-4.685E-4</v>
      </c>
      <c r="E19" s="3">
        <v>0</v>
      </c>
      <c r="F19" s="3">
        <v>0</v>
      </c>
      <c r="G19" s="3">
        <v>0</v>
      </c>
      <c r="H19" s="3">
        <v>7.3294918999999994E-5</v>
      </c>
      <c r="I19" s="3">
        <v>1.5746303E-5</v>
      </c>
      <c r="J19" s="3">
        <v>-2.0053561000000001E-4</v>
      </c>
      <c r="L19" s="3">
        <f t="shared" si="0"/>
        <v>8.1686232657417285E-2</v>
      </c>
      <c r="M19" s="3"/>
      <c r="N19" s="2">
        <f>IF('Modell einstellen'!$B$1="Voll",H19/0.35,H19/0.35*2)</f>
        <v>2.0941405428571427E-4</v>
      </c>
      <c r="O19" s="2">
        <f>IF('Modell einstellen'!$B$1="Voll",J19/0.35,J19/0.35*2)</f>
        <v>-5.7295888571428581E-4</v>
      </c>
      <c r="P19" s="3">
        <f t="shared" si="1"/>
        <v>0.36549577902897135</v>
      </c>
    </row>
    <row r="20" spans="1:16" x14ac:dyDescent="0.25">
      <c r="A20" s="3">
        <v>100</v>
      </c>
      <c r="B20" s="3">
        <v>3.5939999999999998E-5</v>
      </c>
      <c r="C20" s="3">
        <v>1.574E-4</v>
      </c>
      <c r="D20" s="3">
        <v>-4.7100000000000001E-4</v>
      </c>
      <c r="E20" s="3">
        <v>0</v>
      </c>
      <c r="F20" s="3">
        <v>0</v>
      </c>
      <c r="G20" s="3">
        <v>0</v>
      </c>
      <c r="H20" s="3">
        <v>7.5819420000000003E-5</v>
      </c>
      <c r="I20" s="3">
        <v>1.6075078000000001E-5</v>
      </c>
      <c r="J20" s="3">
        <v>-2.0462267000000001E-4</v>
      </c>
      <c r="L20" s="3">
        <f t="shared" si="0"/>
        <v>7.6305732484076433E-2</v>
      </c>
      <c r="M20" s="3"/>
      <c r="N20" s="2">
        <f>IF('Modell einstellen'!$B$1="Voll",H20/0.35,H20/0.35*2)</f>
        <v>2.1662691428571431E-4</v>
      </c>
      <c r="O20" s="2">
        <f>IF('Modell einstellen'!$B$1="Voll",J20/0.35,J20/0.35*2)</f>
        <v>-5.846362000000001E-4</v>
      </c>
      <c r="P20" s="3">
        <f t="shared" si="1"/>
        <v>0.37053284467454167</v>
      </c>
    </row>
    <row r="21" spans="1:16" x14ac:dyDescent="0.25">
      <c r="A21" s="3">
        <v>1000</v>
      </c>
      <c r="B21" s="3">
        <v>3.5809999999999998E-5</v>
      </c>
      <c r="C21" s="3">
        <v>1.6330000000000001E-4</v>
      </c>
      <c r="D21" s="3">
        <v>-4.7820000000000002E-4</v>
      </c>
      <c r="E21" s="3">
        <v>0</v>
      </c>
      <c r="F21" s="3">
        <v>0</v>
      </c>
      <c r="G21" s="3">
        <v>0</v>
      </c>
      <c r="H21" s="3">
        <v>7.9053747999999996E-5</v>
      </c>
      <c r="I21" s="3">
        <v>1.6731359000000002E-5</v>
      </c>
      <c r="J21" s="3">
        <v>-2.1046916999999999E-4</v>
      </c>
      <c r="L21" s="3">
        <f t="shared" si="0"/>
        <v>7.4884985361773307E-2</v>
      </c>
      <c r="M21" s="3"/>
      <c r="N21" s="2">
        <f>IF('Modell einstellen'!$B$1="Voll",H21/0.35,H21/0.35*2)</f>
        <v>2.2586785142857143E-4</v>
      </c>
      <c r="O21" s="2">
        <f>IF('Modell einstellen'!$B$1="Voll",J21/0.35,J21/0.35*2)</f>
        <v>-6.0134048571428575E-4</v>
      </c>
      <c r="P21" s="3">
        <f t="shared" si="1"/>
        <v>0.37560725877333956</v>
      </c>
    </row>
    <row r="22" spans="1:16" x14ac:dyDescent="0.25">
      <c r="A22" s="3">
        <v>10000</v>
      </c>
      <c r="B22" s="3">
        <v>4.8189999999999998E-5</v>
      </c>
      <c r="C22" s="3">
        <v>1.816E-4</v>
      </c>
      <c r="D22" s="3">
        <v>-5.0719999999999997E-4</v>
      </c>
      <c r="E22" s="3">
        <v>0</v>
      </c>
      <c r="F22" s="3">
        <v>0</v>
      </c>
      <c r="G22" s="3">
        <v>0</v>
      </c>
      <c r="H22" s="3">
        <v>8.4400398E-5</v>
      </c>
      <c r="I22" s="3">
        <v>1.8779892000000001E-5</v>
      </c>
      <c r="J22" s="3">
        <v>-2.2272618000000001E-4</v>
      </c>
      <c r="L22" s="3">
        <f t="shared" si="0"/>
        <v>9.5011829652996843E-2</v>
      </c>
      <c r="M22" s="3"/>
      <c r="N22" s="2">
        <f>IF('Modell einstellen'!$B$1="Voll",H22/0.35,H22/0.35*2)</f>
        <v>2.4114399428571431E-4</v>
      </c>
      <c r="O22" s="2">
        <f>IF('Modell einstellen'!$B$1="Voll",J22/0.35,J22/0.35*2)</f>
        <v>-6.3636051428571437E-4</v>
      </c>
      <c r="P22" s="3">
        <f t="shared" si="1"/>
        <v>0.378942421586901</v>
      </c>
    </row>
    <row r="23" spans="1:16" x14ac:dyDescent="0.25">
      <c r="A23" s="3">
        <v>100000</v>
      </c>
      <c r="B23" s="3">
        <v>7.9670000000000001E-5</v>
      </c>
      <c r="C23" s="3">
        <v>2.1560000000000001E-4</v>
      </c>
      <c r="D23" s="3">
        <v>-5.666E-4</v>
      </c>
      <c r="E23" s="3">
        <v>0</v>
      </c>
      <c r="F23" s="3">
        <v>0</v>
      </c>
      <c r="G23" s="3">
        <v>0</v>
      </c>
      <c r="H23" s="3">
        <v>9.2072274999999994E-5</v>
      </c>
      <c r="I23" s="3">
        <v>2.2693725000000001E-5</v>
      </c>
      <c r="J23" s="3">
        <v>-2.4303783E-4</v>
      </c>
      <c r="L23" s="3">
        <f t="shared" si="0"/>
        <v>0.14061066007765619</v>
      </c>
      <c r="M23" s="3"/>
      <c r="N23" s="2">
        <f>IF('Modell einstellen'!$B$1="Voll",H23/0.35,H23/0.35*2)</f>
        <v>2.6306364285714286E-4</v>
      </c>
      <c r="O23" s="2">
        <f>IF('Modell einstellen'!$B$1="Voll",J23/0.35,J23/0.35*2)</f>
        <v>-6.9439380000000002E-4</v>
      </c>
      <c r="P23" s="3">
        <f t="shared" si="1"/>
        <v>0.37883927370483844</v>
      </c>
    </row>
    <row r="24" spans="1:16" x14ac:dyDescent="0.25">
      <c r="A24" s="3">
        <v>1000000</v>
      </c>
      <c r="B24" s="3">
        <v>1.16E-4</v>
      </c>
      <c r="C24" s="3">
        <v>2.5599999999999999E-4</v>
      </c>
      <c r="D24" s="3">
        <v>-6.3670000000000003E-4</v>
      </c>
      <c r="E24" s="3">
        <v>0</v>
      </c>
      <c r="F24" s="3">
        <v>0</v>
      </c>
      <c r="G24" s="3">
        <v>0</v>
      </c>
      <c r="H24" s="3">
        <v>1.0125284E-4</v>
      </c>
      <c r="I24" s="3">
        <v>2.7471817999999999E-5</v>
      </c>
      <c r="J24" s="3">
        <v>-2.678499E-4</v>
      </c>
      <c r="L24" s="3">
        <f t="shared" si="0"/>
        <v>0.18218941416679754</v>
      </c>
      <c r="M24" s="3"/>
      <c r="N24" s="2">
        <f>IF('Modell einstellen'!$B$1="Voll",H24/0.35,H24/0.35*2)</f>
        <v>2.8929382857142857E-4</v>
      </c>
      <c r="O24" s="2">
        <f>IF('Modell einstellen'!$B$1="Voll",J24/0.35,J24/0.35*2)</f>
        <v>-7.6528542857142866E-4</v>
      </c>
      <c r="P24" s="3">
        <f t="shared" si="1"/>
        <v>0.37802082434975703</v>
      </c>
    </row>
    <row r="25" spans="1:16" x14ac:dyDescent="0.25">
      <c r="A25" s="3">
        <v>10000000</v>
      </c>
      <c r="B25" s="3">
        <v>1.482E-4</v>
      </c>
      <c r="C25" s="3">
        <v>2.9609999999999999E-4</v>
      </c>
      <c r="D25" s="3">
        <v>-7.0450000000000005E-4</v>
      </c>
      <c r="E25" s="3">
        <v>0</v>
      </c>
      <c r="F25" s="3">
        <v>0</v>
      </c>
      <c r="G25" s="3">
        <v>0</v>
      </c>
      <c r="H25" s="3">
        <v>1.1137828E-4</v>
      </c>
      <c r="I25" s="3">
        <v>3.2387022E-5</v>
      </c>
      <c r="J25" s="3">
        <v>-2.9454394999999997E-4</v>
      </c>
      <c r="L25" s="3">
        <f t="shared" si="0"/>
        <v>0.21036195883605391</v>
      </c>
      <c r="M25" s="3"/>
      <c r="N25" s="2">
        <f>IF('Modell einstellen'!$B$1="Voll",H25/0.35,H25/0.35*2)</f>
        <v>3.1822365714285713E-4</v>
      </c>
      <c r="O25" s="2">
        <f>IF('Modell einstellen'!$B$1="Voll",J25/0.35,J25/0.35*2)</f>
        <v>-8.4155414285714278E-4</v>
      </c>
      <c r="P25" s="3">
        <f t="shared" si="1"/>
        <v>0.37813806734105387</v>
      </c>
    </row>
    <row r="26" spans="1:16" x14ac:dyDescent="0.25">
      <c r="A26" s="3">
        <v>100000000</v>
      </c>
      <c r="B26" s="3">
        <v>1.739E-4</v>
      </c>
      <c r="C26" s="3">
        <v>3.3340000000000003E-4</v>
      </c>
      <c r="D26" s="3">
        <v>-7.649E-4</v>
      </c>
      <c r="E26" s="3">
        <v>0</v>
      </c>
      <c r="F26" s="3">
        <v>0</v>
      </c>
      <c r="G26" s="3">
        <v>0</v>
      </c>
      <c r="H26" s="3">
        <v>1.2162253000000001E-4</v>
      </c>
      <c r="I26" s="3">
        <v>3.7121218000000002E-5</v>
      </c>
      <c r="J26" s="3">
        <v>-3.2116217999999998E-4</v>
      </c>
      <c r="L26" s="3">
        <f t="shared" si="0"/>
        <v>0.22734998038959342</v>
      </c>
      <c r="M26" s="3"/>
      <c r="N26" s="2">
        <f>IF('Modell einstellen'!$B$1="Voll",H26/0.35,H26/0.35*2)</f>
        <v>3.4749294285714292E-4</v>
      </c>
      <c r="O26" s="2">
        <f>IF('Modell einstellen'!$B$1="Voll",J26/0.35,J26/0.35*2)</f>
        <v>-9.1760622857142856E-4</v>
      </c>
      <c r="P26" s="3">
        <f t="shared" si="1"/>
        <v>0.37869505680899296</v>
      </c>
    </row>
    <row r="27" spans="1:16" x14ac:dyDescent="0.25">
      <c r="A27" s="3">
        <v>1000000000</v>
      </c>
      <c r="B27" s="3">
        <v>1.9239999999999999E-4</v>
      </c>
      <c r="C27" s="3">
        <v>3.6900000000000002E-4</v>
      </c>
      <c r="D27" s="3">
        <v>-8.1820000000000005E-4</v>
      </c>
      <c r="E27" s="3">
        <v>0</v>
      </c>
      <c r="F27" s="3">
        <v>0</v>
      </c>
      <c r="G27" s="3">
        <v>0</v>
      </c>
      <c r="H27" s="3">
        <v>1.3237888999999999E-4</v>
      </c>
      <c r="I27" s="3">
        <v>4.1795149999999999E-5</v>
      </c>
      <c r="J27" s="3">
        <v>-3.4849375E-4</v>
      </c>
      <c r="L27" s="3">
        <f t="shared" si="0"/>
        <v>0.2351503299926668</v>
      </c>
      <c r="M27" s="3"/>
      <c r="N27" s="2">
        <f>IF('Modell einstellen'!$B$1="Voll",H27/0.35,H27/0.35*2)</f>
        <v>3.7822540000000002E-4</v>
      </c>
      <c r="O27" s="2">
        <f>IF('Modell einstellen'!$B$1="Voll",J27/0.35,J27/0.35*2)</f>
        <v>-9.9569642857142869E-4</v>
      </c>
      <c r="P27" s="3">
        <f t="shared" si="1"/>
        <v>0.37986015531125017</v>
      </c>
    </row>
    <row r="28" spans="1:16" x14ac:dyDescent="0.25">
      <c r="A28" s="3">
        <v>10000000000</v>
      </c>
      <c r="B28" s="3">
        <v>2.0340000000000001E-4</v>
      </c>
      <c r="C28" s="3">
        <v>4.059E-4</v>
      </c>
      <c r="D28" s="3">
        <v>-8.6700000000000004E-4</v>
      </c>
      <c r="E28" s="3">
        <v>0</v>
      </c>
      <c r="F28" s="3">
        <v>0</v>
      </c>
      <c r="G28" s="3">
        <v>0</v>
      </c>
      <c r="H28" s="3">
        <v>1.4451937999999999E-4</v>
      </c>
      <c r="I28" s="3">
        <v>4.6781912E-5</v>
      </c>
      <c r="J28" s="3">
        <v>-3.7869610999999997E-4</v>
      </c>
      <c r="L28" s="3">
        <f t="shared" si="0"/>
        <v>0.23460207612456749</v>
      </c>
      <c r="M28" s="3"/>
      <c r="N28" s="2">
        <f>IF('Modell einstellen'!$B$1="Voll",H28/0.35,H28/0.35*2)</f>
        <v>4.1291251428571425E-4</v>
      </c>
      <c r="O28" s="2">
        <f>IF('Modell einstellen'!$B$1="Voll",J28/0.35,J28/0.35*2)</f>
        <v>-1.0819888857142856E-3</v>
      </c>
      <c r="P28" s="3">
        <f t="shared" si="1"/>
        <v>0.38162361900152603</v>
      </c>
    </row>
    <row r="29" spans="1:16" x14ac:dyDescent="0.25">
      <c r="A29" s="3">
        <v>100000000000</v>
      </c>
      <c r="B29" s="3">
        <v>2.0489999999999999E-4</v>
      </c>
      <c r="C29" s="3">
        <v>4.4959999999999998E-4</v>
      </c>
      <c r="D29" s="3">
        <v>-9.1469999999999995E-4</v>
      </c>
      <c r="E29" s="3">
        <v>0</v>
      </c>
      <c r="F29" s="3">
        <v>0</v>
      </c>
      <c r="G29" s="3">
        <v>0</v>
      </c>
      <c r="H29" s="3">
        <v>1.6011431999999999E-4</v>
      </c>
      <c r="I29" s="3">
        <v>5.2865356999999999E-5</v>
      </c>
      <c r="J29" s="3">
        <v>-4.1667959000000001E-4</v>
      </c>
      <c r="L29" s="3">
        <f t="shared" si="0"/>
        <v>0.22400787143325682</v>
      </c>
      <c r="M29" s="3"/>
      <c r="N29" s="2">
        <f>IF('Modell einstellen'!$B$1="Voll",H29/0.35,H29/0.35*2)</f>
        <v>4.5746948571428569E-4</v>
      </c>
      <c r="O29" s="2">
        <f>IF('Modell einstellen'!$B$1="Voll",J29/0.35,J29/0.35*2)</f>
        <v>-1.1905131142857144E-3</v>
      </c>
      <c r="P29" s="3">
        <f t="shared" si="1"/>
        <v>0.38426244971585954</v>
      </c>
    </row>
    <row r="30" spans="1:16" x14ac:dyDescent="0.25">
      <c r="A30" s="3">
        <v>1000000000000</v>
      </c>
      <c r="B30" s="3">
        <v>1.874E-4</v>
      </c>
      <c r="C30" s="3">
        <v>5.1309999999999995E-4</v>
      </c>
      <c r="D30" s="3">
        <v>-9.655E-4</v>
      </c>
      <c r="E30" s="3">
        <v>0</v>
      </c>
      <c r="F30" s="3">
        <v>0</v>
      </c>
      <c r="G30" s="3">
        <v>0</v>
      </c>
      <c r="H30" s="3">
        <v>1.8452810999999999E-4</v>
      </c>
      <c r="I30" s="3">
        <v>6.1983619999999995E-5</v>
      </c>
      <c r="J30" s="3">
        <v>-4.7496307E-4</v>
      </c>
      <c r="L30" s="3">
        <f t="shared" si="0"/>
        <v>0.19409632314862765</v>
      </c>
      <c r="M30" s="3"/>
      <c r="N30" s="2">
        <f>IF('Modell einstellen'!$B$1="Voll",H30/0.35,H30/0.35*2)</f>
        <v>5.2722317142857137E-4</v>
      </c>
      <c r="O30" s="2">
        <f>IF('Modell einstellen'!$B$1="Voll",J30/0.35,J30/0.35*2)</f>
        <v>-1.357037342857143E-3</v>
      </c>
      <c r="P30" s="3">
        <f t="shared" si="1"/>
        <v>0.38851043724304701</v>
      </c>
    </row>
    <row r="31" spans="1:16" x14ac:dyDescent="0.25">
      <c r="A31" s="3">
        <v>10000000000000</v>
      </c>
      <c r="B31" s="3">
        <v>1.2980000000000001E-4</v>
      </c>
      <c r="C31" s="3">
        <v>6.1039999999999998E-4</v>
      </c>
      <c r="D31" s="3">
        <v>-1.0120000000000001E-3</v>
      </c>
      <c r="E31" s="3">
        <v>0</v>
      </c>
      <c r="F31" s="3">
        <v>0</v>
      </c>
      <c r="G31" s="3">
        <v>0</v>
      </c>
      <c r="H31" s="3">
        <v>2.2475705999999999E-4</v>
      </c>
      <c r="I31" s="3">
        <v>7.6597258999999994E-5</v>
      </c>
      <c r="J31" s="3">
        <v>-5.6949243999999998E-4</v>
      </c>
      <c r="L31" s="3">
        <f t="shared" si="0"/>
        <v>0.1282608695652174</v>
      </c>
      <c r="M31" s="3"/>
      <c r="N31" s="2">
        <f>IF('Modell einstellen'!$B$1="Voll",H31/0.35,H31/0.35*2)</f>
        <v>6.421630285714286E-4</v>
      </c>
      <c r="O31" s="2">
        <f>IF('Modell einstellen'!$B$1="Voll",J31/0.35,J31/0.35*2)</f>
        <v>-1.6271212571428572E-3</v>
      </c>
      <c r="P31" s="3">
        <f t="shared" si="1"/>
        <v>0.39466206083438088</v>
      </c>
    </row>
    <row r="32" spans="1:16" x14ac:dyDescent="0.25">
      <c r="A32" s="3">
        <v>100000000000000</v>
      </c>
      <c r="B32" s="3">
        <v>-3.1359999999999998E-5</v>
      </c>
      <c r="C32" s="3">
        <v>7.7430000000000001E-4</v>
      </c>
      <c r="D32" s="3">
        <v>-1.0250000000000001E-3</v>
      </c>
      <c r="E32" s="3">
        <v>0</v>
      </c>
      <c r="F32" s="3">
        <v>0</v>
      </c>
      <c r="G32" s="3">
        <v>0</v>
      </c>
      <c r="H32" s="3">
        <v>2.9923858999999998E-4</v>
      </c>
      <c r="I32" s="3">
        <v>1.0260775E-4</v>
      </c>
      <c r="J32" s="3">
        <v>-7.4028763000000004E-4</v>
      </c>
      <c r="L32" s="3">
        <f t="shared" si="0"/>
        <v>-3.0595121951219509E-2</v>
      </c>
      <c r="M32" s="3"/>
      <c r="N32" s="2">
        <f>IF('Modell einstellen'!$B$1="Voll",H32/0.35,H32/0.35*2)</f>
        <v>8.5496740000000002E-4</v>
      </c>
      <c r="O32" s="2">
        <f>IF('Modell einstellen'!$B$1="Voll",J32/0.35,J32/0.35*2)</f>
        <v>-2.1151075142857145E-3</v>
      </c>
      <c r="P32" s="3">
        <f t="shared" si="1"/>
        <v>0.4042193572787377</v>
      </c>
    </row>
    <row r="33" spans="1:16" x14ac:dyDescent="0.25">
      <c r="A33" s="3">
        <v>1000000000000000</v>
      </c>
      <c r="B33" s="3">
        <v>-5.0319999999999998E-4</v>
      </c>
      <c r="C33" s="3">
        <v>1.093E-3</v>
      </c>
      <c r="D33" s="3">
        <v>-8.8500000000000004E-4</v>
      </c>
      <c r="E33" s="3">
        <v>0</v>
      </c>
      <c r="F33" s="3">
        <v>0</v>
      </c>
      <c r="G33" s="3">
        <v>0</v>
      </c>
      <c r="H33" s="3">
        <v>4.6265922000000002E-4</v>
      </c>
      <c r="I33" s="3">
        <v>1.5662211999999999E-4</v>
      </c>
      <c r="J33" s="3">
        <v>-1.1024379E-3</v>
      </c>
      <c r="L33" s="3">
        <f t="shared" si="0"/>
        <v>-0.56858757062146892</v>
      </c>
      <c r="M33" s="3"/>
      <c r="N33" s="2">
        <f>IF('Modell einstellen'!$B$1="Voll",H33/0.35,H33/0.35*2)</f>
        <v>1.3218834857142859E-3</v>
      </c>
      <c r="O33" s="2">
        <f>IF('Modell einstellen'!$B$1="Voll",J33/0.35,J33/0.35*2)</f>
        <v>-3.1498225714285716E-3</v>
      </c>
      <c r="P33" s="3">
        <f t="shared" si="1"/>
        <v>0.41966918952985927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4.2360000000000001E-5</v>
      </c>
      <c r="C3" s="3">
        <v>1.5300000000000001E-4</v>
      </c>
      <c r="D3" s="3">
        <v>-4.6860000000000001E-4</v>
      </c>
      <c r="E3" s="3">
        <v>0</v>
      </c>
      <c r="F3" s="3">
        <v>0</v>
      </c>
      <c r="G3" s="3">
        <v>0</v>
      </c>
      <c r="H3" s="3">
        <v>7.1015355999999997E-5</v>
      </c>
      <c r="I3" s="3">
        <v>1.5578399E-5</v>
      </c>
      <c r="J3" s="3">
        <v>-1.9722127000000001E-4</v>
      </c>
      <c r="K3" s="3"/>
      <c r="L3" s="3">
        <f>-B3/D3</f>
        <v>9.0396927016645326E-2</v>
      </c>
      <c r="M3" s="3"/>
      <c r="N3" s="2">
        <f>IF('Modell einstellen'!$B$1="Voll",H3/0.35,H3/0.35*2)</f>
        <v>2.0290101714285714E-4</v>
      </c>
      <c r="O3" s="2">
        <f>IF('Modell einstellen'!$B$1="Voll",J3/0.35,J3/0.35*2)</f>
        <v>-5.6348934285714288E-4</v>
      </c>
      <c r="P3" s="3">
        <f>-N3/O3</f>
        <v>0.36007959993361766</v>
      </c>
      <c r="Q3" s="3"/>
      <c r="R3" s="3"/>
      <c r="S3" s="3"/>
      <c r="T3" s="3"/>
      <c r="U3" s="3"/>
    </row>
    <row r="4" spans="1:21" x14ac:dyDescent="0.25">
      <c r="A4" s="3">
        <v>1E-14</v>
      </c>
      <c r="B4" s="3">
        <v>4.2349999999999999E-5</v>
      </c>
      <c r="C4" s="3">
        <v>1.5300000000000001E-4</v>
      </c>
      <c r="D4" s="3">
        <v>-4.6860000000000001E-4</v>
      </c>
      <c r="E4" s="3">
        <v>0</v>
      </c>
      <c r="F4" s="3">
        <v>0</v>
      </c>
      <c r="G4" s="3">
        <v>0</v>
      </c>
      <c r="H4" s="3">
        <v>7.1016938000000005E-5</v>
      </c>
      <c r="I4" s="3">
        <v>1.5579525000000001E-5</v>
      </c>
      <c r="J4" s="3">
        <v>-1.9721747000000001E-4</v>
      </c>
      <c r="K4" s="3"/>
      <c r="L4" s="3">
        <f t="shared" ref="L4:L33" si="0">-B4/D4</f>
        <v>9.0375586854460094E-2</v>
      </c>
      <c r="M4" s="3"/>
      <c r="N4" s="2">
        <f>IF('Modell einstellen'!$B$1="Voll",H4/0.35,H4/0.35*2)</f>
        <v>2.0290553714285718E-4</v>
      </c>
      <c r="O4" s="2">
        <f>IF('Modell einstellen'!$B$1="Voll",J4/0.35,J4/0.35*2)</f>
        <v>-5.6347848571428581E-4</v>
      </c>
      <c r="P4" s="3">
        <f t="shared" ref="P4:P33" si="1">-N4/O4</f>
        <v>0.36009455957426084</v>
      </c>
      <c r="Q4" s="3"/>
      <c r="R4" s="3"/>
      <c r="S4" s="3"/>
      <c r="T4" s="3"/>
      <c r="U4" s="3"/>
    </row>
    <row r="5" spans="1:21" x14ac:dyDescent="0.25">
      <c r="A5" s="3">
        <v>1E-13</v>
      </c>
      <c r="B5" s="3">
        <v>4.2360000000000001E-5</v>
      </c>
      <c r="C5" s="3">
        <v>1.5300000000000001E-4</v>
      </c>
      <c r="D5" s="3">
        <v>-4.6860000000000001E-4</v>
      </c>
      <c r="E5" s="3">
        <v>0</v>
      </c>
      <c r="F5" s="3">
        <v>0</v>
      </c>
      <c r="G5" s="3">
        <v>0</v>
      </c>
      <c r="H5" s="3">
        <v>7.1017313999999993E-5</v>
      </c>
      <c r="I5" s="3">
        <v>1.5579694E-5</v>
      </c>
      <c r="J5" s="3">
        <v>-1.9721846000000001E-4</v>
      </c>
      <c r="K5" s="3"/>
      <c r="L5" s="3">
        <f t="shared" si="0"/>
        <v>9.0396927016645326E-2</v>
      </c>
      <c r="M5" s="3"/>
      <c r="N5" s="2">
        <f>IF('Modell einstellen'!$B$1="Voll",H5/0.35,H5/0.35*2)</f>
        <v>2.0290661142857141E-4</v>
      </c>
      <c r="O5" s="2">
        <f>IF('Modell einstellen'!$B$1="Voll",J5/0.35,J5/0.35*2)</f>
        <v>-5.6348131428571432E-4</v>
      </c>
      <c r="P5" s="3">
        <f t="shared" si="1"/>
        <v>0.36009465848176681</v>
      </c>
      <c r="Q5" s="3"/>
      <c r="R5" s="3"/>
      <c r="S5" s="3"/>
      <c r="T5" s="3"/>
      <c r="U5" s="3"/>
    </row>
    <row r="6" spans="1:21" x14ac:dyDescent="0.25">
      <c r="A6" s="3">
        <v>9.9999999999999998E-13</v>
      </c>
      <c r="B6" s="3">
        <v>4.2360000000000001E-5</v>
      </c>
      <c r="C6" s="3">
        <v>1.5300000000000001E-4</v>
      </c>
      <c r="D6" s="3">
        <v>-4.6860000000000001E-4</v>
      </c>
      <c r="E6" s="3">
        <v>0</v>
      </c>
      <c r="F6" s="3">
        <v>0</v>
      </c>
      <c r="G6" s="3">
        <v>0</v>
      </c>
      <c r="H6" s="3">
        <v>7.1017430000000004E-5</v>
      </c>
      <c r="I6" s="3">
        <v>1.5579741000000001E-5</v>
      </c>
      <c r="J6" s="3">
        <v>-1.9721874999999999E-4</v>
      </c>
      <c r="K6" s="3"/>
      <c r="L6" s="3">
        <f t="shared" si="0"/>
        <v>9.0396927016645326E-2</v>
      </c>
      <c r="M6" s="3"/>
      <c r="N6" s="2">
        <f>IF('Modell einstellen'!$B$1="Voll",H6/0.35,H6/0.35*2)</f>
        <v>2.0290694285714288E-4</v>
      </c>
      <c r="O6" s="2">
        <f>IF('Modell einstellen'!$B$1="Voll",J6/0.35,J6/0.35*2)</f>
        <v>-5.6348214285714291E-4</v>
      </c>
      <c r="P6" s="3">
        <f t="shared" si="1"/>
        <v>0.36009471716051339</v>
      </c>
      <c r="Q6" s="3"/>
      <c r="R6" s="3"/>
      <c r="S6" s="3"/>
      <c r="T6" s="3"/>
      <c r="U6" s="3"/>
    </row>
    <row r="7" spans="1:21" x14ac:dyDescent="0.25">
      <c r="A7" s="3">
        <v>9.9999999999999994E-12</v>
      </c>
      <c r="B7" s="3">
        <v>4.2360000000000001E-5</v>
      </c>
      <c r="C7" s="3">
        <v>1.5300000000000001E-4</v>
      </c>
      <c r="D7" s="3">
        <v>-4.6860000000000001E-4</v>
      </c>
      <c r="E7" s="3">
        <v>0</v>
      </c>
      <c r="F7" s="3">
        <v>0</v>
      </c>
      <c r="G7" s="3">
        <v>0</v>
      </c>
      <c r="H7" s="3">
        <v>7.1017468000000001E-5</v>
      </c>
      <c r="I7" s="3">
        <v>1.5579755E-5</v>
      </c>
      <c r="J7" s="3">
        <v>-1.9721884000000001E-4</v>
      </c>
      <c r="K7" s="3"/>
      <c r="L7" s="3">
        <f t="shared" si="0"/>
        <v>9.0396927016645326E-2</v>
      </c>
      <c r="M7" s="3"/>
      <c r="N7" s="2">
        <f>IF('Modell einstellen'!$B$1="Voll",H7/0.35,H7/0.35*2)</f>
        <v>2.0290705142857144E-4</v>
      </c>
      <c r="O7" s="2">
        <f>IF('Modell einstellen'!$B$1="Voll",J7/0.35,J7/0.35*2)</f>
        <v>-5.6348240000000005E-4</v>
      </c>
      <c r="P7" s="3">
        <f t="shared" si="1"/>
        <v>0.36009474551214277</v>
      </c>
      <c r="Q7" s="3"/>
      <c r="R7" s="3"/>
      <c r="S7" s="3"/>
      <c r="T7" s="3"/>
      <c r="U7" s="3"/>
    </row>
    <row r="8" spans="1:21" x14ac:dyDescent="0.25">
      <c r="A8" s="3">
        <v>1E-10</v>
      </c>
      <c r="B8" s="3">
        <v>4.2360000000000001E-5</v>
      </c>
      <c r="C8" s="3">
        <v>1.5300000000000001E-4</v>
      </c>
      <c r="D8" s="3">
        <v>-4.6860000000000001E-4</v>
      </c>
      <c r="E8" s="3">
        <v>0</v>
      </c>
      <c r="F8" s="3">
        <v>0</v>
      </c>
      <c r="G8" s="3">
        <v>0</v>
      </c>
      <c r="H8" s="3">
        <v>7.1017481000000004E-5</v>
      </c>
      <c r="I8" s="3">
        <v>1.5579759000000001E-5</v>
      </c>
      <c r="J8" s="3">
        <v>-1.9721887E-4</v>
      </c>
      <c r="K8" s="3"/>
      <c r="L8" s="3">
        <f t="shared" si="0"/>
        <v>9.0396927016645326E-2</v>
      </c>
      <c r="M8" s="3"/>
      <c r="N8" s="2">
        <f>IF('Modell einstellen'!$B$1="Voll",H8/0.35,H8/0.35*2)</f>
        <v>2.0290708857142859E-4</v>
      </c>
      <c r="O8" s="2">
        <f>IF('Modell einstellen'!$B$1="Voll",J8/0.35,J8/0.35*2)</f>
        <v>-5.6348248571428576E-4</v>
      </c>
      <c r="P8" s="3">
        <f t="shared" si="1"/>
        <v>0.36009475665284973</v>
      </c>
      <c r="Q8" s="3"/>
      <c r="R8" s="3"/>
      <c r="S8" s="3"/>
      <c r="T8" s="3"/>
      <c r="U8" s="3"/>
    </row>
    <row r="9" spans="1:21" x14ac:dyDescent="0.25">
      <c r="A9" s="3">
        <v>1.0000000000000001E-9</v>
      </c>
      <c r="B9" s="3">
        <v>4.2360000000000001E-5</v>
      </c>
      <c r="C9" s="3">
        <v>1.5300000000000001E-4</v>
      </c>
      <c r="D9" s="3">
        <v>-4.6860000000000001E-4</v>
      </c>
      <c r="E9" s="3">
        <v>0</v>
      </c>
      <c r="F9" s="3">
        <v>0</v>
      </c>
      <c r="G9" s="3">
        <v>0</v>
      </c>
      <c r="H9" s="3">
        <v>7.1017485000000001E-5</v>
      </c>
      <c r="I9" s="3">
        <v>1.5579760999999999E-5</v>
      </c>
      <c r="J9" s="3">
        <v>-1.9721887999999999E-4</v>
      </c>
      <c r="K9" s="3"/>
      <c r="L9" s="3">
        <f t="shared" si="0"/>
        <v>9.0396927016645326E-2</v>
      </c>
      <c r="M9" s="3"/>
      <c r="N9" s="2">
        <f>IF('Modell einstellen'!$B$1="Voll",H9/0.35,H9/0.35*2)</f>
        <v>2.0290710000000001E-4</v>
      </c>
      <c r="O9" s="2">
        <f>IF('Modell einstellen'!$B$1="Voll",J9/0.35,J9/0.35*2)</f>
        <v>-5.634825142857143E-4</v>
      </c>
      <c r="P9" s="3">
        <f t="shared" si="1"/>
        <v>0.36009475867624846</v>
      </c>
      <c r="Q9" s="3"/>
      <c r="R9" s="3"/>
      <c r="S9" s="3"/>
      <c r="T9" s="3"/>
      <c r="U9" s="3"/>
    </row>
    <row r="10" spans="1:21" x14ac:dyDescent="0.25">
      <c r="A10" s="3">
        <v>1E-8</v>
      </c>
      <c r="B10" s="3">
        <v>4.2360000000000001E-5</v>
      </c>
      <c r="C10" s="3">
        <v>1.5300000000000001E-4</v>
      </c>
      <c r="D10" s="3">
        <v>-4.6860000000000001E-4</v>
      </c>
      <c r="E10" s="3">
        <v>0</v>
      </c>
      <c r="F10" s="3">
        <v>0</v>
      </c>
      <c r="G10" s="3">
        <v>0</v>
      </c>
      <c r="H10" s="3">
        <v>7.1017486999999993E-5</v>
      </c>
      <c r="I10" s="3">
        <v>1.5579760999999999E-5</v>
      </c>
      <c r="J10" s="3">
        <v>-1.9721887999999999E-4</v>
      </c>
      <c r="K10" s="3"/>
      <c r="L10" s="3">
        <f t="shared" si="0"/>
        <v>9.0396927016645326E-2</v>
      </c>
      <c r="M10" s="3"/>
      <c r="N10" s="2">
        <f>IF('Modell einstellen'!$B$1="Voll",H10/0.35,H10/0.35*2)</f>
        <v>2.0290710571428571E-4</v>
      </c>
      <c r="O10" s="2">
        <f>IF('Modell einstellen'!$B$1="Voll",J10/0.35,J10/0.35*2)</f>
        <v>-5.634825142857143E-4</v>
      </c>
      <c r="P10" s="3">
        <f t="shared" si="1"/>
        <v>0.36009476881726538</v>
      </c>
      <c r="Q10" s="3"/>
      <c r="R10" s="3"/>
      <c r="S10" s="3"/>
      <c r="T10" s="3"/>
      <c r="U10" s="3"/>
    </row>
    <row r="11" spans="1:21" x14ac:dyDescent="0.25">
      <c r="A11" s="3">
        <v>9.9999999999999995E-8</v>
      </c>
      <c r="B11" s="3">
        <v>4.2360000000000001E-5</v>
      </c>
      <c r="C11" s="3">
        <v>1.5300000000000001E-4</v>
      </c>
      <c r="D11" s="3">
        <v>-4.6860000000000001E-4</v>
      </c>
      <c r="E11" s="3">
        <v>0</v>
      </c>
      <c r="F11" s="3">
        <v>0</v>
      </c>
      <c r="G11" s="3">
        <v>0</v>
      </c>
      <c r="H11" s="3">
        <v>7.1017491000000004E-5</v>
      </c>
      <c r="I11" s="3">
        <v>1.5579761999999999E-5</v>
      </c>
      <c r="J11" s="3">
        <v>-1.9721889E-4</v>
      </c>
      <c r="K11" s="3"/>
      <c r="L11" s="3">
        <f t="shared" si="0"/>
        <v>9.0396927016645326E-2</v>
      </c>
      <c r="M11" s="3"/>
      <c r="N11" s="2">
        <f>IF('Modell einstellen'!$B$1="Voll",H11/0.35,H11/0.35*2)</f>
        <v>2.0290711714285716E-4</v>
      </c>
      <c r="O11" s="2">
        <f>IF('Modell einstellen'!$B$1="Voll",J11/0.35,J11/0.35*2)</f>
        <v>-5.6348254285714294E-4</v>
      </c>
      <c r="P11" s="3">
        <f t="shared" si="1"/>
        <v>0.36009477084066338</v>
      </c>
      <c r="Q11" s="3"/>
      <c r="R11" s="3"/>
      <c r="S11" s="3"/>
      <c r="T11" s="3"/>
      <c r="U11" s="3"/>
    </row>
    <row r="12" spans="1:21" x14ac:dyDescent="0.25">
      <c r="A12" s="3">
        <v>9.9999999999999995E-7</v>
      </c>
      <c r="B12" s="3">
        <v>4.2360000000000001E-5</v>
      </c>
      <c r="C12" s="3">
        <v>1.5300000000000001E-4</v>
      </c>
      <c r="D12" s="3">
        <v>-4.6860000000000001E-4</v>
      </c>
      <c r="E12" s="3">
        <v>0</v>
      </c>
      <c r="F12" s="3">
        <v>0</v>
      </c>
      <c r="G12" s="3">
        <v>0</v>
      </c>
      <c r="H12" s="3">
        <v>7.1017530999999994E-5</v>
      </c>
      <c r="I12" s="3">
        <v>1.5579766E-5</v>
      </c>
      <c r="J12" s="3">
        <v>-1.9721895000000001E-4</v>
      </c>
      <c r="K12" s="3"/>
      <c r="L12" s="3">
        <f t="shared" si="0"/>
        <v>9.0396927016645326E-2</v>
      </c>
      <c r="M12" s="3"/>
      <c r="N12" s="2">
        <f>IF('Modell einstellen'!$B$1="Voll",H12/0.35,H12/0.35*2)</f>
        <v>2.0290723142857143E-4</v>
      </c>
      <c r="O12" s="2">
        <f>IF('Modell einstellen'!$B$1="Voll",J12/0.35,J12/0.35*2)</f>
        <v>-5.6348271428571437E-4</v>
      </c>
      <c r="P12" s="3">
        <f t="shared" si="1"/>
        <v>0.36009486410915376</v>
      </c>
      <c r="Q12" s="3"/>
      <c r="R12" s="3"/>
      <c r="S12" s="3"/>
      <c r="T12" s="3"/>
      <c r="U12" s="3"/>
    </row>
    <row r="13" spans="1:21" x14ac:dyDescent="0.25">
      <c r="A13" s="3">
        <v>1.0000000000000001E-5</v>
      </c>
      <c r="B13" s="3">
        <v>4.2360000000000001E-5</v>
      </c>
      <c r="C13" s="3">
        <v>1.5300000000000001E-4</v>
      </c>
      <c r="D13" s="3">
        <v>-4.6860000000000001E-4</v>
      </c>
      <c r="E13" s="3">
        <v>0</v>
      </c>
      <c r="F13" s="3">
        <v>0</v>
      </c>
      <c r="G13" s="3">
        <v>0</v>
      </c>
      <c r="H13" s="3">
        <v>7.1017919999999998E-5</v>
      </c>
      <c r="I13" s="3">
        <v>1.5579811E-5</v>
      </c>
      <c r="J13" s="3">
        <v>-1.9721957E-4</v>
      </c>
      <c r="K13" s="3"/>
      <c r="L13" s="3">
        <f t="shared" si="0"/>
        <v>9.0396927016645326E-2</v>
      </c>
      <c r="M13" s="3"/>
      <c r="N13" s="2">
        <f>IF('Modell einstellen'!$B$1="Voll",H13/0.35,H13/0.35*2)</f>
        <v>2.0290834285714287E-4</v>
      </c>
      <c r="O13" s="2">
        <f>IF('Modell einstellen'!$B$1="Voll",J13/0.35,J13/0.35*2)</f>
        <v>-5.6348448571428569E-4</v>
      </c>
      <c r="P13" s="3">
        <f t="shared" si="1"/>
        <v>0.36009570449829092</v>
      </c>
      <c r="Q13" s="3"/>
      <c r="R13" s="3"/>
      <c r="S13" s="3"/>
      <c r="T13" s="3"/>
      <c r="U13" s="3"/>
    </row>
    <row r="14" spans="1:21" x14ac:dyDescent="0.25">
      <c r="A14" s="3">
        <v>1E-4</v>
      </c>
      <c r="B14" s="3">
        <v>4.2349999999999999E-5</v>
      </c>
      <c r="C14" s="3">
        <v>1.5300000000000001E-4</v>
      </c>
      <c r="D14" s="3">
        <v>-4.6860000000000001E-4</v>
      </c>
      <c r="E14" s="3">
        <v>0</v>
      </c>
      <c r="F14" s="3">
        <v>0</v>
      </c>
      <c r="G14" s="3">
        <v>0</v>
      </c>
      <c r="H14" s="3">
        <v>7.1021809999999999E-5</v>
      </c>
      <c r="I14" s="3">
        <v>1.5580261000000001E-5</v>
      </c>
      <c r="J14" s="3">
        <v>-1.9722576000000001E-4</v>
      </c>
      <c r="K14" s="3"/>
      <c r="L14" s="3">
        <f t="shared" si="0"/>
        <v>9.0375586854460094E-2</v>
      </c>
      <c r="M14" s="3"/>
      <c r="N14" s="2">
        <f>IF('Modell einstellen'!$B$1="Voll",H14/0.35,H14/0.35*2)</f>
        <v>2.0291945714285715E-4</v>
      </c>
      <c r="O14" s="2">
        <f>IF('Modell einstellen'!$B$1="Voll",J14/0.35,J14/0.35*2)</f>
        <v>-5.6350217142857144E-4</v>
      </c>
      <c r="P14" s="3">
        <f t="shared" si="1"/>
        <v>0.36010412635753059</v>
      </c>
      <c r="Q14" s="3"/>
      <c r="R14" s="3"/>
      <c r="S14" s="3"/>
      <c r="T14" s="3"/>
      <c r="U14" s="3"/>
    </row>
    <row r="15" spans="1:21" x14ac:dyDescent="0.25">
      <c r="A15" s="3">
        <v>1E-3</v>
      </c>
      <c r="B15" s="3">
        <v>4.231E-5</v>
      </c>
      <c r="C15" s="3">
        <v>1.5300000000000001E-4</v>
      </c>
      <c r="D15" s="3">
        <v>-4.6860000000000001E-4</v>
      </c>
      <c r="E15" s="3">
        <v>0</v>
      </c>
      <c r="F15" s="3">
        <v>0</v>
      </c>
      <c r="G15" s="3">
        <v>0</v>
      </c>
      <c r="H15" s="3">
        <v>7.1060424000000001E-5</v>
      </c>
      <c r="I15" s="3">
        <v>1.5584727000000001E-5</v>
      </c>
      <c r="J15" s="3">
        <v>-1.9728717000000001E-4</v>
      </c>
      <c r="K15" s="3"/>
      <c r="L15" s="3">
        <f t="shared" si="0"/>
        <v>9.0290226205719165E-2</v>
      </c>
      <c r="M15" s="3"/>
      <c r="N15" s="2">
        <f>IF('Modell einstellen'!$B$1="Voll",H15/0.35,H15/0.35*2)</f>
        <v>2.0302978285714288E-4</v>
      </c>
      <c r="O15" s="2">
        <f>IF('Modell einstellen'!$B$1="Voll",J15/0.35,J15/0.35*2)</f>
        <v>-5.6367762857142858E-4</v>
      </c>
      <c r="P15" s="3">
        <f t="shared" si="1"/>
        <v>0.36018776081587062</v>
      </c>
      <c r="Q15" s="3"/>
      <c r="R15" s="3"/>
      <c r="S15" s="3"/>
      <c r="T15" s="3"/>
      <c r="U15" s="3"/>
    </row>
    <row r="16" spans="1:21" x14ac:dyDescent="0.25">
      <c r="A16" s="3">
        <v>0.01</v>
      </c>
      <c r="B16" s="3">
        <v>4.1900000000000002E-5</v>
      </c>
      <c r="C16" s="3">
        <v>1.5339999999999999E-4</v>
      </c>
      <c r="D16" s="3">
        <v>-4.6890000000000001E-4</v>
      </c>
      <c r="E16" s="3">
        <v>0</v>
      </c>
      <c r="F16" s="3">
        <v>0</v>
      </c>
      <c r="G16" s="3">
        <v>0</v>
      </c>
      <c r="H16" s="3">
        <v>7.1419427999999999E-5</v>
      </c>
      <c r="I16" s="3">
        <v>1.5626209000000001E-5</v>
      </c>
      <c r="J16" s="3">
        <v>-1.9785787999999999E-4</v>
      </c>
      <c r="K16" s="3"/>
      <c r="L16" s="3">
        <f t="shared" si="0"/>
        <v>8.9358072083599915E-2</v>
      </c>
      <c r="M16" s="3"/>
      <c r="N16" s="2">
        <f>IF('Modell einstellen'!$B$1="Voll",H16/0.35,H16/0.35*2)</f>
        <v>2.0405550857142859E-4</v>
      </c>
      <c r="O16" s="2">
        <f>IF('Modell einstellen'!$B$1="Voll",J16/0.35,J16/0.35*2)</f>
        <v>-5.6530822857142854E-4</v>
      </c>
      <c r="P16" s="3">
        <f t="shared" si="1"/>
        <v>0.36096327323430338</v>
      </c>
      <c r="Q16" s="3"/>
      <c r="R16" s="3"/>
      <c r="S16" s="3"/>
      <c r="T16" s="3"/>
      <c r="U16" s="3"/>
    </row>
    <row r="17" spans="1:25" x14ac:dyDescent="0.25">
      <c r="A17" s="3">
        <v>0.1</v>
      </c>
      <c r="B17" s="3">
        <v>4.0059999999999999E-5</v>
      </c>
      <c r="C17" s="3">
        <v>1.5559999999999999E-4</v>
      </c>
      <c r="D17" s="3">
        <v>-4.7090000000000001E-4</v>
      </c>
      <c r="E17" s="3">
        <v>0</v>
      </c>
      <c r="F17" s="3">
        <v>0</v>
      </c>
      <c r="G17" s="3">
        <v>0</v>
      </c>
      <c r="H17" s="3">
        <v>7.3390922000000003E-5</v>
      </c>
      <c r="I17" s="3">
        <v>1.5873325000000001E-5</v>
      </c>
      <c r="J17" s="3">
        <v>-2.0104523000000001E-4</v>
      </c>
      <c r="K17" s="3"/>
      <c r="L17" s="3">
        <f t="shared" si="0"/>
        <v>8.5071140369505194E-2</v>
      </c>
      <c r="M17" s="3"/>
      <c r="N17" s="2">
        <f>IF('Modell einstellen'!$B$1="Voll",H17/0.35,H17/0.35*2)</f>
        <v>2.0968834857142859E-4</v>
      </c>
      <c r="O17" s="2">
        <f>IF('Modell einstellen'!$B$1="Voll",J17/0.35,J17/0.35*2)</f>
        <v>-5.7441494285714293E-4</v>
      </c>
      <c r="P17" s="3">
        <f t="shared" si="1"/>
        <v>0.36504682055873694</v>
      </c>
      <c r="Q17" s="3"/>
      <c r="R17" s="3"/>
      <c r="S17" s="3"/>
      <c r="T17" s="3"/>
      <c r="U17" s="3"/>
      <c r="V17" s="3"/>
      <c r="W17" s="3"/>
      <c r="X17" s="3"/>
      <c r="Y17" s="3"/>
    </row>
    <row r="18" spans="1:25" x14ac:dyDescent="0.25">
      <c r="A18" s="3">
        <v>1</v>
      </c>
      <c r="B18" s="3">
        <v>3.7450000000000002E-5</v>
      </c>
      <c r="C18" s="3">
        <v>1.583E-4</v>
      </c>
      <c r="D18" s="3">
        <v>-4.73E-4</v>
      </c>
      <c r="E18" s="3">
        <v>0</v>
      </c>
      <c r="F18" s="3">
        <v>0</v>
      </c>
      <c r="G18" s="3">
        <v>0</v>
      </c>
      <c r="H18" s="3">
        <v>7.5874908000000003E-5</v>
      </c>
      <c r="I18" s="3">
        <v>1.6173991999999999E-5</v>
      </c>
      <c r="J18" s="3">
        <v>-2.0500756000000001E-4</v>
      </c>
      <c r="K18" s="3"/>
      <c r="L18" s="3">
        <f t="shared" si="0"/>
        <v>7.9175475687103591E-2</v>
      </c>
      <c r="M18" s="3"/>
      <c r="N18" s="2">
        <f>IF('Modell einstellen'!$B$1="Voll",H18/0.35,H18/0.35*2)</f>
        <v>2.1678545142857146E-4</v>
      </c>
      <c r="O18" s="2">
        <f>IF('Modell einstellen'!$B$1="Voll",J18/0.35,J18/0.35*2)</f>
        <v>-5.8573588571428576E-4</v>
      </c>
      <c r="P18" s="3">
        <f t="shared" si="1"/>
        <v>0.37010785358354592</v>
      </c>
      <c r="Q18" s="3"/>
      <c r="R18" s="3"/>
      <c r="S18" s="3"/>
      <c r="T18" s="3"/>
      <c r="U18" s="3"/>
      <c r="V18" s="3"/>
      <c r="W18" s="3"/>
      <c r="X18" s="3"/>
      <c r="Y18" s="3"/>
    </row>
    <row r="19" spans="1:25" x14ac:dyDescent="0.25">
      <c r="A19" s="3">
        <v>10</v>
      </c>
      <c r="B19" s="3">
        <v>3.4379999999999999E-5</v>
      </c>
      <c r="C19" s="3">
        <v>1.615E-4</v>
      </c>
      <c r="D19" s="3">
        <v>-4.7540000000000001E-4</v>
      </c>
      <c r="E19" s="3">
        <v>0</v>
      </c>
      <c r="F19" s="3">
        <v>0</v>
      </c>
      <c r="G19" s="3">
        <v>0</v>
      </c>
      <c r="H19" s="3">
        <v>7.8801469999999999E-5</v>
      </c>
      <c r="I19" s="3">
        <v>1.6538379E-5</v>
      </c>
      <c r="J19" s="3">
        <v>-2.0967678E-4</v>
      </c>
      <c r="K19" s="3"/>
      <c r="L19" s="3">
        <f t="shared" si="0"/>
        <v>7.2318047959612955E-2</v>
      </c>
      <c r="M19" s="3"/>
      <c r="N19" s="2">
        <f>IF('Modell einstellen'!$B$1="Voll",H19/0.35,H19/0.35*2)</f>
        <v>2.2514705714285716E-4</v>
      </c>
      <c r="O19" s="2">
        <f>IF('Modell einstellen'!$B$1="Voll",J19/0.35,J19/0.35*2)</f>
        <v>-5.9907651428571431E-4</v>
      </c>
      <c r="P19" s="3">
        <f t="shared" si="1"/>
        <v>0.37582354135732149</v>
      </c>
      <c r="Q19" s="3"/>
      <c r="R19" s="3"/>
      <c r="S19" s="3"/>
      <c r="T19" s="3"/>
      <c r="U19" s="3"/>
      <c r="V19" s="3"/>
      <c r="W19" s="3"/>
      <c r="X19" s="3"/>
      <c r="Y19" s="3"/>
    </row>
    <row r="20" spans="1:25" x14ac:dyDescent="0.25">
      <c r="A20" s="3">
        <v>100</v>
      </c>
      <c r="B20" s="3">
        <v>3.235E-5</v>
      </c>
      <c r="C20" s="3">
        <v>1.6750000000000001E-4</v>
      </c>
      <c r="D20" s="3">
        <v>-4.8139999999999999E-4</v>
      </c>
      <c r="E20" s="3">
        <v>0</v>
      </c>
      <c r="F20" s="3">
        <v>0</v>
      </c>
      <c r="G20" s="3">
        <v>0</v>
      </c>
      <c r="H20" s="3">
        <v>8.2716410999999996E-5</v>
      </c>
      <c r="I20" s="3">
        <v>1.7208137999999999E-5</v>
      </c>
      <c r="J20" s="3">
        <v>-2.1638798E-4</v>
      </c>
      <c r="K20" s="3"/>
      <c r="L20" s="3">
        <f t="shared" si="0"/>
        <v>6.7199833818030741E-2</v>
      </c>
      <c r="M20" s="3"/>
      <c r="N20" s="2">
        <f>IF('Modell einstellen'!$B$1="Voll",H20/0.35,H20/0.35*2)</f>
        <v>2.3633260285714285E-4</v>
      </c>
      <c r="O20" s="2">
        <f>IF('Modell einstellen'!$B$1="Voll",J20/0.35,J20/0.35*2)</f>
        <v>-6.1825137142857149E-4</v>
      </c>
      <c r="P20" s="3">
        <f t="shared" si="1"/>
        <v>0.3822597308778426</v>
      </c>
      <c r="Q20" s="3"/>
      <c r="R20" s="3"/>
      <c r="S20" s="3"/>
      <c r="T20" s="3"/>
      <c r="U20" s="3"/>
      <c r="V20" s="3"/>
      <c r="W20" s="3"/>
      <c r="X20" s="3"/>
      <c r="Y20" s="3"/>
    </row>
    <row r="21" spans="1:25" x14ac:dyDescent="0.25">
      <c r="A21" s="3">
        <v>1000</v>
      </c>
      <c r="B21" s="3">
        <v>4.1669999999999999E-5</v>
      </c>
      <c r="C21" s="3">
        <v>1.8450000000000001E-4</v>
      </c>
      <c r="D21" s="3">
        <v>-5.0690000000000002E-4</v>
      </c>
      <c r="E21" s="3">
        <v>0</v>
      </c>
      <c r="F21" s="3">
        <v>0</v>
      </c>
      <c r="G21" s="3">
        <v>0</v>
      </c>
      <c r="H21" s="3">
        <v>8.8251495000000007E-5</v>
      </c>
      <c r="I21" s="3">
        <v>1.9129532000000001E-5</v>
      </c>
      <c r="J21" s="3">
        <v>-2.2853998999999999E-4</v>
      </c>
      <c r="K21" s="3"/>
      <c r="L21" s="3">
        <f t="shared" si="0"/>
        <v>8.2205563227461032E-2</v>
      </c>
      <c r="M21" s="3"/>
      <c r="N21" s="2">
        <f>IF('Modell einstellen'!$B$1="Voll",H21/0.35,H21/0.35*2)</f>
        <v>2.5214712857142861E-4</v>
      </c>
      <c r="O21" s="2">
        <f>IF('Modell einstellen'!$B$1="Voll",J21/0.35,J21/0.35*2)</f>
        <v>-6.5297140000000005E-4</v>
      </c>
      <c r="P21" s="3">
        <f t="shared" si="1"/>
        <v>0.38615340361220812</v>
      </c>
      <c r="Q21" s="3"/>
      <c r="R21" s="3"/>
      <c r="S21" s="3"/>
      <c r="T21" s="3"/>
      <c r="U21" s="3"/>
      <c r="V21" s="3"/>
      <c r="W21" s="3"/>
      <c r="X21" s="3"/>
      <c r="Y21" s="3"/>
    </row>
    <row r="22" spans="1:25" x14ac:dyDescent="0.25">
      <c r="A22" s="3">
        <v>10000</v>
      </c>
      <c r="B22" s="3">
        <v>7.0560000000000002E-5</v>
      </c>
      <c r="C22" s="3">
        <v>2.197E-4</v>
      </c>
      <c r="D22" s="3">
        <v>-5.6579999999999998E-4</v>
      </c>
      <c r="E22" s="3">
        <v>0</v>
      </c>
      <c r="F22" s="3">
        <v>0</v>
      </c>
      <c r="G22" s="3">
        <v>0</v>
      </c>
      <c r="H22" s="3">
        <v>9.6856348000000001E-5</v>
      </c>
      <c r="I22" s="3">
        <v>2.3198132000000002E-5</v>
      </c>
      <c r="J22" s="3">
        <v>-2.5051377999999998E-4</v>
      </c>
      <c r="K22" s="3"/>
      <c r="L22" s="3">
        <f t="shared" si="0"/>
        <v>0.1247083775185578</v>
      </c>
      <c r="M22" s="3"/>
      <c r="N22" s="2">
        <f>IF('Modell einstellen'!$B$1="Voll",H22/0.35,H22/0.35*2)</f>
        <v>2.7673242285714288E-4</v>
      </c>
      <c r="O22" s="2">
        <f>IF('Modell einstellen'!$B$1="Voll",J22/0.35,J22/0.35*2)</f>
        <v>-7.1575365714285713E-4</v>
      </c>
      <c r="P22" s="3">
        <f t="shared" si="1"/>
        <v>0.38663081927070042</v>
      </c>
      <c r="Q22" s="3"/>
      <c r="R22" s="3"/>
      <c r="S22" s="3"/>
      <c r="T22" s="3"/>
      <c r="U22" s="3"/>
      <c r="V22" s="3"/>
      <c r="W22" s="3"/>
      <c r="X22" s="3"/>
      <c r="Y22" s="3"/>
    </row>
    <row r="23" spans="1:25" x14ac:dyDescent="0.25">
      <c r="A23" s="3">
        <v>100000</v>
      </c>
      <c r="B23" s="3">
        <v>1.063E-4</v>
      </c>
      <c r="C23" s="3">
        <v>2.6420000000000003E-4</v>
      </c>
      <c r="D23" s="3">
        <v>-6.399E-4</v>
      </c>
      <c r="E23" s="3">
        <v>0</v>
      </c>
      <c r="F23" s="3">
        <v>0</v>
      </c>
      <c r="G23" s="3">
        <v>0</v>
      </c>
      <c r="H23" s="3">
        <v>1.0747357000000001E-4</v>
      </c>
      <c r="I23" s="3">
        <v>2.8507005E-5</v>
      </c>
      <c r="J23" s="3">
        <v>-2.7874197000000002E-4</v>
      </c>
      <c r="K23" s="3"/>
      <c r="L23" s="3">
        <f t="shared" si="0"/>
        <v>0.16611970620409439</v>
      </c>
      <c r="M23" s="3"/>
      <c r="N23" s="2">
        <f>IF('Modell einstellen'!$B$1="Voll",H23/0.35,H23/0.35*2)</f>
        <v>3.0706734285714291E-4</v>
      </c>
      <c r="O23" s="2">
        <f>IF('Modell einstellen'!$B$1="Voll",J23/0.35,J23/0.35*2)</f>
        <v>-7.9640562857142866E-4</v>
      </c>
      <c r="P23" s="3">
        <f t="shared" si="1"/>
        <v>0.38556651515378187</v>
      </c>
      <c r="Q23" s="3"/>
      <c r="R23" s="3"/>
      <c r="S23" s="3"/>
      <c r="T23" s="3"/>
      <c r="U23" s="3"/>
      <c r="V23" s="3"/>
      <c r="W23" s="3"/>
      <c r="X23" s="3"/>
      <c r="Y23" s="3"/>
    </row>
    <row r="24" spans="1:25" x14ac:dyDescent="0.25">
      <c r="A24" s="3">
        <v>1000000</v>
      </c>
      <c r="B24" s="3">
        <v>1.3889999999999999E-4</v>
      </c>
      <c r="C24" s="3">
        <v>3.0850000000000002E-4</v>
      </c>
      <c r="D24" s="3">
        <v>-7.1199999999999996E-4</v>
      </c>
      <c r="E24" s="3">
        <v>0</v>
      </c>
      <c r="F24" s="3">
        <v>0</v>
      </c>
      <c r="G24" s="3">
        <v>0</v>
      </c>
      <c r="H24" s="3">
        <v>1.1850418E-4</v>
      </c>
      <c r="I24" s="3">
        <v>3.3981201000000002E-5</v>
      </c>
      <c r="J24" s="3">
        <v>-3.0829308999999998E-4</v>
      </c>
      <c r="K24" s="3"/>
      <c r="L24" s="3">
        <f t="shared" si="0"/>
        <v>0.19508426966292133</v>
      </c>
      <c r="M24" s="3"/>
      <c r="N24" s="2">
        <f>IF('Modell einstellen'!$B$1="Voll",H24/0.35,H24/0.35*2)</f>
        <v>3.3858337142857143E-4</v>
      </c>
      <c r="O24" s="2">
        <f>IF('Modell einstellen'!$B$1="Voll",J24/0.35,J24/0.35*2)</f>
        <v>-8.8083740000000001E-4</v>
      </c>
      <c r="P24" s="3">
        <f t="shared" si="1"/>
        <v>0.38438805099394219</v>
      </c>
      <c r="Q24" s="3"/>
      <c r="R24" s="3"/>
      <c r="S24" s="3"/>
      <c r="T24" s="3"/>
      <c r="U24" s="3"/>
      <c r="V24" s="3"/>
      <c r="W24" s="3"/>
      <c r="X24" s="3"/>
      <c r="Y24" s="3"/>
    </row>
    <row r="25" spans="1:25" x14ac:dyDescent="0.25">
      <c r="A25" s="3">
        <v>10000000</v>
      </c>
      <c r="B25" s="3">
        <v>1.6440000000000001E-4</v>
      </c>
      <c r="C25" s="3">
        <v>3.503E-4</v>
      </c>
      <c r="D25" s="3">
        <v>-7.7649999999999996E-4</v>
      </c>
      <c r="E25" s="3">
        <v>0</v>
      </c>
      <c r="F25" s="3">
        <v>0</v>
      </c>
      <c r="G25" s="3">
        <v>0</v>
      </c>
      <c r="H25" s="3">
        <v>1.2995853E-4</v>
      </c>
      <c r="I25" s="3">
        <v>3.9342389000000001E-5</v>
      </c>
      <c r="J25" s="3">
        <v>-3.3834384000000001E-4</v>
      </c>
      <c r="K25" s="3"/>
      <c r="L25" s="3">
        <f t="shared" si="0"/>
        <v>0.21171925305859629</v>
      </c>
      <c r="M25" s="3"/>
      <c r="N25" s="2">
        <f>IF('Modell einstellen'!$B$1="Voll",H25/0.35,H25/0.35*2)</f>
        <v>3.7131008571428573E-4</v>
      </c>
      <c r="O25" s="2">
        <f>IF('Modell einstellen'!$B$1="Voll",J25/0.35,J25/0.35*2)</f>
        <v>-9.6669668571428577E-4</v>
      </c>
      <c r="P25" s="3">
        <f t="shared" si="1"/>
        <v>0.38410195379942486</v>
      </c>
      <c r="Q25" s="3"/>
      <c r="R25" s="3"/>
      <c r="S25" s="3"/>
      <c r="T25" s="3"/>
      <c r="U25" s="3"/>
      <c r="V25" s="3"/>
      <c r="W25" s="3"/>
      <c r="X25" s="3"/>
      <c r="Y25" s="3"/>
    </row>
    <row r="26" spans="1:25" x14ac:dyDescent="0.25">
      <c r="A26" s="3">
        <v>100000000</v>
      </c>
      <c r="B26" s="3">
        <v>1.8129999999999999E-4</v>
      </c>
      <c r="C26" s="3">
        <v>3.9159999999999998E-4</v>
      </c>
      <c r="D26" s="3">
        <v>-8.3410000000000005E-4</v>
      </c>
      <c r="E26" s="3">
        <v>0</v>
      </c>
      <c r="F26" s="3">
        <v>0</v>
      </c>
      <c r="G26" s="3">
        <v>0</v>
      </c>
      <c r="H26" s="3">
        <v>1.4269632000000001E-4</v>
      </c>
      <c r="I26" s="3">
        <v>4.4847800000000001E-5</v>
      </c>
      <c r="J26" s="3">
        <v>-3.7068078E-4</v>
      </c>
      <c r="K26" s="3"/>
      <c r="L26" s="3">
        <f t="shared" si="0"/>
        <v>0.21736002877352834</v>
      </c>
      <c r="M26" s="3"/>
      <c r="N26" s="2">
        <f>IF('Modell einstellen'!$B$1="Voll",H26/0.35,H26/0.35*2)</f>
        <v>4.077037714285715E-4</v>
      </c>
      <c r="O26" s="2">
        <f>IF('Modell einstellen'!$B$1="Voll",J26/0.35,J26/0.35*2)</f>
        <v>-1.0590879428571428E-3</v>
      </c>
      <c r="P26" s="3">
        <f t="shared" si="1"/>
        <v>0.38495742886912027</v>
      </c>
      <c r="Q26" s="3"/>
      <c r="R26" s="3"/>
      <c r="S26" s="3"/>
      <c r="T26" s="3"/>
      <c r="U26" s="3"/>
      <c r="V26" s="3"/>
      <c r="W26" s="3"/>
      <c r="X26" s="3"/>
      <c r="Y26" s="3"/>
    </row>
    <row r="27" spans="1:25" x14ac:dyDescent="0.25">
      <c r="A27" s="3">
        <v>1000000000</v>
      </c>
      <c r="B27" s="3">
        <v>1.875E-4</v>
      </c>
      <c r="C27" s="3">
        <v>4.3770000000000001E-4</v>
      </c>
      <c r="D27" s="3">
        <v>-8.8800000000000001E-4</v>
      </c>
      <c r="E27" s="3">
        <v>0</v>
      </c>
      <c r="F27" s="3">
        <v>0</v>
      </c>
      <c r="G27" s="3">
        <v>0</v>
      </c>
      <c r="H27" s="3">
        <v>1.5867605E-4</v>
      </c>
      <c r="I27" s="3">
        <v>5.1213568E-5</v>
      </c>
      <c r="J27" s="3">
        <v>-4.0983232000000002E-4</v>
      </c>
      <c r="K27" s="3"/>
      <c r="L27" s="3">
        <f t="shared" si="0"/>
        <v>0.21114864864864866</v>
      </c>
      <c r="M27" s="3"/>
      <c r="N27" s="2">
        <f>IF('Modell einstellen'!$B$1="Voll",H27/0.35,H27/0.35*2)</f>
        <v>4.5336014285714287E-4</v>
      </c>
      <c r="O27" s="2">
        <f>IF('Modell einstellen'!$B$1="Voll",J27/0.35,J27/0.35*2)</f>
        <v>-1.1709494857142858E-3</v>
      </c>
      <c r="P27" s="3">
        <f t="shared" si="1"/>
        <v>0.38717310045239967</v>
      </c>
      <c r="Q27" s="3"/>
      <c r="R27" s="3"/>
      <c r="S27" s="3"/>
      <c r="T27" s="3"/>
      <c r="U27" s="3"/>
      <c r="V27" s="3"/>
      <c r="W27" s="3"/>
      <c r="X27" s="3"/>
      <c r="Y27" s="3"/>
    </row>
    <row r="28" spans="1:25" x14ac:dyDescent="0.25">
      <c r="A28" s="3">
        <v>10000000000</v>
      </c>
      <c r="B28" s="3">
        <v>1.738E-4</v>
      </c>
      <c r="C28" s="3">
        <v>5.0180000000000005E-4</v>
      </c>
      <c r="D28" s="3">
        <v>-9.4260000000000004E-4</v>
      </c>
      <c r="E28" s="3">
        <v>0</v>
      </c>
      <c r="F28" s="3">
        <v>0</v>
      </c>
      <c r="G28" s="3">
        <v>0</v>
      </c>
      <c r="H28" s="3">
        <v>1.8332404000000001E-4</v>
      </c>
      <c r="I28" s="3">
        <v>6.0387133E-5</v>
      </c>
      <c r="J28" s="3">
        <v>-4.6838439999999999E-4</v>
      </c>
      <c r="K28" s="3"/>
      <c r="L28" s="3">
        <f t="shared" si="0"/>
        <v>0.18438361977509016</v>
      </c>
      <c r="M28" s="3"/>
      <c r="N28" s="2">
        <f>IF('Modell einstellen'!$B$1="Voll",H28/0.35,H28/0.35*2)</f>
        <v>5.2378297142857146E-4</v>
      </c>
      <c r="O28" s="2">
        <f>IF('Modell einstellen'!$B$1="Voll",J28/0.35,J28/0.35*2)</f>
        <v>-1.338241142857143E-3</v>
      </c>
      <c r="P28" s="3">
        <f t="shared" si="1"/>
        <v>0.39139655377079169</v>
      </c>
      <c r="Q28" s="3"/>
      <c r="R28" s="3"/>
      <c r="S28" s="3"/>
      <c r="T28" s="3"/>
      <c r="U28" s="3"/>
      <c r="V28" s="3"/>
      <c r="W28" s="3"/>
      <c r="X28" s="3"/>
      <c r="Y28" s="3"/>
    </row>
    <row r="29" spans="1:25" x14ac:dyDescent="0.25">
      <c r="A29" s="3">
        <v>100000000000</v>
      </c>
      <c r="B29" s="3">
        <v>1.1900000000000001E-4</v>
      </c>
      <c r="C29" s="3">
        <v>5.9860000000000002E-4</v>
      </c>
      <c r="D29" s="3">
        <v>-9.9130000000000008E-4</v>
      </c>
      <c r="E29" s="3">
        <v>0</v>
      </c>
      <c r="F29" s="3">
        <v>0</v>
      </c>
      <c r="G29" s="3">
        <v>0</v>
      </c>
      <c r="H29" s="3">
        <v>2.2337402000000001E-4</v>
      </c>
      <c r="I29" s="3">
        <v>7.4849756999999999E-5</v>
      </c>
      <c r="J29" s="3">
        <v>-5.6205003000000002E-4</v>
      </c>
      <c r="K29" s="3"/>
      <c r="L29" s="3">
        <f t="shared" si="0"/>
        <v>0.12004438615958841</v>
      </c>
      <c r="M29" s="3"/>
      <c r="N29" s="2">
        <f>IF('Modell einstellen'!$B$1="Voll",H29/0.35,H29/0.35*2)</f>
        <v>6.3821148571428581E-4</v>
      </c>
      <c r="O29" s="2">
        <f>IF('Modell einstellen'!$B$1="Voll",J29/0.35,J29/0.35*2)</f>
        <v>-1.6058572285714287E-3</v>
      </c>
      <c r="P29" s="3">
        <f t="shared" si="1"/>
        <v>0.39742728952438633</v>
      </c>
      <c r="Q29" s="3"/>
      <c r="R29" s="3"/>
      <c r="S29" s="3"/>
      <c r="T29" s="3"/>
      <c r="U29" s="3"/>
      <c r="V29" s="3"/>
      <c r="W29" s="3"/>
      <c r="X29" s="3"/>
      <c r="Y29" s="3"/>
    </row>
    <row r="30" spans="1:25" x14ac:dyDescent="0.25">
      <c r="A30" s="3">
        <v>1000000000000</v>
      </c>
      <c r="B30" s="3">
        <v>-3.8389999999999997E-5</v>
      </c>
      <c r="C30" s="3">
        <v>7.5960000000000003E-4</v>
      </c>
      <c r="D30" s="3">
        <v>-1.005E-3</v>
      </c>
      <c r="E30" s="3">
        <v>0</v>
      </c>
      <c r="F30" s="3">
        <v>0</v>
      </c>
      <c r="G30" s="3">
        <v>0</v>
      </c>
      <c r="H30" s="3">
        <v>2.9678852000000001E-4</v>
      </c>
      <c r="I30" s="3">
        <v>1.0030274E-4</v>
      </c>
      <c r="J30" s="3">
        <v>-7.2962943999999995E-4</v>
      </c>
      <c r="K30" s="3"/>
      <c r="L30" s="3">
        <f t="shared" si="0"/>
        <v>-3.8199004975124372E-2</v>
      </c>
      <c r="M30" s="3"/>
      <c r="N30" s="2">
        <f>IF('Modell einstellen'!$B$1="Voll",H30/0.35,H30/0.35*2)</f>
        <v>8.479672000000001E-4</v>
      </c>
      <c r="O30" s="2">
        <f>IF('Modell einstellen'!$B$1="Voll",J30/0.35,J30/0.35*2)</f>
        <v>-2.0846555428571428E-3</v>
      </c>
      <c r="P30" s="3">
        <f t="shared" si="1"/>
        <v>0.40676609759606197</v>
      </c>
      <c r="Q30" s="3"/>
      <c r="R30" s="3"/>
      <c r="S30" s="3"/>
      <c r="T30" s="3"/>
      <c r="U30" s="3"/>
      <c r="V30" s="3"/>
      <c r="W30" s="3"/>
      <c r="X30" s="3"/>
      <c r="Y30" s="3"/>
    </row>
    <row r="31" spans="1:25" x14ac:dyDescent="0.25">
      <c r="A31" s="3">
        <v>10000000000000</v>
      </c>
      <c r="B31" s="3">
        <v>-4.9989999999999995E-4</v>
      </c>
      <c r="C31" s="3">
        <v>1.072E-3</v>
      </c>
      <c r="D31" s="3">
        <v>-8.6729999999999999E-4</v>
      </c>
      <c r="E31" s="3">
        <v>0</v>
      </c>
      <c r="F31" s="3">
        <v>0</v>
      </c>
      <c r="G31" s="3">
        <v>0</v>
      </c>
      <c r="H31" s="3">
        <v>4.5733916999999999E-4</v>
      </c>
      <c r="I31" s="3">
        <v>1.5295201E-4</v>
      </c>
      <c r="J31" s="3">
        <v>-1.0838454999999999E-3</v>
      </c>
      <c r="K31" s="3"/>
      <c r="L31" s="3">
        <f t="shared" si="0"/>
        <v>-0.576386486798109</v>
      </c>
      <c r="M31" s="3"/>
      <c r="N31" s="2">
        <f>IF('Modell einstellen'!$B$1="Voll",H31/0.35,H31/0.35*2)</f>
        <v>1.306683342857143E-3</v>
      </c>
      <c r="O31" s="2">
        <f>IF('Modell einstellen'!$B$1="Voll",J31/0.35,J31/0.35*2)</f>
        <v>-3.0967014285714287E-3</v>
      </c>
      <c r="P31" s="3">
        <f t="shared" si="1"/>
        <v>0.42195974426244331</v>
      </c>
      <c r="Q31" s="3"/>
      <c r="R31" s="3"/>
      <c r="S31" s="3"/>
      <c r="T31" s="3"/>
      <c r="U31" s="3"/>
      <c r="V31" s="3"/>
      <c r="W31" s="3"/>
      <c r="X31" s="3"/>
      <c r="Y31" s="3"/>
    </row>
    <row r="32" spans="1:25" x14ac:dyDescent="0.25">
      <c r="A32" s="3">
        <v>100000000000000</v>
      </c>
      <c r="B32" s="3">
        <v>-1.6310000000000001E-3</v>
      </c>
      <c r="C32" s="3">
        <v>1.6479999999999999E-3</v>
      </c>
      <c r="D32" s="3">
        <v>-3.233E-4</v>
      </c>
      <c r="E32" s="3">
        <v>0</v>
      </c>
      <c r="F32" s="3">
        <v>0</v>
      </c>
      <c r="G32" s="3">
        <v>0</v>
      </c>
      <c r="H32" s="3">
        <v>7.8587009E-4</v>
      </c>
      <c r="I32" s="3">
        <v>2.5526029000000003E-4</v>
      </c>
      <c r="J32" s="3">
        <v>-1.785729E-3</v>
      </c>
      <c r="K32" s="3"/>
      <c r="L32" s="3">
        <f t="shared" si="0"/>
        <v>-5.0448499845344887</v>
      </c>
      <c r="M32" s="3"/>
      <c r="N32" s="2">
        <f>IF('Modell einstellen'!$B$1="Voll",H32/0.35,H32/0.35*2)</f>
        <v>2.2453431142857145E-3</v>
      </c>
      <c r="O32" s="2">
        <f>IF('Modell einstellen'!$B$1="Voll",J32/0.35,J32/0.35*2)</f>
        <v>-5.1020828571428575E-3</v>
      </c>
      <c r="P32" s="3">
        <f t="shared" si="1"/>
        <v>0.44008362411093732</v>
      </c>
      <c r="Q32" s="3"/>
      <c r="R32" s="3"/>
      <c r="S32" s="3"/>
      <c r="T32" s="3"/>
      <c r="U32" s="3"/>
      <c r="V32" s="3"/>
      <c r="W32" s="3"/>
      <c r="X32" s="3"/>
      <c r="Y32" s="3"/>
    </row>
    <row r="33" spans="1:25" x14ac:dyDescent="0.25">
      <c r="A33" s="2">
        <v>1000000000000000</v>
      </c>
      <c r="B33" s="3">
        <v>-3.9459999999999999E-3</v>
      </c>
      <c r="C33" s="3">
        <v>2.6770000000000001E-3</v>
      </c>
      <c r="D33" s="3">
        <v>9.5529999999999996E-4</v>
      </c>
      <c r="E33" s="3">
        <v>0</v>
      </c>
      <c r="F33" s="3">
        <v>0</v>
      </c>
      <c r="G33" s="3">
        <v>0</v>
      </c>
      <c r="H33" s="3">
        <v>1.4097812E-3</v>
      </c>
      <c r="I33" s="3">
        <v>4.4221259000000001E-4</v>
      </c>
      <c r="J33" s="3">
        <v>-3.0850089000000001E-3</v>
      </c>
      <c r="K33" s="3"/>
      <c r="L33" s="3">
        <f t="shared" si="0"/>
        <v>4.1306395896576991</v>
      </c>
      <c r="M33" s="3"/>
      <c r="N33" s="2">
        <f>IF('Modell einstellen'!$B$1="Voll",H33/0.35,H33/0.35*2)</f>
        <v>4.0279462857142857E-3</v>
      </c>
      <c r="O33" s="2">
        <f>IF('Modell einstellen'!$B$1="Voll",J33/0.35,J33/0.35*2)</f>
        <v>-8.8143111428571428E-3</v>
      </c>
      <c r="P33" s="3">
        <f t="shared" si="1"/>
        <v>0.45697800093866831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4.4129999999999999E-5</v>
      </c>
      <c r="C3" s="3">
        <v>1.5420000000000001E-4</v>
      </c>
      <c r="D3" s="3">
        <v>-4.7120000000000002E-4</v>
      </c>
      <c r="E3" s="3">
        <v>0</v>
      </c>
      <c r="F3" s="3">
        <v>0</v>
      </c>
      <c r="G3" s="3">
        <v>0</v>
      </c>
      <c r="H3" s="3">
        <v>7.1196389000000005E-5</v>
      </c>
      <c r="I3" s="3">
        <v>1.5717216999999999E-5</v>
      </c>
      <c r="J3" s="3">
        <v>-1.9787082999999999E-4</v>
      </c>
      <c r="K3" s="3"/>
      <c r="L3" s="3">
        <f>-B3/D3</f>
        <v>9.3654499151103562E-2</v>
      </c>
      <c r="M3" s="3"/>
      <c r="N3" s="2">
        <f>IF('Modell einstellen'!$B$1="Voll",H3/0.35,H3/0.35*2)</f>
        <v>2.0341825428571431E-4</v>
      </c>
      <c r="O3" s="2">
        <f>IF('Modell einstellen'!$B$1="Voll",J3/0.35,J3/0.35*2)</f>
        <v>-5.6534522857142858E-4</v>
      </c>
      <c r="P3" s="3">
        <f>-N3/O3</f>
        <v>0.35981245441786447</v>
      </c>
      <c r="Q3" s="3"/>
      <c r="R3" s="3"/>
      <c r="S3" s="3"/>
      <c r="T3" s="3"/>
      <c r="U3" s="3"/>
    </row>
    <row r="4" spans="1:21" x14ac:dyDescent="0.25">
      <c r="A4" s="3">
        <v>1E-14</v>
      </c>
      <c r="B4" s="3">
        <v>4.4129999999999999E-5</v>
      </c>
      <c r="C4" s="3">
        <v>1.5420000000000001E-4</v>
      </c>
      <c r="D4" s="3">
        <v>-4.7120000000000002E-4</v>
      </c>
      <c r="E4" s="3">
        <v>0</v>
      </c>
      <c r="F4" s="3">
        <v>0</v>
      </c>
      <c r="G4" s="3">
        <v>0</v>
      </c>
      <c r="H4" s="3">
        <v>7.1198031999999999E-5</v>
      </c>
      <c r="I4" s="3">
        <v>1.5718310999999998E-5</v>
      </c>
      <c r="J4" s="3">
        <v>-1.9786698000000001E-4</v>
      </c>
      <c r="K4" s="3"/>
      <c r="L4" s="3">
        <f t="shared" ref="L4:L33" si="0">-B4/D4</f>
        <v>9.3654499151103562E-2</v>
      </c>
      <c r="M4" s="3"/>
      <c r="N4" s="2">
        <f>IF('Modell einstellen'!$B$1="Voll",H4/0.35,H4/0.35*2)</f>
        <v>2.0342294857142858E-4</v>
      </c>
      <c r="O4" s="2">
        <f>IF('Modell einstellen'!$B$1="Voll",J4/0.35,J4/0.35*2)</f>
        <v>-5.6533422857142862E-4</v>
      </c>
      <c r="P4" s="3">
        <f t="shared" ref="P4:P33" si="1">-N4/O4</f>
        <v>0.35982775903286135</v>
      </c>
      <c r="Q4" s="3"/>
      <c r="R4" s="3"/>
      <c r="S4" s="3"/>
      <c r="T4" s="3"/>
      <c r="U4" s="3"/>
    </row>
    <row r="5" spans="1:21" x14ac:dyDescent="0.25">
      <c r="A5" s="3">
        <v>1E-13</v>
      </c>
      <c r="B5" s="3">
        <v>4.4129999999999999E-5</v>
      </c>
      <c r="C5" s="3">
        <v>1.5420000000000001E-4</v>
      </c>
      <c r="D5" s="3">
        <v>-4.7120000000000002E-4</v>
      </c>
      <c r="E5" s="3">
        <v>0</v>
      </c>
      <c r="F5" s="3">
        <v>0</v>
      </c>
      <c r="G5" s="3">
        <v>0</v>
      </c>
      <c r="H5" s="3">
        <v>7.1198407000000005E-5</v>
      </c>
      <c r="I5" s="3">
        <v>1.5718477999999998E-5</v>
      </c>
      <c r="J5" s="3">
        <v>-1.9786797000000001E-4</v>
      </c>
      <c r="K5" s="3"/>
      <c r="L5" s="3">
        <f t="shared" si="0"/>
        <v>9.3654499151103562E-2</v>
      </c>
      <c r="M5" s="3"/>
      <c r="N5" s="2">
        <f>IF('Modell einstellen'!$B$1="Voll",H5/0.35,H5/0.35*2)</f>
        <v>2.0342402000000004E-4</v>
      </c>
      <c r="O5" s="2">
        <f>IF('Modell einstellen'!$B$1="Voll",J5/0.35,J5/0.35*2)</f>
        <v>-5.6533705714285724E-4</v>
      </c>
      <c r="P5" s="3">
        <f t="shared" si="1"/>
        <v>0.35982785389671706</v>
      </c>
      <c r="Q5" s="3"/>
      <c r="R5" s="3"/>
      <c r="S5" s="3"/>
      <c r="T5" s="3"/>
      <c r="U5" s="3"/>
    </row>
    <row r="6" spans="1:21" x14ac:dyDescent="0.25">
      <c r="A6" s="3">
        <v>9.9999999999999998E-13</v>
      </c>
      <c r="B6" s="3">
        <v>4.4129999999999999E-5</v>
      </c>
      <c r="C6" s="3">
        <v>1.5420000000000001E-4</v>
      </c>
      <c r="D6" s="3">
        <v>-4.7120000000000002E-4</v>
      </c>
      <c r="E6" s="3">
        <v>0</v>
      </c>
      <c r="F6" s="3">
        <v>0</v>
      </c>
      <c r="G6" s="3">
        <v>0</v>
      </c>
      <c r="H6" s="3">
        <v>7.1198523000000002E-5</v>
      </c>
      <c r="I6" s="3">
        <v>1.5718524000000001E-5</v>
      </c>
      <c r="J6" s="3">
        <v>-1.9786825999999999E-4</v>
      </c>
      <c r="K6" s="3"/>
      <c r="L6" s="3">
        <f t="shared" si="0"/>
        <v>9.3654499151103562E-2</v>
      </c>
      <c r="M6" s="3"/>
      <c r="N6" s="2">
        <f>IF('Modell einstellen'!$B$1="Voll",H6/0.35,H6/0.35*2)</f>
        <v>2.0342435142857145E-4</v>
      </c>
      <c r="O6" s="2">
        <f>IF('Modell einstellen'!$B$1="Voll",J6/0.35,J6/0.35*2)</f>
        <v>-5.6533788571428573E-4</v>
      </c>
      <c r="P6" s="3">
        <f t="shared" si="1"/>
        <v>0.35982791277388299</v>
      </c>
      <c r="Q6" s="3"/>
      <c r="R6" s="3"/>
      <c r="S6" s="3"/>
      <c r="T6" s="3"/>
      <c r="U6" s="3"/>
    </row>
    <row r="7" spans="1:21" x14ac:dyDescent="0.25">
      <c r="A7" s="3">
        <v>9.9999999999999994E-12</v>
      </c>
      <c r="B7" s="3">
        <v>4.4129999999999999E-5</v>
      </c>
      <c r="C7" s="3">
        <v>1.5420000000000001E-4</v>
      </c>
      <c r="D7" s="3">
        <v>-4.7120000000000002E-4</v>
      </c>
      <c r="E7" s="3">
        <v>0</v>
      </c>
      <c r="F7" s="3">
        <v>0</v>
      </c>
      <c r="G7" s="3">
        <v>0</v>
      </c>
      <c r="H7" s="3">
        <v>7.1198561E-5</v>
      </c>
      <c r="I7" s="3">
        <v>1.5718537E-5</v>
      </c>
      <c r="J7" s="3">
        <v>-1.9786835000000001E-4</v>
      </c>
      <c r="K7" s="3"/>
      <c r="L7" s="3">
        <f t="shared" si="0"/>
        <v>9.3654499151103562E-2</v>
      </c>
      <c r="M7" s="3"/>
      <c r="N7" s="2">
        <f>IF('Modell einstellen'!$B$1="Voll",H7/0.35,H7/0.35*2)</f>
        <v>2.0342446000000001E-4</v>
      </c>
      <c r="O7" s="2">
        <f>IF('Modell einstellen'!$B$1="Voll",J7/0.35,J7/0.35*2)</f>
        <v>-5.6533814285714286E-4</v>
      </c>
      <c r="P7" s="3">
        <f t="shared" si="1"/>
        <v>0.35982794115380251</v>
      </c>
      <c r="Q7" s="3"/>
      <c r="R7" s="3"/>
      <c r="S7" s="3"/>
      <c r="T7" s="3"/>
      <c r="U7" s="3"/>
    </row>
    <row r="8" spans="1:21" x14ac:dyDescent="0.25">
      <c r="A8" s="3">
        <v>1E-10</v>
      </c>
      <c r="B8" s="3">
        <v>4.4129999999999999E-5</v>
      </c>
      <c r="C8" s="3">
        <v>1.5420000000000001E-4</v>
      </c>
      <c r="D8" s="3">
        <v>-4.7120000000000002E-4</v>
      </c>
      <c r="E8" s="3">
        <v>0</v>
      </c>
      <c r="F8" s="3">
        <v>0</v>
      </c>
      <c r="G8" s="3">
        <v>0</v>
      </c>
      <c r="H8" s="3">
        <v>7.1198577000000003E-5</v>
      </c>
      <c r="I8" s="3">
        <v>1.5718542E-5</v>
      </c>
      <c r="J8" s="3">
        <v>-1.9786838E-4</v>
      </c>
      <c r="K8" s="3"/>
      <c r="L8" s="3">
        <f t="shared" si="0"/>
        <v>9.3654499151103562E-2</v>
      </c>
      <c r="M8" s="3"/>
      <c r="N8" s="2">
        <f>IF('Modell einstellen'!$B$1="Voll",H8/0.35,H8/0.35*2)</f>
        <v>2.0342450571428572E-4</v>
      </c>
      <c r="O8" s="2">
        <f>IF('Modell einstellen'!$B$1="Voll",J8/0.35,J8/0.35*2)</f>
        <v>-5.6533822857142858E-4</v>
      </c>
      <c r="P8" s="3">
        <f t="shared" si="1"/>
        <v>0.3598279674599853</v>
      </c>
      <c r="Q8" s="3"/>
      <c r="R8" s="3"/>
      <c r="S8" s="3"/>
      <c r="T8" s="3"/>
      <c r="U8" s="3"/>
    </row>
    <row r="9" spans="1:21" x14ac:dyDescent="0.25">
      <c r="A9" s="3">
        <v>1.0000000000000001E-9</v>
      </c>
      <c r="B9" s="3">
        <v>4.4129999999999999E-5</v>
      </c>
      <c r="C9" s="3">
        <v>1.5420000000000001E-4</v>
      </c>
      <c r="D9" s="3">
        <v>-4.7120000000000002E-4</v>
      </c>
      <c r="E9" s="3">
        <v>0</v>
      </c>
      <c r="F9" s="3">
        <v>0</v>
      </c>
      <c r="G9" s="3">
        <v>0</v>
      </c>
      <c r="H9" s="3">
        <v>7.1198617000000006E-5</v>
      </c>
      <c r="I9" s="3">
        <v>1.5718548E-5</v>
      </c>
      <c r="J9" s="3">
        <v>-1.9786844999999999E-4</v>
      </c>
      <c r="K9" s="3"/>
      <c r="L9" s="3">
        <f t="shared" si="0"/>
        <v>9.3654499151103562E-2</v>
      </c>
      <c r="M9" s="3"/>
      <c r="N9" s="2">
        <f>IF('Modell einstellen'!$B$1="Voll",H9/0.35,H9/0.35*2)</f>
        <v>2.0342462000000003E-4</v>
      </c>
      <c r="O9" s="2">
        <f>IF('Modell einstellen'!$B$1="Voll",J9/0.35,J9/0.35*2)</f>
        <v>-5.6533842857142854E-4</v>
      </c>
      <c r="P9" s="3">
        <f t="shared" si="1"/>
        <v>0.35982804231801491</v>
      </c>
      <c r="Q9" s="3"/>
      <c r="R9" s="3"/>
      <c r="S9" s="3"/>
      <c r="T9" s="3"/>
      <c r="U9" s="3"/>
    </row>
    <row r="10" spans="1:21" x14ac:dyDescent="0.25">
      <c r="A10" s="3">
        <v>1E-8</v>
      </c>
      <c r="B10" s="3">
        <v>4.4129999999999999E-5</v>
      </c>
      <c r="C10" s="3">
        <v>1.5420000000000001E-4</v>
      </c>
      <c r="D10" s="3">
        <v>-4.7120000000000002E-4</v>
      </c>
      <c r="E10" s="3">
        <v>0</v>
      </c>
      <c r="F10" s="3">
        <v>0</v>
      </c>
      <c r="G10" s="3">
        <v>0</v>
      </c>
      <c r="H10" s="3">
        <v>7.1198967000000004E-5</v>
      </c>
      <c r="I10" s="3">
        <v>1.5718588999999999E-5</v>
      </c>
      <c r="J10" s="3">
        <v>-1.9786901E-4</v>
      </c>
      <c r="K10" s="3"/>
      <c r="L10" s="3">
        <f t="shared" si="0"/>
        <v>9.3654499151103562E-2</v>
      </c>
      <c r="M10" s="3"/>
      <c r="N10" s="2">
        <f>IF('Modell einstellen'!$B$1="Voll",H10/0.35,H10/0.35*2)</f>
        <v>2.0342562000000001E-4</v>
      </c>
      <c r="O10" s="2">
        <f>IF('Modell einstellen'!$B$1="Voll",J10/0.35,J10/0.35*2)</f>
        <v>-5.6534002857142865E-4</v>
      </c>
      <c r="P10" s="3">
        <f t="shared" si="1"/>
        <v>0.3598287927957996</v>
      </c>
      <c r="Q10" s="3"/>
      <c r="R10" s="3"/>
      <c r="S10" s="3"/>
      <c r="T10" s="3"/>
      <c r="U10" s="3"/>
    </row>
    <row r="11" spans="1:21" x14ac:dyDescent="0.25">
      <c r="A11" s="3">
        <v>9.9999999999999995E-8</v>
      </c>
      <c r="B11" s="3">
        <v>4.4129999999999999E-5</v>
      </c>
      <c r="C11" s="3">
        <v>1.5420000000000001E-4</v>
      </c>
      <c r="D11" s="3">
        <v>-4.7120000000000002E-4</v>
      </c>
      <c r="E11" s="3">
        <v>0</v>
      </c>
      <c r="F11" s="3">
        <v>0</v>
      </c>
      <c r="G11" s="3">
        <v>0</v>
      </c>
      <c r="H11" s="3">
        <v>7.1202458999999996E-5</v>
      </c>
      <c r="I11" s="3">
        <v>1.5719E-5</v>
      </c>
      <c r="J11" s="3">
        <v>-1.9787459000000001E-4</v>
      </c>
      <c r="K11" s="3"/>
      <c r="L11" s="3">
        <f t="shared" si="0"/>
        <v>9.3654499151103562E-2</v>
      </c>
      <c r="M11" s="3"/>
      <c r="N11" s="2">
        <f>IF('Modell einstellen'!$B$1="Voll",H11/0.35,H11/0.35*2)</f>
        <v>2.0343559714285715E-4</v>
      </c>
      <c r="O11" s="2">
        <f>IF('Modell einstellen'!$B$1="Voll",J11/0.35,J11/0.35*2)</f>
        <v>-5.6535597142857151E-4</v>
      </c>
      <c r="P11" s="3">
        <f t="shared" si="1"/>
        <v>0.35983629328050659</v>
      </c>
      <c r="Q11" s="3"/>
      <c r="R11" s="3"/>
      <c r="S11" s="3"/>
      <c r="T11" s="3"/>
      <c r="U11" s="3"/>
    </row>
    <row r="12" spans="1:21" x14ac:dyDescent="0.25">
      <c r="A12" s="3">
        <v>9.9999999999999995E-7</v>
      </c>
      <c r="B12" s="3">
        <v>4.409E-5</v>
      </c>
      <c r="C12" s="3">
        <v>1.5420000000000001E-4</v>
      </c>
      <c r="D12" s="3">
        <v>-4.7130000000000002E-4</v>
      </c>
      <c r="E12" s="3">
        <v>0</v>
      </c>
      <c r="F12" s="3">
        <v>0</v>
      </c>
      <c r="G12" s="3">
        <v>0</v>
      </c>
      <c r="H12" s="3">
        <v>7.1237144000000003E-5</v>
      </c>
      <c r="I12" s="3">
        <v>1.5723084000000002E-5</v>
      </c>
      <c r="J12" s="3">
        <v>-1.9792995999999999E-4</v>
      </c>
      <c r="K12" s="3"/>
      <c r="L12" s="3">
        <f t="shared" si="0"/>
        <v>9.3549755994058986E-2</v>
      </c>
      <c r="M12" s="3"/>
      <c r="N12" s="2">
        <f>IF('Modell einstellen'!$B$1="Voll",H12/0.35,H12/0.35*2)</f>
        <v>2.0353469714285717E-4</v>
      </c>
      <c r="O12" s="2">
        <f>IF('Modell einstellen'!$B$1="Voll",J12/0.35,J12/0.35*2)</f>
        <v>-5.6551417142857146E-4</v>
      </c>
      <c r="P12" s="3">
        <f t="shared" si="1"/>
        <v>0.35991086948130546</v>
      </c>
      <c r="Q12" s="3"/>
      <c r="R12" s="3"/>
      <c r="S12" s="3"/>
      <c r="T12" s="3"/>
      <c r="U12" s="3"/>
    </row>
    <row r="13" spans="1:21" x14ac:dyDescent="0.25">
      <c r="A13" s="3">
        <v>1.0000000000000001E-5</v>
      </c>
      <c r="B13" s="3">
        <v>4.3720000000000002E-5</v>
      </c>
      <c r="C13" s="3">
        <v>1.5459999999999999E-4</v>
      </c>
      <c r="D13" s="3">
        <v>-4.7150000000000002E-4</v>
      </c>
      <c r="E13" s="3">
        <v>0</v>
      </c>
      <c r="F13" s="3">
        <v>0</v>
      </c>
      <c r="G13" s="3">
        <v>0</v>
      </c>
      <c r="H13" s="3">
        <v>7.1561984999999996E-5</v>
      </c>
      <c r="I13" s="3">
        <v>1.5761291999999999E-5</v>
      </c>
      <c r="J13" s="3">
        <v>-1.9844835999999999E-4</v>
      </c>
      <c r="K13" s="3"/>
      <c r="L13" s="3">
        <f t="shared" si="0"/>
        <v>9.2725344644750796E-2</v>
      </c>
      <c r="M13" s="3"/>
      <c r="N13" s="2">
        <f>IF('Modell einstellen'!$B$1="Voll",H13/0.35,H13/0.35*2)</f>
        <v>2.0446281428571428E-4</v>
      </c>
      <c r="O13" s="2">
        <f>IF('Modell einstellen'!$B$1="Voll",J13/0.35,J13/0.35*2)</f>
        <v>-5.6699531428571425E-4</v>
      </c>
      <c r="P13" s="3">
        <f t="shared" si="1"/>
        <v>0.36060759081103017</v>
      </c>
      <c r="Q13" s="3"/>
      <c r="R13" s="3"/>
      <c r="S13" s="3"/>
      <c r="T13" s="3"/>
      <c r="U13" s="3"/>
    </row>
    <row r="14" spans="1:21" x14ac:dyDescent="0.25">
      <c r="A14" s="3">
        <v>1E-4</v>
      </c>
      <c r="B14" s="3">
        <v>4.1980000000000001E-5</v>
      </c>
      <c r="C14" s="3">
        <v>1.5669999999999999E-4</v>
      </c>
      <c r="D14" s="3">
        <v>-4.7350000000000002E-4</v>
      </c>
      <c r="E14" s="3">
        <v>0</v>
      </c>
      <c r="F14" s="3">
        <v>0</v>
      </c>
      <c r="G14" s="3">
        <v>0</v>
      </c>
      <c r="H14" s="3">
        <v>7.3446963000000002E-5</v>
      </c>
      <c r="I14" s="3">
        <v>1.6001136E-5</v>
      </c>
      <c r="J14" s="3">
        <v>-2.0150705000000001E-4</v>
      </c>
      <c r="K14" s="3"/>
      <c r="L14" s="3">
        <f t="shared" si="0"/>
        <v>8.865892291446674E-2</v>
      </c>
      <c r="M14" s="3"/>
      <c r="N14" s="2">
        <f>IF('Modell einstellen'!$B$1="Voll",H14/0.35,H14/0.35*2)</f>
        <v>2.0984846571428574E-4</v>
      </c>
      <c r="O14" s="2">
        <f>IF('Modell einstellen'!$B$1="Voll",J14/0.35,J14/0.35*2)</f>
        <v>-5.7573442857142862E-4</v>
      </c>
      <c r="P14" s="3">
        <f t="shared" si="1"/>
        <v>0.36448830450349007</v>
      </c>
      <c r="Q14" s="3"/>
      <c r="R14" s="3"/>
      <c r="S14" s="3"/>
      <c r="T14" s="3"/>
      <c r="U14" s="3"/>
    </row>
    <row r="15" spans="1:21" x14ac:dyDescent="0.25">
      <c r="A15" s="3">
        <v>1E-3</v>
      </c>
      <c r="B15" s="3">
        <v>3.9409999999999997E-5</v>
      </c>
      <c r="C15" s="3">
        <v>1.594E-4</v>
      </c>
      <c r="D15" s="3">
        <v>-4.7560000000000001E-4</v>
      </c>
      <c r="E15" s="3">
        <v>0</v>
      </c>
      <c r="F15" s="3">
        <v>0</v>
      </c>
      <c r="G15" s="3">
        <v>0</v>
      </c>
      <c r="H15" s="3">
        <v>7.5915032999999998E-5</v>
      </c>
      <c r="I15" s="3">
        <v>1.6303140999999999E-5</v>
      </c>
      <c r="J15" s="3">
        <v>-2.0545565000000001E-4</v>
      </c>
      <c r="K15" s="3"/>
      <c r="L15" s="3">
        <f t="shared" si="0"/>
        <v>8.2863751051303614E-2</v>
      </c>
      <c r="M15" s="3"/>
      <c r="N15" s="2">
        <f>IF('Modell einstellen'!$B$1="Voll",H15/0.35,H15/0.35*2)</f>
        <v>2.1690009428571429E-4</v>
      </c>
      <c r="O15" s="2">
        <f>IF('Modell einstellen'!$B$1="Voll",J15/0.35,J15/0.35*2)</f>
        <v>-5.8701614285714288E-4</v>
      </c>
      <c r="P15" s="3">
        <f t="shared" si="1"/>
        <v>0.36949596178055943</v>
      </c>
      <c r="Q15" s="3"/>
      <c r="R15" s="3"/>
      <c r="S15" s="3"/>
      <c r="T15" s="3"/>
      <c r="U15" s="3"/>
    </row>
    <row r="16" spans="1:21" x14ac:dyDescent="0.25">
      <c r="A16" s="3">
        <v>0.01</v>
      </c>
      <c r="B16" s="3">
        <v>3.6159999999999999E-5</v>
      </c>
      <c r="C16" s="3">
        <v>1.6239999999999999E-4</v>
      </c>
      <c r="D16" s="3">
        <v>-4.7770000000000001E-4</v>
      </c>
      <c r="E16" s="3">
        <v>0</v>
      </c>
      <c r="F16" s="3">
        <v>0</v>
      </c>
      <c r="G16" s="3">
        <v>0</v>
      </c>
      <c r="H16" s="3">
        <v>7.8785680000000006E-5</v>
      </c>
      <c r="I16" s="3">
        <v>1.6644215E-5</v>
      </c>
      <c r="J16" s="3">
        <v>-2.0999422000000001E-4</v>
      </c>
      <c r="K16" s="3"/>
      <c r="L16" s="3">
        <f t="shared" si="0"/>
        <v>7.5696043541971944E-2</v>
      </c>
      <c r="M16" s="3"/>
      <c r="N16" s="2">
        <f>IF('Modell einstellen'!$B$1="Voll",H16/0.35,H16/0.35*2)</f>
        <v>2.2510194285714288E-4</v>
      </c>
      <c r="O16" s="2">
        <f>IF('Modell einstellen'!$B$1="Voll",J16/0.35,J16/0.35*2)</f>
        <v>-5.9998348571428575E-4</v>
      </c>
      <c r="P16" s="3">
        <f t="shared" si="1"/>
        <v>0.37518023115112409</v>
      </c>
      <c r="Q16" s="3"/>
      <c r="R16" s="3"/>
      <c r="S16" s="3"/>
      <c r="T16" s="3"/>
      <c r="U16" s="3"/>
    </row>
    <row r="17" spans="1:21" x14ac:dyDescent="0.25">
      <c r="A17" s="3">
        <v>0.1</v>
      </c>
      <c r="B17" s="3">
        <v>3.171E-5</v>
      </c>
      <c r="C17" s="3">
        <v>1.661E-4</v>
      </c>
      <c r="D17" s="3">
        <v>-4.796E-4</v>
      </c>
      <c r="E17" s="3">
        <v>0</v>
      </c>
      <c r="F17" s="3">
        <v>0</v>
      </c>
      <c r="G17" s="3">
        <v>0</v>
      </c>
      <c r="H17" s="3">
        <v>8.2424144000000003E-5</v>
      </c>
      <c r="I17" s="3">
        <v>1.7062135E-5</v>
      </c>
      <c r="J17" s="3">
        <v>-2.1566983999999999E-4</v>
      </c>
      <c r="K17" s="3"/>
      <c r="L17" s="3">
        <f t="shared" si="0"/>
        <v>6.6117597998331945E-2</v>
      </c>
      <c r="M17" s="3"/>
      <c r="N17" s="2">
        <f>IF('Modell einstellen'!$B$1="Voll",H17/0.35,H17/0.35*2)</f>
        <v>2.3549755428571432E-4</v>
      </c>
      <c r="O17" s="2">
        <f>IF('Modell einstellen'!$B$1="Voll",J17/0.35,J17/0.35*2)</f>
        <v>-6.1619954285714292E-4</v>
      </c>
      <c r="P17" s="3">
        <f t="shared" si="1"/>
        <v>0.38217742453001313</v>
      </c>
      <c r="Q17" s="3"/>
      <c r="R17" s="3"/>
      <c r="S17" s="3"/>
      <c r="T17" s="3"/>
      <c r="U17" s="3"/>
    </row>
    <row r="18" spans="1:21" x14ac:dyDescent="0.25">
      <c r="A18" s="3">
        <v>1</v>
      </c>
      <c r="B18" s="3">
        <v>2.6299999999999999E-5</v>
      </c>
      <c r="C18" s="3">
        <v>1.7019999999999999E-4</v>
      </c>
      <c r="D18" s="3">
        <v>-4.8119999999999999E-4</v>
      </c>
      <c r="E18" s="3">
        <v>0</v>
      </c>
      <c r="F18" s="3">
        <v>0</v>
      </c>
      <c r="G18" s="3">
        <v>0</v>
      </c>
      <c r="H18" s="3">
        <v>8.6592362000000004E-5</v>
      </c>
      <c r="I18" s="3">
        <v>1.7532123000000001E-5</v>
      </c>
      <c r="J18" s="3">
        <v>-2.2209684E-4</v>
      </c>
      <c r="K18" s="3"/>
      <c r="L18" s="3">
        <f t="shared" si="0"/>
        <v>5.4655029093931835E-2</v>
      </c>
      <c r="M18" s="3"/>
      <c r="N18" s="2">
        <f>IF('Modell einstellen'!$B$1="Voll",H18/0.35,H18/0.35*2)</f>
        <v>2.4740674857142862E-4</v>
      </c>
      <c r="O18" s="2">
        <f>IF('Modell einstellen'!$B$1="Voll",J18/0.35,J18/0.35*2)</f>
        <v>-6.345624E-4</v>
      </c>
      <c r="P18" s="3">
        <f t="shared" si="1"/>
        <v>0.38988561025902041</v>
      </c>
      <c r="Q18" s="3"/>
      <c r="R18" s="3"/>
      <c r="S18" s="3"/>
      <c r="T18" s="3"/>
      <c r="U18" s="3"/>
    </row>
    <row r="19" spans="1:21" x14ac:dyDescent="0.25">
      <c r="A19" s="3">
        <v>10</v>
      </c>
      <c r="B19" s="3">
        <v>2.0299999999999999E-5</v>
      </c>
      <c r="C19" s="3">
        <v>1.7650000000000001E-4</v>
      </c>
      <c r="D19" s="3">
        <v>-4.8460000000000002E-4</v>
      </c>
      <c r="E19" s="3">
        <v>0</v>
      </c>
      <c r="F19" s="3">
        <v>0</v>
      </c>
      <c r="G19" s="3">
        <v>0</v>
      </c>
      <c r="H19" s="3">
        <v>9.1992653000000002E-5</v>
      </c>
      <c r="I19" s="3">
        <v>1.8252865E-5</v>
      </c>
      <c r="J19" s="3">
        <v>-2.3068123E-4</v>
      </c>
      <c r="K19" s="3"/>
      <c r="L19" s="3">
        <f t="shared" si="0"/>
        <v>4.1890218737102761E-2</v>
      </c>
      <c r="M19" s="3"/>
      <c r="N19" s="2">
        <f>IF('Modell einstellen'!$B$1="Voll",H19/0.35,H19/0.35*2)</f>
        <v>2.6283615142857147E-4</v>
      </c>
      <c r="O19" s="2">
        <f>IF('Modell einstellen'!$B$1="Voll",J19/0.35,J19/0.35*2)</f>
        <v>-6.5908922857142857E-4</v>
      </c>
      <c r="P19" s="3">
        <f t="shared" si="1"/>
        <v>0.3987869017344845</v>
      </c>
      <c r="Q19" s="3"/>
      <c r="R19" s="3"/>
      <c r="S19" s="3"/>
      <c r="T19" s="3"/>
      <c r="U19" s="3"/>
    </row>
    <row r="20" spans="1:21" x14ac:dyDescent="0.25">
      <c r="A20" s="3">
        <v>100</v>
      </c>
      <c r="B20" s="3">
        <v>2.1350000000000001E-5</v>
      </c>
      <c r="C20" s="3">
        <v>1.9320000000000001E-4</v>
      </c>
      <c r="D20" s="3">
        <v>-5.0379999999999999E-4</v>
      </c>
      <c r="E20" s="3">
        <v>0</v>
      </c>
      <c r="F20" s="3">
        <v>0</v>
      </c>
      <c r="G20" s="3">
        <v>0</v>
      </c>
      <c r="H20" s="3">
        <v>9.9872318999999994E-5</v>
      </c>
      <c r="I20" s="3">
        <v>2.0176715000000001E-5</v>
      </c>
      <c r="J20" s="3">
        <v>-2.4564283000000001E-4</v>
      </c>
      <c r="K20" s="3"/>
      <c r="L20" s="3">
        <f t="shared" si="0"/>
        <v>4.2377927749106793E-2</v>
      </c>
      <c r="M20" s="3"/>
      <c r="N20" s="2">
        <f>IF('Modell einstellen'!$B$1="Voll",H20/0.35,H20/0.35*2)</f>
        <v>2.8534948285714284E-4</v>
      </c>
      <c r="O20" s="2">
        <f>IF('Modell einstellen'!$B$1="Voll",J20/0.35,J20/0.35*2)</f>
        <v>-7.0183665714285723E-4</v>
      </c>
      <c r="P20" s="3">
        <f t="shared" si="1"/>
        <v>0.40657534762972719</v>
      </c>
      <c r="Q20" s="3"/>
      <c r="R20" s="3"/>
      <c r="S20" s="3"/>
      <c r="T20" s="3"/>
      <c r="U20" s="3"/>
    </row>
    <row r="21" spans="1:21" x14ac:dyDescent="0.25">
      <c r="A21" s="3">
        <v>1000</v>
      </c>
      <c r="B21" s="3">
        <v>4.3770000000000003E-5</v>
      </c>
      <c r="C21" s="3">
        <v>2.3110000000000001E-4</v>
      </c>
      <c r="D21" s="3">
        <v>-5.6030000000000001E-4</v>
      </c>
      <c r="E21" s="3">
        <v>0</v>
      </c>
      <c r="F21" s="3">
        <v>0</v>
      </c>
      <c r="G21" s="3">
        <v>0</v>
      </c>
      <c r="H21" s="3">
        <v>1.1064323999999999E-4</v>
      </c>
      <c r="I21" s="3">
        <v>2.4620198E-5</v>
      </c>
      <c r="J21" s="3">
        <v>-2.7143738999999998E-4</v>
      </c>
      <c r="K21" s="3"/>
      <c r="L21" s="3">
        <f t="shared" si="0"/>
        <v>7.8118864893806886E-2</v>
      </c>
      <c r="M21" s="3"/>
      <c r="N21" s="2">
        <f>IF('Modell einstellen'!$B$1="Voll",H21/0.35,H21/0.35*2)</f>
        <v>3.1612354285714289E-4</v>
      </c>
      <c r="O21" s="2">
        <f>IF('Modell einstellen'!$B$1="Voll",J21/0.35,J21/0.35*2)</f>
        <v>-7.7553539999999997E-4</v>
      </c>
      <c r="P21" s="3">
        <f t="shared" si="1"/>
        <v>0.40761974612266944</v>
      </c>
      <c r="Q21" s="3"/>
      <c r="R21" s="3"/>
      <c r="S21" s="3"/>
      <c r="T21" s="3"/>
      <c r="U21" s="3"/>
    </row>
    <row r="22" spans="1:21" x14ac:dyDescent="0.25">
      <c r="A22" s="3">
        <v>10000</v>
      </c>
      <c r="B22" s="3">
        <v>7.7529999999999998E-5</v>
      </c>
      <c r="C22" s="3">
        <v>2.8269999999999999E-4</v>
      </c>
      <c r="D22" s="3">
        <v>-6.3969999999999999E-4</v>
      </c>
      <c r="E22" s="3">
        <v>0</v>
      </c>
      <c r="F22" s="3">
        <v>0</v>
      </c>
      <c r="G22" s="3">
        <v>0</v>
      </c>
      <c r="H22" s="3">
        <v>1.2323548E-4</v>
      </c>
      <c r="I22" s="3">
        <v>3.0881842999999997E-5</v>
      </c>
      <c r="J22" s="3">
        <v>-3.0507026E-4</v>
      </c>
      <c r="K22" s="3"/>
      <c r="L22" s="3">
        <f t="shared" si="0"/>
        <v>0.12119743629826481</v>
      </c>
      <c r="M22" s="3"/>
      <c r="N22" s="2">
        <f>IF('Modell einstellen'!$B$1="Voll",H22/0.35,H22/0.35*2)</f>
        <v>3.5210137142857145E-4</v>
      </c>
      <c r="O22" s="2">
        <f>IF('Modell einstellen'!$B$1="Voll",J22/0.35,J22/0.35*2)</f>
        <v>-8.7162931428571438E-4</v>
      </c>
      <c r="P22" s="3">
        <f t="shared" si="1"/>
        <v>0.40395769813812726</v>
      </c>
      <c r="Q22" s="3"/>
      <c r="R22" s="3"/>
      <c r="S22" s="3"/>
      <c r="T22" s="3"/>
      <c r="U22" s="3"/>
    </row>
    <row r="23" spans="1:21" x14ac:dyDescent="0.25">
      <c r="A23" s="3">
        <v>100000</v>
      </c>
      <c r="B23" s="3">
        <v>1.081E-4</v>
      </c>
      <c r="C23" s="3">
        <v>3.3780000000000003E-4</v>
      </c>
      <c r="D23" s="3">
        <v>-7.205E-4</v>
      </c>
      <c r="E23" s="3">
        <v>0</v>
      </c>
      <c r="F23" s="3">
        <v>0</v>
      </c>
      <c r="G23" s="3">
        <v>0</v>
      </c>
      <c r="H23" s="3">
        <v>1.3742002E-4</v>
      </c>
      <c r="I23" s="3">
        <v>3.7848795999999998E-5</v>
      </c>
      <c r="J23" s="3">
        <v>-3.4312448000000002E-4</v>
      </c>
      <c r="K23" s="3"/>
      <c r="L23" s="3">
        <f t="shared" si="0"/>
        <v>0.15003469812630119</v>
      </c>
      <c r="M23" s="3"/>
      <c r="N23" s="2">
        <f>IF('Modell einstellen'!$B$1="Voll",H23/0.35,H23/0.35*2)</f>
        <v>3.9262862857142859E-4</v>
      </c>
      <c r="O23" s="2">
        <f>IF('Modell einstellen'!$B$1="Voll",J23/0.35,J23/0.35*2)</f>
        <v>-9.803556571428573E-4</v>
      </c>
      <c r="P23" s="3">
        <f t="shared" si="1"/>
        <v>0.40049611149866071</v>
      </c>
      <c r="Q23" s="3"/>
      <c r="R23" s="3"/>
      <c r="S23" s="3"/>
      <c r="T23" s="3"/>
      <c r="U23" s="3"/>
    </row>
    <row r="24" spans="1:21" x14ac:dyDescent="0.25">
      <c r="A24" s="3">
        <v>1000000</v>
      </c>
      <c r="B24" s="3">
        <v>1.2769999999999999E-4</v>
      </c>
      <c r="C24" s="3">
        <v>3.948E-4</v>
      </c>
      <c r="D24" s="3">
        <v>-7.9500000000000003E-4</v>
      </c>
      <c r="E24" s="3">
        <v>0</v>
      </c>
      <c r="F24" s="3">
        <v>0</v>
      </c>
      <c r="G24" s="3">
        <v>0</v>
      </c>
      <c r="H24" s="3">
        <v>1.5458875999999999E-4</v>
      </c>
      <c r="I24" s="3">
        <v>4.5409998999999998E-5</v>
      </c>
      <c r="J24" s="3">
        <v>-3.8692875000000002E-4</v>
      </c>
      <c r="K24" s="3"/>
      <c r="L24" s="3">
        <f t="shared" si="0"/>
        <v>0.16062893081761004</v>
      </c>
      <c r="M24" s="3"/>
      <c r="N24" s="2">
        <f>IF('Modell einstellen'!$B$1="Voll",H24/0.35,H24/0.35*2)</f>
        <v>4.4168217142857142E-4</v>
      </c>
      <c r="O24" s="2">
        <f>IF('Modell einstellen'!$B$1="Voll",J24/0.35,J24/0.35*2)</f>
        <v>-1.1055107142857144E-3</v>
      </c>
      <c r="P24" s="3">
        <f t="shared" si="1"/>
        <v>0.39952771666618203</v>
      </c>
      <c r="Q24" s="3"/>
      <c r="R24" s="3"/>
      <c r="S24" s="3"/>
      <c r="T24" s="3"/>
      <c r="U24" s="3"/>
    </row>
    <row r="25" spans="1:21" x14ac:dyDescent="0.25">
      <c r="A25" s="3">
        <v>10000000</v>
      </c>
      <c r="B25" s="3">
        <v>1.247E-4</v>
      </c>
      <c r="C25" s="3">
        <v>4.6440000000000001E-4</v>
      </c>
      <c r="D25" s="3">
        <v>-8.633E-4</v>
      </c>
      <c r="E25" s="3">
        <v>0</v>
      </c>
      <c r="F25" s="3">
        <v>0</v>
      </c>
      <c r="G25" s="3">
        <v>0</v>
      </c>
      <c r="H25" s="3">
        <v>1.8028515E-4</v>
      </c>
      <c r="I25" s="3">
        <v>5.5134611999999998E-5</v>
      </c>
      <c r="J25" s="3">
        <v>-4.4791862000000002E-4</v>
      </c>
      <c r="K25" s="3"/>
      <c r="L25" s="3">
        <f t="shared" si="0"/>
        <v>0.14444573149542453</v>
      </c>
      <c r="M25" s="3"/>
      <c r="N25" s="2">
        <f>IF('Modell einstellen'!$B$1="Voll",H25/0.35,H25/0.35*2)</f>
        <v>5.1510042857142856E-4</v>
      </c>
      <c r="O25" s="2">
        <f>IF('Modell einstellen'!$B$1="Voll",J25/0.35,J25/0.35*2)</f>
        <v>-1.2797674857142859E-3</v>
      </c>
      <c r="P25" s="3">
        <f t="shared" si="1"/>
        <v>0.40249532381574127</v>
      </c>
      <c r="Q25" s="3"/>
      <c r="R25" s="3"/>
      <c r="S25" s="3"/>
      <c r="T25" s="3"/>
      <c r="U25" s="3"/>
    </row>
    <row r="26" spans="1:21" x14ac:dyDescent="0.25">
      <c r="A26" s="3">
        <v>100000000</v>
      </c>
      <c r="B26" s="3">
        <v>7.9010000000000004E-5</v>
      </c>
      <c r="C26" s="3">
        <v>5.6150000000000004E-4</v>
      </c>
      <c r="D26" s="3">
        <v>-9.1980000000000002E-4</v>
      </c>
      <c r="E26" s="3">
        <v>0</v>
      </c>
      <c r="F26" s="3">
        <v>0</v>
      </c>
      <c r="G26" s="3">
        <v>0</v>
      </c>
      <c r="H26" s="3">
        <v>2.2108277000000001E-4</v>
      </c>
      <c r="I26" s="3">
        <v>6.9456720000000003E-5</v>
      </c>
      <c r="J26" s="3">
        <v>-5.4139352999999998E-4</v>
      </c>
      <c r="K26" s="3"/>
      <c r="L26" s="3">
        <f t="shared" si="0"/>
        <v>8.5899108501848231E-2</v>
      </c>
      <c r="M26" s="3"/>
      <c r="N26" s="2">
        <f>IF('Modell einstellen'!$B$1="Voll",H26/0.35,H26/0.35*2)</f>
        <v>6.3166505714285718E-4</v>
      </c>
      <c r="O26" s="2">
        <f>IF('Modell einstellen'!$B$1="Voll",J26/0.35,J26/0.35*2)</f>
        <v>-1.5468386571428571E-3</v>
      </c>
      <c r="P26" s="3">
        <f t="shared" si="1"/>
        <v>0.40835872198177181</v>
      </c>
      <c r="Q26" s="3"/>
      <c r="R26" s="3"/>
      <c r="S26" s="3"/>
      <c r="T26" s="3"/>
      <c r="U26" s="3"/>
    </row>
    <row r="27" spans="1:21" x14ac:dyDescent="0.25">
      <c r="A27" s="3">
        <v>1000000000</v>
      </c>
      <c r="B27" s="3">
        <v>-7.1299999999999998E-5</v>
      </c>
      <c r="C27" s="3">
        <v>7.1659999999999996E-4</v>
      </c>
      <c r="D27" s="3">
        <v>-9.3300000000000002E-4</v>
      </c>
      <c r="E27" s="3">
        <v>0</v>
      </c>
      <c r="F27" s="3">
        <v>0</v>
      </c>
      <c r="G27" s="3">
        <v>0</v>
      </c>
      <c r="H27" s="3">
        <v>2.9380897999999999E-4</v>
      </c>
      <c r="I27" s="3">
        <v>9.3722209E-5</v>
      </c>
      <c r="J27" s="3">
        <v>-7.0361765000000003E-4</v>
      </c>
      <c r="K27" s="3"/>
      <c r="L27" s="3">
        <f t="shared" si="0"/>
        <v>-7.6420150053590569E-2</v>
      </c>
      <c r="M27" s="3"/>
      <c r="N27" s="2">
        <f>IF('Modell einstellen'!$B$1="Voll",H27/0.35,H27/0.35*2)</f>
        <v>8.3945422857142861E-4</v>
      </c>
      <c r="O27" s="2">
        <f>IF('Modell einstellen'!$B$1="Voll",J27/0.35,J27/0.35*2)</f>
        <v>-2.0103361428571429E-3</v>
      </c>
      <c r="P27" s="3">
        <f t="shared" si="1"/>
        <v>0.41756908741558713</v>
      </c>
      <c r="Q27" s="3"/>
      <c r="R27" s="3"/>
      <c r="S27" s="3"/>
      <c r="T27" s="3"/>
      <c r="U27" s="3"/>
    </row>
    <row r="28" spans="1:21" x14ac:dyDescent="0.25">
      <c r="A28" s="3">
        <v>10000000000</v>
      </c>
      <c r="B28" s="3">
        <v>-5.2079999999999997E-4</v>
      </c>
      <c r="C28" s="3">
        <v>1.013E-3</v>
      </c>
      <c r="D28" s="3">
        <v>-7.9069999999999997E-4</v>
      </c>
      <c r="E28" s="3">
        <v>0</v>
      </c>
      <c r="F28" s="3">
        <v>0</v>
      </c>
      <c r="G28" s="3">
        <v>0</v>
      </c>
      <c r="H28" s="3">
        <v>4.5070971999999998E-4</v>
      </c>
      <c r="I28" s="3">
        <v>1.4327417000000001E-4</v>
      </c>
      <c r="J28" s="3">
        <v>-1.0426226E-3</v>
      </c>
      <c r="K28" s="3"/>
      <c r="L28" s="3">
        <f t="shared" si="0"/>
        <v>-0.65865688630327557</v>
      </c>
      <c r="M28" s="3"/>
      <c r="N28" s="2">
        <f>IF('Modell einstellen'!$B$1="Voll",H28/0.35,H28/0.35*2)</f>
        <v>1.2877420571428572E-3</v>
      </c>
      <c r="O28" s="2">
        <f>IF('Modell einstellen'!$B$1="Voll",J28/0.35,J28/0.35*2)</f>
        <v>-2.9789217142857146E-3</v>
      </c>
      <c r="P28" s="3">
        <f t="shared" si="1"/>
        <v>0.43228462532847456</v>
      </c>
      <c r="Q28" s="3"/>
      <c r="R28" s="3"/>
      <c r="S28" s="3"/>
      <c r="T28" s="3"/>
      <c r="U28" s="3"/>
    </row>
    <row r="29" spans="1:21" x14ac:dyDescent="0.25">
      <c r="A29" s="3">
        <v>100000000000</v>
      </c>
      <c r="B29" s="3">
        <v>-1.6260000000000001E-3</v>
      </c>
      <c r="C29" s="3">
        <v>1.5590000000000001E-3</v>
      </c>
      <c r="D29" s="3">
        <v>-2.4130000000000001E-4</v>
      </c>
      <c r="E29" s="3">
        <v>0</v>
      </c>
      <c r="F29" s="3">
        <v>0</v>
      </c>
      <c r="G29" s="3">
        <v>0</v>
      </c>
      <c r="H29" s="3">
        <v>7.7029338999999998E-4</v>
      </c>
      <c r="I29" s="3">
        <v>2.3965552999999999E-4</v>
      </c>
      <c r="J29" s="3">
        <v>-1.7138715E-3</v>
      </c>
      <c r="K29" s="3"/>
      <c r="L29" s="3">
        <f t="shared" si="0"/>
        <v>-6.7384997927890593</v>
      </c>
      <c r="M29" s="3"/>
      <c r="N29" s="2">
        <f>IF('Modell einstellen'!$B$1="Voll",H29/0.35,H29/0.35*2)</f>
        <v>2.200838257142857E-3</v>
      </c>
      <c r="O29" s="2">
        <f>IF('Modell einstellen'!$B$1="Voll",J29/0.35,J29/0.35*2)</f>
        <v>-4.8967757142857147E-3</v>
      </c>
      <c r="P29" s="3">
        <f t="shared" si="1"/>
        <v>0.44944640832174404</v>
      </c>
      <c r="Q29" s="3"/>
      <c r="R29" s="3"/>
      <c r="S29" s="3"/>
      <c r="T29" s="3"/>
      <c r="U29" s="3"/>
    </row>
    <row r="30" spans="1:21" x14ac:dyDescent="0.25">
      <c r="A30" s="3">
        <v>1000000000000</v>
      </c>
      <c r="B30" s="3">
        <v>-3.8960000000000002E-3</v>
      </c>
      <c r="C30" s="3">
        <v>2.539E-3</v>
      </c>
      <c r="D30" s="3">
        <v>1.041E-3</v>
      </c>
      <c r="E30" s="3">
        <v>0</v>
      </c>
      <c r="F30" s="3">
        <v>0</v>
      </c>
      <c r="G30" s="3">
        <v>0</v>
      </c>
      <c r="H30" s="3">
        <v>1.3771527E-3</v>
      </c>
      <c r="I30" s="3">
        <v>4.1724421999999998E-4</v>
      </c>
      <c r="J30" s="3">
        <v>-2.9625049999999998E-3</v>
      </c>
      <c r="K30" s="3"/>
      <c r="L30" s="3">
        <f t="shared" si="0"/>
        <v>3.7425552353506246</v>
      </c>
      <c r="M30" s="3"/>
      <c r="N30" s="2">
        <f>IF('Modell einstellen'!$B$1="Voll",H30/0.35,H30/0.35*2)</f>
        <v>3.9347219999999999E-3</v>
      </c>
      <c r="O30" s="2">
        <f>IF('Modell einstellen'!$B$1="Voll",J30/0.35,J30/0.35*2)</f>
        <v>-8.4642999999999993E-3</v>
      </c>
      <c r="P30" s="3">
        <f t="shared" si="1"/>
        <v>0.46486088631074041</v>
      </c>
      <c r="Q30" s="3"/>
      <c r="R30" s="3"/>
      <c r="S30" s="3"/>
      <c r="T30" s="3"/>
      <c r="U30" s="3"/>
    </row>
    <row r="31" spans="1:21" x14ac:dyDescent="0.25">
      <c r="A31" s="3">
        <v>10000000000000</v>
      </c>
      <c r="B31" s="3">
        <v>-8.1429999999999992E-3</v>
      </c>
      <c r="C31" s="3">
        <v>4.267E-3</v>
      </c>
      <c r="D31" s="3">
        <v>3.5539999999999999E-3</v>
      </c>
      <c r="E31" s="3">
        <v>0</v>
      </c>
      <c r="F31" s="3">
        <v>0</v>
      </c>
      <c r="G31" s="3">
        <v>0</v>
      </c>
      <c r="H31" s="3">
        <v>2.4894317000000001E-3</v>
      </c>
      <c r="I31" s="3">
        <v>7.3721020000000004E-4</v>
      </c>
      <c r="J31" s="3">
        <v>-5.2133461000000002E-3</v>
      </c>
      <c r="K31" s="3"/>
      <c r="L31" s="3">
        <f t="shared" si="0"/>
        <v>2.2912211592571747</v>
      </c>
      <c r="M31" s="3"/>
      <c r="N31" s="2">
        <f>IF('Modell einstellen'!$B$1="Voll",H31/0.35,H31/0.35*2)</f>
        <v>7.1126620000000005E-3</v>
      </c>
      <c r="O31" s="2">
        <f>IF('Modell einstellen'!$B$1="Voll",J31/0.35,J31/0.35*2)</f>
        <v>-1.4895274571428573E-2</v>
      </c>
      <c r="P31" s="3">
        <f t="shared" si="1"/>
        <v>0.47751130507142042</v>
      </c>
      <c r="Q31" s="3"/>
      <c r="R31" s="3"/>
      <c r="S31" s="3"/>
      <c r="T31" s="3"/>
      <c r="U31" s="3"/>
    </row>
    <row r="32" spans="1:21" x14ac:dyDescent="0.25">
      <c r="A32" s="3">
        <v>100000000000000</v>
      </c>
      <c r="B32" s="3">
        <v>-1.244E-2</v>
      </c>
      <c r="C32" s="3">
        <v>5.9930000000000001E-3</v>
      </c>
      <c r="D32" s="3">
        <v>6.1180000000000002E-3</v>
      </c>
      <c r="E32" s="3">
        <v>0</v>
      </c>
      <c r="F32" s="3">
        <v>0</v>
      </c>
      <c r="G32" s="3">
        <v>0</v>
      </c>
      <c r="H32" s="3">
        <v>3.6301923000000001E-3</v>
      </c>
      <c r="I32" s="3">
        <v>1.0699716000000001E-3</v>
      </c>
      <c r="J32" s="3">
        <v>-7.5153310999999997E-3</v>
      </c>
      <c r="K32" s="3"/>
      <c r="L32" s="3">
        <f t="shared" si="0"/>
        <v>2.0333442301405689</v>
      </c>
      <c r="M32" s="3"/>
      <c r="N32" s="2">
        <f>IF('Modell einstellen'!$B$1="Voll",H32/0.35,H32/0.35*2)</f>
        <v>1.0371978E-2</v>
      </c>
      <c r="O32" s="2">
        <f>IF('Modell einstellen'!$B$1="Voll",J32/0.35,J32/0.35*2)</f>
        <v>-2.1472374571428574E-2</v>
      </c>
      <c r="P32" s="3">
        <f t="shared" si="1"/>
        <v>0.48303823899388809</v>
      </c>
      <c r="Q32" s="3"/>
      <c r="R32" s="3"/>
      <c r="S32" s="3"/>
      <c r="T32" s="3"/>
      <c r="U32" s="3"/>
    </row>
    <row r="33" spans="1:21" x14ac:dyDescent="0.25">
      <c r="A33" s="2">
        <v>1000000000000000</v>
      </c>
      <c r="B33" s="3">
        <v>-1.436E-2</v>
      </c>
      <c r="C33" s="3">
        <v>6.8149999999999999E-3</v>
      </c>
      <c r="D33" s="3">
        <v>7.2150000000000001E-3</v>
      </c>
      <c r="E33" s="3">
        <v>0</v>
      </c>
      <c r="F33" s="3">
        <v>0</v>
      </c>
      <c r="G33" s="3">
        <v>0</v>
      </c>
      <c r="H33" s="3">
        <v>4.1610880999999999E-3</v>
      </c>
      <c r="I33" s="3">
        <v>1.2351806E-3</v>
      </c>
      <c r="J33" s="3">
        <v>-8.6153549000000003E-3</v>
      </c>
      <c r="K33" s="3"/>
      <c r="L33" s="3">
        <f t="shared" si="0"/>
        <v>1.9902979902979903</v>
      </c>
      <c r="M33" s="3"/>
      <c r="N33" s="2">
        <f>IF('Modell einstellen'!$B$1="Voll",H33/0.35,H33/0.35*2)</f>
        <v>1.1888823142857143E-2</v>
      </c>
      <c r="O33" s="2">
        <f>IF('Modell einstellen'!$B$1="Voll",J33/0.35,J33/0.35*2)</f>
        <v>-2.4615299714285718E-2</v>
      </c>
      <c r="P33" s="3">
        <f t="shared" si="1"/>
        <v>0.48298510604595052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4.634E-5</v>
      </c>
      <c r="C3" s="3">
        <v>1.5569999999999999E-4</v>
      </c>
      <c r="D3" s="3">
        <v>-4.7449999999999999E-4</v>
      </c>
      <c r="E3" s="3">
        <v>0</v>
      </c>
      <c r="F3" s="3">
        <v>0</v>
      </c>
      <c r="G3" s="3">
        <v>0</v>
      </c>
      <c r="H3" s="3">
        <v>7.1422107999999997E-5</v>
      </c>
      <c r="I3" s="3">
        <v>1.5889279999999999E-5</v>
      </c>
      <c r="J3" s="3">
        <v>-1.9867771999999999E-4</v>
      </c>
      <c r="K3" s="2"/>
      <c r="L3" s="3"/>
      <c r="M3" s="3"/>
      <c r="N3" s="2">
        <f>IF('Modell einstellen'!$B$1="Voll",H3/0.35,H3/0.35*2)</f>
        <v>2.0406316571428571E-4</v>
      </c>
      <c r="O3" s="2">
        <f>IF('Modell einstellen'!$B$1="Voll",J3/0.35,J3/0.35*2)</f>
        <v>-5.6765062857142858E-4</v>
      </c>
      <c r="P3" s="3">
        <f>-N3/O3</f>
        <v>0.35948725403130255</v>
      </c>
      <c r="Q3" s="3"/>
      <c r="R3" s="3"/>
      <c r="S3" s="3"/>
      <c r="T3" s="3"/>
      <c r="U3" s="3"/>
    </row>
    <row r="4" spans="1:21" x14ac:dyDescent="0.25">
      <c r="A4" s="3">
        <v>1E-14</v>
      </c>
      <c r="B4" s="3">
        <v>4.634E-5</v>
      </c>
      <c r="C4" s="3">
        <v>1.5569999999999999E-4</v>
      </c>
      <c r="D4" s="3">
        <v>-4.7449999999999999E-4</v>
      </c>
      <c r="E4" s="3">
        <v>0</v>
      </c>
      <c r="F4" s="3">
        <v>0</v>
      </c>
      <c r="G4" s="3">
        <v>0</v>
      </c>
      <c r="H4" s="3">
        <v>7.1423918000000002E-5</v>
      </c>
      <c r="I4" s="3">
        <v>1.5890344999999999E-5</v>
      </c>
      <c r="J4" s="3">
        <v>-1.9867396999999999E-4</v>
      </c>
      <c r="K4" s="2"/>
      <c r="L4" s="3"/>
      <c r="M4" s="3"/>
      <c r="N4" s="2">
        <f>IF('Modell einstellen'!$B$1="Voll",H4/0.35,H4/0.35*2)</f>
        <v>2.0406833714285716E-4</v>
      </c>
      <c r="O4" s="2">
        <f>IF('Modell einstellen'!$B$1="Voll",J4/0.35,J4/0.35*2)</f>
        <v>-5.6763991428571429E-4</v>
      </c>
      <c r="P4" s="3">
        <f t="shared" ref="P4:P33" si="0">-N4/O4</f>
        <v>0.35950314980870418</v>
      </c>
      <c r="Q4" s="3"/>
      <c r="R4" s="3"/>
      <c r="S4" s="3"/>
      <c r="T4" s="3"/>
      <c r="U4" s="3"/>
    </row>
    <row r="5" spans="1:21" x14ac:dyDescent="0.25">
      <c r="A5" s="3">
        <v>1E-13</v>
      </c>
      <c r="B5" s="3">
        <v>4.634E-5</v>
      </c>
      <c r="C5" s="3">
        <v>1.5569999999999999E-4</v>
      </c>
      <c r="D5" s="3">
        <v>-4.7449999999999999E-4</v>
      </c>
      <c r="E5" s="3">
        <v>0</v>
      </c>
      <c r="F5" s="3">
        <v>0</v>
      </c>
      <c r="G5" s="3">
        <v>0</v>
      </c>
      <c r="H5" s="3">
        <v>7.1425220999999999E-5</v>
      </c>
      <c r="I5" s="3">
        <v>1.5890621000000001E-5</v>
      </c>
      <c r="J5" s="3">
        <v>-1.9867644000000001E-4</v>
      </c>
      <c r="K5" s="2"/>
      <c r="L5" s="3"/>
      <c r="M5" s="3"/>
      <c r="N5" s="2">
        <f>IF('Modell einstellen'!$B$1="Voll",H5/0.35,H5/0.35*2)</f>
        <v>2.0407206E-4</v>
      </c>
      <c r="O5" s="2">
        <f>IF('Modell einstellen'!$B$1="Voll",J5/0.35,J5/0.35*2)</f>
        <v>-5.6764697142857147E-4</v>
      </c>
      <c r="P5" s="3">
        <f t="shared" si="0"/>
        <v>0.35950523876912627</v>
      </c>
      <c r="Q5" s="3"/>
      <c r="R5" s="3"/>
      <c r="S5" s="3"/>
      <c r="T5" s="3"/>
      <c r="U5" s="3"/>
    </row>
    <row r="6" spans="1:21" x14ac:dyDescent="0.25">
      <c r="A6" s="3">
        <v>9.9999999999999998E-13</v>
      </c>
      <c r="B6" s="3">
        <v>4.6329999999999999E-5</v>
      </c>
      <c r="C6" s="3">
        <v>1.5569999999999999E-4</v>
      </c>
      <c r="D6" s="3">
        <v>-4.7449999999999999E-4</v>
      </c>
      <c r="E6" s="3">
        <v>0</v>
      </c>
      <c r="F6" s="3">
        <v>0</v>
      </c>
      <c r="G6" s="3">
        <v>0</v>
      </c>
      <c r="H6" s="3">
        <v>7.1434596999999994E-5</v>
      </c>
      <c r="I6" s="3">
        <v>1.5891780000000001E-5</v>
      </c>
      <c r="J6" s="3">
        <v>-1.9869158000000001E-4</v>
      </c>
      <c r="K6" s="2"/>
      <c r="L6" s="3"/>
      <c r="M6" s="3"/>
      <c r="N6" s="2">
        <f>IF('Modell einstellen'!$B$1="Voll",H6/0.35,H6/0.35*2)</f>
        <v>2.0409884857142856E-4</v>
      </c>
      <c r="O6" s="2">
        <f>IF('Modell einstellen'!$B$1="Voll",J6/0.35,J6/0.35*2)</f>
        <v>-5.6769022857142864E-4</v>
      </c>
      <c r="P6" s="3">
        <f t="shared" si="0"/>
        <v>0.35952503372311995</v>
      </c>
      <c r="Q6" s="3"/>
      <c r="R6" s="3"/>
      <c r="S6" s="3"/>
      <c r="T6" s="3"/>
      <c r="U6" s="3"/>
    </row>
    <row r="7" spans="1:21" x14ac:dyDescent="0.25">
      <c r="A7" s="3">
        <v>9.9999999999999994E-12</v>
      </c>
      <c r="B7" s="3">
        <v>4.6230000000000003E-5</v>
      </c>
      <c r="C7" s="3">
        <v>1.5579999999999999E-4</v>
      </c>
      <c r="D7" s="3">
        <v>-4.7459999999999999E-4</v>
      </c>
      <c r="E7" s="3">
        <v>0</v>
      </c>
      <c r="F7" s="3">
        <v>0</v>
      </c>
      <c r="G7" s="3">
        <v>0</v>
      </c>
      <c r="H7" s="3">
        <v>7.1525632999999995E-5</v>
      </c>
      <c r="I7" s="3">
        <v>1.5902747000000001E-5</v>
      </c>
      <c r="J7" s="3">
        <v>-1.9883764000000001E-4</v>
      </c>
      <c r="K7" s="2"/>
      <c r="L7" s="3"/>
      <c r="M7" s="3"/>
      <c r="N7" s="2">
        <f>IF('Modell einstellen'!$B$1="Voll",H7/0.35,H7/0.35*2)</f>
        <v>2.0435895142857142E-4</v>
      </c>
      <c r="O7" s="2">
        <f>IF('Modell einstellen'!$B$1="Voll",J7/0.35,J7/0.35*2)</f>
        <v>-5.6810754285714291E-4</v>
      </c>
      <c r="P7" s="3">
        <f t="shared" si="0"/>
        <v>0.35971877859745266</v>
      </c>
      <c r="Q7" s="3"/>
      <c r="R7" s="3"/>
      <c r="S7" s="3"/>
      <c r="T7" s="3"/>
      <c r="U7" s="3"/>
    </row>
    <row r="8" spans="1:21" x14ac:dyDescent="0.25">
      <c r="A8" s="3">
        <v>1E-10</v>
      </c>
      <c r="B8" s="3">
        <v>4.5370000000000001E-5</v>
      </c>
      <c r="C8" s="3">
        <v>1.5660000000000001E-4</v>
      </c>
      <c r="D8" s="3">
        <v>-4.752E-4</v>
      </c>
      <c r="E8" s="3">
        <v>0</v>
      </c>
      <c r="F8" s="3">
        <v>0</v>
      </c>
      <c r="G8" s="3">
        <v>0</v>
      </c>
      <c r="H8" s="3">
        <v>7.2292843999999994E-5</v>
      </c>
      <c r="I8" s="3">
        <v>1.5994869E-5</v>
      </c>
      <c r="J8" s="3">
        <v>-2.0006703E-4</v>
      </c>
      <c r="K8" s="2"/>
      <c r="L8" s="3"/>
      <c r="M8" s="3"/>
      <c r="N8" s="2">
        <f>IF('Modell einstellen'!$B$1="Voll",H8/0.35,H8/0.35*2)</f>
        <v>2.0655098285714285E-4</v>
      </c>
      <c r="O8" s="2">
        <f>IF('Modell einstellen'!$B$1="Voll",J8/0.35,J8/0.35*2)</f>
        <v>-5.7162008571428572E-4</v>
      </c>
      <c r="P8" s="3">
        <f t="shared" si="0"/>
        <v>0.36134311585472129</v>
      </c>
      <c r="Q8" s="3"/>
      <c r="R8" s="3"/>
      <c r="S8" s="3"/>
      <c r="T8" s="3"/>
      <c r="U8" s="3"/>
    </row>
    <row r="9" spans="1:21" x14ac:dyDescent="0.25">
      <c r="A9" s="3">
        <v>1.0000000000000001E-9</v>
      </c>
      <c r="B9" s="3">
        <v>4.32E-5</v>
      </c>
      <c r="C9" s="3">
        <v>1.594E-4</v>
      </c>
      <c r="D9" s="3">
        <v>-4.7780000000000001E-4</v>
      </c>
      <c r="E9" s="3">
        <v>0</v>
      </c>
      <c r="F9" s="3">
        <v>0</v>
      </c>
      <c r="G9" s="3">
        <v>0</v>
      </c>
      <c r="H9" s="3">
        <v>7.4688289999999994E-5</v>
      </c>
      <c r="I9" s="3">
        <v>1.6306532000000001E-5</v>
      </c>
      <c r="J9" s="3">
        <v>-2.0396804000000001E-4</v>
      </c>
      <c r="K9" s="2"/>
      <c r="L9" s="3"/>
      <c r="M9" s="3"/>
      <c r="N9" s="2">
        <f>IF('Modell einstellen'!$B$1="Voll",H9/0.35,H9/0.35*2)</f>
        <v>2.1339511428571429E-4</v>
      </c>
      <c r="O9" s="2">
        <f>IF('Modell einstellen'!$B$1="Voll",J9/0.35,J9/0.35*2)</f>
        <v>-5.8276582857142865E-4</v>
      </c>
      <c r="P9" s="3">
        <f t="shared" si="0"/>
        <v>0.3661764362691331</v>
      </c>
      <c r="Q9" s="3"/>
      <c r="R9" s="3"/>
      <c r="S9" s="3"/>
      <c r="T9" s="3"/>
      <c r="U9" s="3"/>
    </row>
    <row r="10" spans="1:21" x14ac:dyDescent="0.25">
      <c r="A10" s="3">
        <v>1E-8</v>
      </c>
      <c r="B10" s="3">
        <v>4.0410000000000001E-5</v>
      </c>
      <c r="C10" s="3">
        <v>1.6229999999999999E-4</v>
      </c>
      <c r="D10" s="3">
        <v>-4.7990000000000001E-4</v>
      </c>
      <c r="E10" s="3">
        <v>0</v>
      </c>
      <c r="F10" s="3">
        <v>0</v>
      </c>
      <c r="G10" s="3">
        <v>0</v>
      </c>
      <c r="H10" s="3">
        <v>7.7300443E-5</v>
      </c>
      <c r="I10" s="3">
        <v>1.6628824000000001E-5</v>
      </c>
      <c r="J10" s="3">
        <v>-2.0814609999999999E-4</v>
      </c>
      <c r="K10" s="2"/>
      <c r="L10" s="3"/>
      <c r="M10" s="3"/>
      <c r="N10" s="2">
        <f>IF('Modell einstellen'!$B$1="Voll",H10/0.35,H10/0.35*2)</f>
        <v>2.2085840857142858E-4</v>
      </c>
      <c r="O10" s="2">
        <f>IF('Modell einstellen'!$B$1="Voll",J10/0.35,J10/0.35*2)</f>
        <v>-5.9470314285714281E-4</v>
      </c>
      <c r="P10" s="3">
        <f t="shared" si="0"/>
        <v>0.37137588933926702</v>
      </c>
      <c r="Q10" s="3"/>
      <c r="R10" s="3"/>
      <c r="S10" s="3"/>
      <c r="T10" s="3"/>
      <c r="U10" s="3"/>
    </row>
    <row r="11" spans="1:21" x14ac:dyDescent="0.25">
      <c r="A11" s="3">
        <v>9.9999999999999995E-8</v>
      </c>
      <c r="B11" s="3">
        <v>3.6730000000000002E-5</v>
      </c>
      <c r="C11" s="3">
        <v>1.6559999999999999E-4</v>
      </c>
      <c r="D11" s="3">
        <v>-4.8210000000000001E-4</v>
      </c>
      <c r="E11" s="3">
        <v>0</v>
      </c>
      <c r="F11" s="3">
        <v>0</v>
      </c>
      <c r="G11" s="3">
        <v>0</v>
      </c>
      <c r="H11" s="3">
        <v>8.0480961999999993E-5</v>
      </c>
      <c r="I11" s="3">
        <v>1.7008900999999998E-5</v>
      </c>
      <c r="J11" s="3">
        <v>-2.1316980999999999E-4</v>
      </c>
      <c r="K11" s="2"/>
      <c r="L11" s="3"/>
      <c r="M11" s="3"/>
      <c r="N11" s="2">
        <f>IF('Modell einstellen'!$B$1="Voll",H11/0.35,H11/0.35*2)</f>
        <v>2.299456057142857E-4</v>
      </c>
      <c r="O11" s="2">
        <f>IF('Modell einstellen'!$B$1="Voll",J11/0.35,J11/0.35*2)</f>
        <v>-6.0905660000000006E-4</v>
      </c>
      <c r="P11" s="3">
        <f t="shared" si="0"/>
        <v>0.37754390267552423</v>
      </c>
      <c r="Q11" s="3"/>
      <c r="R11" s="3"/>
      <c r="S11" s="3"/>
      <c r="T11" s="3"/>
      <c r="U11" s="3"/>
    </row>
    <row r="12" spans="1:21" x14ac:dyDescent="0.25">
      <c r="A12" s="3">
        <v>9.9999999999999995E-7</v>
      </c>
      <c r="B12" s="3">
        <v>3.167E-5</v>
      </c>
      <c r="C12" s="3">
        <v>1.696E-4</v>
      </c>
      <c r="D12" s="3">
        <v>-4.84E-4</v>
      </c>
      <c r="E12" s="3">
        <v>0</v>
      </c>
      <c r="F12" s="3">
        <v>0</v>
      </c>
      <c r="G12" s="3">
        <v>0</v>
      </c>
      <c r="H12" s="3">
        <v>8.4489036000000002E-5</v>
      </c>
      <c r="I12" s="3">
        <v>1.7468550000000001E-5</v>
      </c>
      <c r="J12" s="3">
        <v>-2.1940258000000001E-4</v>
      </c>
      <c r="K12" s="2"/>
      <c r="L12" s="3"/>
      <c r="M12" s="3"/>
      <c r="N12" s="2">
        <f>IF('Modell einstellen'!$B$1="Voll",H12/0.35,H12/0.35*2)</f>
        <v>2.4139724571428574E-4</v>
      </c>
      <c r="O12" s="2">
        <f>IF('Modell einstellen'!$B$1="Voll",J12/0.35,J12/0.35*2)</f>
        <v>-6.2686451428571436E-4</v>
      </c>
      <c r="P12" s="3">
        <f t="shared" si="0"/>
        <v>0.38508679341874646</v>
      </c>
      <c r="Q12" s="3"/>
      <c r="R12" s="3"/>
      <c r="S12" s="3"/>
      <c r="T12" s="3"/>
      <c r="U12" s="3"/>
    </row>
    <row r="13" spans="1:21" x14ac:dyDescent="0.25">
      <c r="A13" s="3">
        <v>1.0000000000000001E-5</v>
      </c>
      <c r="B13" s="3">
        <v>2.5539999999999999E-5</v>
      </c>
      <c r="C13" s="3">
        <v>1.738E-4</v>
      </c>
      <c r="D13" s="3">
        <v>-4.8509999999999997E-4</v>
      </c>
      <c r="E13" s="3">
        <v>0</v>
      </c>
      <c r="F13" s="3">
        <v>0</v>
      </c>
      <c r="G13" s="3">
        <v>0</v>
      </c>
      <c r="H13" s="3">
        <v>8.8926304E-5</v>
      </c>
      <c r="I13" s="3">
        <v>1.7952660999999998E-5</v>
      </c>
      <c r="J13" s="3">
        <v>-2.2617833000000001E-4</v>
      </c>
      <c r="K13" s="2"/>
      <c r="L13" s="3"/>
      <c r="M13" s="3"/>
      <c r="N13" s="2">
        <f>IF('Modell einstellen'!$B$1="Voll",H13/0.35,H13/0.35*2)</f>
        <v>2.5407515428571429E-4</v>
      </c>
      <c r="O13" s="2">
        <f>IF('Modell einstellen'!$B$1="Voll",J13/0.35,J13/0.35*2)</f>
        <v>-6.4622380000000008E-4</v>
      </c>
      <c r="P13" s="3">
        <f t="shared" si="0"/>
        <v>0.39316898307631853</v>
      </c>
      <c r="Q13" s="3"/>
      <c r="R13" s="3"/>
      <c r="S13" s="3"/>
      <c r="T13" s="3"/>
      <c r="U13" s="3"/>
    </row>
    <row r="14" spans="1:21" x14ac:dyDescent="0.25">
      <c r="A14" s="3">
        <v>1E-4</v>
      </c>
      <c r="B14" s="3">
        <v>1.6310000000000001E-5</v>
      </c>
      <c r="C14" s="3">
        <v>1.7919999999999999E-4</v>
      </c>
      <c r="D14" s="3">
        <v>-4.8529999999999998E-4</v>
      </c>
      <c r="E14" s="3">
        <v>0</v>
      </c>
      <c r="F14" s="3">
        <v>0</v>
      </c>
      <c r="G14" s="3">
        <v>0</v>
      </c>
      <c r="H14" s="3">
        <v>9.5062217000000006E-5</v>
      </c>
      <c r="I14" s="3">
        <v>1.8584547E-5</v>
      </c>
      <c r="J14" s="3">
        <v>-2.3536237000000001E-4</v>
      </c>
      <c r="K14" s="2"/>
      <c r="L14" s="3"/>
      <c r="M14" s="3"/>
      <c r="N14" s="2">
        <f>IF('Modell einstellen'!$B$1="Voll",H14/0.35,H14/0.35*2)</f>
        <v>2.7160633428571432E-4</v>
      </c>
      <c r="O14" s="2">
        <f>IF('Modell einstellen'!$B$1="Voll",J14/0.35,J14/0.35*2)</f>
        <v>-6.724639142857144E-4</v>
      </c>
      <c r="P14" s="3">
        <f t="shared" si="0"/>
        <v>0.40389726276124766</v>
      </c>
      <c r="Q14" s="3"/>
      <c r="R14" s="3"/>
      <c r="S14" s="3"/>
      <c r="T14" s="3"/>
      <c r="U14" s="3"/>
    </row>
    <row r="15" spans="1:21" x14ac:dyDescent="0.25">
      <c r="A15" s="3">
        <v>1E-3</v>
      </c>
      <c r="B15" s="3">
        <v>3.7290000000000002E-6</v>
      </c>
      <c r="C15" s="3">
        <v>1.853E-4</v>
      </c>
      <c r="D15" s="3">
        <v>-4.8319999999999998E-4</v>
      </c>
      <c r="E15" s="3">
        <v>0</v>
      </c>
      <c r="F15" s="3">
        <v>0</v>
      </c>
      <c r="G15" s="3">
        <v>0</v>
      </c>
      <c r="H15" s="3">
        <v>1.0261869999999999E-4</v>
      </c>
      <c r="I15" s="3">
        <v>1.9303414000000001E-5</v>
      </c>
      <c r="J15" s="3">
        <v>-2.4637964000000001E-4</v>
      </c>
      <c r="K15" s="2"/>
      <c r="L15" s="3"/>
      <c r="M15" s="3"/>
      <c r="N15" s="2">
        <f>IF('Modell einstellen'!$B$1="Voll",H15/0.35,H15/0.35*2)</f>
        <v>2.9319628571428569E-4</v>
      </c>
      <c r="O15" s="2">
        <f>IF('Modell einstellen'!$B$1="Voll",J15/0.35,J15/0.35*2)</f>
        <v>-7.0394182857142862E-4</v>
      </c>
      <c r="P15" s="3">
        <f t="shared" si="0"/>
        <v>0.4165064126240301</v>
      </c>
      <c r="Q15" s="3"/>
      <c r="R15" s="3"/>
      <c r="S15" s="3"/>
      <c r="T15" s="3"/>
      <c r="U15" s="3"/>
    </row>
    <row r="16" spans="1:21" x14ac:dyDescent="0.25">
      <c r="A16" s="3">
        <v>0.01</v>
      </c>
      <c r="B16" s="3">
        <v>-1.169E-5</v>
      </c>
      <c r="C16" s="3">
        <v>1.9139999999999999E-4</v>
      </c>
      <c r="D16" s="3">
        <v>-4.7839999999999997E-4</v>
      </c>
      <c r="E16" s="3">
        <v>0</v>
      </c>
      <c r="F16" s="3">
        <v>0</v>
      </c>
      <c r="G16" s="3">
        <v>0</v>
      </c>
      <c r="H16" s="3">
        <v>1.1104581999999999E-4</v>
      </c>
      <c r="I16" s="3">
        <v>2.0037308000000001E-5</v>
      </c>
      <c r="J16" s="3">
        <v>-2.5833106999999998E-4</v>
      </c>
      <c r="K16" s="2"/>
      <c r="L16" s="3"/>
      <c r="M16" s="3"/>
      <c r="N16" s="2">
        <f>IF('Modell einstellen'!$B$1="Voll",H16/0.35,H16/0.35*2)</f>
        <v>3.1727377142857144E-4</v>
      </c>
      <c r="O16" s="2">
        <f>IF('Modell einstellen'!$B$1="Voll",J16/0.35,J16/0.35*2)</f>
        <v>-7.3808877142857144E-4</v>
      </c>
      <c r="P16" s="3">
        <f t="shared" si="0"/>
        <v>0.42985855321235655</v>
      </c>
      <c r="Q16" s="3"/>
      <c r="R16" s="3"/>
      <c r="S16" s="3"/>
      <c r="T16" s="3"/>
      <c r="U16" s="3"/>
    </row>
    <row r="17" spans="1:21" x14ac:dyDescent="0.25">
      <c r="A17" s="3">
        <v>0.1</v>
      </c>
      <c r="B17" s="3">
        <v>-3.2299999999999999E-5</v>
      </c>
      <c r="C17" s="3">
        <v>1.9819999999999999E-4</v>
      </c>
      <c r="D17" s="3">
        <v>-4.6969999999999998E-4</v>
      </c>
      <c r="E17" s="3">
        <v>0</v>
      </c>
      <c r="F17" s="3">
        <v>0</v>
      </c>
      <c r="G17" s="3">
        <v>0</v>
      </c>
      <c r="H17" s="3">
        <v>1.2148573E-4</v>
      </c>
      <c r="I17" s="3">
        <v>2.0879131E-5</v>
      </c>
      <c r="J17" s="3">
        <v>-2.727804E-4</v>
      </c>
      <c r="K17" s="2"/>
      <c r="L17" s="3"/>
      <c r="M17" s="3"/>
      <c r="N17" s="2">
        <f>IF('Modell einstellen'!$B$1="Voll",H17/0.35,H17/0.35*2)</f>
        <v>3.4710208571428572E-4</v>
      </c>
      <c r="O17" s="2">
        <f>IF('Modell einstellen'!$B$1="Voll",J17/0.35,J17/0.35*2)</f>
        <v>-7.7937257142857153E-4</v>
      </c>
      <c r="P17" s="3">
        <f t="shared" si="0"/>
        <v>0.44536092035938063</v>
      </c>
      <c r="Q17" s="3"/>
      <c r="R17" s="3"/>
      <c r="S17" s="3"/>
      <c r="T17" s="3"/>
      <c r="U17" s="3"/>
    </row>
    <row r="18" spans="1:21" x14ac:dyDescent="0.25">
      <c r="A18" s="3">
        <v>1</v>
      </c>
      <c r="B18" s="3">
        <v>-5.8440000000000003E-5</v>
      </c>
      <c r="C18" s="3">
        <v>2.0719999999999999E-4</v>
      </c>
      <c r="D18" s="3">
        <v>-4.5770000000000001E-4</v>
      </c>
      <c r="E18" s="3">
        <v>0</v>
      </c>
      <c r="F18" s="3">
        <v>0</v>
      </c>
      <c r="G18" s="3">
        <v>0</v>
      </c>
      <c r="H18" s="3">
        <v>1.3446599000000001E-4</v>
      </c>
      <c r="I18" s="3">
        <v>2.1996543999999999E-5</v>
      </c>
      <c r="J18" s="3">
        <v>-2.9076988999999999E-4</v>
      </c>
      <c r="K18" s="2"/>
      <c r="L18" s="3"/>
      <c r="M18" s="3"/>
      <c r="N18" s="2">
        <f>IF('Modell einstellen'!$B$1="Voll",H18/0.35,H18/0.35*2)</f>
        <v>3.8418854285714291E-4</v>
      </c>
      <c r="O18" s="2">
        <f>IF('Modell einstellen'!$B$1="Voll",J18/0.35,J18/0.35*2)</f>
        <v>-8.3077111428571425E-4</v>
      </c>
      <c r="P18" s="3">
        <f t="shared" si="0"/>
        <v>0.4624481234972439</v>
      </c>
      <c r="Q18" s="3"/>
      <c r="R18" s="3"/>
      <c r="S18" s="3"/>
      <c r="T18" s="3"/>
      <c r="U18" s="3"/>
    </row>
    <row r="19" spans="1:21" x14ac:dyDescent="0.25">
      <c r="A19" s="3">
        <v>10</v>
      </c>
      <c r="B19" s="3">
        <v>-9.0669999999999998E-5</v>
      </c>
      <c r="C19" s="3">
        <v>2.3120000000000001E-4</v>
      </c>
      <c r="D19" s="3">
        <v>-4.5399999999999998E-4</v>
      </c>
      <c r="E19" s="3">
        <v>0</v>
      </c>
      <c r="F19" s="3">
        <v>0</v>
      </c>
      <c r="G19" s="3">
        <v>0</v>
      </c>
      <c r="H19" s="3">
        <v>1.5504871999999999E-4</v>
      </c>
      <c r="I19" s="3">
        <v>2.4951475000000002E-5</v>
      </c>
      <c r="J19" s="3">
        <v>-3.2275541999999998E-4</v>
      </c>
      <c r="K19" s="2"/>
      <c r="L19" s="3"/>
      <c r="M19" s="3"/>
      <c r="N19" s="2">
        <f>IF('Modell einstellen'!$B$1="Voll",H19/0.35,H19/0.35*2)</f>
        <v>4.4299634285714288E-4</v>
      </c>
      <c r="O19" s="2">
        <f>IF('Modell einstellen'!$B$1="Voll",J19/0.35,J19/0.35*2)</f>
        <v>-9.2215834285714292E-4</v>
      </c>
      <c r="P19" s="3">
        <f t="shared" si="0"/>
        <v>0.48039075532798176</v>
      </c>
      <c r="Q19" s="3"/>
      <c r="R19" s="3"/>
      <c r="S19" s="3"/>
      <c r="T19" s="3"/>
      <c r="U19" s="3"/>
    </row>
    <row r="20" spans="1:21" x14ac:dyDescent="0.25">
      <c r="A20" s="3">
        <v>100</v>
      </c>
      <c r="B20" s="3">
        <v>-1.261E-4</v>
      </c>
      <c r="C20" s="3">
        <v>2.943E-4</v>
      </c>
      <c r="D20" s="3">
        <v>-4.8289999999999997E-4</v>
      </c>
      <c r="E20" s="3">
        <v>0</v>
      </c>
      <c r="F20" s="3">
        <v>0</v>
      </c>
      <c r="G20" s="3">
        <v>0</v>
      </c>
      <c r="H20" s="3">
        <v>1.8963494999999999E-4</v>
      </c>
      <c r="I20" s="3">
        <v>3.2943091999999998E-5</v>
      </c>
      <c r="J20" s="3">
        <v>-3.8606619000000001E-4</v>
      </c>
      <c r="K20" s="2"/>
      <c r="L20" s="3"/>
      <c r="M20" s="3"/>
      <c r="N20" s="2">
        <f>IF('Modell einstellen'!$B$1="Voll",H20/0.35,H20/0.35*2)</f>
        <v>5.4181414285714284E-4</v>
      </c>
      <c r="O20" s="2">
        <f>IF('Modell einstellen'!$B$1="Voll",J20/0.35,J20/0.35*2)</f>
        <v>-1.1030462571428572E-3</v>
      </c>
      <c r="P20" s="3">
        <f t="shared" si="0"/>
        <v>0.49119802487754749</v>
      </c>
      <c r="Q20" s="3"/>
      <c r="R20" s="3"/>
      <c r="S20" s="3"/>
      <c r="T20" s="3"/>
      <c r="U20" s="3"/>
    </row>
    <row r="21" spans="1:21" x14ac:dyDescent="0.25">
      <c r="A21" s="3">
        <v>1000</v>
      </c>
      <c r="B21" s="3">
        <v>-2.0770000000000001E-4</v>
      </c>
      <c r="C21" s="3">
        <v>4.0269999999999998E-4</v>
      </c>
      <c r="D21" s="3">
        <v>-5.1029999999999999E-4</v>
      </c>
      <c r="E21" s="3">
        <v>0</v>
      </c>
      <c r="F21" s="3">
        <v>0</v>
      </c>
      <c r="G21" s="3">
        <v>0</v>
      </c>
      <c r="H21" s="3">
        <v>2.4670156999999999E-4</v>
      </c>
      <c r="I21" s="3">
        <v>4.7645570000000001E-5</v>
      </c>
      <c r="J21" s="3">
        <v>-4.9591957000000005E-4</v>
      </c>
      <c r="K21" s="2"/>
      <c r="L21" s="3"/>
      <c r="M21" s="3"/>
      <c r="N21" s="2">
        <f>IF('Modell einstellen'!$B$1="Voll",H21/0.35,H21/0.35*2)</f>
        <v>7.0486162857142862E-4</v>
      </c>
      <c r="O21" s="2">
        <f>IF('Modell einstellen'!$B$1="Voll",J21/0.35,J21/0.35*2)</f>
        <v>-1.4169130571428574E-3</v>
      </c>
      <c r="P21" s="3">
        <f t="shared" si="0"/>
        <v>0.49746286479478913</v>
      </c>
      <c r="Q21" s="3"/>
      <c r="R21" s="3"/>
      <c r="S21" s="3"/>
      <c r="T21" s="3"/>
      <c r="U21" s="3"/>
    </row>
    <row r="22" spans="1:21" x14ac:dyDescent="0.25">
      <c r="A22" s="3">
        <v>10000</v>
      </c>
      <c r="B22" s="3">
        <v>-4.595E-4</v>
      </c>
      <c r="C22" s="3">
        <v>5.71E-4</v>
      </c>
      <c r="D22" s="3">
        <v>-4.3110000000000002E-4</v>
      </c>
      <c r="E22" s="3">
        <v>0</v>
      </c>
      <c r="F22" s="3">
        <v>0</v>
      </c>
      <c r="G22" s="3">
        <v>0</v>
      </c>
      <c r="H22" s="3">
        <v>3.5507052000000001E-4</v>
      </c>
      <c r="I22" s="3">
        <v>7.2934597999999999E-5</v>
      </c>
      <c r="J22" s="3">
        <v>-6.9622724000000002E-4</v>
      </c>
      <c r="K22" s="2"/>
      <c r="L22" s="3"/>
      <c r="M22" s="3"/>
      <c r="N22" s="2">
        <f>IF('Modell einstellen'!$B$1="Voll",H22/0.35,H22/0.35*2)</f>
        <v>1.0144872000000002E-3</v>
      </c>
      <c r="O22" s="2">
        <f>IF('Modell einstellen'!$B$1="Voll",J22/0.35,J22/0.35*2)</f>
        <v>-1.989220685714286E-3</v>
      </c>
      <c r="P22" s="3">
        <f t="shared" si="0"/>
        <v>0.50999228355385806</v>
      </c>
      <c r="Q22" s="3"/>
      <c r="R22" s="3"/>
      <c r="S22" s="3"/>
      <c r="T22" s="3"/>
      <c r="U22" s="3"/>
    </row>
    <row r="23" spans="1:21" x14ac:dyDescent="0.25">
      <c r="A23" s="3">
        <v>100000</v>
      </c>
      <c r="B23" s="3">
        <v>-1.1670000000000001E-3</v>
      </c>
      <c r="C23" s="3">
        <v>8.5959999999999997E-4</v>
      </c>
      <c r="D23" s="3">
        <v>-1.906E-5</v>
      </c>
      <c r="E23" s="3">
        <v>0</v>
      </c>
      <c r="F23" s="3">
        <v>0</v>
      </c>
      <c r="G23" s="3">
        <v>0</v>
      </c>
      <c r="H23" s="3">
        <v>5.8302310000000004E-4</v>
      </c>
      <c r="I23" s="3">
        <v>1.2111107E-4</v>
      </c>
      <c r="J23" s="3">
        <v>-1.0997963E-3</v>
      </c>
      <c r="K23" s="2"/>
      <c r="L23" s="3"/>
      <c r="M23" s="3"/>
      <c r="N23" s="2">
        <f>IF('Modell einstellen'!$B$1="Voll",H23/0.35,H23/0.35*2)</f>
        <v>1.6657802857142859E-3</v>
      </c>
      <c r="O23" s="2">
        <f>IF('Modell einstellen'!$B$1="Voll",J23/0.35,J23/0.35*2)</f>
        <v>-3.1422751428571431E-3</v>
      </c>
      <c r="P23" s="3">
        <f t="shared" si="0"/>
        <v>0.53011916843146323</v>
      </c>
      <c r="Q23" s="3"/>
      <c r="R23" s="3"/>
      <c r="S23" s="3"/>
      <c r="T23" s="3"/>
      <c r="U23" s="3"/>
    </row>
    <row r="24" spans="1:21" x14ac:dyDescent="0.25">
      <c r="A24" s="3">
        <v>1000000</v>
      </c>
      <c r="B24" s="3">
        <v>-2.7959999999999999E-3</v>
      </c>
      <c r="C24" s="3">
        <v>1.41E-3</v>
      </c>
      <c r="D24" s="3">
        <v>1.0549999999999999E-3</v>
      </c>
      <c r="E24" s="3">
        <v>0</v>
      </c>
      <c r="F24" s="3">
        <v>0</v>
      </c>
      <c r="G24" s="3">
        <v>0</v>
      </c>
      <c r="H24" s="3">
        <v>1.0345126E-3</v>
      </c>
      <c r="I24" s="3">
        <v>2.1798738E-4</v>
      </c>
      <c r="J24" s="3">
        <v>-1.9022453E-3</v>
      </c>
      <c r="K24" s="2"/>
      <c r="L24" s="3"/>
      <c r="M24" s="3"/>
      <c r="N24" s="2">
        <f>IF('Modell einstellen'!$B$1="Voll",H24/0.35,H24/0.35*2)</f>
        <v>2.955750285714286E-3</v>
      </c>
      <c r="O24" s="2">
        <f>IF('Modell einstellen'!$B$1="Voll",J24/0.35,J24/0.35*2)</f>
        <v>-5.4349865714285722E-3</v>
      </c>
      <c r="P24" s="3">
        <f t="shared" si="0"/>
        <v>0.54383764281084046</v>
      </c>
      <c r="Q24" s="3"/>
      <c r="R24" s="3"/>
      <c r="S24" s="3"/>
      <c r="T24" s="3"/>
      <c r="U24" s="3"/>
    </row>
    <row r="25" spans="1:21" x14ac:dyDescent="0.25">
      <c r="A25" s="3">
        <v>10000000</v>
      </c>
      <c r="B25" s="3">
        <v>-6.0039999999999998E-3</v>
      </c>
      <c r="C25" s="3">
        <v>2.4729999999999999E-3</v>
      </c>
      <c r="D25" s="3">
        <v>3.1979999999999999E-3</v>
      </c>
      <c r="E25" s="3">
        <v>0</v>
      </c>
      <c r="F25" s="3">
        <v>0</v>
      </c>
      <c r="G25" s="3">
        <v>0</v>
      </c>
      <c r="H25" s="3">
        <v>1.8615423E-3</v>
      </c>
      <c r="I25" s="3">
        <v>4.0890441999999998E-4</v>
      </c>
      <c r="J25" s="3">
        <v>-3.4140388000000002E-3</v>
      </c>
      <c r="K25" s="2"/>
      <c r="L25" s="3"/>
      <c r="M25" s="3"/>
      <c r="N25" s="2">
        <f>IF('Modell einstellen'!$B$1="Voll",H25/0.35,H25/0.35*2)</f>
        <v>5.3186922857142863E-3</v>
      </c>
      <c r="O25" s="2">
        <f>IF('Modell einstellen'!$B$1="Voll",J25/0.35,J25/0.35*2)</f>
        <v>-9.7543965714285731E-3</v>
      </c>
      <c r="P25" s="3">
        <f t="shared" si="0"/>
        <v>0.54526102632459827</v>
      </c>
      <c r="Q25" s="3"/>
      <c r="R25" s="3"/>
      <c r="S25" s="3"/>
      <c r="T25" s="3"/>
      <c r="U25" s="3"/>
    </row>
    <row r="26" spans="1:21" x14ac:dyDescent="0.25">
      <c r="A26" s="3">
        <v>100000000</v>
      </c>
      <c r="B26" s="3">
        <v>-1.1209999999999999E-2</v>
      </c>
      <c r="C26" s="3">
        <v>4.2770000000000004E-3</v>
      </c>
      <c r="D26" s="3">
        <v>6.5970000000000004E-3</v>
      </c>
      <c r="E26" s="3">
        <v>0</v>
      </c>
      <c r="F26" s="3">
        <v>0</v>
      </c>
      <c r="G26" s="3">
        <v>0</v>
      </c>
      <c r="H26" s="3">
        <v>3.1772236000000001E-3</v>
      </c>
      <c r="I26" s="3">
        <v>7.4146759999999998E-4</v>
      </c>
      <c r="J26" s="3">
        <v>-5.9029757000000002E-3</v>
      </c>
      <c r="K26" s="2"/>
      <c r="L26" s="3"/>
      <c r="M26" s="3"/>
      <c r="N26" s="2">
        <f>IF('Modell einstellen'!$B$1="Voll",H26/0.35,H26/0.35*2)</f>
        <v>9.0777817142857157E-3</v>
      </c>
      <c r="O26" s="2">
        <f>IF('Modell einstellen'!$B$1="Voll",J26/0.35,J26/0.35*2)</f>
        <v>-1.6865644857142859E-2</v>
      </c>
      <c r="P26" s="3">
        <f t="shared" si="0"/>
        <v>0.53824100953015952</v>
      </c>
      <c r="Q26" s="3"/>
      <c r="R26" s="3"/>
      <c r="S26" s="3"/>
      <c r="T26" s="3"/>
      <c r="U26" s="3"/>
    </row>
    <row r="27" spans="1:21" x14ac:dyDescent="0.25">
      <c r="A27" s="3">
        <v>1000000000</v>
      </c>
      <c r="B27" s="3">
        <v>-1.4489999999999999E-2</v>
      </c>
      <c r="C27" s="3">
        <v>5.7590000000000002E-3</v>
      </c>
      <c r="D27" s="3">
        <v>8.4010000000000005E-3</v>
      </c>
      <c r="E27" s="3">
        <v>0</v>
      </c>
      <c r="F27" s="3">
        <v>0</v>
      </c>
      <c r="G27" s="3">
        <v>0</v>
      </c>
      <c r="H27" s="3">
        <v>4.0207708000000002E-3</v>
      </c>
      <c r="I27" s="3">
        <v>1.0243871999999999E-3</v>
      </c>
      <c r="J27" s="3">
        <v>-7.7326360999999998E-3</v>
      </c>
      <c r="K27" s="2"/>
      <c r="L27" s="3"/>
      <c r="M27" s="3"/>
      <c r="N27" s="2">
        <f>IF('Modell einstellen'!$B$1="Voll",H27/0.35,H27/0.35*2)</f>
        <v>1.1487916571428572E-2</v>
      </c>
      <c r="O27" s="2">
        <f>IF('Modell einstellen'!$B$1="Voll",J27/0.35,J27/0.35*2)</f>
        <v>-2.2093246E-2</v>
      </c>
      <c r="P27" s="3">
        <f t="shared" si="0"/>
        <v>0.51997413922012958</v>
      </c>
      <c r="Q27" s="3"/>
      <c r="R27" s="3"/>
      <c r="S27" s="3"/>
      <c r="T27" s="3"/>
      <c r="U27" s="3"/>
    </row>
    <row r="28" spans="1:21" x14ac:dyDescent="0.25">
      <c r="A28" s="3">
        <v>10000000000</v>
      </c>
      <c r="B28" s="3">
        <v>-1.5800000000000002E-2</v>
      </c>
      <c r="C28" s="3">
        <v>6.6140000000000001E-3</v>
      </c>
      <c r="D28" s="3">
        <v>8.8529999999999998E-3</v>
      </c>
      <c r="E28" s="3">
        <v>0</v>
      </c>
      <c r="F28" s="3">
        <v>0</v>
      </c>
      <c r="G28" s="3">
        <v>0</v>
      </c>
      <c r="H28" s="3">
        <v>4.3751425999999996E-3</v>
      </c>
      <c r="I28" s="3">
        <v>1.1929093999999999E-3</v>
      </c>
      <c r="J28" s="3">
        <v>-8.6727476000000008E-3</v>
      </c>
      <c r="K28" s="2"/>
      <c r="L28" s="3"/>
      <c r="M28" s="3"/>
      <c r="N28" s="2">
        <f>IF('Modell einstellen'!$B$1="Voll",H28/0.35,H28/0.35*2)</f>
        <v>1.2500407428571428E-2</v>
      </c>
      <c r="O28" s="2">
        <f>IF('Modell einstellen'!$B$1="Voll",J28/0.35,J28/0.35*2)</f>
        <v>-2.4779278857142862E-2</v>
      </c>
      <c r="P28" s="3">
        <f t="shared" si="0"/>
        <v>0.50447018658769671</v>
      </c>
      <c r="Q28" s="3"/>
      <c r="R28" s="3"/>
      <c r="S28" s="3"/>
      <c r="T28" s="3"/>
      <c r="U28" s="3"/>
    </row>
    <row r="29" spans="1:21" x14ac:dyDescent="0.25">
      <c r="A29" s="3">
        <v>100000000000</v>
      </c>
      <c r="B29" s="3">
        <v>-1.6709999999999999E-2</v>
      </c>
      <c r="C29" s="3">
        <v>7.2259999999999998E-3</v>
      </c>
      <c r="D29" s="3">
        <v>9.1529999999999997E-3</v>
      </c>
      <c r="E29" s="3">
        <v>0</v>
      </c>
      <c r="F29" s="3">
        <v>0</v>
      </c>
      <c r="G29" s="3">
        <v>0</v>
      </c>
      <c r="H29" s="3">
        <v>4.6427061000000004E-3</v>
      </c>
      <c r="I29" s="3">
        <v>1.3168068000000001E-3</v>
      </c>
      <c r="J29" s="3">
        <v>-9.3682716999999999E-3</v>
      </c>
      <c r="K29" s="2"/>
      <c r="L29" s="3"/>
      <c r="M29" s="3"/>
      <c r="N29" s="2">
        <f>IF('Modell einstellen'!$B$1="Voll",H29/0.35,H29/0.35*2)</f>
        <v>1.3264874571428574E-2</v>
      </c>
      <c r="O29" s="2">
        <f>IF('Modell einstellen'!$B$1="Voll",J29/0.35,J29/0.35*2)</f>
        <v>-2.6766490571428572E-2</v>
      </c>
      <c r="P29" s="3">
        <f t="shared" si="0"/>
        <v>0.49557765281295169</v>
      </c>
      <c r="Q29" s="3"/>
      <c r="R29" s="3"/>
      <c r="S29" s="3"/>
      <c r="T29" s="3"/>
      <c r="U29" s="3"/>
    </row>
    <row r="30" spans="1:21" x14ac:dyDescent="0.25">
      <c r="A30" s="3">
        <v>1000000000000</v>
      </c>
      <c r="B30" s="3">
        <v>-1.6670000000000001E-2</v>
      </c>
      <c r="C30" s="3">
        <v>7.2830000000000004E-3</v>
      </c>
      <c r="D30" s="3">
        <v>9.0600000000000003E-3</v>
      </c>
      <c r="E30" s="3">
        <v>0</v>
      </c>
      <c r="F30" s="3">
        <v>0</v>
      </c>
      <c r="G30" s="3">
        <v>0</v>
      </c>
      <c r="H30" s="3">
        <v>4.6364841000000002E-3</v>
      </c>
      <c r="I30" s="3">
        <v>1.328638E-3</v>
      </c>
      <c r="J30" s="3">
        <v>-9.4039443999999993E-3</v>
      </c>
      <c r="K30" s="2"/>
      <c r="L30" s="3"/>
      <c r="M30" s="3"/>
      <c r="N30" s="2">
        <f>IF('Modell einstellen'!$B$1="Voll",H30/0.35,H30/0.35*2)</f>
        <v>1.3247097428571429E-2</v>
      </c>
      <c r="O30" s="2">
        <f>IF('Modell einstellen'!$B$1="Voll",J30/0.35,J30/0.35*2)</f>
        <v>-2.6868412571428572E-2</v>
      </c>
      <c r="P30" s="3">
        <f t="shared" si="0"/>
        <v>0.49303610302077072</v>
      </c>
      <c r="Q30" s="3"/>
      <c r="R30" s="3"/>
      <c r="S30" s="3"/>
      <c r="T30" s="3"/>
      <c r="U30" s="3"/>
    </row>
    <row r="31" spans="1:21" x14ac:dyDescent="0.25">
      <c r="A31" s="3">
        <v>10000000000000</v>
      </c>
      <c r="B31" s="3">
        <v>-1.634E-2</v>
      </c>
      <c r="C31" s="3">
        <v>7.4749999999999999E-3</v>
      </c>
      <c r="D31" s="3">
        <v>8.5400000000000007E-3</v>
      </c>
      <c r="E31" s="3">
        <v>0</v>
      </c>
      <c r="F31" s="3">
        <v>0</v>
      </c>
      <c r="G31" s="3">
        <v>0</v>
      </c>
      <c r="H31" s="3">
        <v>4.6079310999999996E-3</v>
      </c>
      <c r="I31" s="3">
        <v>1.3685167E-3</v>
      </c>
      <c r="J31" s="3">
        <v>-9.5169318999999992E-3</v>
      </c>
      <c r="K31" s="2"/>
      <c r="L31" s="3"/>
      <c r="M31" s="3"/>
      <c r="N31" s="2">
        <f>IF('Modell einstellen'!$B$1="Voll",H31/0.35,H31/0.35*2)</f>
        <v>1.3165517428571428E-2</v>
      </c>
      <c r="O31" s="2">
        <f>IF('Modell einstellen'!$B$1="Voll",J31/0.35,J31/0.35*2)</f>
        <v>-2.7191233999999998E-2</v>
      </c>
      <c r="P31" s="3">
        <f t="shared" si="0"/>
        <v>0.48418241807530432</v>
      </c>
      <c r="Q31" s="3"/>
      <c r="R31" s="3"/>
      <c r="S31" s="3"/>
      <c r="T31" s="3"/>
      <c r="U31" s="3"/>
    </row>
    <row r="32" spans="1:21" x14ac:dyDescent="0.25">
      <c r="A32" s="3">
        <v>100000000000000</v>
      </c>
      <c r="B32" s="3">
        <v>-1.634E-2</v>
      </c>
      <c r="C32" s="3">
        <v>7.4780000000000003E-3</v>
      </c>
      <c r="D32" s="3">
        <v>8.5319999999999997E-3</v>
      </c>
      <c r="E32" s="3">
        <v>0</v>
      </c>
      <c r="F32" s="3">
        <v>0</v>
      </c>
      <c r="G32" s="3">
        <v>0</v>
      </c>
      <c r="H32" s="3">
        <v>4.6076093E-3</v>
      </c>
      <c r="I32" s="3">
        <v>1.3690834E-3</v>
      </c>
      <c r="J32" s="3">
        <v>-9.5185996999999998E-3</v>
      </c>
      <c r="K32" s="2"/>
      <c r="L32" s="3"/>
      <c r="M32" s="3"/>
      <c r="N32" s="2">
        <f>IF('Modell einstellen'!$B$1="Voll",H32/0.35,H32/0.35*2)</f>
        <v>1.3164598000000001E-2</v>
      </c>
      <c r="O32" s="2">
        <f>IF('Modell einstellen'!$B$1="Voll",J32/0.35,J32/0.35*2)</f>
        <v>-2.7195999142857145E-2</v>
      </c>
      <c r="P32" s="3">
        <f t="shared" si="0"/>
        <v>0.48406377463273303</v>
      </c>
      <c r="Q32" s="3"/>
      <c r="R32" s="3"/>
      <c r="S32" s="3"/>
      <c r="T32" s="3"/>
      <c r="U32" s="3"/>
    </row>
    <row r="33" spans="1:21" x14ac:dyDescent="0.25">
      <c r="A33" s="2">
        <v>1000000000000000</v>
      </c>
      <c r="B33" s="3">
        <v>-1.6129999999999999E-2</v>
      </c>
      <c r="C33" s="3">
        <v>7.5440000000000004E-3</v>
      </c>
      <c r="D33" s="3">
        <v>8.2559999999999995E-3</v>
      </c>
      <c r="E33" s="3">
        <v>0</v>
      </c>
      <c r="F33" s="3">
        <v>0</v>
      </c>
      <c r="G33" s="3">
        <v>0</v>
      </c>
      <c r="H33" s="3">
        <v>4.6053161000000004E-3</v>
      </c>
      <c r="I33" s="3">
        <v>1.3836384000000001E-3</v>
      </c>
      <c r="J33" s="3">
        <v>-9.5676252000000007E-3</v>
      </c>
      <c r="K33" s="2"/>
      <c r="L33" s="3"/>
      <c r="M33" s="3"/>
      <c r="N33" s="2">
        <f>IF('Modell einstellen'!$B$1="Voll",H33/0.35,H33/0.35*2)</f>
        <v>1.3158046000000001E-2</v>
      </c>
      <c r="O33" s="2">
        <f>IF('Modell einstellen'!$B$1="Voll",J33/0.35,J33/0.35*2)</f>
        <v>-2.7336072000000003E-2</v>
      </c>
      <c r="P33" s="3">
        <f t="shared" si="0"/>
        <v>0.48134369853869274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3.8630000000000001E-5</v>
      </c>
      <c r="C3" s="3">
        <v>1.696E-4</v>
      </c>
      <c r="D3" s="3">
        <v>-4.8799999999999999E-4</v>
      </c>
      <c r="E3" s="3">
        <v>0</v>
      </c>
      <c r="F3" s="3">
        <v>0</v>
      </c>
      <c r="G3" s="3">
        <v>0</v>
      </c>
      <c r="H3" s="3">
        <v>8.2006550999999994E-5</v>
      </c>
      <c r="I3" s="3">
        <v>1.7469031999999999E-5</v>
      </c>
      <c r="J3" s="3">
        <v>-2.1644068999999999E-4</v>
      </c>
      <c r="L3" s="3">
        <f>-B3/D3</f>
        <v>7.915983606557378E-2</v>
      </c>
      <c r="M3" s="3"/>
      <c r="N3" s="2">
        <f>IF('Modell einstellen'!$B$1="Voll",H3/0.35,H3/0.35*2)</f>
        <v>2.3430443142857143E-4</v>
      </c>
      <c r="O3" s="2">
        <f>IF('Modell einstellen'!$B$1="Voll",J3/0.35,J3/0.35*2)</f>
        <v>-6.1840197142857146E-4</v>
      </c>
      <c r="P3" s="3">
        <f>-N3/O3</f>
        <v>0.37888694126783645</v>
      </c>
    </row>
    <row r="4" spans="1:16" x14ac:dyDescent="0.25">
      <c r="A4" s="3">
        <v>1E-14</v>
      </c>
      <c r="B4" s="3">
        <v>3.1919999999999999E-5</v>
      </c>
      <c r="C4" s="3">
        <v>1.749E-4</v>
      </c>
      <c r="D4" s="3">
        <v>-4.9050000000000005E-4</v>
      </c>
      <c r="E4" s="3">
        <v>0</v>
      </c>
      <c r="F4" s="3">
        <v>0</v>
      </c>
      <c r="G4" s="3">
        <v>0</v>
      </c>
      <c r="H4" s="3">
        <v>8.7314182000000002E-5</v>
      </c>
      <c r="I4" s="3">
        <v>1.8080686999999999E-5</v>
      </c>
      <c r="J4" s="3">
        <v>-2.2467367E-4</v>
      </c>
      <c r="L4" s="3">
        <f t="shared" ref="L4:L33" si="0">-B4/D4</f>
        <v>6.5076452599388365E-2</v>
      </c>
      <c r="M4" s="3"/>
      <c r="N4" s="2">
        <f>IF('Modell einstellen'!$B$1="Voll",H4/0.35,H4/0.35*2)</f>
        <v>2.4946909142857147E-4</v>
      </c>
      <c r="O4" s="2">
        <f>IF('Modell einstellen'!$B$1="Voll",J4/0.35,J4/0.35*2)</f>
        <v>-6.4192477142857151E-4</v>
      </c>
      <c r="P4" s="3">
        <f t="shared" ref="P4:P33" si="1">-N4/O4</f>
        <v>0.38862667797254569</v>
      </c>
    </row>
    <row r="5" spans="1:16" x14ac:dyDescent="0.25">
      <c r="A5" s="3">
        <v>1E-13</v>
      </c>
      <c r="B5" s="3">
        <v>2.4090000000000001E-5</v>
      </c>
      <c r="C5" s="3">
        <v>1.8009999999999999E-4</v>
      </c>
      <c r="D5" s="3">
        <v>-4.9140000000000002E-4</v>
      </c>
      <c r="E5" s="3">
        <v>0</v>
      </c>
      <c r="F5" s="3">
        <v>0</v>
      </c>
      <c r="G5" s="3">
        <v>0</v>
      </c>
      <c r="H5" s="3">
        <v>9.2814993999999995E-5</v>
      </c>
      <c r="I5" s="3">
        <v>1.8677027000000001E-5</v>
      </c>
      <c r="J5" s="3">
        <v>-2.3302498000000001E-4</v>
      </c>
      <c r="L5" s="3">
        <f t="shared" si="0"/>
        <v>4.9023199023199023E-2</v>
      </c>
      <c r="M5" s="3"/>
      <c r="N5" s="2">
        <f>IF('Modell einstellen'!$B$1="Voll",H5/0.35,H5/0.35*2)</f>
        <v>2.6518569714285714E-4</v>
      </c>
      <c r="O5" s="2">
        <f>IF('Modell einstellen'!$B$1="Voll",J5/0.35,J5/0.35*2)</f>
        <v>-6.6578565714285718E-4</v>
      </c>
      <c r="P5" s="3">
        <f t="shared" si="1"/>
        <v>0.39830491134469787</v>
      </c>
    </row>
    <row r="6" spans="1:16" x14ac:dyDescent="0.25">
      <c r="A6" s="3">
        <v>9.9999999999999998E-13</v>
      </c>
      <c r="B6" s="3">
        <v>1.3010000000000001E-5</v>
      </c>
      <c r="C6" s="3">
        <v>1.861E-4</v>
      </c>
      <c r="D6" s="3">
        <v>-4.9069999999999995E-4</v>
      </c>
      <c r="E6" s="3">
        <v>0</v>
      </c>
      <c r="F6" s="3">
        <v>0</v>
      </c>
      <c r="G6" s="3">
        <v>0</v>
      </c>
      <c r="H6" s="3">
        <v>9.9837783000000002E-5</v>
      </c>
      <c r="I6" s="3">
        <v>1.9387842999999999E-5</v>
      </c>
      <c r="J6" s="3">
        <v>-2.4343722000000001E-4</v>
      </c>
      <c r="L6" s="3">
        <f t="shared" si="0"/>
        <v>2.6513144487466889E-2</v>
      </c>
      <c r="M6" s="3"/>
      <c r="N6" s="2">
        <f>IF('Modell einstellen'!$B$1="Voll",H6/0.35,H6/0.35*2)</f>
        <v>2.8525080857142858E-4</v>
      </c>
      <c r="O6" s="2">
        <f>IF('Modell einstellen'!$B$1="Voll",J6/0.35,J6/0.35*2)</f>
        <v>-6.9553491428571434E-4</v>
      </c>
      <c r="P6" s="3">
        <f t="shared" si="1"/>
        <v>0.41011716696403283</v>
      </c>
    </row>
    <row r="7" spans="1:16" x14ac:dyDescent="0.25">
      <c r="A7" s="3">
        <v>9.9999999999999994E-12</v>
      </c>
      <c r="B7" s="3">
        <v>-1.11E-6</v>
      </c>
      <c r="C7" s="3">
        <v>1.9230000000000001E-4</v>
      </c>
      <c r="D7" s="3">
        <v>-4.8730000000000003E-4</v>
      </c>
      <c r="E7" s="3">
        <v>0</v>
      </c>
      <c r="F7" s="3">
        <v>0</v>
      </c>
      <c r="G7" s="3">
        <v>0</v>
      </c>
      <c r="H7" s="3">
        <v>1.0790886E-4</v>
      </c>
      <c r="I7" s="3">
        <v>2.0139274000000001E-5</v>
      </c>
      <c r="J7" s="3">
        <v>-2.5508288000000002E-4</v>
      </c>
      <c r="L7" s="3">
        <f t="shared" si="0"/>
        <v>-2.2778575825979888E-3</v>
      </c>
      <c r="M7" s="3"/>
      <c r="N7" s="2">
        <f>IF('Modell einstellen'!$B$1="Voll",H7/0.35,H7/0.35*2)</f>
        <v>3.0831102857142861E-4</v>
      </c>
      <c r="O7" s="2">
        <f>IF('Modell einstellen'!$B$1="Voll",J7/0.35,J7/0.35*2)</f>
        <v>-7.2880822857142866E-4</v>
      </c>
      <c r="P7" s="3">
        <f t="shared" si="1"/>
        <v>0.42303450549092125</v>
      </c>
    </row>
    <row r="8" spans="1:16" x14ac:dyDescent="0.25">
      <c r="A8" s="3">
        <v>1E-10</v>
      </c>
      <c r="B8" s="3">
        <v>-1.931E-5</v>
      </c>
      <c r="C8" s="3">
        <v>1.9900000000000001E-4</v>
      </c>
      <c r="D8" s="3">
        <v>-4.8060000000000003E-4</v>
      </c>
      <c r="E8" s="3">
        <v>0</v>
      </c>
      <c r="F8" s="3">
        <v>0</v>
      </c>
      <c r="G8" s="3">
        <v>0</v>
      </c>
      <c r="H8" s="3">
        <v>1.1742024E-4</v>
      </c>
      <c r="I8" s="3">
        <v>2.0948769E-5</v>
      </c>
      <c r="J8" s="3">
        <v>-2.6843792999999998E-4</v>
      </c>
      <c r="L8" s="3">
        <f t="shared" si="0"/>
        <v>-4.0178942987931753E-2</v>
      </c>
      <c r="M8" s="3"/>
      <c r="N8" s="2">
        <f>IF('Modell einstellen'!$B$1="Voll",H8/0.35,H8/0.35*2)</f>
        <v>3.3548640000000005E-4</v>
      </c>
      <c r="O8" s="2">
        <f>IF('Modell einstellen'!$B$1="Voll",J8/0.35,J8/0.35*2)</f>
        <v>-7.6696551428571426E-4</v>
      </c>
      <c r="P8" s="3">
        <f t="shared" si="1"/>
        <v>0.4374204494871497</v>
      </c>
    </row>
    <row r="9" spans="1:16" x14ac:dyDescent="0.25">
      <c r="A9" s="3">
        <v>1.0000000000000001E-9</v>
      </c>
      <c r="B9" s="3">
        <v>-4.409E-5</v>
      </c>
      <c r="C9" s="3">
        <v>2.062E-4</v>
      </c>
      <c r="D9" s="3">
        <v>-4.684E-4</v>
      </c>
      <c r="E9" s="3">
        <v>0</v>
      </c>
      <c r="F9" s="3">
        <v>0</v>
      </c>
      <c r="G9" s="3">
        <v>0</v>
      </c>
      <c r="H9" s="3">
        <v>1.2927351999999999E-4</v>
      </c>
      <c r="I9" s="3">
        <v>2.1854801999999998E-5</v>
      </c>
      <c r="J9" s="3">
        <v>-2.8458550999999998E-4</v>
      </c>
      <c r="L9" s="3">
        <f t="shared" si="0"/>
        <v>-9.4128949615713067E-2</v>
      </c>
      <c r="M9" s="3"/>
      <c r="N9" s="2">
        <f>IF('Modell einstellen'!$B$1="Voll",H9/0.35,H9/0.35*2)</f>
        <v>3.6935291428571429E-4</v>
      </c>
      <c r="O9" s="2">
        <f>IF('Modell einstellen'!$B$1="Voll",J9/0.35,J9/0.35*2)</f>
        <v>-8.1310145714285709E-4</v>
      </c>
      <c r="P9" s="3">
        <f t="shared" si="1"/>
        <v>0.45425193995295127</v>
      </c>
    </row>
    <row r="10" spans="1:16" x14ac:dyDescent="0.25">
      <c r="A10" s="3">
        <v>1E-8</v>
      </c>
      <c r="B10" s="3">
        <v>-8.1630000000000003E-5</v>
      </c>
      <c r="C10" s="3">
        <v>2.1479999999999999E-4</v>
      </c>
      <c r="D10" s="3">
        <v>-4.46E-4</v>
      </c>
      <c r="E10" s="3">
        <v>0</v>
      </c>
      <c r="F10" s="3">
        <v>0</v>
      </c>
      <c r="G10" s="3">
        <v>0</v>
      </c>
      <c r="H10" s="3">
        <v>1.4575826E-4</v>
      </c>
      <c r="I10" s="3">
        <v>2.2964623E-5</v>
      </c>
      <c r="J10" s="3">
        <v>-3.0632062999999998E-4</v>
      </c>
      <c r="L10" s="3">
        <f t="shared" si="0"/>
        <v>-0.18302690582959641</v>
      </c>
      <c r="M10" s="3"/>
      <c r="N10" s="2">
        <f>IF('Modell einstellen'!$B$1="Voll",H10/0.35,H10/0.35*2)</f>
        <v>4.1645217142857147E-4</v>
      </c>
      <c r="O10" s="2">
        <f>IF('Modell einstellen'!$B$1="Voll",J10/0.35,J10/0.35*2)</f>
        <v>-8.7520179999999999E-4</v>
      </c>
      <c r="P10" s="3">
        <f t="shared" si="1"/>
        <v>0.47583559749142595</v>
      </c>
    </row>
    <row r="11" spans="1:16" x14ac:dyDescent="0.25">
      <c r="A11" s="3">
        <v>9.9999999999999995E-8</v>
      </c>
      <c r="B11" s="3">
        <v>-1.5090000000000001E-4</v>
      </c>
      <c r="C11" s="3">
        <v>2.264E-4</v>
      </c>
      <c r="D11" s="3">
        <v>-3.9720000000000001E-4</v>
      </c>
      <c r="E11" s="3">
        <v>0</v>
      </c>
      <c r="F11" s="3">
        <v>0</v>
      </c>
      <c r="G11" s="3">
        <v>0</v>
      </c>
      <c r="H11" s="3">
        <v>1.7330551999999999E-4</v>
      </c>
      <c r="I11" s="3">
        <v>2.4504752000000002E-5</v>
      </c>
      <c r="J11" s="3">
        <v>-3.4113465E-4</v>
      </c>
      <c r="L11" s="3">
        <f t="shared" si="0"/>
        <v>-0.37990936555891242</v>
      </c>
      <c r="M11" s="3"/>
      <c r="N11" s="2">
        <f>IF('Modell einstellen'!$B$1="Voll",H11/0.35,H11/0.35*2)</f>
        <v>4.9515862857142862E-4</v>
      </c>
      <c r="O11" s="2">
        <f>IF('Modell einstellen'!$B$1="Voll",J11/0.35,J11/0.35*2)</f>
        <v>-9.7467042857142863E-4</v>
      </c>
      <c r="P11" s="3">
        <f t="shared" si="1"/>
        <v>0.50802672786244374</v>
      </c>
    </row>
    <row r="12" spans="1:16" x14ac:dyDescent="0.25">
      <c r="A12" s="3">
        <v>9.9999999999999995E-7</v>
      </c>
      <c r="B12" s="3">
        <v>-2.8459999999999998E-4</v>
      </c>
      <c r="C12" s="3">
        <v>2.4039999999999999E-4</v>
      </c>
      <c r="D12" s="3">
        <v>-2.8889999999999997E-4</v>
      </c>
      <c r="E12" s="3">
        <v>0</v>
      </c>
      <c r="F12" s="3">
        <v>0</v>
      </c>
      <c r="G12" s="3">
        <v>0</v>
      </c>
      <c r="H12" s="3">
        <v>2.2088927E-4</v>
      </c>
      <c r="I12" s="3">
        <v>2.6508899E-5</v>
      </c>
      <c r="J12" s="3">
        <v>-3.9812992000000001E-4</v>
      </c>
      <c r="L12" s="3">
        <f t="shared" si="0"/>
        <v>-0.98511595707857391</v>
      </c>
      <c r="M12" s="3"/>
      <c r="N12" s="2">
        <f>IF('Modell einstellen'!$B$1="Voll",H12/0.35,H12/0.35*2)</f>
        <v>6.3111220000000004E-4</v>
      </c>
      <c r="O12" s="2">
        <f>IF('Modell einstellen'!$B$1="Voll",J12/0.35,J12/0.35*2)</f>
        <v>-1.1375140571428571E-3</v>
      </c>
      <c r="P12" s="3">
        <f t="shared" si="1"/>
        <v>0.55481705569880313</v>
      </c>
    </row>
    <row r="13" spans="1:16" x14ac:dyDescent="0.25">
      <c r="A13" s="3">
        <v>1.0000000000000001E-5</v>
      </c>
      <c r="B13" s="3">
        <v>-5.7090000000000005E-4</v>
      </c>
      <c r="C13" s="3">
        <v>2.5619999999999999E-4</v>
      </c>
      <c r="D13" s="3">
        <v>-3.2110000000000003E-5</v>
      </c>
      <c r="E13" s="3">
        <v>0</v>
      </c>
      <c r="F13" s="3">
        <v>0</v>
      </c>
      <c r="G13" s="3">
        <v>0</v>
      </c>
      <c r="H13" s="3">
        <v>3.1236333E-4</v>
      </c>
      <c r="I13" s="3">
        <v>2.9021910000000001E-5</v>
      </c>
      <c r="J13" s="3">
        <v>-5.0128924000000005E-4</v>
      </c>
      <c r="L13" s="3">
        <f t="shared" si="0"/>
        <v>-17.779507941451261</v>
      </c>
      <c r="M13" s="3"/>
      <c r="N13" s="2">
        <f>IF('Modell einstellen'!$B$1="Voll",H13/0.35,H13/0.35*2)</f>
        <v>8.9246665714285724E-4</v>
      </c>
      <c r="O13" s="2">
        <f>IF('Modell einstellen'!$B$1="Voll",J13/0.35,J13/0.35*2)</f>
        <v>-1.4322549714285717E-3</v>
      </c>
      <c r="P13" s="3">
        <f t="shared" si="1"/>
        <v>0.62311995765159445</v>
      </c>
    </row>
    <row r="14" spans="1:16" x14ac:dyDescent="0.25">
      <c r="A14" s="3">
        <v>1E-4</v>
      </c>
      <c r="B14" s="3">
        <v>-1.2830000000000001E-3</v>
      </c>
      <c r="C14" s="3">
        <v>2.7119999999999998E-4</v>
      </c>
      <c r="D14" s="3">
        <v>6.5039999999999998E-4</v>
      </c>
      <c r="E14" s="3">
        <v>0</v>
      </c>
      <c r="F14" s="3">
        <v>0</v>
      </c>
      <c r="G14" s="3">
        <v>0</v>
      </c>
      <c r="H14" s="3">
        <v>5.1945691E-4</v>
      </c>
      <c r="I14" s="3">
        <v>3.1877664999999999E-5</v>
      </c>
      <c r="J14" s="3">
        <v>-7.2122037E-4</v>
      </c>
      <c r="L14" s="3">
        <f t="shared" si="0"/>
        <v>1.9726322263222633</v>
      </c>
      <c r="M14" s="3"/>
      <c r="N14" s="2">
        <f>IF('Modell einstellen'!$B$1="Voll",H14/0.35,H14/0.35*2)</f>
        <v>1.4841626E-3</v>
      </c>
      <c r="O14" s="2">
        <f>IF('Modell einstellen'!$B$1="Voll",J14/0.35,J14/0.35*2)</f>
        <v>-2.0606296285714289E-3</v>
      </c>
      <c r="P14" s="3">
        <f t="shared" si="1"/>
        <v>0.72024714166073811</v>
      </c>
    </row>
    <row r="15" spans="1:16" x14ac:dyDescent="0.25">
      <c r="A15" s="3">
        <v>1E-3</v>
      </c>
      <c r="B15" s="3">
        <v>-2.862E-3</v>
      </c>
      <c r="C15" s="3">
        <v>2.8069999999999999E-4</v>
      </c>
      <c r="D15" s="3">
        <v>2.209E-3</v>
      </c>
      <c r="E15" s="3">
        <v>0</v>
      </c>
      <c r="F15" s="3">
        <v>0</v>
      </c>
      <c r="G15" s="3">
        <v>0</v>
      </c>
      <c r="H15" s="3">
        <v>9.5341641999999996E-4</v>
      </c>
      <c r="I15" s="3">
        <v>3.4106410999999999E-5</v>
      </c>
      <c r="J15" s="3">
        <v>-1.1634855999999999E-3</v>
      </c>
      <c r="L15" s="3">
        <f t="shared" si="0"/>
        <v>1.295608872793119</v>
      </c>
      <c r="M15" s="3"/>
      <c r="N15" s="2">
        <f>IF('Modell einstellen'!$B$1="Voll",H15/0.35,H15/0.35*2)</f>
        <v>2.7240469142857143E-3</v>
      </c>
      <c r="O15" s="2">
        <f>IF('Modell einstellen'!$B$1="Voll",J15/0.35,J15/0.35*2)</f>
        <v>-3.3242445714285712E-3</v>
      </c>
      <c r="P15" s="3">
        <f t="shared" si="1"/>
        <v>0.81944840572156641</v>
      </c>
    </row>
    <row r="16" spans="1:16" x14ac:dyDescent="0.25">
      <c r="A16" s="3">
        <v>0.01</v>
      </c>
      <c r="B16" s="3">
        <v>-5.9490000000000003E-3</v>
      </c>
      <c r="C16" s="3">
        <v>2.9050000000000001E-4</v>
      </c>
      <c r="D16" s="3">
        <v>5.2820000000000002E-3</v>
      </c>
      <c r="E16" s="3">
        <v>0</v>
      </c>
      <c r="F16" s="3">
        <v>0</v>
      </c>
      <c r="G16" s="3">
        <v>0</v>
      </c>
      <c r="H16" s="3">
        <v>1.7844221E-3</v>
      </c>
      <c r="I16" s="3">
        <v>3.5670718E-5</v>
      </c>
      <c r="J16" s="3">
        <v>-1.9943846999999999E-3</v>
      </c>
      <c r="L16" s="3">
        <f t="shared" si="0"/>
        <v>1.1262779250283983</v>
      </c>
      <c r="M16" s="3"/>
      <c r="N16" s="2">
        <f>IF('Modell einstellen'!$B$1="Voll",H16/0.35,H16/0.35*2)</f>
        <v>5.0983488571428575E-3</v>
      </c>
      <c r="O16" s="2">
        <f>IF('Modell einstellen'!$B$1="Voll",J16/0.35,J16/0.35*2)</f>
        <v>-5.6982420000000001E-3</v>
      </c>
      <c r="P16" s="3">
        <f t="shared" si="1"/>
        <v>0.89472311936608828</v>
      </c>
    </row>
    <row r="17" spans="1:16" x14ac:dyDescent="0.25">
      <c r="A17" s="3">
        <v>0.1</v>
      </c>
      <c r="B17" s="3">
        <v>-1.1599999999999999E-2</v>
      </c>
      <c r="C17" s="3">
        <v>3.2519999999999999E-4</v>
      </c>
      <c r="D17" s="3">
        <v>1.09E-2</v>
      </c>
      <c r="E17" s="3">
        <v>0</v>
      </c>
      <c r="F17" s="3">
        <v>0</v>
      </c>
      <c r="G17" s="3">
        <v>0</v>
      </c>
      <c r="H17" s="3">
        <v>3.3019172999999998E-3</v>
      </c>
      <c r="I17" s="3">
        <v>3.8662180999999999E-5</v>
      </c>
      <c r="J17" s="3">
        <v>-3.5001774999999999E-3</v>
      </c>
      <c r="L17" s="3">
        <f t="shared" si="0"/>
        <v>1.0642201834862384</v>
      </c>
      <c r="M17" s="3"/>
      <c r="N17" s="2">
        <f>IF('Modell einstellen'!$B$1="Voll",H17/0.35,H17/0.35*2)</f>
        <v>9.4340494285714283E-3</v>
      </c>
      <c r="O17" s="2">
        <f>IF('Modell einstellen'!$B$1="Voll",J17/0.35,J17/0.35*2)</f>
        <v>-1.0000507142857143E-2</v>
      </c>
      <c r="P17" s="3">
        <f t="shared" si="1"/>
        <v>0.94335710117558313</v>
      </c>
    </row>
    <row r="18" spans="1:16" x14ac:dyDescent="0.25">
      <c r="A18" s="3">
        <v>1</v>
      </c>
      <c r="B18" s="3">
        <v>-1.6979999999999999E-2</v>
      </c>
      <c r="C18" s="3">
        <v>4.2860000000000001E-4</v>
      </c>
      <c r="D18" s="3">
        <v>1.618E-2</v>
      </c>
      <c r="E18" s="3">
        <v>0</v>
      </c>
      <c r="F18" s="3">
        <v>0</v>
      </c>
      <c r="G18" s="3">
        <v>0</v>
      </c>
      <c r="H18" s="3">
        <v>4.7583382E-3</v>
      </c>
      <c r="I18" s="3">
        <v>5.0548772000000003E-5</v>
      </c>
      <c r="J18" s="3">
        <v>-4.9649228000000004E-3</v>
      </c>
      <c r="L18" s="3">
        <f t="shared" si="0"/>
        <v>1.0494437577255871</v>
      </c>
      <c r="M18" s="3"/>
      <c r="N18" s="2">
        <f>IF('Modell einstellen'!$B$1="Voll",H18/0.35,H18/0.35*2)</f>
        <v>1.3595252E-2</v>
      </c>
      <c r="O18" s="2">
        <f>IF('Modell einstellen'!$B$1="Voll",J18/0.35,J18/0.35*2)</f>
        <v>-1.4185493714285716E-2</v>
      </c>
      <c r="P18" s="3">
        <f t="shared" si="1"/>
        <v>0.9583911757902861</v>
      </c>
    </row>
    <row r="19" spans="1:16" x14ac:dyDescent="0.25">
      <c r="A19" s="3">
        <v>10</v>
      </c>
      <c r="B19" s="3">
        <v>-1.9310000000000001E-2</v>
      </c>
      <c r="C19" s="3">
        <v>6.4199999999999999E-4</v>
      </c>
      <c r="D19" s="3">
        <v>1.8290000000000001E-2</v>
      </c>
      <c r="E19" s="3">
        <v>0</v>
      </c>
      <c r="F19" s="3">
        <v>0</v>
      </c>
      <c r="G19" s="3">
        <v>0</v>
      </c>
      <c r="H19" s="3">
        <v>5.4005772999999998E-3</v>
      </c>
      <c r="I19" s="3">
        <v>8.3572263999999994E-5</v>
      </c>
      <c r="J19" s="3">
        <v>-5.7064085999999998E-3</v>
      </c>
      <c r="L19" s="3">
        <f t="shared" si="0"/>
        <v>1.0557681793329687</v>
      </c>
      <c r="M19" s="3"/>
      <c r="N19" s="2">
        <f>IF('Modell einstellen'!$B$1="Voll",H19/0.35,H19/0.35*2)</f>
        <v>1.5430220857142858E-2</v>
      </c>
      <c r="O19" s="2">
        <f>IF('Modell einstellen'!$B$1="Voll",J19/0.35,J19/0.35*2)</f>
        <v>-1.6304024571428571E-2</v>
      </c>
      <c r="P19" s="3">
        <f t="shared" si="1"/>
        <v>0.94640564294677398</v>
      </c>
    </row>
    <row r="20" spans="1:16" x14ac:dyDescent="0.25">
      <c r="A20" s="3">
        <v>100</v>
      </c>
      <c r="B20" s="3">
        <v>-2.0930000000000001E-2</v>
      </c>
      <c r="C20" s="3">
        <v>1.0690000000000001E-3</v>
      </c>
      <c r="D20" s="3">
        <v>1.949E-2</v>
      </c>
      <c r="E20" s="3">
        <v>0</v>
      </c>
      <c r="F20" s="3">
        <v>0</v>
      </c>
      <c r="G20" s="3">
        <v>0</v>
      </c>
      <c r="H20" s="3">
        <v>5.8350820999999997E-3</v>
      </c>
      <c r="I20" s="3">
        <v>1.5745679000000001E-4</v>
      </c>
      <c r="J20" s="3">
        <v>-6.3915326999999999E-3</v>
      </c>
      <c r="L20" s="3">
        <f t="shared" si="0"/>
        <v>1.0738840430990251</v>
      </c>
      <c r="M20" s="3"/>
      <c r="N20" s="2">
        <f>IF('Modell einstellen'!$B$1="Voll",H20/0.35,H20/0.35*2)</f>
        <v>1.6671663142857143E-2</v>
      </c>
      <c r="O20" s="2">
        <f>IF('Modell einstellen'!$B$1="Voll",J20/0.35,J20/0.35*2)</f>
        <v>-1.8261522000000002E-2</v>
      </c>
      <c r="P20" s="3">
        <f t="shared" si="1"/>
        <v>0.91293941123073641</v>
      </c>
    </row>
    <row r="21" spans="1:16" x14ac:dyDescent="0.25">
      <c r="A21" s="3">
        <v>1000</v>
      </c>
      <c r="B21" s="3">
        <v>-2.0709999999999999E-2</v>
      </c>
      <c r="C21" s="3">
        <v>1.952E-3</v>
      </c>
      <c r="D21" s="3">
        <v>1.839E-2</v>
      </c>
      <c r="E21" s="3">
        <v>0</v>
      </c>
      <c r="F21" s="3">
        <v>0</v>
      </c>
      <c r="G21" s="3">
        <v>0</v>
      </c>
      <c r="H21" s="3">
        <v>5.7256420000000004E-3</v>
      </c>
      <c r="I21" s="3">
        <v>3.177856E-4</v>
      </c>
      <c r="J21" s="3">
        <v>-6.8607281000000004E-3</v>
      </c>
      <c r="L21" s="3">
        <f t="shared" si="0"/>
        <v>1.1261555193039694</v>
      </c>
      <c r="M21" s="3"/>
      <c r="N21" s="2">
        <f>IF('Modell einstellen'!$B$1="Voll",H21/0.35,H21/0.35*2)</f>
        <v>1.6358977142857146E-2</v>
      </c>
      <c r="O21" s="2">
        <f>IF('Modell einstellen'!$B$1="Voll",J21/0.35,J21/0.35*2)</f>
        <v>-1.960208028571429E-2</v>
      </c>
      <c r="P21" s="3">
        <f t="shared" si="1"/>
        <v>0.83455311397634313</v>
      </c>
    </row>
    <row r="22" spans="1:16" x14ac:dyDescent="0.25">
      <c r="A22" s="3">
        <v>10000</v>
      </c>
      <c r="B22" s="3">
        <v>-1.9970000000000002E-2</v>
      </c>
      <c r="C22" s="3">
        <v>3.297E-3</v>
      </c>
      <c r="D22" s="3">
        <v>1.6320000000000001E-2</v>
      </c>
      <c r="E22" s="3">
        <v>0</v>
      </c>
      <c r="F22" s="3">
        <v>0</v>
      </c>
      <c r="G22" s="3">
        <v>0</v>
      </c>
      <c r="H22" s="3">
        <v>5.4393910999999996E-3</v>
      </c>
      <c r="I22" s="3">
        <v>5.6414085000000005E-4</v>
      </c>
      <c r="J22" s="3">
        <v>-7.4656122999999996E-3</v>
      </c>
      <c r="L22" s="3">
        <f t="shared" si="0"/>
        <v>1.2236519607843137</v>
      </c>
      <c r="M22" s="3"/>
      <c r="N22" s="2">
        <f>IF('Modell einstellen'!$B$1="Voll",H22/0.35,H22/0.35*2)</f>
        <v>1.5541117428571428E-2</v>
      </c>
      <c r="O22" s="2">
        <f>IF('Modell einstellen'!$B$1="Voll",J22/0.35,J22/0.35*2)</f>
        <v>-2.1330320857142857E-2</v>
      </c>
      <c r="P22" s="3">
        <f t="shared" si="1"/>
        <v>0.7285927639183728</v>
      </c>
    </row>
    <row r="23" spans="1:16" x14ac:dyDescent="0.25">
      <c r="A23" s="3">
        <v>100000</v>
      </c>
      <c r="B23" s="3">
        <v>-1.917E-2</v>
      </c>
      <c r="C23" s="3">
        <v>4.6189999999999998E-3</v>
      </c>
      <c r="D23" s="3">
        <v>1.4200000000000001E-2</v>
      </c>
      <c r="E23" s="3">
        <v>0</v>
      </c>
      <c r="F23" s="3">
        <v>0</v>
      </c>
      <c r="G23" s="3">
        <v>0</v>
      </c>
      <c r="H23" s="3">
        <v>5.1606600999999997E-3</v>
      </c>
      <c r="I23" s="3">
        <v>8.1033110999999996E-4</v>
      </c>
      <c r="J23" s="3">
        <v>-8.0739181000000007E-3</v>
      </c>
      <c r="L23" s="3">
        <f t="shared" si="0"/>
        <v>1.3499999999999999</v>
      </c>
      <c r="M23" s="3"/>
      <c r="N23" s="2">
        <f>IF('Modell einstellen'!$B$1="Voll",H23/0.35,H23/0.35*2)</f>
        <v>1.4744743142857142E-2</v>
      </c>
      <c r="O23" s="2">
        <f>IF('Modell einstellen'!$B$1="Voll",J23/0.35,J23/0.35*2)</f>
        <v>-2.3068337428571433E-2</v>
      </c>
      <c r="P23" s="3">
        <f t="shared" si="1"/>
        <v>0.63917667185650529</v>
      </c>
    </row>
    <row r="24" spans="1:16" x14ac:dyDescent="0.25">
      <c r="A24" s="3">
        <v>1000000</v>
      </c>
      <c r="B24" s="3">
        <v>-1.8460000000000001E-2</v>
      </c>
      <c r="C24" s="3">
        <v>5.6449999999999998E-3</v>
      </c>
      <c r="D24" s="3">
        <v>1.248E-2</v>
      </c>
      <c r="E24" s="3">
        <v>0</v>
      </c>
      <c r="F24" s="3">
        <v>0</v>
      </c>
      <c r="G24" s="3">
        <v>0</v>
      </c>
      <c r="H24" s="3">
        <v>4.9459591000000002E-3</v>
      </c>
      <c r="I24" s="3">
        <v>1.0051057999999999E-3</v>
      </c>
      <c r="J24" s="3">
        <v>-8.558398E-3</v>
      </c>
      <c r="L24" s="3">
        <f t="shared" si="0"/>
        <v>1.4791666666666667</v>
      </c>
      <c r="M24" s="3"/>
      <c r="N24" s="2">
        <f>IF('Modell einstellen'!$B$1="Voll",H24/0.35,H24/0.35*2)</f>
        <v>1.4131311714285716E-2</v>
      </c>
      <c r="O24" s="2">
        <f>IF('Modell einstellen'!$B$1="Voll",J24/0.35,J24/0.35*2)</f>
        <v>-2.4452565714285716E-2</v>
      </c>
      <c r="P24" s="3">
        <f t="shared" si="1"/>
        <v>0.57790711532695727</v>
      </c>
    </row>
    <row r="25" spans="1:16" x14ac:dyDescent="0.25">
      <c r="A25" s="3">
        <v>10000000</v>
      </c>
      <c r="B25" s="3">
        <v>-1.7899999999999999E-2</v>
      </c>
      <c r="C25" s="3">
        <v>6.3619999999999996E-3</v>
      </c>
      <c r="D25" s="3">
        <v>1.12E-2</v>
      </c>
      <c r="E25" s="3">
        <v>0</v>
      </c>
      <c r="F25" s="3">
        <v>0</v>
      </c>
      <c r="G25" s="3">
        <v>0</v>
      </c>
      <c r="H25" s="3">
        <v>4.7967645E-3</v>
      </c>
      <c r="I25" s="3">
        <v>1.1438411999999999E-3</v>
      </c>
      <c r="J25" s="3">
        <v>-8.9057734000000006E-3</v>
      </c>
      <c r="L25" s="3">
        <f t="shared" si="0"/>
        <v>1.5982142857142856</v>
      </c>
      <c r="M25" s="3"/>
      <c r="N25" s="2">
        <f>IF('Modell einstellen'!$B$1="Voll",H25/0.35,H25/0.35*2)</f>
        <v>1.3705041428571429E-2</v>
      </c>
      <c r="O25" s="2">
        <f>IF('Modell einstellen'!$B$1="Voll",J25/0.35,J25/0.35*2)</f>
        <v>-2.5445066857142859E-2</v>
      </c>
      <c r="P25" s="3">
        <f t="shared" si="1"/>
        <v>0.5386129069935689</v>
      </c>
    </row>
    <row r="26" spans="1:16" x14ac:dyDescent="0.25">
      <c r="A26" s="3">
        <v>100000000</v>
      </c>
      <c r="B26" s="3">
        <v>-1.7479999999999999E-2</v>
      </c>
      <c r="C26" s="3">
        <v>6.8380000000000003E-3</v>
      </c>
      <c r="D26" s="3">
        <v>1.031E-2</v>
      </c>
      <c r="E26" s="3">
        <v>0</v>
      </c>
      <c r="F26" s="3">
        <v>0</v>
      </c>
      <c r="G26" s="3">
        <v>0</v>
      </c>
      <c r="H26" s="3">
        <v>4.6988378999999999E-3</v>
      </c>
      <c r="I26" s="3">
        <v>1.2374249999999999E-3</v>
      </c>
      <c r="J26" s="3">
        <v>-9.1420766999999997E-3</v>
      </c>
      <c r="L26" s="3">
        <f t="shared" si="0"/>
        <v>1.6954413191076625</v>
      </c>
      <c r="M26" s="3"/>
      <c r="N26" s="2">
        <f>IF('Modell einstellen'!$B$1="Voll",H26/0.35,H26/0.35*2)</f>
        <v>1.3425251142857144E-2</v>
      </c>
      <c r="O26" s="2">
        <f>IF('Modell einstellen'!$B$1="Voll",J26/0.35,J26/0.35*2)</f>
        <v>-2.6120219142857143E-2</v>
      </c>
      <c r="P26" s="3">
        <f t="shared" si="1"/>
        <v>0.51397926906476299</v>
      </c>
    </row>
    <row r="27" spans="1:16" x14ac:dyDescent="0.25">
      <c r="A27" s="3">
        <v>1000000000</v>
      </c>
      <c r="B27" s="3">
        <v>-1.7149999999999999E-2</v>
      </c>
      <c r="C27" s="3">
        <v>7.1510000000000002E-3</v>
      </c>
      <c r="D27" s="3">
        <v>9.6699999999999998E-3</v>
      </c>
      <c r="E27" s="3">
        <v>0</v>
      </c>
      <c r="F27" s="3">
        <v>0</v>
      </c>
      <c r="G27" s="3">
        <v>0</v>
      </c>
      <c r="H27" s="3">
        <v>4.6372510999999998E-3</v>
      </c>
      <c r="I27" s="3">
        <v>1.3000408E-3</v>
      </c>
      <c r="J27" s="3">
        <v>-9.3036834999999998E-3</v>
      </c>
      <c r="L27" s="3">
        <f t="shared" si="0"/>
        <v>1.7735263702171664</v>
      </c>
      <c r="M27" s="3"/>
      <c r="N27" s="2">
        <f>IF('Modell einstellen'!$B$1="Voll",H27/0.35,H27/0.35*2)</f>
        <v>1.3249288857142858E-2</v>
      </c>
      <c r="O27" s="2">
        <f>IF('Modell einstellen'!$B$1="Voll",J27/0.35,J27/0.35*2)</f>
        <v>-2.6581952857142859E-2</v>
      </c>
      <c r="P27" s="3">
        <f t="shared" si="1"/>
        <v>0.49843173405458169</v>
      </c>
    </row>
    <row r="28" spans="1:16" x14ac:dyDescent="0.25">
      <c r="A28" s="3">
        <v>10000000000</v>
      </c>
      <c r="B28" s="3">
        <v>-1.686E-2</v>
      </c>
      <c r="C28" s="3">
        <v>7.3460000000000001E-3</v>
      </c>
      <c r="D28" s="3">
        <v>9.188E-3</v>
      </c>
      <c r="E28" s="3">
        <v>0</v>
      </c>
      <c r="F28" s="3">
        <v>0</v>
      </c>
      <c r="G28" s="3">
        <v>0</v>
      </c>
      <c r="H28" s="3">
        <v>4.6044768999999996E-3</v>
      </c>
      <c r="I28" s="3">
        <v>1.3401654000000001E-3</v>
      </c>
      <c r="J28" s="3">
        <v>-9.4135470999999991E-3</v>
      </c>
      <c r="L28" s="3">
        <f t="shared" si="0"/>
        <v>1.8350021767522855</v>
      </c>
      <c r="M28" s="3"/>
      <c r="N28" s="2">
        <f>IF('Modell einstellen'!$B$1="Voll",H28/0.35,H28/0.35*2)</f>
        <v>1.3155648285714285E-2</v>
      </c>
      <c r="O28" s="2">
        <f>IF('Modell einstellen'!$B$1="Voll",J28/0.35,J28/0.35*2)</f>
        <v>-2.6895848857142857E-2</v>
      </c>
      <c r="P28" s="3">
        <f t="shared" si="1"/>
        <v>0.48913303891579824</v>
      </c>
    </row>
    <row r="29" spans="1:16" x14ac:dyDescent="0.25">
      <c r="A29" s="3">
        <v>100000000000</v>
      </c>
      <c r="B29" s="3">
        <v>-1.6799999999999999E-2</v>
      </c>
      <c r="C29" s="3">
        <v>7.3810000000000004E-3</v>
      </c>
      <c r="D29" s="3">
        <v>9.0950000000000007E-3</v>
      </c>
      <c r="E29" s="3">
        <v>0</v>
      </c>
      <c r="F29" s="3">
        <v>0</v>
      </c>
      <c r="G29" s="3">
        <v>0</v>
      </c>
      <c r="H29" s="3">
        <v>4.5991373999999998E-3</v>
      </c>
      <c r="I29" s="3">
        <v>1.3474572999999999E-3</v>
      </c>
      <c r="J29" s="3">
        <v>-9.4340731000000008E-3</v>
      </c>
      <c r="L29" s="3">
        <f t="shared" si="0"/>
        <v>1.8471687740516765</v>
      </c>
      <c r="M29" s="3"/>
      <c r="N29" s="2">
        <f>IF('Modell einstellen'!$B$1="Voll",H29/0.35,H29/0.35*2)</f>
        <v>1.3140392571428572E-2</v>
      </c>
      <c r="O29" s="2">
        <f>IF('Modell einstellen'!$B$1="Voll",J29/0.35,J29/0.35*2)</f>
        <v>-2.6954494571428574E-2</v>
      </c>
      <c r="P29" s="3">
        <f t="shared" si="1"/>
        <v>0.48750283692417007</v>
      </c>
    </row>
    <row r="30" spans="1:16" x14ac:dyDescent="0.25">
      <c r="A30" s="3">
        <v>1000000000000</v>
      </c>
      <c r="B30" s="3">
        <v>-1.6410000000000001E-2</v>
      </c>
      <c r="C30" s="3">
        <v>7.5059999999999997E-3</v>
      </c>
      <c r="D30" s="3">
        <v>8.5730000000000008E-3</v>
      </c>
      <c r="E30" s="3">
        <v>0</v>
      </c>
      <c r="F30" s="3">
        <v>0</v>
      </c>
      <c r="G30" s="3">
        <v>0</v>
      </c>
      <c r="H30" s="3">
        <v>4.5951357999999996E-3</v>
      </c>
      <c r="I30" s="3">
        <v>1.3747103E-3</v>
      </c>
      <c r="J30" s="3">
        <v>-9.5261902999999992E-3</v>
      </c>
      <c r="L30" s="3">
        <f t="shared" si="0"/>
        <v>1.9141490726700103</v>
      </c>
      <c r="M30" s="3"/>
      <c r="N30" s="2">
        <f>IF('Modell einstellen'!$B$1="Voll",H30/0.35,H30/0.35*2)</f>
        <v>1.3128959428571427E-2</v>
      </c>
      <c r="O30" s="2">
        <f>IF('Modell einstellen'!$B$1="Voll",J30/0.35,J30/0.35*2)</f>
        <v>-2.7217686571428569E-2</v>
      </c>
      <c r="P30" s="3">
        <f t="shared" si="1"/>
        <v>0.48236867575488179</v>
      </c>
    </row>
    <row r="31" spans="1:16" x14ac:dyDescent="0.25">
      <c r="A31" s="3">
        <v>10000000000000</v>
      </c>
      <c r="B31" s="3">
        <v>-1.6400000000000001E-2</v>
      </c>
      <c r="C31" s="3">
        <v>7.5079999999999999E-3</v>
      </c>
      <c r="D31" s="3">
        <v>8.5649999999999997E-3</v>
      </c>
      <c r="E31" s="3">
        <v>0</v>
      </c>
      <c r="F31" s="3">
        <v>0</v>
      </c>
      <c r="G31" s="3">
        <v>0</v>
      </c>
      <c r="H31" s="3">
        <v>4.595142E-3</v>
      </c>
      <c r="I31" s="3">
        <v>1.3751137000000001E-3</v>
      </c>
      <c r="J31" s="3">
        <v>-9.5276032999999996E-3</v>
      </c>
      <c r="L31" s="3">
        <f t="shared" si="0"/>
        <v>1.9147694103911268</v>
      </c>
      <c r="M31" s="3"/>
      <c r="N31" s="2">
        <f>IF('Modell einstellen'!$B$1="Voll",H31/0.35,H31/0.35*2)</f>
        <v>1.3128977142857143E-2</v>
      </c>
      <c r="O31" s="2">
        <f>IF('Modell einstellen'!$B$1="Voll",J31/0.35,J31/0.35*2)</f>
        <v>-2.7221723714285714E-2</v>
      </c>
      <c r="P31" s="3">
        <f t="shared" si="1"/>
        <v>0.48229778836404746</v>
      </c>
    </row>
    <row r="32" spans="1:16" x14ac:dyDescent="0.25">
      <c r="A32" s="3">
        <v>100000000000000</v>
      </c>
      <c r="B32" s="3">
        <v>-1.626E-2</v>
      </c>
      <c r="C32" s="3">
        <v>7.5440000000000004E-3</v>
      </c>
      <c r="D32" s="3">
        <v>8.3899999999999999E-3</v>
      </c>
      <c r="E32" s="3">
        <v>0</v>
      </c>
      <c r="F32" s="3">
        <v>0</v>
      </c>
      <c r="G32" s="3">
        <v>0</v>
      </c>
      <c r="H32" s="3">
        <v>4.5952611999999999E-3</v>
      </c>
      <c r="I32" s="3">
        <v>1.38345E-3</v>
      </c>
      <c r="J32" s="3">
        <v>-9.5570550999999997E-3</v>
      </c>
      <c r="L32" s="3">
        <f t="shared" si="0"/>
        <v>1.9380214541120382</v>
      </c>
      <c r="M32" s="3"/>
      <c r="N32" s="2">
        <f>IF('Modell einstellen'!$B$1="Voll",H32/0.35,H32/0.35*2)</f>
        <v>1.3129317714285715E-2</v>
      </c>
      <c r="O32" s="2">
        <f>IF('Modell einstellen'!$B$1="Voll",J32/0.35,J32/0.35*2)</f>
        <v>-2.7305871714285716E-2</v>
      </c>
      <c r="P32" s="3">
        <f t="shared" si="1"/>
        <v>0.48082397264822718</v>
      </c>
    </row>
    <row r="33" spans="1:16" x14ac:dyDescent="0.25">
      <c r="A33" s="3">
        <v>1000000000000000</v>
      </c>
      <c r="B33" s="3">
        <v>-1.6250000000000001E-2</v>
      </c>
      <c r="C33" s="3">
        <v>7.5459999999999998E-3</v>
      </c>
      <c r="D33" s="3">
        <v>8.3820000000000006E-3</v>
      </c>
      <c r="E33" s="3">
        <v>0</v>
      </c>
      <c r="F33" s="3">
        <v>0</v>
      </c>
      <c r="G33" s="3">
        <v>0</v>
      </c>
      <c r="H33" s="3">
        <v>4.5955003999999999E-3</v>
      </c>
      <c r="I33" s="3">
        <v>1.3837652E-3</v>
      </c>
      <c r="J33" s="3">
        <v>-9.5583870999999994E-3</v>
      </c>
      <c r="L33" s="3">
        <f t="shared" si="0"/>
        <v>1.9386781197804819</v>
      </c>
      <c r="M33" s="3"/>
      <c r="N33" s="2">
        <f>IF('Modell einstellen'!$B$1="Voll",H33/0.35,H33/0.35*2)</f>
        <v>1.3130001142857143E-2</v>
      </c>
      <c r="O33" s="2">
        <f>IF('Modell einstellen'!$B$1="Voll",J33/0.35,J33/0.35*2)</f>
        <v>-2.7309677428571429E-2</v>
      </c>
      <c r="P33" s="3">
        <f t="shared" si="1"/>
        <v>0.48078199302055891</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3.1189999999999998E-5</v>
      </c>
      <c r="C3" s="3">
        <v>1.7980000000000001E-4</v>
      </c>
      <c r="D3" s="3">
        <v>-4.9560000000000001E-4</v>
      </c>
      <c r="E3" s="3">
        <v>0</v>
      </c>
      <c r="F3" s="3">
        <v>0</v>
      </c>
      <c r="G3" s="3">
        <v>0</v>
      </c>
      <c r="H3" s="3">
        <v>9.0164786999999999E-5</v>
      </c>
      <c r="I3" s="3">
        <v>1.8647970999999999E-5</v>
      </c>
      <c r="J3" s="3">
        <v>-2.2981839E-4</v>
      </c>
      <c r="L3" s="3">
        <f>-B3/D3</f>
        <v>6.2933817594834532E-2</v>
      </c>
      <c r="M3" s="3"/>
      <c r="N3" s="2">
        <f>IF('Modell einstellen'!$B$1="Voll",H3/0.35,H3/0.35*2)</f>
        <v>2.5761367714285716E-4</v>
      </c>
      <c r="O3" s="2">
        <f>IF('Modell einstellen'!$B$1="Voll",J3/0.35,J3/0.35*2)</f>
        <v>-6.5662397142857143E-4</v>
      </c>
      <c r="P3" s="3">
        <f>-N3/O3</f>
        <v>0.39233060069735937</v>
      </c>
    </row>
    <row r="4" spans="1:16" x14ac:dyDescent="0.25">
      <c r="A4" s="3">
        <v>1E-14</v>
      </c>
      <c r="B4" s="3">
        <v>1.925E-5</v>
      </c>
      <c r="C4" s="3">
        <v>1.872E-4</v>
      </c>
      <c r="D4" s="3">
        <v>-4.9620000000000003E-4</v>
      </c>
      <c r="E4" s="3">
        <v>0</v>
      </c>
      <c r="F4" s="3">
        <v>0</v>
      </c>
      <c r="G4" s="3">
        <v>0</v>
      </c>
      <c r="H4" s="3">
        <v>9.8224922999999998E-5</v>
      </c>
      <c r="I4" s="3">
        <v>1.9508681E-5</v>
      </c>
      <c r="J4" s="3">
        <v>-2.4194911999999999E-4</v>
      </c>
      <c r="L4" s="3">
        <f t="shared" ref="L4:L33" si="0">-B4/D4</f>
        <v>3.8794840790004032E-2</v>
      </c>
      <c r="M4" s="3"/>
      <c r="N4" s="2">
        <f>IF('Modell einstellen'!$B$1="Voll",H4/0.35,H4/0.35*2)</f>
        <v>2.8064263714285714E-4</v>
      </c>
      <c r="O4" s="2">
        <f>IF('Modell einstellen'!$B$1="Voll",J4/0.35,J4/0.35*2)</f>
        <v>-6.9128320000000007E-4</v>
      </c>
      <c r="P4" s="3">
        <f t="shared" ref="P4:P33" si="1">-N4/O4</f>
        <v>0.40597346665282347</v>
      </c>
    </row>
    <row r="5" spans="1:16" x14ac:dyDescent="0.25">
      <c r="A5" s="3">
        <v>1E-13</v>
      </c>
      <c r="B5" s="3">
        <v>5.541E-6</v>
      </c>
      <c r="C5" s="3">
        <v>1.9379999999999999E-4</v>
      </c>
      <c r="D5" s="3">
        <v>-4.9370000000000002E-4</v>
      </c>
      <c r="E5" s="3">
        <v>0</v>
      </c>
      <c r="F5" s="3">
        <v>0</v>
      </c>
      <c r="G5" s="3">
        <v>0</v>
      </c>
      <c r="H5" s="3">
        <v>1.0633346E-4</v>
      </c>
      <c r="I5" s="3">
        <v>2.0298851999999998E-5</v>
      </c>
      <c r="J5" s="3">
        <v>-2.5378739999999998E-4</v>
      </c>
      <c r="L5" s="3">
        <f t="shared" si="0"/>
        <v>1.1223415029370062E-2</v>
      </c>
      <c r="M5" s="3"/>
      <c r="N5" s="2">
        <f>IF('Modell einstellen'!$B$1="Voll",H5/0.35,H5/0.35*2)</f>
        <v>3.0380988571428576E-4</v>
      </c>
      <c r="O5" s="2">
        <f>IF('Modell einstellen'!$B$1="Voll",J5/0.35,J5/0.35*2)</f>
        <v>-7.2510685714285712E-4</v>
      </c>
      <c r="P5" s="3">
        <f t="shared" si="1"/>
        <v>0.41898636417726026</v>
      </c>
    </row>
    <row r="6" spans="1:16" x14ac:dyDescent="0.25">
      <c r="A6" s="3">
        <v>9.9999999999999998E-13</v>
      </c>
      <c r="B6" s="3">
        <v>-1.1430000000000001E-5</v>
      </c>
      <c r="C6" s="3">
        <v>2.0039999999999999E-4</v>
      </c>
      <c r="D6" s="3">
        <v>-4.8819999999999999E-4</v>
      </c>
      <c r="E6" s="3">
        <v>0</v>
      </c>
      <c r="F6" s="3">
        <v>0</v>
      </c>
      <c r="G6" s="3">
        <v>0</v>
      </c>
      <c r="H6" s="3">
        <v>1.1544322E-4</v>
      </c>
      <c r="I6" s="3">
        <v>2.1112590000000001E-5</v>
      </c>
      <c r="J6" s="3">
        <v>-2.6672901000000001E-4</v>
      </c>
      <c r="L6" s="3">
        <f t="shared" si="0"/>
        <v>-2.3412535845964769E-2</v>
      </c>
      <c r="M6" s="3"/>
      <c r="N6" s="2">
        <f>IF('Modell einstellen'!$B$1="Voll",H6/0.35,H6/0.35*2)</f>
        <v>3.2983777142857145E-4</v>
      </c>
      <c r="O6" s="2">
        <f>IF('Modell einstellen'!$B$1="Voll",J6/0.35,J6/0.35*2)</f>
        <v>-7.6208288571428585E-4</v>
      </c>
      <c r="P6" s="3">
        <f t="shared" si="1"/>
        <v>0.43281088922423544</v>
      </c>
    </row>
    <row r="7" spans="1:16" x14ac:dyDescent="0.25">
      <c r="A7" s="3">
        <v>9.9999999999999994E-12</v>
      </c>
      <c r="B7" s="3">
        <v>-3.4770000000000001E-5</v>
      </c>
      <c r="C7" s="3">
        <v>2.0790000000000001E-4</v>
      </c>
      <c r="D7" s="3">
        <v>-4.7760000000000001E-4</v>
      </c>
      <c r="E7" s="3">
        <v>0</v>
      </c>
      <c r="F7" s="3">
        <v>0</v>
      </c>
      <c r="G7" s="3">
        <v>0</v>
      </c>
      <c r="H7" s="3">
        <v>1.2688257000000001E-4</v>
      </c>
      <c r="I7" s="3">
        <v>2.2036383000000001E-5</v>
      </c>
      <c r="J7" s="3">
        <v>-2.8250971E-4</v>
      </c>
      <c r="L7" s="3">
        <f t="shared" si="0"/>
        <v>-7.2801507537688437E-2</v>
      </c>
      <c r="M7" s="3"/>
      <c r="N7" s="2">
        <f>IF('Modell einstellen'!$B$1="Voll",H7/0.35,H7/0.35*2)</f>
        <v>3.6252162857142861E-4</v>
      </c>
      <c r="O7" s="2">
        <f>IF('Modell einstellen'!$B$1="Voll",J7/0.35,J7/0.35*2)</f>
        <v>-8.0717060000000005E-4</v>
      </c>
      <c r="P7" s="3">
        <f t="shared" si="1"/>
        <v>0.44912640347830879</v>
      </c>
    </row>
    <row r="8" spans="1:16" x14ac:dyDescent="0.25">
      <c r="A8" s="3">
        <v>1E-10</v>
      </c>
      <c r="B8" s="3">
        <v>-6.8150000000000003E-5</v>
      </c>
      <c r="C8" s="3">
        <v>2.163E-4</v>
      </c>
      <c r="D8" s="3">
        <v>-4.5869999999999998E-4</v>
      </c>
      <c r="E8" s="3">
        <v>0</v>
      </c>
      <c r="F8" s="3">
        <v>0</v>
      </c>
      <c r="G8" s="3">
        <v>0</v>
      </c>
      <c r="H8" s="3">
        <v>1.4185841000000001E-4</v>
      </c>
      <c r="I8" s="3">
        <v>2.310815E-5</v>
      </c>
      <c r="J8" s="3">
        <v>-3.0251200000000001E-4</v>
      </c>
      <c r="L8" s="3">
        <f t="shared" si="0"/>
        <v>-0.1485720514497493</v>
      </c>
      <c r="M8" s="3"/>
      <c r="N8" s="2">
        <f>IF('Modell einstellen'!$B$1="Voll",H8/0.35,H8/0.35*2)</f>
        <v>4.053097428571429E-4</v>
      </c>
      <c r="O8" s="2">
        <f>IF('Modell einstellen'!$B$1="Voll",J8/0.35,J8/0.35*2)</f>
        <v>-8.6432000000000013E-4</v>
      </c>
      <c r="P8" s="3">
        <f t="shared" si="1"/>
        <v>0.4689348191146136</v>
      </c>
    </row>
    <row r="9" spans="1:16" x14ac:dyDescent="0.25">
      <c r="A9" s="3">
        <v>1.0000000000000001E-9</v>
      </c>
      <c r="B9" s="3">
        <v>-1.292E-4</v>
      </c>
      <c r="C9" s="3">
        <v>2.2770000000000001E-4</v>
      </c>
      <c r="D9" s="3">
        <v>-4.1750000000000001E-4</v>
      </c>
      <c r="E9" s="3">
        <v>0</v>
      </c>
      <c r="F9" s="3">
        <v>0</v>
      </c>
      <c r="G9" s="3">
        <v>0</v>
      </c>
      <c r="H9" s="3">
        <v>1.6674733E-4</v>
      </c>
      <c r="I9" s="3">
        <v>2.4616183E-5</v>
      </c>
      <c r="J9" s="3">
        <v>-3.3445662999999999E-4</v>
      </c>
      <c r="L9" s="3">
        <f t="shared" si="0"/>
        <v>-0.30946107784431137</v>
      </c>
      <c r="M9" s="3"/>
      <c r="N9" s="2">
        <f>IF('Modell einstellen'!$B$1="Voll",H9/0.35,H9/0.35*2)</f>
        <v>4.7642094285714291E-4</v>
      </c>
      <c r="O9" s="2">
        <f>IF('Modell einstellen'!$B$1="Voll",J9/0.35,J9/0.35*2)</f>
        <v>-9.5559037142857147E-4</v>
      </c>
      <c r="P9" s="3">
        <f t="shared" si="1"/>
        <v>0.49856189126823414</v>
      </c>
    </row>
    <row r="10" spans="1:16" x14ac:dyDescent="0.25">
      <c r="A10" s="3">
        <v>1E-8</v>
      </c>
      <c r="B10" s="3">
        <v>-2.455E-4</v>
      </c>
      <c r="C10" s="3">
        <v>2.418E-4</v>
      </c>
      <c r="D10" s="3">
        <v>-3.2630000000000002E-4</v>
      </c>
      <c r="E10" s="3">
        <v>0</v>
      </c>
      <c r="F10" s="3">
        <v>0</v>
      </c>
      <c r="G10" s="3">
        <v>0</v>
      </c>
      <c r="H10" s="3">
        <v>2.0918240999999999E-4</v>
      </c>
      <c r="I10" s="3">
        <v>2.6602640000000001E-5</v>
      </c>
      <c r="J10" s="3">
        <v>-3.8614733999999998E-4</v>
      </c>
      <c r="L10" s="3">
        <f t="shared" si="0"/>
        <v>-0.75237511492491571</v>
      </c>
      <c r="M10" s="3"/>
      <c r="N10" s="2">
        <f>IF('Modell einstellen'!$B$1="Voll",H10/0.35,H10/0.35*2)</f>
        <v>5.9766402857142856E-4</v>
      </c>
      <c r="O10" s="2">
        <f>IF('Modell einstellen'!$B$1="Voll",J10/0.35,J10/0.35*2)</f>
        <v>-1.1032781142857142E-3</v>
      </c>
      <c r="P10" s="3">
        <f t="shared" si="1"/>
        <v>0.54171656342369212</v>
      </c>
    </row>
    <row r="11" spans="1:16" x14ac:dyDescent="0.25">
      <c r="A11" s="3">
        <v>9.9999999999999995E-8</v>
      </c>
      <c r="B11" s="3">
        <v>-4.86E-4</v>
      </c>
      <c r="C11" s="3">
        <v>2.5799999999999998E-4</v>
      </c>
      <c r="D11" s="3">
        <v>-1.153E-4</v>
      </c>
      <c r="E11" s="3">
        <v>0</v>
      </c>
      <c r="F11" s="3">
        <v>0</v>
      </c>
      <c r="G11" s="3">
        <v>0</v>
      </c>
      <c r="H11" s="3">
        <v>2.8778586999999998E-4</v>
      </c>
      <c r="I11" s="3">
        <v>2.910098E-5</v>
      </c>
      <c r="J11" s="3">
        <v>-4.7629915000000001E-4</v>
      </c>
      <c r="L11" s="3">
        <f t="shared" si="0"/>
        <v>-4.2150910667823069</v>
      </c>
      <c r="M11" s="3"/>
      <c r="N11" s="2">
        <f>IF('Modell einstellen'!$B$1="Voll",H11/0.35,H11/0.35*2)</f>
        <v>8.2224534285714284E-4</v>
      </c>
      <c r="O11" s="2">
        <f>IF('Modell einstellen'!$B$1="Voll",J11/0.35,J11/0.35*2)</f>
        <v>-1.3608547142857144E-3</v>
      </c>
      <c r="P11" s="3">
        <f t="shared" si="1"/>
        <v>0.60421243665876778</v>
      </c>
    </row>
    <row r="12" spans="1:16" x14ac:dyDescent="0.25">
      <c r="A12" s="3">
        <v>9.9999999999999995E-7</v>
      </c>
      <c r="B12" s="3">
        <v>-1.0709999999999999E-3</v>
      </c>
      <c r="C12" s="3">
        <v>2.744E-4</v>
      </c>
      <c r="D12" s="3">
        <v>4.3790000000000002E-4</v>
      </c>
      <c r="E12" s="3">
        <v>0</v>
      </c>
      <c r="F12" s="3">
        <v>0</v>
      </c>
      <c r="G12" s="3">
        <v>0</v>
      </c>
      <c r="H12" s="3">
        <v>4.6102841999999999E-4</v>
      </c>
      <c r="I12" s="3">
        <v>3.2086821000000003E-5</v>
      </c>
      <c r="J12" s="3">
        <v>-6.6302007E-4</v>
      </c>
      <c r="L12" s="3">
        <f t="shared" si="0"/>
        <v>2.4457638730303719</v>
      </c>
      <c r="M12" s="3"/>
      <c r="N12" s="2">
        <f>IF('Modell einstellen'!$B$1="Voll",H12/0.35,H12/0.35*2)</f>
        <v>1.3172240571428572E-3</v>
      </c>
      <c r="O12" s="2">
        <f>IF('Modell einstellen'!$B$1="Voll",J12/0.35,J12/0.35*2)</f>
        <v>-1.8943430571428572E-3</v>
      </c>
      <c r="P12" s="3">
        <f t="shared" si="1"/>
        <v>0.69534610015651555</v>
      </c>
    </row>
    <row r="13" spans="1:16" x14ac:dyDescent="0.25">
      <c r="A13" s="3">
        <v>1.0000000000000001E-5</v>
      </c>
      <c r="B13" s="3">
        <v>-2.385E-3</v>
      </c>
      <c r="C13" s="3">
        <v>2.853E-4</v>
      </c>
      <c r="D13" s="3">
        <v>1.73E-3</v>
      </c>
      <c r="E13" s="3">
        <v>0</v>
      </c>
      <c r="F13" s="3">
        <v>0</v>
      </c>
      <c r="G13" s="3">
        <v>0</v>
      </c>
      <c r="H13" s="3">
        <v>8.2528720000000003E-4</v>
      </c>
      <c r="I13" s="3">
        <v>3.4553237000000001E-5</v>
      </c>
      <c r="J13" s="3">
        <v>-1.0371720000000001E-3</v>
      </c>
      <c r="L13" s="3">
        <f t="shared" si="0"/>
        <v>1.3786127167630058</v>
      </c>
      <c r="M13" s="3"/>
      <c r="N13" s="2">
        <f>IF('Modell einstellen'!$B$1="Voll",H13/0.35,H13/0.35*2)</f>
        <v>2.3579634285714286E-3</v>
      </c>
      <c r="O13" s="2">
        <f>IF('Modell einstellen'!$B$1="Voll",J13/0.35,J13/0.35*2)</f>
        <v>-2.9633485714285718E-3</v>
      </c>
      <c r="P13" s="3">
        <f t="shared" si="1"/>
        <v>0.79570910128696104</v>
      </c>
    </row>
    <row r="14" spans="1:16" x14ac:dyDescent="0.25">
      <c r="A14" s="3">
        <v>1E-4</v>
      </c>
      <c r="B14" s="3">
        <v>-5.0229999999999997E-3</v>
      </c>
      <c r="C14" s="3">
        <v>2.9300000000000002E-4</v>
      </c>
      <c r="D14" s="3">
        <v>4.3550000000000004E-3</v>
      </c>
      <c r="E14" s="3">
        <v>0</v>
      </c>
      <c r="F14" s="3">
        <v>0</v>
      </c>
      <c r="G14" s="3">
        <v>0</v>
      </c>
      <c r="H14" s="3">
        <v>1.5371814E-3</v>
      </c>
      <c r="I14" s="3">
        <v>3.6106402000000003E-5</v>
      </c>
      <c r="J14" s="3">
        <v>-1.7509035E-3</v>
      </c>
      <c r="L14" s="3">
        <f t="shared" si="0"/>
        <v>1.1533869115958666</v>
      </c>
      <c r="M14" s="3"/>
      <c r="N14" s="2">
        <f>IF('Modell einstellen'!$B$1="Voll",H14/0.35,H14/0.35*2)</f>
        <v>4.3919468571428574E-3</v>
      </c>
      <c r="O14" s="2">
        <f>IF('Modell einstellen'!$B$1="Voll",J14/0.35,J14/0.35*2)</f>
        <v>-5.0025814285714291E-3</v>
      </c>
      <c r="P14" s="3">
        <f t="shared" si="1"/>
        <v>0.87793610555921553</v>
      </c>
    </row>
    <row r="15" spans="1:16" x14ac:dyDescent="0.25">
      <c r="A15" s="3">
        <v>1E-3</v>
      </c>
      <c r="B15" s="3">
        <v>-9.9970000000000007E-3</v>
      </c>
      <c r="C15" s="3">
        <v>3.0880000000000002E-4</v>
      </c>
      <c r="D15" s="3">
        <v>9.3120000000000008E-3</v>
      </c>
      <c r="E15" s="3">
        <v>0</v>
      </c>
      <c r="F15" s="3">
        <v>0</v>
      </c>
      <c r="G15" s="3">
        <v>0</v>
      </c>
      <c r="H15" s="3">
        <v>2.8698437999999998E-3</v>
      </c>
      <c r="I15" s="3">
        <v>3.70689E-5</v>
      </c>
      <c r="J15" s="3">
        <v>-3.0701286999999999E-3</v>
      </c>
      <c r="L15" s="3">
        <f t="shared" si="0"/>
        <v>1.073560996563574</v>
      </c>
      <c r="M15" s="3"/>
      <c r="N15" s="2">
        <f>IF('Modell einstellen'!$B$1="Voll",H15/0.35,H15/0.35*2)</f>
        <v>8.199553714285714E-3</v>
      </c>
      <c r="O15" s="2">
        <f>IF('Modell einstellen'!$B$1="Voll",J15/0.35,J15/0.35*2)</f>
        <v>-8.7717962857142857E-3</v>
      </c>
      <c r="P15" s="3">
        <f t="shared" si="1"/>
        <v>0.93476335373171815</v>
      </c>
    </row>
    <row r="16" spans="1:16" x14ac:dyDescent="0.25">
      <c r="A16" s="3">
        <v>0.01</v>
      </c>
      <c r="B16" s="3">
        <v>-1.5980000000000001E-2</v>
      </c>
      <c r="C16" s="3">
        <v>3.4489999999999998E-4</v>
      </c>
      <c r="D16" s="3">
        <v>1.5259999999999999E-2</v>
      </c>
      <c r="E16" s="3">
        <v>0</v>
      </c>
      <c r="F16" s="3">
        <v>0</v>
      </c>
      <c r="G16" s="3">
        <v>0</v>
      </c>
      <c r="H16" s="3">
        <v>4.4754796999999999E-3</v>
      </c>
      <c r="I16" s="3">
        <v>3.832602E-5</v>
      </c>
      <c r="J16" s="3">
        <v>-4.6459316000000001E-3</v>
      </c>
      <c r="L16" s="3">
        <f t="shared" si="0"/>
        <v>1.0471821756225428</v>
      </c>
      <c r="M16" s="3"/>
      <c r="N16" s="2">
        <f>IF('Modell einstellen'!$B$1="Voll",H16/0.35,H16/0.35*2)</f>
        <v>1.2787084857142857E-2</v>
      </c>
      <c r="O16" s="2">
        <f>IF('Modell einstellen'!$B$1="Voll",J16/0.35,J16/0.35*2)</f>
        <v>-1.3274090285714286E-2</v>
      </c>
      <c r="P16" s="3">
        <f t="shared" si="1"/>
        <v>0.96331157781143395</v>
      </c>
    </row>
    <row r="17" spans="1:16" x14ac:dyDescent="0.25">
      <c r="A17" s="3">
        <v>0.1</v>
      </c>
      <c r="B17" s="3">
        <v>-1.9029999999999998E-2</v>
      </c>
      <c r="C17" s="3">
        <v>4.0549999999999999E-4</v>
      </c>
      <c r="D17" s="3">
        <v>1.8249999999999999E-2</v>
      </c>
      <c r="E17" s="3">
        <v>0</v>
      </c>
      <c r="F17" s="3">
        <v>0</v>
      </c>
      <c r="G17" s="3">
        <v>0</v>
      </c>
      <c r="H17" s="3">
        <v>5.3071715999999996E-3</v>
      </c>
      <c r="I17" s="3">
        <v>4.4678122999999998E-5</v>
      </c>
      <c r="J17" s="3">
        <v>-5.4767625999999998E-3</v>
      </c>
      <c r="L17" s="3">
        <f t="shared" si="0"/>
        <v>1.0427397260273972</v>
      </c>
      <c r="M17" s="3"/>
      <c r="N17" s="2">
        <f>IF('Modell einstellen'!$B$1="Voll",H17/0.35,H17/0.35*2)</f>
        <v>1.5163347428571429E-2</v>
      </c>
      <c r="O17" s="2">
        <f>IF('Modell einstellen'!$B$1="Voll",J17/0.35,J17/0.35*2)</f>
        <v>-1.5647893142857142E-2</v>
      </c>
      <c r="P17" s="3">
        <f t="shared" si="1"/>
        <v>0.96903444381540293</v>
      </c>
    </row>
    <row r="18" spans="1:16" x14ac:dyDescent="0.25">
      <c r="A18" s="3">
        <v>1</v>
      </c>
      <c r="B18" s="3">
        <v>-2.0889999999999999E-2</v>
      </c>
      <c r="C18" s="3">
        <v>5.5690000000000004E-4</v>
      </c>
      <c r="D18" s="3">
        <v>1.9959999999999999E-2</v>
      </c>
      <c r="E18" s="3">
        <v>0</v>
      </c>
      <c r="F18" s="3">
        <v>0</v>
      </c>
      <c r="G18" s="3">
        <v>0</v>
      </c>
      <c r="H18" s="3">
        <v>5.8234456000000002E-3</v>
      </c>
      <c r="I18" s="3">
        <v>6.7048406000000003E-5</v>
      </c>
      <c r="J18" s="3">
        <v>-6.0562947000000001E-3</v>
      </c>
      <c r="L18" s="3">
        <f t="shared" si="0"/>
        <v>1.0465931863727456</v>
      </c>
      <c r="M18" s="3"/>
      <c r="N18" s="2">
        <f>IF('Modell einstellen'!$B$1="Voll",H18/0.35,H18/0.35*2)</f>
        <v>1.6638416000000003E-2</v>
      </c>
      <c r="O18" s="2">
        <f>IF('Modell einstellen'!$B$1="Voll",J18/0.35,J18/0.35*2)</f>
        <v>-1.7303699142857145E-2</v>
      </c>
      <c r="P18" s="3">
        <f t="shared" si="1"/>
        <v>0.96155254796303102</v>
      </c>
    </row>
    <row r="19" spans="1:16" x14ac:dyDescent="0.25">
      <c r="A19" s="3">
        <v>10</v>
      </c>
      <c r="B19" s="3">
        <v>-2.1329999999999998E-2</v>
      </c>
      <c r="C19" s="3">
        <v>8.6729999999999999E-4</v>
      </c>
      <c r="D19" s="3">
        <v>2.01E-2</v>
      </c>
      <c r="E19" s="3">
        <v>0</v>
      </c>
      <c r="F19" s="3">
        <v>0</v>
      </c>
      <c r="G19" s="3">
        <v>0</v>
      </c>
      <c r="H19" s="3">
        <v>5.9491891000000002E-3</v>
      </c>
      <c r="I19" s="3">
        <v>1.2050900999999999E-4</v>
      </c>
      <c r="J19" s="3">
        <v>-6.3690363000000003E-3</v>
      </c>
      <c r="L19" s="3">
        <f t="shared" si="0"/>
        <v>1.0611940298507463</v>
      </c>
      <c r="M19" s="3"/>
      <c r="N19" s="2">
        <f>IF('Modell einstellen'!$B$1="Voll",H19/0.35,H19/0.35*2)</f>
        <v>1.6997683142857146E-2</v>
      </c>
      <c r="O19" s="2">
        <f>IF('Modell einstellen'!$B$1="Voll",J19/0.35,J19/0.35*2)</f>
        <v>-1.8197246571428575E-2</v>
      </c>
      <c r="P19" s="3">
        <f t="shared" si="1"/>
        <v>0.93407994864152366</v>
      </c>
    </row>
    <row r="20" spans="1:16" x14ac:dyDescent="0.25">
      <c r="A20" s="3">
        <v>100</v>
      </c>
      <c r="B20" s="3">
        <v>-2.0959999999999999E-2</v>
      </c>
      <c r="C20" s="3">
        <v>1.5E-3</v>
      </c>
      <c r="D20" s="3">
        <v>1.9089999999999999E-2</v>
      </c>
      <c r="E20" s="3">
        <v>0</v>
      </c>
      <c r="F20" s="3">
        <v>0</v>
      </c>
      <c r="G20" s="3">
        <v>0</v>
      </c>
      <c r="H20" s="3">
        <v>5.8213177000000001E-3</v>
      </c>
      <c r="I20" s="3">
        <v>2.3534715000000001E-4</v>
      </c>
      <c r="J20" s="3">
        <v>-6.6572506000000002E-3</v>
      </c>
      <c r="L20" s="3">
        <f t="shared" si="0"/>
        <v>1.0979570455735987</v>
      </c>
      <c r="M20" s="3"/>
      <c r="N20" s="2">
        <f>IF('Modell einstellen'!$B$1="Voll",H20/0.35,H20/0.35*2)</f>
        <v>1.6632336285714287E-2</v>
      </c>
      <c r="O20" s="2">
        <f>IF('Modell einstellen'!$B$1="Voll",J20/0.35,J20/0.35*2)</f>
        <v>-1.9020716E-2</v>
      </c>
      <c r="P20" s="3">
        <f t="shared" si="1"/>
        <v>0.87443271250747268</v>
      </c>
    </row>
    <row r="21" spans="1:16" x14ac:dyDescent="0.25">
      <c r="A21" s="3">
        <v>1000</v>
      </c>
      <c r="B21" s="3">
        <v>-2.0310000000000002E-2</v>
      </c>
      <c r="C21" s="3">
        <v>2.7000000000000001E-3</v>
      </c>
      <c r="D21" s="3">
        <v>1.7250000000000001E-2</v>
      </c>
      <c r="E21" s="3">
        <v>0</v>
      </c>
      <c r="F21" s="3">
        <v>0</v>
      </c>
      <c r="G21" s="3">
        <v>0</v>
      </c>
      <c r="H21" s="3">
        <v>5.5660385999999999E-3</v>
      </c>
      <c r="I21" s="3">
        <v>4.5440855999999999E-4</v>
      </c>
      <c r="J21" s="3">
        <v>-7.1954176000000002E-3</v>
      </c>
      <c r="L21" s="3">
        <f t="shared" si="0"/>
        <v>1.1773913043478261</v>
      </c>
      <c r="M21" s="3"/>
      <c r="N21" s="2">
        <f>IF('Modell einstellen'!$B$1="Voll",H21/0.35,H21/0.35*2)</f>
        <v>1.5902967428571429E-2</v>
      </c>
      <c r="O21" s="2">
        <f>IF('Modell einstellen'!$B$1="Voll",J21/0.35,J21/0.35*2)</f>
        <v>-2.0558336000000003E-2</v>
      </c>
      <c r="P21" s="3">
        <f t="shared" si="1"/>
        <v>0.77355324032895589</v>
      </c>
    </row>
    <row r="22" spans="1:16" x14ac:dyDescent="0.25">
      <c r="A22" s="3">
        <v>10000</v>
      </c>
      <c r="B22" s="3">
        <v>-1.95E-2</v>
      </c>
      <c r="C22" s="3">
        <v>4.0889999999999998E-3</v>
      </c>
      <c r="D22" s="3">
        <v>1.507E-2</v>
      </c>
      <c r="E22" s="3">
        <v>0</v>
      </c>
      <c r="F22" s="3">
        <v>0</v>
      </c>
      <c r="G22" s="3">
        <v>0</v>
      </c>
      <c r="H22" s="3">
        <v>5.2721634E-3</v>
      </c>
      <c r="I22" s="3">
        <v>7.1094514999999999E-4</v>
      </c>
      <c r="J22" s="3">
        <v>-7.8274767000000006E-3</v>
      </c>
      <c r="L22" s="3">
        <f t="shared" si="0"/>
        <v>1.2939615129396151</v>
      </c>
      <c r="M22" s="3"/>
      <c r="N22" s="2">
        <f>IF('Modell einstellen'!$B$1="Voll",H22/0.35,H22/0.35*2)</f>
        <v>1.5063324000000001E-2</v>
      </c>
      <c r="O22" s="2">
        <f>IF('Modell einstellen'!$B$1="Voll",J22/0.35,J22/0.35*2)</f>
        <v>-2.2364219142857147E-2</v>
      </c>
      <c r="P22" s="3">
        <f t="shared" si="1"/>
        <v>0.67354571620762527</v>
      </c>
    </row>
    <row r="23" spans="1:16" x14ac:dyDescent="0.25">
      <c r="A23" s="3">
        <v>100000</v>
      </c>
      <c r="B23" s="3">
        <v>-1.874E-2</v>
      </c>
      <c r="C23" s="3">
        <v>5.2519999999999997E-3</v>
      </c>
      <c r="D23" s="3">
        <v>1.315E-2</v>
      </c>
      <c r="E23" s="3">
        <v>0</v>
      </c>
      <c r="F23" s="3">
        <v>0</v>
      </c>
      <c r="G23" s="3">
        <v>0</v>
      </c>
      <c r="H23" s="3">
        <v>5.0280302999999998E-3</v>
      </c>
      <c r="I23" s="3">
        <v>9.3004781000000005E-4</v>
      </c>
      <c r="J23" s="3">
        <v>-8.3710507999999999E-3</v>
      </c>
      <c r="L23" s="3">
        <f t="shared" si="0"/>
        <v>1.4250950570342205</v>
      </c>
      <c r="M23" s="3"/>
      <c r="N23" s="2">
        <f>IF('Modell einstellen'!$B$1="Voll",H23/0.35,H23/0.35*2)</f>
        <v>1.4365800857142858E-2</v>
      </c>
      <c r="O23" s="2">
        <f>IF('Modell einstellen'!$B$1="Voll",J23/0.35,J23/0.35*2)</f>
        <v>-2.3917288000000002E-2</v>
      </c>
      <c r="P23" s="3">
        <f t="shared" si="1"/>
        <v>0.60064505880193675</v>
      </c>
    </row>
    <row r="24" spans="1:16" x14ac:dyDescent="0.25">
      <c r="A24" s="3">
        <v>1000000</v>
      </c>
      <c r="B24" s="3">
        <v>-1.8120000000000001E-2</v>
      </c>
      <c r="C24" s="3">
        <v>6.0930000000000003E-3</v>
      </c>
      <c r="D24" s="3">
        <v>1.1690000000000001E-2</v>
      </c>
      <c r="E24" s="3">
        <v>0</v>
      </c>
      <c r="F24" s="3">
        <v>0</v>
      </c>
      <c r="G24" s="3">
        <v>0</v>
      </c>
      <c r="H24" s="3">
        <v>4.8526423000000004E-3</v>
      </c>
      <c r="I24" s="3">
        <v>1.0914903E-3</v>
      </c>
      <c r="J24" s="3">
        <v>-8.7741812999999995E-3</v>
      </c>
      <c r="L24" s="3">
        <f t="shared" si="0"/>
        <v>1.5500427715996579</v>
      </c>
      <c r="M24" s="3"/>
      <c r="N24" s="2">
        <f>IF('Modell einstellen'!$B$1="Voll",H24/0.35,H24/0.35*2)</f>
        <v>1.3864692285714289E-2</v>
      </c>
      <c r="O24" s="2">
        <f>IF('Modell einstellen'!$B$1="Voll",J24/0.35,J24/0.35*2)</f>
        <v>-2.5069089428571428E-2</v>
      </c>
      <c r="P24" s="3">
        <f t="shared" si="1"/>
        <v>0.55305926947281125</v>
      </c>
    </row>
    <row r="25" spans="1:16" x14ac:dyDescent="0.25">
      <c r="A25" s="3">
        <v>10000000</v>
      </c>
      <c r="B25" s="3">
        <v>-1.7649999999999999E-2</v>
      </c>
      <c r="C25" s="3">
        <v>6.6600000000000001E-3</v>
      </c>
      <c r="D25" s="3">
        <v>1.0659999999999999E-2</v>
      </c>
      <c r="E25" s="3">
        <v>0</v>
      </c>
      <c r="F25" s="3">
        <v>0</v>
      </c>
      <c r="G25" s="3">
        <v>0</v>
      </c>
      <c r="H25" s="3">
        <v>4.7353159000000002E-3</v>
      </c>
      <c r="I25" s="3">
        <v>1.2021076E-3</v>
      </c>
      <c r="J25" s="3">
        <v>-9.0522763000000003E-3</v>
      </c>
      <c r="L25" s="3">
        <f t="shared" si="0"/>
        <v>1.6557223264540337</v>
      </c>
      <c r="M25" s="3"/>
      <c r="N25" s="2">
        <f>IF('Modell einstellen'!$B$1="Voll",H25/0.35,H25/0.35*2)</f>
        <v>1.3529474000000001E-2</v>
      </c>
      <c r="O25" s="2">
        <f>IF('Modell einstellen'!$B$1="Voll",J25/0.35,J25/0.35*2)</f>
        <v>-2.5863646571428575E-2</v>
      </c>
      <c r="P25" s="3">
        <f t="shared" si="1"/>
        <v>0.52310775136194199</v>
      </c>
    </row>
    <row r="26" spans="1:16" x14ac:dyDescent="0.25">
      <c r="A26" s="3">
        <v>100000000</v>
      </c>
      <c r="B26" s="3">
        <v>-1.728E-2</v>
      </c>
      <c r="C26" s="3">
        <v>7.0359999999999997E-3</v>
      </c>
      <c r="D26" s="3">
        <v>9.9170000000000005E-3</v>
      </c>
      <c r="E26" s="3">
        <v>0</v>
      </c>
      <c r="F26" s="3">
        <v>0</v>
      </c>
      <c r="G26" s="3">
        <v>0</v>
      </c>
      <c r="H26" s="3">
        <v>4.6592912000000004E-3</v>
      </c>
      <c r="I26" s="3">
        <v>1.2768641E-3</v>
      </c>
      <c r="J26" s="3">
        <v>-9.2429578999999994E-3</v>
      </c>
      <c r="L26" s="3">
        <f t="shared" si="0"/>
        <v>1.7424624382373701</v>
      </c>
      <c r="M26" s="3"/>
      <c r="N26" s="2">
        <f>IF('Modell einstellen'!$B$1="Voll",H26/0.35,H26/0.35*2)</f>
        <v>1.3312260571428574E-2</v>
      </c>
      <c r="O26" s="2">
        <f>IF('Modell einstellen'!$B$1="Voll",J26/0.35,J26/0.35*2)</f>
        <v>-2.6408451142857142E-2</v>
      </c>
      <c r="P26" s="3">
        <f t="shared" si="1"/>
        <v>0.50409092526538513</v>
      </c>
    </row>
    <row r="27" spans="1:16" x14ac:dyDescent="0.25">
      <c r="A27" s="3">
        <v>1000000000</v>
      </c>
      <c r="B27" s="3">
        <v>-1.6979999999999999E-2</v>
      </c>
      <c r="C27" s="3">
        <v>7.2769999999999996E-3</v>
      </c>
      <c r="D27" s="3">
        <v>9.3760000000000007E-3</v>
      </c>
      <c r="E27" s="3">
        <v>0</v>
      </c>
      <c r="F27" s="3">
        <v>0</v>
      </c>
      <c r="G27" s="3">
        <v>0</v>
      </c>
      <c r="H27" s="3">
        <v>4.6151022999999999E-3</v>
      </c>
      <c r="I27" s="3">
        <v>1.3256622999999999E-3</v>
      </c>
      <c r="J27" s="3">
        <v>-9.3724732999999998E-3</v>
      </c>
      <c r="L27" s="3">
        <f t="shared" si="0"/>
        <v>1.8110068259385663</v>
      </c>
      <c r="M27" s="3"/>
      <c r="N27" s="2">
        <f>IF('Modell einstellen'!$B$1="Voll",H27/0.35,H27/0.35*2)</f>
        <v>1.3186006571428571E-2</v>
      </c>
      <c r="O27" s="2">
        <f>IF('Modell einstellen'!$B$1="Voll",J27/0.35,J27/0.35*2)</f>
        <v>-2.6778495142857142E-2</v>
      </c>
      <c r="P27" s="3">
        <f t="shared" si="1"/>
        <v>0.49241029046196377</v>
      </c>
    </row>
    <row r="28" spans="1:16" x14ac:dyDescent="0.25">
      <c r="A28" s="3">
        <v>10000000000</v>
      </c>
      <c r="B28" s="3">
        <v>-1.6920000000000001E-2</v>
      </c>
      <c r="C28" s="3">
        <v>7.3169999999999997E-3</v>
      </c>
      <c r="D28" s="3">
        <v>9.2779999999999998E-3</v>
      </c>
      <c r="E28" s="3">
        <v>0</v>
      </c>
      <c r="F28" s="3">
        <v>0</v>
      </c>
      <c r="G28" s="3">
        <v>0</v>
      </c>
      <c r="H28" s="3">
        <v>4.6080938E-3</v>
      </c>
      <c r="I28" s="3">
        <v>1.3340609000000001E-3</v>
      </c>
      <c r="J28" s="3">
        <v>-9.3952832999999996E-3</v>
      </c>
      <c r="L28" s="3">
        <f t="shared" si="0"/>
        <v>1.823668894158224</v>
      </c>
      <c r="M28" s="3"/>
      <c r="N28" s="2">
        <f>IF('Modell einstellen'!$B$1="Voll",H28/0.35,H28/0.35*2)</f>
        <v>1.3165982285714287E-2</v>
      </c>
      <c r="O28" s="2">
        <f>IF('Modell einstellen'!$B$1="Voll",J28/0.35,J28/0.35*2)</f>
        <v>-2.6843666571428573E-2</v>
      </c>
      <c r="P28" s="3">
        <f t="shared" si="1"/>
        <v>0.49046885047095923</v>
      </c>
    </row>
    <row r="29" spans="1:16" x14ac:dyDescent="0.25">
      <c r="A29" s="3">
        <v>100000000000</v>
      </c>
      <c r="B29" s="3">
        <v>-1.6840000000000001E-2</v>
      </c>
      <c r="C29" s="3">
        <v>7.3699999999999998E-3</v>
      </c>
      <c r="D29" s="3">
        <v>9.1420000000000008E-3</v>
      </c>
      <c r="E29" s="3">
        <v>0</v>
      </c>
      <c r="F29" s="3">
        <v>0</v>
      </c>
      <c r="G29" s="3">
        <v>0</v>
      </c>
      <c r="H29" s="3">
        <v>4.5993932000000003E-3</v>
      </c>
      <c r="I29" s="3">
        <v>1.3452367999999999E-3</v>
      </c>
      <c r="J29" s="3">
        <v>-9.4262922000000002E-3</v>
      </c>
      <c r="L29" s="3">
        <f t="shared" si="0"/>
        <v>1.8420476919711222</v>
      </c>
      <c r="M29" s="3"/>
      <c r="N29" s="2">
        <f>IF('Modell einstellen'!$B$1="Voll",H29/0.35,H29/0.35*2)</f>
        <v>1.3141123428571429E-2</v>
      </c>
      <c r="O29" s="2">
        <f>IF('Modell einstellen'!$B$1="Voll",J29/0.35,J29/0.35*2)</f>
        <v>-2.693226342857143E-2</v>
      </c>
      <c r="P29" s="3">
        <f t="shared" si="1"/>
        <v>0.48793238130258682</v>
      </c>
    </row>
    <row r="30" spans="1:16" x14ac:dyDescent="0.25">
      <c r="A30" s="3">
        <v>1000000000000</v>
      </c>
      <c r="B30" s="3">
        <v>-1.643E-2</v>
      </c>
      <c r="C30" s="3">
        <v>7.5240000000000003E-3</v>
      </c>
      <c r="D30" s="3">
        <v>8.5780000000000006E-3</v>
      </c>
      <c r="E30" s="3">
        <v>0</v>
      </c>
      <c r="F30" s="3">
        <v>0</v>
      </c>
      <c r="G30" s="3">
        <v>0</v>
      </c>
      <c r="H30" s="3">
        <v>4.5875834999999998E-3</v>
      </c>
      <c r="I30" s="3">
        <v>1.3786477E-3</v>
      </c>
      <c r="J30" s="3">
        <v>-9.5325911999999992E-3</v>
      </c>
      <c r="L30" s="3">
        <f t="shared" si="0"/>
        <v>1.9153648869200279</v>
      </c>
      <c r="M30" s="3"/>
      <c r="N30" s="2">
        <f>IF('Modell einstellen'!$B$1="Voll",H30/0.35,H30/0.35*2)</f>
        <v>1.310738142857143E-2</v>
      </c>
      <c r="O30" s="2">
        <f>IF('Modell einstellen'!$B$1="Voll",J30/0.35,J30/0.35*2)</f>
        <v>-2.7235974857142856E-2</v>
      </c>
      <c r="P30" s="3">
        <f t="shared" si="1"/>
        <v>0.48125251610496006</v>
      </c>
    </row>
    <row r="31" spans="1:16" x14ac:dyDescent="0.25">
      <c r="A31" s="3">
        <v>10000000000000</v>
      </c>
      <c r="B31" s="3">
        <v>-1.6420000000000001E-2</v>
      </c>
      <c r="C31" s="3">
        <v>7.5259999999999997E-3</v>
      </c>
      <c r="D31" s="3">
        <v>8.5699999999999995E-3</v>
      </c>
      <c r="E31" s="3">
        <v>0</v>
      </c>
      <c r="F31" s="3">
        <v>0</v>
      </c>
      <c r="G31" s="3">
        <v>0</v>
      </c>
      <c r="H31" s="3">
        <v>4.5875763999999996E-3</v>
      </c>
      <c r="I31" s="3">
        <v>1.3790854999999999E-3</v>
      </c>
      <c r="J31" s="3">
        <v>-9.5341123999999992E-3</v>
      </c>
      <c r="L31" s="3">
        <f t="shared" si="0"/>
        <v>1.9159859976662779</v>
      </c>
      <c r="M31" s="3"/>
      <c r="N31" s="2">
        <f>IF('Modell einstellen'!$B$1="Voll",H31/0.35,H31/0.35*2)</f>
        <v>1.3107361142857142E-2</v>
      </c>
      <c r="O31" s="2">
        <f>IF('Modell einstellen'!$B$1="Voll",J31/0.35,J31/0.35*2)</f>
        <v>-2.7240321142857141E-2</v>
      </c>
      <c r="P31" s="3">
        <f t="shared" si="1"/>
        <v>0.48117498593786245</v>
      </c>
    </row>
    <row r="32" spans="1:16" x14ac:dyDescent="0.25">
      <c r="A32" s="3">
        <v>100000000000000</v>
      </c>
      <c r="B32" s="3">
        <v>-1.617E-2</v>
      </c>
      <c r="C32" s="3">
        <v>7.5659999999999998E-3</v>
      </c>
      <c r="D32" s="3">
        <v>8.2749999999999994E-3</v>
      </c>
      <c r="E32" s="3">
        <v>0</v>
      </c>
      <c r="F32" s="3">
        <v>0</v>
      </c>
      <c r="G32" s="3">
        <v>0</v>
      </c>
      <c r="H32" s="3">
        <v>4.5965140999999999E-3</v>
      </c>
      <c r="I32" s="3">
        <v>1.3884939000000001E-3</v>
      </c>
      <c r="J32" s="3">
        <v>-9.5758117000000007E-3</v>
      </c>
      <c r="L32" s="3">
        <f t="shared" si="0"/>
        <v>1.9540785498489428</v>
      </c>
      <c r="M32" s="3"/>
      <c r="N32" s="2">
        <f>IF('Modell einstellen'!$B$1="Voll",H32/0.35,H32/0.35*2)</f>
        <v>1.3132897428571429E-2</v>
      </c>
      <c r="O32" s="2">
        <f>IF('Modell einstellen'!$B$1="Voll",J32/0.35,J32/0.35*2)</f>
        <v>-2.7359462000000005E-2</v>
      </c>
      <c r="P32" s="3">
        <f t="shared" si="1"/>
        <v>0.48001299983791446</v>
      </c>
    </row>
    <row r="33" spans="1:16" x14ac:dyDescent="0.25">
      <c r="A33" s="3">
        <v>1000000000000000</v>
      </c>
      <c r="B33" s="3">
        <v>-1.6160000000000001E-2</v>
      </c>
      <c r="C33" s="3">
        <v>7.5659999999999998E-3</v>
      </c>
      <c r="D33" s="3">
        <v>8.2690000000000003E-3</v>
      </c>
      <c r="E33" s="3">
        <v>0</v>
      </c>
      <c r="F33" s="3">
        <v>0</v>
      </c>
      <c r="G33" s="3">
        <v>0</v>
      </c>
      <c r="H33" s="3">
        <v>4.5968639000000004E-3</v>
      </c>
      <c r="I33" s="3">
        <v>1.3886720000000001E-3</v>
      </c>
      <c r="J33" s="3">
        <v>-9.5767743000000002E-3</v>
      </c>
      <c r="L33" s="3">
        <f t="shared" si="0"/>
        <v>1.9542870963840853</v>
      </c>
      <c r="M33" s="3"/>
      <c r="N33" s="2">
        <f>IF('Modell einstellen'!$B$1="Voll",H33/0.35,H33/0.35*2)</f>
        <v>1.3133896857142859E-2</v>
      </c>
      <c r="O33" s="2">
        <f>IF('Modell einstellen'!$B$1="Voll",J33/0.35,J33/0.35*2)</f>
        <v>-2.7362212285714289E-2</v>
      </c>
      <c r="P33" s="3">
        <f t="shared" si="1"/>
        <v>0.4800012776744671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2022-01-21T12:14:21Z</dcterms:modified>
</cp:coreProperties>
</file>