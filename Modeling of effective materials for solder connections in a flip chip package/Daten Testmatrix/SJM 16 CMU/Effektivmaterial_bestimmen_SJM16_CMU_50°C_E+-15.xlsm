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C403" i="43"/>
  <c r="C406" i="43" s="1"/>
  <c r="D403" i="43"/>
  <c r="D406" i="43" s="1"/>
  <c r="E403" i="43"/>
  <c r="E405" i="43" s="1"/>
  <c r="F403" i="43"/>
  <c r="F415" i="43" s="1"/>
  <c r="G403" i="43"/>
  <c r="G410" i="43" s="1"/>
  <c r="H403" i="43"/>
  <c r="H434" i="43" s="1"/>
  <c r="B403" i="43"/>
  <c r="B405" i="43" s="1"/>
  <c r="B65" i="43"/>
  <c r="A65" i="43"/>
  <c r="G434" i="43" l="1"/>
  <c r="F430" i="43"/>
  <c r="F427" i="43"/>
  <c r="F419" i="43"/>
  <c r="F434" i="43"/>
  <c r="G416" i="43"/>
  <c r="G431" i="43"/>
  <c r="G413" i="43"/>
  <c r="F431" i="43"/>
  <c r="F410" i="43"/>
  <c r="D427" i="43"/>
  <c r="D434" i="43"/>
  <c r="D424" i="43"/>
  <c r="D407" i="43"/>
  <c r="D405" i="43"/>
  <c r="D417" i="43"/>
  <c r="D422" i="43"/>
  <c r="D414" i="43"/>
  <c r="D421" i="43"/>
  <c r="D430" i="43"/>
  <c r="D419" i="43"/>
  <c r="D410" i="43"/>
  <c r="C422" i="43"/>
  <c r="C430" i="43"/>
  <c r="C424" i="43"/>
  <c r="C414" i="43"/>
  <c r="C407" i="43"/>
  <c r="C432" i="43"/>
  <c r="C419" i="43"/>
  <c r="C427" i="43"/>
  <c r="C417" i="43"/>
  <c r="C425" i="43"/>
  <c r="C420" i="43"/>
  <c r="C410" i="43"/>
  <c r="D433" i="43"/>
  <c r="E431" i="43"/>
  <c r="D429" i="43"/>
  <c r="D426" i="43"/>
  <c r="F423" i="43"/>
  <c r="F420" i="43"/>
  <c r="F416" i="43"/>
  <c r="D413" i="43"/>
  <c r="D409" i="43"/>
  <c r="F404" i="43"/>
  <c r="C433" i="43"/>
  <c r="D431" i="43"/>
  <c r="C429" i="43"/>
  <c r="C426" i="43"/>
  <c r="C423" i="43"/>
  <c r="E420" i="43"/>
  <c r="D418" i="43"/>
  <c r="D415" i="43"/>
  <c r="D412" i="43"/>
  <c r="D408" i="43"/>
  <c r="C404" i="43"/>
  <c r="D432" i="43"/>
  <c r="C431" i="43"/>
  <c r="C428" i="43"/>
  <c r="D425" i="43"/>
  <c r="E422" i="43"/>
  <c r="D420" i="43"/>
  <c r="C418" i="43"/>
  <c r="C415" i="43"/>
  <c r="C412" i="43"/>
  <c r="C408" i="43"/>
  <c r="E429" i="43"/>
  <c r="E427" i="43"/>
  <c r="E425" i="43"/>
  <c r="E418" i="43"/>
  <c r="C405" i="43"/>
  <c r="E410" i="43"/>
  <c r="E434" i="43"/>
  <c r="E404" i="43"/>
  <c r="E423" i="43"/>
  <c r="E416" i="43"/>
  <c r="E411" i="43"/>
  <c r="D404" i="43"/>
  <c r="C434" i="43"/>
  <c r="E430" i="43"/>
  <c r="D428" i="43"/>
  <c r="E426" i="43"/>
  <c r="F424" i="43"/>
  <c r="D423" i="43"/>
  <c r="C421" i="43"/>
  <c r="E419" i="43"/>
  <c r="E417" i="43"/>
  <c r="D416" i="43"/>
  <c r="D411" i="43"/>
  <c r="C409" i="43"/>
  <c r="E406" i="43"/>
  <c r="E433" i="43"/>
  <c r="E424" i="43"/>
  <c r="E415" i="43"/>
  <c r="E413" i="43"/>
  <c r="E408" i="43"/>
  <c r="G428" i="43"/>
  <c r="F417" i="43"/>
  <c r="G406" i="43"/>
  <c r="F432" i="43"/>
  <c r="F428" i="43"/>
  <c r="G425" i="43"/>
  <c r="F421" i="43"/>
  <c r="F414" i="43"/>
  <c r="H416" i="43"/>
  <c r="E432" i="43"/>
  <c r="F429" i="43"/>
  <c r="E428" i="43"/>
  <c r="F425" i="43"/>
  <c r="G422" i="43"/>
  <c r="E421" i="43"/>
  <c r="F418" i="43"/>
  <c r="C416" i="43"/>
  <c r="E414" i="43"/>
  <c r="C413" i="43"/>
  <c r="C411" i="43"/>
  <c r="E409" i="43"/>
  <c r="G407" i="43"/>
  <c r="F406" i="43"/>
  <c r="F433" i="43"/>
  <c r="F426" i="43"/>
  <c r="F422" i="43"/>
  <c r="G419" i="43"/>
  <c r="E412" i="43"/>
  <c r="E407" i="43"/>
  <c r="B433" i="43"/>
  <c r="B424" i="43"/>
  <c r="B415" i="43"/>
  <c r="B411" i="43"/>
  <c r="B410" i="43"/>
  <c r="B434" i="43"/>
  <c r="B426" i="43"/>
  <c r="B425" i="43"/>
  <c r="B417" i="43"/>
  <c r="B416" i="43"/>
  <c r="B407" i="43"/>
  <c r="B430" i="43"/>
  <c r="B421" i="43"/>
  <c r="B413" i="43"/>
  <c r="B409" i="43"/>
  <c r="B432" i="43"/>
  <c r="B431" i="43"/>
  <c r="B423" i="43"/>
  <c r="B422" i="43"/>
  <c r="B414" i="43"/>
  <c r="B406" i="43"/>
  <c r="B404" i="43"/>
  <c r="B427" i="43"/>
  <c r="B418" i="43"/>
  <c r="B412" i="43"/>
  <c r="B408" i="43"/>
  <c r="B429" i="43"/>
  <c r="B428" i="43"/>
  <c r="B420" i="43"/>
  <c r="B419" i="43"/>
  <c r="H419" i="43"/>
  <c r="H418" i="43"/>
  <c r="H417" i="43"/>
  <c r="H404" i="43"/>
  <c r="H433" i="43"/>
  <c r="H432" i="43"/>
  <c r="H431" i="43"/>
  <c r="H415" i="43"/>
  <c r="H414" i="43"/>
  <c r="H413" i="43"/>
  <c r="H428" i="43"/>
  <c r="H412" i="43"/>
  <c r="H411" i="43"/>
  <c r="H410" i="43"/>
  <c r="H430" i="43"/>
  <c r="H427" i="43"/>
  <c r="H426" i="43"/>
  <c r="H425" i="43"/>
  <c r="F413" i="43"/>
  <c r="F412" i="43"/>
  <c r="F411" i="43"/>
  <c r="H409" i="43"/>
  <c r="H408" i="43"/>
  <c r="H407" i="43"/>
  <c r="H429" i="43"/>
  <c r="H424" i="43"/>
  <c r="H423" i="43"/>
  <c r="H422" i="43"/>
  <c r="F409" i="43"/>
  <c r="F408" i="43"/>
  <c r="H406" i="43"/>
  <c r="H405" i="43"/>
  <c r="F405" i="43"/>
  <c r="H421" i="43"/>
  <c r="H420" i="43"/>
  <c r="F407" i="43"/>
  <c r="G432" i="43"/>
  <c r="G429" i="43"/>
  <c r="G426" i="43"/>
  <c r="G423" i="43"/>
  <c r="G420" i="43"/>
  <c r="G417" i="43"/>
  <c r="G414" i="43"/>
  <c r="G411" i="43"/>
  <c r="G408" i="43"/>
  <c r="G405" i="43"/>
  <c r="G404" i="43"/>
  <c r="G433" i="43"/>
  <c r="G430" i="43"/>
  <c r="G427" i="43"/>
  <c r="G424" i="43"/>
  <c r="G421" i="43"/>
  <c r="G418" i="43"/>
  <c r="G415" i="43"/>
  <c r="G412" i="43"/>
  <c r="G409" i="43"/>
  <c r="N122" i="43"/>
  <c r="O33" i="11"/>
  <c r="N33" i="11"/>
  <c r="P33" i="11" s="1"/>
  <c r="O32" i="11"/>
  <c r="N32" i="11"/>
  <c r="O31" i="11"/>
  <c r="N31" i="11"/>
  <c r="P31" i="11" s="1"/>
  <c r="O30" i="11"/>
  <c r="N30" i="11"/>
  <c r="P30" i="11" s="1"/>
  <c r="O29" i="11"/>
  <c r="N29" i="11"/>
  <c r="P29" i="11" s="1"/>
  <c r="O28" i="11"/>
  <c r="N28" i="11"/>
  <c r="P27" i="11"/>
  <c r="O27" i="11"/>
  <c r="N27" i="11"/>
  <c r="O26" i="11"/>
  <c r="N26" i="11"/>
  <c r="P26" i="11" s="1"/>
  <c r="O25" i="11"/>
  <c r="P25" i="11" s="1"/>
  <c r="N25" i="11"/>
  <c r="O24" i="11"/>
  <c r="N24" i="11"/>
  <c r="P24" i="11" s="1"/>
  <c r="O23" i="11"/>
  <c r="N23" i="11"/>
  <c r="P23" i="11" s="1"/>
  <c r="O22" i="11"/>
  <c r="N22" i="11"/>
  <c r="P22" i="11" s="1"/>
  <c r="O21" i="11"/>
  <c r="N21" i="11"/>
  <c r="P21" i="11" s="1"/>
  <c r="O20" i="11"/>
  <c r="N20" i="11"/>
  <c r="O19" i="11"/>
  <c r="N19" i="11"/>
  <c r="P19" i="11" s="1"/>
  <c r="O18" i="11"/>
  <c r="N18" i="11"/>
  <c r="P18" i="11" s="1"/>
  <c r="O17" i="11"/>
  <c r="N17" i="11"/>
  <c r="P17" i="11" s="1"/>
  <c r="O16" i="11"/>
  <c r="N16" i="11"/>
  <c r="P15" i="11"/>
  <c r="O15" i="11"/>
  <c r="N15" i="11"/>
  <c r="O14" i="11"/>
  <c r="N14" i="11"/>
  <c r="P14" i="11" s="1"/>
  <c r="O13" i="11"/>
  <c r="P13" i="11" s="1"/>
  <c r="N13" i="11"/>
  <c r="O12" i="11"/>
  <c r="N12" i="11"/>
  <c r="P12" i="11" s="1"/>
  <c r="O11" i="11"/>
  <c r="N11" i="11"/>
  <c r="P11" i="11" s="1"/>
  <c r="O10" i="11"/>
  <c r="N10" i="11"/>
  <c r="P10" i="11" s="1"/>
  <c r="O9" i="11"/>
  <c r="N9" i="11"/>
  <c r="P9" i="11" s="1"/>
  <c r="O8" i="11"/>
  <c r="N8" i="11"/>
  <c r="O7" i="11"/>
  <c r="N7" i="11"/>
  <c r="P7" i="11" s="1"/>
  <c r="O6" i="11"/>
  <c r="N6" i="11"/>
  <c r="P6" i="11" s="1"/>
  <c r="O5" i="11"/>
  <c r="N5" i="11"/>
  <c r="P5" i="11" s="1"/>
  <c r="O4" i="11"/>
  <c r="N4" i="11"/>
  <c r="P4" i="11" s="1"/>
  <c r="P3" i="11"/>
  <c r="O3" i="11"/>
  <c r="N3" i="11"/>
  <c r="P16" i="11" l="1"/>
  <c r="P28"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N247" i="43"/>
  <c r="L416" i="43"/>
  <c r="Y247" i="43"/>
  <c r="L427" i="43"/>
  <c r="Y169" i="43"/>
  <c r="K427" i="43"/>
  <c r="G208" i="43"/>
  <c r="K409" i="43"/>
  <c r="Z169" i="43"/>
  <c r="K428" i="43"/>
  <c r="N169" i="43"/>
  <c r="K416" i="43"/>
  <c r="H169" i="43"/>
  <c r="K410" i="43"/>
  <c r="D169" i="43"/>
  <c r="K406" i="43"/>
  <c r="R169" i="43"/>
  <c r="K420" i="43"/>
  <c r="L169" i="43"/>
  <c r="K414" i="43"/>
  <c r="F169" i="43"/>
  <c r="K408" i="43"/>
  <c r="K208" i="43"/>
  <c r="K413" i="43"/>
  <c r="AD169" i="43"/>
  <c r="K432"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M247" i="43"/>
  <c r="L415" i="43"/>
  <c r="D247" i="43"/>
  <c r="L406" i="43"/>
  <c r="AE247" i="43"/>
  <c r="L433" i="43"/>
  <c r="G130" i="43"/>
  <c r="J409" i="43"/>
  <c r="T130" i="43"/>
  <c r="J422" i="43"/>
  <c r="I130" i="43"/>
  <c r="J411" i="43"/>
  <c r="X130" i="43"/>
  <c r="J426" i="43"/>
  <c r="M130" i="43"/>
  <c r="J415" i="43"/>
  <c r="AE130" i="43"/>
  <c r="J433" i="43"/>
  <c r="AC130" i="43"/>
  <c r="J431" i="43"/>
  <c r="J130" i="43"/>
  <c r="J412" i="43"/>
  <c r="AB130" i="43"/>
  <c r="J430" i="43"/>
  <c r="P130" i="43"/>
  <c r="J418" i="43"/>
  <c r="O130" i="43"/>
  <c r="J417" i="43"/>
  <c r="F130" i="43"/>
  <c r="J408" i="43"/>
  <c r="R130" i="43"/>
  <c r="J420" i="43"/>
  <c r="N130" i="43"/>
  <c r="J416" i="43"/>
  <c r="Z130" i="43"/>
  <c r="J428" i="43"/>
  <c r="E130" i="43"/>
  <c r="J407" i="43"/>
  <c r="S130" i="43"/>
  <c r="J421" i="43"/>
  <c r="W130" i="43"/>
  <c r="J425" i="43"/>
  <c r="D130" i="43"/>
  <c r="J406" i="43"/>
  <c r="AF130" i="43"/>
  <c r="J434" i="43"/>
  <c r="AD130" i="43"/>
  <c r="J432" i="43"/>
  <c r="V130" i="43"/>
  <c r="J424" i="43"/>
  <c r="C130" i="43"/>
  <c r="J405" i="43"/>
  <c r="K130" i="43"/>
  <c r="J413" i="43"/>
  <c r="Q130" i="43"/>
  <c r="J419" i="43"/>
  <c r="L130" i="43"/>
  <c r="J414" i="43"/>
  <c r="Y130" i="43"/>
  <c r="J427"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<sst xmlns="http://schemas.openxmlformats.org/spreadsheetml/2006/main" count="311" uniqueCount="164">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</sst>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-5.5892037142857146E-4</c:v>
                </c:pt>
                <c:pt idx="1">
                  <c:v>-5.5890980000000007E-4</c:v>
                </c:pt>
                <c:pt idx="2">
                  <c:v>-5.5891268571428576E-4</c:v>
                </c:pt>
                <c:pt idx="3">
                  <c:v>-5.5891354285714288E-4</c:v>
                </c:pt>
                <c:pt idx="4">
                  <c:v>-5.5891380000000002E-4</c:v>
                </c:pt>
                <c:pt idx="5">
                  <c:v>-5.5891388571428573E-4</c:v>
                </c:pt>
                <c:pt idx="6">
                  <c:v>-5.5891391428571438E-4</c:v>
                </c:pt>
                <c:pt idx="7">
                  <c:v>-5.5891391428571438E-4</c:v>
                </c:pt>
                <c:pt idx="8">
                  <c:v>-5.5891391428571438E-4</c:v>
                </c:pt>
                <c:pt idx="9">
                  <c:v>-5.5891391428571438E-4</c:v>
                </c:pt>
                <c:pt idx="10">
                  <c:v>-5.5891391428571438E-4</c:v>
                </c:pt>
                <c:pt idx="11">
                  <c:v>-5.5891394285714291E-4</c:v>
                </c:pt>
                <c:pt idx="12">
                  <c:v>-5.5891397142857145E-4</c:v>
                </c:pt>
                <c:pt idx="13">
                  <c:v>-5.5891448571428572E-4</c:v>
                </c:pt>
                <c:pt idx="14">
                  <c:v>-5.5891965714285712E-4</c:v>
                </c:pt>
                <c:pt idx="15">
                  <c:v>-5.5897102857142866E-4</c:v>
                </c:pt>
                <c:pt idx="16">
                  <c:v>-5.5947377142857152E-4</c:v>
                </c:pt>
                <c:pt idx="17">
                  <c:v>-5.6355397142857143E-4</c:v>
                </c:pt>
                <c:pt idx="18">
                  <c:v>-5.7474800000000003E-4</c:v>
                </c:pt>
                <c:pt idx="19">
                  <c:v>-5.8737985714285719E-4</c:v>
                </c:pt>
                <c:pt idx="20">
                  <c:v>-6.0804631428571431E-4</c:v>
                </c:pt>
                <c:pt idx="21">
                  <c:v>-6.5085985714285718E-4</c:v>
                </c:pt>
                <c:pt idx="22">
                  <c:v>-7.1475934285714299E-4</c:v>
                </c:pt>
                <c:pt idx="23">
                  <c:v>-7.9079345714285724E-4</c:v>
                </c:pt>
                <c:pt idx="24">
                  <c:v>-8.6991351428571432E-4</c:v>
                </c:pt>
                <c:pt idx="25">
                  <c:v>-9.4754371428571436E-4</c:v>
                </c:pt>
                <c:pt idx="26">
                  <c:v>-1.0310119428571429E-3</c:v>
                </c:pt>
                <c:pt idx="27">
                  <c:v>-1.1241460285714286E-3</c:v>
                </c:pt>
                <c:pt idx="28">
                  <c:v>-1.2562818285714286E-3</c:v>
                </c:pt>
                <c:pt idx="29">
                  <c:v>-1.4614530285714286E-3</c:v>
                </c:pt>
                <c:pt idx="30">
                  <c:v>-1.802786285714286E-3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-5.6168965714285715E-4</c:v>
                </c:pt>
                <c:pt idx="1">
                  <c:v>-5.6167891428571433E-4</c:v>
                </c:pt>
                <c:pt idx="2">
                  <c:v>-5.6168177142857149E-4</c:v>
                </c:pt>
                <c:pt idx="3">
                  <c:v>-5.6168260000000008E-4</c:v>
                </c:pt>
                <c:pt idx="4">
                  <c:v>-5.6168285714285721E-4</c:v>
                </c:pt>
                <c:pt idx="5">
                  <c:v>-5.6168294285714293E-4</c:v>
                </c:pt>
                <c:pt idx="6">
                  <c:v>-5.6168297142857146E-4</c:v>
                </c:pt>
                <c:pt idx="7">
                  <c:v>-5.6168297142857146E-4</c:v>
                </c:pt>
                <c:pt idx="8">
                  <c:v>-5.61683E-4</c:v>
                </c:pt>
                <c:pt idx="9">
                  <c:v>-5.61683E-4</c:v>
                </c:pt>
                <c:pt idx="10">
                  <c:v>-5.61683E-4</c:v>
                </c:pt>
                <c:pt idx="11">
                  <c:v>-5.6168320000000006E-4</c:v>
                </c:pt>
                <c:pt idx="12">
                  <c:v>-5.6168508571428574E-4</c:v>
                </c:pt>
                <c:pt idx="13">
                  <c:v>-5.617039142857144E-4</c:v>
                </c:pt>
                <c:pt idx="14">
                  <c:v>-5.6189088571428577E-4</c:v>
                </c:pt>
                <c:pt idx="15">
                  <c:v>-5.6361988571428567E-4</c:v>
                </c:pt>
                <c:pt idx="16">
                  <c:v>-5.7295888571428581E-4</c:v>
                </c:pt>
                <c:pt idx="17">
                  <c:v>-5.846362000000001E-4</c:v>
                </c:pt>
                <c:pt idx="18">
                  <c:v>-6.0134048571428575E-4</c:v>
                </c:pt>
                <c:pt idx="19">
                  <c:v>-6.3636051428571437E-4</c:v>
                </c:pt>
                <c:pt idx="20">
                  <c:v>-6.9439380000000002E-4</c:v>
                </c:pt>
                <c:pt idx="21">
                  <c:v>-7.6528542857142866E-4</c:v>
                </c:pt>
                <c:pt idx="22">
                  <c:v>-8.4155414285714278E-4</c:v>
                </c:pt>
                <c:pt idx="23">
                  <c:v>-9.1760622857142856E-4</c:v>
                </c:pt>
                <c:pt idx="24">
                  <c:v>-9.9569642857142869E-4</c:v>
                </c:pt>
                <c:pt idx="25">
                  <c:v>-1.0819888857142856E-3</c:v>
                </c:pt>
                <c:pt idx="26">
                  <c:v>-1.1905131142857144E-3</c:v>
                </c:pt>
                <c:pt idx="27">
                  <c:v>-1.357037342857143E-3</c:v>
                </c:pt>
                <c:pt idx="28">
                  <c:v>-1.6271212571428572E-3</c:v>
                </c:pt>
                <c:pt idx="29">
                  <c:v>-2.1151075142857145E-3</c:v>
                </c:pt>
                <c:pt idx="30">
                  <c:v>-3.1498225714285716E-3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-5.6348934285714288E-4</c:v>
                </c:pt>
                <c:pt idx="1">
                  <c:v>-5.6347848571428581E-4</c:v>
                </c:pt>
                <c:pt idx="2">
                  <c:v>-5.6348131428571432E-4</c:v>
                </c:pt>
                <c:pt idx="3">
                  <c:v>-5.6348214285714291E-4</c:v>
                </c:pt>
                <c:pt idx="4">
                  <c:v>-5.6348240000000005E-4</c:v>
                </c:pt>
                <c:pt idx="5">
                  <c:v>-5.6348248571428576E-4</c:v>
                </c:pt>
                <c:pt idx="6">
                  <c:v>-5.634825142857143E-4</c:v>
                </c:pt>
                <c:pt idx="7">
                  <c:v>-5.634825142857143E-4</c:v>
                </c:pt>
                <c:pt idx="8">
                  <c:v>-5.6348254285714294E-4</c:v>
                </c:pt>
                <c:pt idx="9">
                  <c:v>-5.6348271428571437E-4</c:v>
                </c:pt>
                <c:pt idx="10">
                  <c:v>-5.6348448571428569E-4</c:v>
                </c:pt>
                <c:pt idx="11">
                  <c:v>-5.6350217142857144E-4</c:v>
                </c:pt>
                <c:pt idx="12">
                  <c:v>-5.6367762857142858E-4</c:v>
                </c:pt>
                <c:pt idx="13">
                  <c:v>-5.6530822857142854E-4</c:v>
                </c:pt>
                <c:pt idx="14">
                  <c:v>-5.7441494285714293E-4</c:v>
                </c:pt>
                <c:pt idx="15">
                  <c:v>-5.8573588571428576E-4</c:v>
                </c:pt>
                <c:pt idx="16">
                  <c:v>-5.9907651428571431E-4</c:v>
                </c:pt>
                <c:pt idx="17">
                  <c:v>-6.1825137142857149E-4</c:v>
                </c:pt>
                <c:pt idx="18">
                  <c:v>-6.5297140000000005E-4</c:v>
                </c:pt>
                <c:pt idx="19">
                  <c:v>-7.1575365714285713E-4</c:v>
                </c:pt>
                <c:pt idx="20">
                  <c:v>-7.9640562857142866E-4</c:v>
                </c:pt>
                <c:pt idx="21">
                  <c:v>-8.8083740000000001E-4</c:v>
                </c:pt>
                <c:pt idx="22">
                  <c:v>-9.6669668571428577E-4</c:v>
                </c:pt>
                <c:pt idx="23">
                  <c:v>-1.0590879428571428E-3</c:v>
                </c:pt>
                <c:pt idx="24">
                  <c:v>-1.1709494857142858E-3</c:v>
                </c:pt>
                <c:pt idx="25">
                  <c:v>-1.338241142857143E-3</c:v>
                </c:pt>
                <c:pt idx="26">
                  <c:v>-1.6058572285714287E-3</c:v>
                </c:pt>
                <c:pt idx="27">
                  <c:v>-2.0846555428571428E-3</c:v>
                </c:pt>
                <c:pt idx="28">
                  <c:v>-3.0967014285714287E-3</c:v>
                </c:pt>
                <c:pt idx="29">
                  <c:v>-5.1020828571428575E-3</c:v>
                </c:pt>
                <c:pt idx="30">
                  <c:v>-8.8143111428571428E-3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-5.6534522857142858E-4</c:v>
                </c:pt>
                <c:pt idx="1">
                  <c:v>-5.6533422857142862E-4</c:v>
                </c:pt>
                <c:pt idx="2">
                  <c:v>-5.6533705714285724E-4</c:v>
                </c:pt>
                <c:pt idx="3">
                  <c:v>-5.6533788571428573E-4</c:v>
                </c:pt>
                <c:pt idx="4">
                  <c:v>-5.6533814285714286E-4</c:v>
                </c:pt>
                <c:pt idx="5">
                  <c:v>-5.6533822857142858E-4</c:v>
                </c:pt>
                <c:pt idx="6">
                  <c:v>-5.6533842857142854E-4</c:v>
                </c:pt>
                <c:pt idx="7">
                  <c:v>-5.6534002857142865E-4</c:v>
                </c:pt>
                <c:pt idx="8">
                  <c:v>-5.6535597142857151E-4</c:v>
                </c:pt>
                <c:pt idx="9">
                  <c:v>-5.6551417142857146E-4</c:v>
                </c:pt>
                <c:pt idx="10">
                  <c:v>-5.6699531428571425E-4</c:v>
                </c:pt>
                <c:pt idx="11">
                  <c:v>-5.7573442857142862E-4</c:v>
                </c:pt>
                <c:pt idx="12">
                  <c:v>-5.8701614285714288E-4</c:v>
                </c:pt>
                <c:pt idx="13">
                  <c:v>-5.9998348571428575E-4</c:v>
                </c:pt>
                <c:pt idx="14">
                  <c:v>-6.1619954285714292E-4</c:v>
                </c:pt>
                <c:pt idx="15">
                  <c:v>-6.345624E-4</c:v>
                </c:pt>
                <c:pt idx="16">
                  <c:v>-6.5908922857142857E-4</c:v>
                </c:pt>
                <c:pt idx="17">
                  <c:v>-7.0183665714285723E-4</c:v>
                </c:pt>
                <c:pt idx="18">
                  <c:v>-7.7553539999999997E-4</c:v>
                </c:pt>
                <c:pt idx="19">
                  <c:v>-8.7162931428571438E-4</c:v>
                </c:pt>
                <c:pt idx="20">
                  <c:v>-9.803556571428573E-4</c:v>
                </c:pt>
                <c:pt idx="21">
                  <c:v>-1.1055107142857144E-3</c:v>
                </c:pt>
                <c:pt idx="22">
                  <c:v>-1.2797674857142859E-3</c:v>
                </c:pt>
                <c:pt idx="23">
                  <c:v>-1.5468386571428571E-3</c:v>
                </c:pt>
                <c:pt idx="24">
                  <c:v>-2.0103361428571429E-3</c:v>
                </c:pt>
                <c:pt idx="25">
                  <c:v>-2.9789217142857146E-3</c:v>
                </c:pt>
                <c:pt idx="26">
                  <c:v>-4.8967757142857147E-3</c:v>
                </c:pt>
                <c:pt idx="27">
                  <c:v>-8.4642999999999993E-3</c:v>
                </c:pt>
                <c:pt idx="28">
                  <c:v>-1.4895274571428573E-2</c:v>
                </c:pt>
                <c:pt idx="29">
                  <c:v>-2.1472374571428574E-2</c:v>
                </c:pt>
                <c:pt idx="30">
                  <c:v>-2.4615299714285718E-2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-5.6765062857142858E-4</c:v>
                </c:pt>
                <c:pt idx="1">
                  <c:v>-5.6763991428571429E-4</c:v>
                </c:pt>
                <c:pt idx="2">
                  <c:v>-5.6764697142857147E-4</c:v>
                </c:pt>
                <c:pt idx="3">
                  <c:v>-5.6769022857142864E-4</c:v>
                </c:pt>
                <c:pt idx="4">
                  <c:v>-5.6810754285714291E-4</c:v>
                </c:pt>
                <c:pt idx="5">
                  <c:v>-5.7162008571428572E-4</c:v>
                </c:pt>
                <c:pt idx="6">
                  <c:v>-5.8276582857142865E-4</c:v>
                </c:pt>
                <c:pt idx="7">
                  <c:v>-5.9470314285714281E-4</c:v>
                </c:pt>
                <c:pt idx="8">
                  <c:v>-6.0905660000000006E-4</c:v>
                </c:pt>
                <c:pt idx="9">
                  <c:v>-6.2686451428571436E-4</c:v>
                </c:pt>
                <c:pt idx="10">
                  <c:v>-6.4622380000000008E-4</c:v>
                </c:pt>
                <c:pt idx="11">
                  <c:v>-6.724639142857144E-4</c:v>
                </c:pt>
                <c:pt idx="12">
                  <c:v>-7.0394182857142862E-4</c:v>
                </c:pt>
                <c:pt idx="13">
                  <c:v>-7.3808877142857144E-4</c:v>
                </c:pt>
                <c:pt idx="14">
                  <c:v>-7.7937257142857153E-4</c:v>
                </c:pt>
                <c:pt idx="15">
                  <c:v>-8.3077111428571425E-4</c:v>
                </c:pt>
                <c:pt idx="16">
                  <c:v>-9.2215834285714292E-4</c:v>
                </c:pt>
                <c:pt idx="17">
                  <c:v>-1.1030462571428572E-3</c:v>
                </c:pt>
                <c:pt idx="18">
                  <c:v>-1.4169130571428574E-3</c:v>
                </c:pt>
                <c:pt idx="19">
                  <c:v>-1.989220685714286E-3</c:v>
                </c:pt>
                <c:pt idx="20">
                  <c:v>-3.1422751428571431E-3</c:v>
                </c:pt>
                <c:pt idx="21">
                  <c:v>-5.4349865714285722E-3</c:v>
                </c:pt>
                <c:pt idx="22">
                  <c:v>-9.7543965714285731E-3</c:v>
                </c:pt>
                <c:pt idx="23">
                  <c:v>-1.6865644857142859E-2</c:v>
                </c:pt>
                <c:pt idx="24">
                  <c:v>-2.2093246E-2</c:v>
                </c:pt>
                <c:pt idx="25">
                  <c:v>-2.4779278857142862E-2</c:v>
                </c:pt>
                <c:pt idx="26">
                  <c:v>-2.6766490571428572E-2</c:v>
                </c:pt>
                <c:pt idx="27">
                  <c:v>-2.6868412571428572E-2</c:v>
                </c:pt>
                <c:pt idx="28">
                  <c:v>-2.7191233999999998E-2</c:v>
                </c:pt>
                <c:pt idx="29">
                  <c:v>-2.7195999142857145E-2</c:v>
                </c:pt>
                <c:pt idx="30">
                  <c:v>-2.7336072000000003E-2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-6.1840197142857146E-4</c:v>
                </c:pt>
                <c:pt idx="1">
                  <c:v>-6.4192477142857151E-4</c:v>
                </c:pt>
                <c:pt idx="2">
                  <c:v>-6.6578565714285718E-4</c:v>
                </c:pt>
                <c:pt idx="3">
                  <c:v>-6.9553491428571434E-4</c:v>
                </c:pt>
                <c:pt idx="4">
                  <c:v>-7.2880822857142866E-4</c:v>
                </c:pt>
                <c:pt idx="5">
                  <c:v>-7.6696551428571426E-4</c:v>
                </c:pt>
                <c:pt idx="6">
                  <c:v>-8.1310145714285709E-4</c:v>
                </c:pt>
                <c:pt idx="7">
                  <c:v>-8.7520179999999999E-4</c:v>
                </c:pt>
                <c:pt idx="8">
                  <c:v>-9.7467042857142863E-4</c:v>
                </c:pt>
                <c:pt idx="9">
                  <c:v>-1.1375140571428571E-3</c:v>
                </c:pt>
                <c:pt idx="10">
                  <c:v>-1.4322549714285717E-3</c:v>
                </c:pt>
                <c:pt idx="11">
                  <c:v>-2.0606296285714289E-3</c:v>
                </c:pt>
                <c:pt idx="12">
                  <c:v>-3.3242445714285712E-3</c:v>
                </c:pt>
                <c:pt idx="13">
                  <c:v>-5.6982420000000001E-3</c:v>
                </c:pt>
                <c:pt idx="14">
                  <c:v>-1.0000507142857143E-2</c:v>
                </c:pt>
                <c:pt idx="15">
                  <c:v>-1.4185493714285716E-2</c:v>
                </c:pt>
                <c:pt idx="16">
                  <c:v>-1.6304024571428571E-2</c:v>
                </c:pt>
                <c:pt idx="17">
                  <c:v>-1.8261522000000002E-2</c:v>
                </c:pt>
                <c:pt idx="18">
                  <c:v>-1.960208028571429E-2</c:v>
                </c:pt>
                <c:pt idx="19">
                  <c:v>-2.1330320857142857E-2</c:v>
                </c:pt>
                <c:pt idx="20">
                  <c:v>-2.3068337428571433E-2</c:v>
                </c:pt>
                <c:pt idx="21">
                  <c:v>-2.4452565714285716E-2</c:v>
                </c:pt>
                <c:pt idx="22">
                  <c:v>-2.5445066857142859E-2</c:v>
                </c:pt>
                <c:pt idx="23">
                  <c:v>-2.6120219142857143E-2</c:v>
                </c:pt>
                <c:pt idx="24">
                  <c:v>-2.6581952857142859E-2</c:v>
                </c:pt>
                <c:pt idx="25">
                  <c:v>-2.6895848857142857E-2</c:v>
                </c:pt>
                <c:pt idx="26">
                  <c:v>-2.6954494571428574E-2</c:v>
                </c:pt>
                <c:pt idx="27">
                  <c:v>-2.7217686571428569E-2</c:v>
                </c:pt>
                <c:pt idx="28">
                  <c:v>-2.7221723714285714E-2</c:v>
                </c:pt>
                <c:pt idx="29">
                  <c:v>-2.7305871714285716E-2</c:v>
                </c:pt>
                <c:pt idx="30">
                  <c:v>-2.7309677428571429E-2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-6.5662397142857143E-4</c:v>
                </c:pt>
                <c:pt idx="1">
                  <c:v>-6.9128320000000007E-4</c:v>
                </c:pt>
                <c:pt idx="2">
                  <c:v>-7.2510685714285712E-4</c:v>
                </c:pt>
                <c:pt idx="3">
                  <c:v>-7.6208288571428585E-4</c:v>
                </c:pt>
                <c:pt idx="4">
                  <c:v>-8.0717060000000005E-4</c:v>
                </c:pt>
                <c:pt idx="5">
                  <c:v>-8.6432000000000013E-4</c:v>
                </c:pt>
                <c:pt idx="6">
                  <c:v>-9.5559037142857147E-4</c:v>
                </c:pt>
                <c:pt idx="7">
                  <c:v>-1.1032781142857142E-3</c:v>
                </c:pt>
                <c:pt idx="8">
                  <c:v>-1.3608547142857144E-3</c:v>
                </c:pt>
                <c:pt idx="9">
                  <c:v>-1.8943430571428572E-3</c:v>
                </c:pt>
                <c:pt idx="10">
                  <c:v>-2.9633485714285718E-3</c:v>
                </c:pt>
                <c:pt idx="11">
                  <c:v>-5.0025814285714291E-3</c:v>
                </c:pt>
                <c:pt idx="12">
                  <c:v>-8.7717962857142857E-3</c:v>
                </c:pt>
                <c:pt idx="13">
                  <c:v>-1.3274090285714286E-2</c:v>
                </c:pt>
                <c:pt idx="14">
                  <c:v>-1.5647893142857142E-2</c:v>
                </c:pt>
                <c:pt idx="15">
                  <c:v>-1.7303699142857145E-2</c:v>
                </c:pt>
                <c:pt idx="16">
                  <c:v>-1.8197246571428575E-2</c:v>
                </c:pt>
                <c:pt idx="17">
                  <c:v>-1.9020716E-2</c:v>
                </c:pt>
                <c:pt idx="18">
                  <c:v>-2.0558336000000003E-2</c:v>
                </c:pt>
                <c:pt idx="19">
                  <c:v>-2.2364219142857147E-2</c:v>
                </c:pt>
                <c:pt idx="20">
                  <c:v>-2.3917288000000002E-2</c:v>
                </c:pt>
                <c:pt idx="21">
                  <c:v>-2.5069089428571428E-2</c:v>
                </c:pt>
                <c:pt idx="22">
                  <c:v>-2.5863646571428575E-2</c:v>
                </c:pt>
                <c:pt idx="23">
                  <c:v>-2.6408451142857142E-2</c:v>
                </c:pt>
                <c:pt idx="24">
                  <c:v>-2.6778495142857142E-2</c:v>
                </c:pt>
                <c:pt idx="25">
                  <c:v>-2.6843666571428573E-2</c:v>
                </c:pt>
                <c:pt idx="26">
                  <c:v>-2.693226342857143E-2</c:v>
                </c:pt>
                <c:pt idx="27">
                  <c:v>-2.7235974857142856E-2</c:v>
                </c:pt>
                <c:pt idx="28">
                  <c:v>-2.7240321142857141E-2</c:v>
                </c:pt>
                <c:pt idx="29">
                  <c:v>-2.7359462000000005E-2</c:v>
                </c:pt>
                <c:pt idx="30">
                  <c:v>-2.7362212285714289E-2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51995320"/>
        <c:axId val="5519957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519953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995712"/>
        <c:crossesAt val="-8.0000000000000019E-3"/>
        <c:crossBetween val="midCat"/>
      </c:valAx>
      <c:valAx>
        <c:axId val="551995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9953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17891.636288798203</c:v>
                </c:pt>
                <c:pt idx="1">
                  <c:v>17891.97469788506</c:v>
                </c:pt>
                <c:pt idx="2">
                  <c:v>17891.882320080251</c:v>
                </c:pt>
                <c:pt idx="3">
                  <c:v>17891.85488131208</c:v>
                </c:pt>
                <c:pt idx="4">
                  <c:v>17891.84664969804</c:v>
                </c:pt>
                <c:pt idx="5">
                  <c:v>17891.843905828377</c:v>
                </c:pt>
                <c:pt idx="6">
                  <c:v>17891.84299120534</c:v>
                </c:pt>
                <c:pt idx="7">
                  <c:v>17891.84299120534</c:v>
                </c:pt>
                <c:pt idx="8">
                  <c:v>17891.84299120534</c:v>
                </c:pt>
                <c:pt idx="9">
                  <c:v>17891.84299120534</c:v>
                </c:pt>
                <c:pt idx="10">
                  <c:v>17891.84299120534</c:v>
                </c:pt>
                <c:pt idx="11">
                  <c:v>17891.842076582398</c:v>
                </c:pt>
                <c:pt idx="12">
                  <c:v>17891.841161959554</c:v>
                </c:pt>
                <c:pt idx="13">
                  <c:v>17891.824698764292</c:v>
                </c:pt>
                <c:pt idx="14">
                  <c:v>17891.659153873792</c:v>
                </c:pt>
                <c:pt idx="15">
                  <c:v>17890.014846667746</c:v>
                </c:pt>
                <c:pt idx="16">
                  <c:v>17873.938888083707</c:v>
                </c:pt>
                <c:pt idx="17">
                  <c:v>17744.529374268575</c:v>
                </c:pt>
                <c:pt idx="18">
                  <c:v>17398.92961784991</c:v>
                </c:pt>
                <c:pt idx="19">
                  <c:v>17024.758132909366</c:v>
                </c:pt>
                <c:pt idx="20">
                  <c:v>16446.115641285032</c:v>
                </c:pt>
                <c:pt idx="21">
                  <c:v>15364.29062301979</c:v>
                </c:pt>
                <c:pt idx="22">
                  <c:v>13990.723031372356</c:v>
                </c:pt>
                <c:pt idx="23">
                  <c:v>12645.526982646108</c:v>
                </c:pt>
                <c:pt idx="24">
                  <c:v>11495.395617817245</c:v>
                </c:pt>
                <c:pt idx="25">
                  <c:v>10553.602804001805</c:v>
                </c:pt>
                <c:pt idx="26">
                  <c:v>9699.2086942154856</c:v>
                </c:pt>
                <c:pt idx="27">
                  <c:v>8895.6414432278507</c:v>
                </c:pt>
                <c:pt idx="28">
                  <c:v>7959.9973290797534</c:v>
                </c:pt>
                <c:pt idx="29">
                  <c:v>6842.5052358850062</c:v>
                </c:pt>
                <c:pt idx="30">
                  <c:v>5546.9691994233681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17803.425562199114</c:v>
                </c:pt>
                <c:pt idx="1">
                  <c:v>17803.766076419255</c:v>
                </c:pt>
                <c:pt idx="2">
                  <c:v>17803.675512855218</c:v>
                </c:pt>
                <c:pt idx="3">
                  <c:v>17803.649249593986</c:v>
                </c:pt>
                <c:pt idx="4">
                  <c:v>17803.641098942462</c:v>
                </c:pt>
                <c:pt idx="5">
                  <c:v>17803.638382060279</c:v>
                </c:pt>
                <c:pt idx="6">
                  <c:v>17803.637476433069</c:v>
                </c:pt>
                <c:pt idx="7">
                  <c:v>17803.637476433069</c:v>
                </c:pt>
                <c:pt idx="8">
                  <c:v>17803.636570805953</c:v>
                </c:pt>
                <c:pt idx="9">
                  <c:v>17803.636570805953</c:v>
                </c:pt>
                <c:pt idx="10">
                  <c:v>17803.636570805953</c:v>
                </c:pt>
                <c:pt idx="11">
                  <c:v>17803.630231418705</c:v>
                </c:pt>
                <c:pt idx="12">
                  <c:v>17803.570460275198</c:v>
                </c:pt>
                <c:pt idx="13">
                  <c:v>17802.973676472251</c:v>
                </c:pt>
                <c:pt idx="14">
                  <c:v>17797.049666124803</c:v>
                </c:pt>
                <c:pt idx="15">
                  <c:v>17742.454184927879</c:v>
                </c:pt>
                <c:pt idx="16">
                  <c:v>17453.259298934485</c:v>
                </c:pt>
                <c:pt idx="17">
                  <c:v>17104.654142182775</c:v>
                </c:pt>
                <c:pt idx="18">
                  <c:v>16629.513956842227</c:v>
                </c:pt>
                <c:pt idx="19">
                  <c:v>15714.36281087387</c:v>
                </c:pt>
                <c:pt idx="20">
                  <c:v>14401.050239791886</c:v>
                </c:pt>
                <c:pt idx="21">
                  <c:v>13067.019998887436</c:v>
                </c:pt>
                <c:pt idx="22">
                  <c:v>11882.776746899743</c:v>
                </c:pt>
                <c:pt idx="23">
                  <c:v>10897.920795032591</c:v>
                </c:pt>
                <c:pt idx="24">
                  <c:v>10043.221722053837</c:v>
                </c:pt>
                <c:pt idx="25">
                  <c:v>9242.2391135731505</c:v>
                </c:pt>
                <c:pt idx="26">
                  <c:v>8399.7394736804836</c:v>
                </c:pt>
                <c:pt idx="27">
                  <c:v>7368.9939725208524</c:v>
                </c:pt>
                <c:pt idx="28">
                  <c:v>6145.8234634335095</c:v>
                </c:pt>
                <c:pt idx="29">
                  <c:v>4727.8920492025509</c:v>
                </c:pt>
                <c:pt idx="30">
                  <c:v>3174.7819990586318</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17746.564556652535</c:v>
                </c:pt>
                <c:pt idx="1">
                  <c:v>17746.906498699122</c:v>
                </c:pt>
                <c:pt idx="2">
                  <c:v>17746.817412528217</c:v>
                </c:pt>
                <c:pt idx="3">
                  <c:v>17746.791316748531</c:v>
                </c:pt>
                <c:pt idx="4">
                  <c:v>17746.783218073891</c:v>
                </c:pt>
                <c:pt idx="5">
                  <c:v>17746.78051851732</c:v>
                </c:pt>
                <c:pt idx="6">
                  <c:v>17746.77961866531</c:v>
                </c:pt>
                <c:pt idx="7">
                  <c:v>17746.77961866531</c:v>
                </c:pt>
                <c:pt idx="8">
                  <c:v>17746.778718813392</c:v>
                </c:pt>
                <c:pt idx="9">
                  <c:v>17746.773319703811</c:v>
                </c:pt>
                <c:pt idx="10">
                  <c:v>17746.717529097139</c:v>
                </c:pt>
                <c:pt idx="11">
                  <c:v>17746.160542111738</c:v>
                </c:pt>
                <c:pt idx="12">
                  <c:v>17740.636656707073</c:v>
                </c:pt>
                <c:pt idx="13">
                  <c:v>17689.464781488612</c:v>
                </c:pt>
                <c:pt idx="14">
                  <c:v>17409.017861304143</c:v>
                </c:pt>
                <c:pt idx="15">
                  <c:v>17072.541129702728</c:v>
                </c:pt>
                <c:pt idx="16">
                  <c:v>16692.358591161119</c:v>
                </c:pt>
                <c:pt idx="17">
                  <c:v>16174.650736145324</c:v>
                </c:pt>
                <c:pt idx="18">
                  <c:v>15314.606428397934</c:v>
                </c:pt>
                <c:pt idx="19">
                  <c:v>13971.287327986509</c:v>
                </c:pt>
                <c:pt idx="20">
                  <c:v>12556.415526517228</c:v>
                </c:pt>
                <c:pt idx="21">
                  <c:v>11352.833110855647</c:v>
                </c:pt>
                <c:pt idx="22">
                  <c:v>10344.506345970418</c:v>
                </c:pt>
                <c:pt idx="23">
                  <c:v>9442.0865306261639</c:v>
                </c:pt>
                <c:pt idx="24">
                  <c:v>8540.0780494813098</c:v>
                </c:pt>
                <c:pt idx="25">
                  <c:v>7472.4948140885981</c:v>
                </c:pt>
                <c:pt idx="26">
                  <c:v>6227.2036530271153</c:v>
                </c:pt>
                <c:pt idx="27">
                  <c:v>4796.9555614422579</c:v>
                </c:pt>
                <c:pt idx="28">
                  <c:v>3229.2425442556155</c:v>
                </c:pt>
                <c:pt idx="29">
                  <c:v>1959.9838497330782</c:v>
                </c:pt>
                <c:pt idx="30">
                  <c:v>1134.5186070613929</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17688.307063754673</c:v>
                </c:pt>
                <c:pt idx="1">
                  <c:v>17688.651234278703</c:v>
                </c:pt>
                <c:pt idx="2">
                  <c:v>17688.562732007609</c:v>
                </c:pt>
                <c:pt idx="3">
                  <c:v>17688.536807267625</c:v>
                </c:pt>
                <c:pt idx="4">
                  <c:v>17688.528761674112</c:v>
                </c:pt>
                <c:pt idx="5">
                  <c:v>17688.526079811236</c:v>
                </c:pt>
                <c:pt idx="6">
                  <c:v>17688.519822134353</c:v>
                </c:pt>
                <c:pt idx="7">
                  <c:v>17688.46976087867</c:v>
                </c:pt>
                <c:pt idx="8">
                  <c:v>17687.970951702286</c:v>
                </c:pt>
                <c:pt idx="9">
                  <c:v>17683.02282282076</c:v>
                </c:pt>
                <c:pt idx="10">
                  <c:v>17636.830054932176</c:v>
                </c:pt>
                <c:pt idx="11">
                  <c:v>17369.119343467137</c:v>
                </c:pt>
                <c:pt idx="12">
                  <c:v>17035.306646470905</c:v>
                </c:pt>
                <c:pt idx="13">
                  <c:v>16667.125409451746</c:v>
                </c:pt>
                <c:pt idx="14">
                  <c:v>16228.509280667151</c:v>
                </c:pt>
                <c:pt idx="15">
                  <c:v>15758.891481751834</c:v>
                </c:pt>
                <c:pt idx="16">
                  <c:v>15172.452479120213</c:v>
                </c:pt>
                <c:pt idx="17">
                  <c:v>14248.329576727314</c:v>
                </c:pt>
                <c:pt idx="18">
                  <c:v>12894.317912502769</c:v>
                </c:pt>
                <c:pt idx="19">
                  <c:v>11472.766961945093</c:v>
                </c:pt>
                <c:pt idx="20">
                  <c:v>10200.379757223965</c:v>
                </c:pt>
                <c:pt idx="21">
                  <c:v>9045.5930193866425</c:v>
                </c:pt>
                <c:pt idx="22">
                  <c:v>7813.9194124146916</c:v>
                </c:pt>
                <c:pt idx="23">
                  <c:v>6464.7983510257318</c:v>
                </c:pt>
                <c:pt idx="24">
                  <c:v>4974.2925010479767</c:v>
                </c:pt>
                <c:pt idx="25">
                  <c:v>3356.9193685231835</c:v>
                </c:pt>
                <c:pt idx="26">
                  <c:v>2042.1601036016993</c:v>
                </c:pt>
                <c:pt idx="27">
                  <c:v>1181.4326051770379</c:v>
                </c:pt>
                <c:pt idx="28">
                  <c:v>671.35385467694152</c:v>
                </c:pt>
                <c:pt idx="29">
                  <c:v>465.71467756091272</c:v>
                </c:pt>
                <c:pt idx="30">
                  <c:v>406.25140120460964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17616.469526628349</c:v>
                </c:pt>
                <c:pt idx="1">
                  <c:v>17616.802040045808</c:v>
                </c:pt>
                <c:pt idx="2">
                  <c:v>17616.583023130472</c:v>
                </c:pt>
                <c:pt idx="3">
                  <c:v>17615.24066596078</c:v>
                </c:pt>
                <c:pt idx="4">
                  <c:v>17602.301053261344</c:v>
                </c:pt>
                <c:pt idx="5">
                  <c:v>17494.13684003806</c:v>
                </c:pt>
                <c:pt idx="6">
                  <c:v>17159.551074766416</c:v>
                </c:pt>
                <c:pt idx="7">
                  <c:v>16815.112077526315</c:v>
                </c:pt>
                <c:pt idx="8">
                  <c:v>16418.835293796994</c:v>
                </c:pt>
                <c:pt idx="9">
                  <c:v>15952.410404654309</c:v>
                </c:pt>
                <c:pt idx="10">
                  <c:v>15474.515175702285</c:v>
                </c:pt>
                <c:pt idx="11">
                  <c:v>14870.686422812616</c:v>
                </c:pt>
                <c:pt idx="12">
                  <c:v>14205.719271283941</c:v>
                </c:pt>
                <c:pt idx="13">
                  <c:v>13548.505799166936</c:v>
                </c:pt>
                <c:pt idx="14">
                  <c:v>12830.833886892166</c:v>
                </c:pt>
                <c:pt idx="15">
                  <c:v>12037.009746779489</c:v>
                </c:pt>
                <c:pt idx="16">
                  <c:v>10844.124631586357</c:v>
                </c:pt>
                <c:pt idx="17">
                  <c:v>9065.8029391281325</c:v>
                </c:pt>
                <c:pt idx="18">
                  <c:v>7057.5960533277594</c:v>
                </c:pt>
                <c:pt idx="19">
                  <c:v>5027.0943147814778</c:v>
                </c:pt>
                <c:pt idx="20">
                  <c:v>3182.4075058263061</c:v>
                </c:pt>
                <c:pt idx="21">
                  <c:v>1839.9309489685686</c:v>
                </c:pt>
                <c:pt idx="22">
                  <c:v>1025.1787413781001</c:v>
                </c:pt>
                <c:pt idx="23">
                  <c:v>592.92129561028003</c:v>
                </c:pt>
                <c:pt idx="24">
                  <c:v>452.62701551415307</c:v>
                </c:pt>
                <c:pt idx="25">
                  <c:v>403.56299542258085</c:v>
                </c:pt>
                <c:pt idx="26">
                  <c:v>373.60146162285196</c:v>
                </c:pt>
                <c:pt idx="27">
                  <c:v>372.18425068527625</c:v>
                </c:pt>
                <c:pt idx="28">
                  <c:v>367.76558209899559</c:v>
                </c:pt>
                <c:pt idx="29">
                  <c:v>367.7011441084133</c:v>
                </c:pt>
                <c:pt idx="30">
                  <c:v>365.81700545711175</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16170.711708597861</c:v>
                </c:pt>
                <c:pt idx="1">
                  <c:v>15578.149411099215</c:v>
                </c:pt>
                <c:pt idx="2">
                  <c:v>15019.848944950021</c:v>
                </c:pt>
                <c:pt idx="3">
                  <c:v>14377.423468769482</c:v>
                </c:pt>
                <c:pt idx="4">
                  <c:v>13721.030592096184</c:v>
                </c:pt>
                <c:pt idx="5">
                  <c:v>13038.395877959572</c:v>
                </c:pt>
                <c:pt idx="6">
                  <c:v>12298.588216947519</c:v>
                </c:pt>
                <c:pt idx="7">
                  <c:v>11425.936281209659</c:v>
                </c:pt>
                <c:pt idx="8">
                  <c:v>10259.878320774509</c:v>
                </c:pt>
                <c:pt idx="9">
                  <c:v>8791.100151427956</c:v>
                </c:pt>
                <c:pt idx="10">
                  <c:v>6981.997060220162</c:v>
                </c:pt>
                <c:pt idx="11">
                  <c:v>4852.8856721004695</c:v>
                </c:pt>
                <c:pt idx="12">
                  <c:v>3008.2022502040422</c:v>
                </c:pt>
                <c:pt idx="13">
                  <c:v>1754.9272214132006</c:v>
                </c:pt>
                <c:pt idx="14">
                  <c:v>999.94928828609397</c:v>
                </c:pt>
                <c:pt idx="15">
                  <c:v>704.94550287871539</c:v>
                </c:pt>
                <c:pt idx="16">
                  <c:v>613.34549369633294</c:v>
                </c:pt>
                <c:pt idx="17">
                  <c:v>547.59948267181665</c:v>
                </c:pt>
                <c:pt idx="18">
                  <c:v>510.14993583552734</c:v>
                </c:pt>
                <c:pt idx="19">
                  <c:v>468.8162014520899</c:v>
                </c:pt>
                <c:pt idx="20">
                  <c:v>433.49461273331463</c:v>
                </c:pt>
                <c:pt idx="21">
                  <c:v>408.9550404176108</c:v>
                </c:pt>
                <c:pt idx="22">
                  <c:v>393.00348692905209</c:v>
                </c:pt>
                <c:pt idx="23">
                  <c:v>382.84518002348415</c:v>
                </c:pt>
                <c:pt idx="24">
                  <c:v>376.19508445230321</c:v>
                </c:pt>
                <c:pt idx="25">
                  <c:v>371.80458787952523</c:v>
                </c:pt>
                <c:pt idx="26">
                  <c:v>370.99564132060834</c:v>
                </c:pt>
                <c:pt idx="27">
                  <c:v>367.40815475836132</c:v>
                </c:pt>
                <c:pt idx="28">
                  <c:v>367.35366595290549</c:v>
                </c:pt>
                <c:pt idx="29">
                  <c:v>366.22159895258943</c:v>
                </c:pt>
                <c:pt idx="30">
                  <c:v>366.17056448780988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15229.41658411235</c:v>
                </c:pt>
                <c:pt idx="1">
                  <c:v>14465.85133270995</c:v>
                </c:pt>
                <c:pt idx="2">
                  <c:v>13791.070793900722</c:v>
                </c:pt>
                <c:pt idx="3">
                  <c:v>13121.932256262637</c:v>
                </c:pt>
                <c:pt idx="4">
                  <c:v>12388.954701769366</c:v>
                </c:pt>
                <c:pt idx="5">
                  <c:v>11569.788967049239</c:v>
                </c:pt>
                <c:pt idx="6">
                  <c:v>10464.734994190427</c:v>
                </c:pt>
                <c:pt idx="7">
                  <c:v>9063.8977339582361</c:v>
                </c:pt>
                <c:pt idx="8">
                  <c:v>7348.3230024659915</c:v>
                </c:pt>
                <c:pt idx="9">
                  <c:v>5278.8748913739519</c:v>
                </c:pt>
                <c:pt idx="10">
                  <c:v>3374.5608250126302</c:v>
                </c:pt>
                <c:pt idx="11">
                  <c:v>1998.967961398215</c:v>
                </c:pt>
                <c:pt idx="12">
                  <c:v>1140.0173549727735</c:v>
                </c:pt>
                <c:pt idx="13">
                  <c:v>753.34729422189514</c:v>
                </c:pt>
                <c:pt idx="14">
                  <c:v>639.0636687447435</c:v>
                </c:pt>
                <c:pt idx="15">
                  <c:v>577.91111122779409</c:v>
                </c:pt>
                <c:pt idx="16">
                  <c:v>549.5336869095878</c:v>
                </c:pt>
                <c:pt idx="17">
                  <c:v>525.74256405489677</c:v>
                </c:pt>
                <c:pt idx="18">
                  <c:v>486.42069085747011</c:v>
                </c:pt>
                <c:pt idx="19">
                  <c:v>447.1428193456008</c:v>
                </c:pt>
                <c:pt idx="20">
                  <c:v>418.10760484215433</c:v>
                </c:pt>
                <c:pt idx="21">
                  <c:v>398.89761566700247</c:v>
                </c:pt>
                <c:pt idx="22">
                  <c:v>386.6430811441316</c:v>
                </c:pt>
                <c:pt idx="23">
                  <c:v>378.66666037719375</c:v>
                </c:pt>
                <c:pt idx="24">
                  <c:v>373.43397926777772</c:v>
                </c:pt>
                <c:pt idx="25">
                  <c:v>372.52735103794049</c:v>
                </c:pt>
                <c:pt idx="26">
                  <c:v>371.30187837801162</c:v>
                </c:pt>
                <c:pt idx="27">
                  <c:v>367.16144923953101</c:v>
                </c:pt>
                <c:pt idx="28">
                  <c:v>367.10286738385844</c:v>
                </c:pt>
                <c:pt idx="29">
                  <c:v>365.50426320517556</c:v>
                </c:pt>
                <c:pt idx="30">
                  <c:v>365.4675249055415</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551796472"/>
        <c:axId val="55179686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5179647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796864"/>
        <c:crosses val="autoZero"/>
        <c:crossBetween val="midCat"/>
      </c:valAx>
      <c:valAx>
        <c:axId val="551796864"/>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796472"/>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21415.549463341617</c:v>
                </c:pt>
                <c:pt idx="1">
                  <c:v>21418.129347436585</c:v>
                </c:pt>
                <c:pt idx="2">
                  <c:v>21418.027901668822</c:v>
                </c:pt>
                <c:pt idx="3">
                  <c:v>21418.001164184629</c:v>
                </c:pt>
                <c:pt idx="4">
                  <c:v>21417.996445812005</c:v>
                </c:pt>
                <c:pt idx="5">
                  <c:v>21417.994873021591</c:v>
                </c:pt>
                <c:pt idx="6">
                  <c:v>21417.994086626455</c:v>
                </c:pt>
                <c:pt idx="7">
                  <c:v>21417.995659416745</c:v>
                </c:pt>
                <c:pt idx="8">
                  <c:v>21417.995659416745</c:v>
                </c:pt>
                <c:pt idx="9">
                  <c:v>21417.995659416745</c:v>
                </c:pt>
                <c:pt idx="10">
                  <c:v>21417.996445811998</c:v>
                </c:pt>
                <c:pt idx="11">
                  <c:v>21417.993300231385</c:v>
                </c:pt>
                <c:pt idx="12">
                  <c:v>21417.998018602641</c:v>
                </c:pt>
                <c:pt idx="13">
                  <c:v>21418.017678505221</c:v>
                </c:pt>
                <c:pt idx="14">
                  <c:v>21418.204842585139</c:v>
                </c:pt>
                <c:pt idx="15">
                  <c:v>21420.104979077681</c:v>
                </c:pt>
                <c:pt idx="16">
                  <c:v>21438.72699730254</c:v>
                </c:pt>
                <c:pt idx="17">
                  <c:v>21591.91354953156</c:v>
                </c:pt>
                <c:pt idx="18">
                  <c:v>21981.9631335095</c:v>
                </c:pt>
                <c:pt idx="19">
                  <c:v>22407.604388033797</c:v>
                </c:pt>
                <c:pt idx="20">
                  <c:v>22560.039258077912</c:v>
                </c:pt>
                <c:pt idx="21">
                  <c:v>21511.102064156192</c:v>
                </c:pt>
                <c:pt idx="22">
                  <c:v>19453.10107442255</c:v>
                </c:pt>
                <c:pt idx="23">
                  <c:v>17501.941840447187</c:v>
                </c:pt>
                <c:pt idx="24">
                  <c:v>15922.848974370625</c:v>
                </c:pt>
                <c:pt idx="25">
                  <c:v>14666.610346882935</c:v>
                </c:pt>
                <c:pt idx="26">
                  <c:v>13634.017168889319</c:v>
                </c:pt>
                <c:pt idx="27">
                  <c:v>12699.710660677774</c:v>
                </c:pt>
                <c:pt idx="28">
                  <c:v>11705.735730239914</c:v>
                </c:pt>
                <c:pt idx="29">
                  <c:v>10519.606653272505</c:v>
                </c:pt>
                <c:pt idx="30">
                  <c:v>9139.358134000011</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21246.654365218023</c:v>
                </c:pt>
                <c:pt idx="1">
                  <c:v>21249.288922902317</c:v>
                </c:pt>
                <c:pt idx="2">
                  <c:v>21249.192166425808</c:v>
                </c:pt>
                <c:pt idx="3">
                  <c:v>21249.170493095851</c:v>
                </c:pt>
                <c:pt idx="4">
                  <c:v>21249.165074770277</c:v>
                </c:pt>
                <c:pt idx="5">
                  <c:v>21249.163526677763</c:v>
                </c:pt>
                <c:pt idx="6">
                  <c:v>21249.162752631597</c:v>
                </c:pt>
                <c:pt idx="7">
                  <c:v>21249.164300724002</c:v>
                </c:pt>
                <c:pt idx="8">
                  <c:v>21249.160430493426</c:v>
                </c:pt>
                <c:pt idx="9">
                  <c:v>21249.161204539429</c:v>
                </c:pt>
                <c:pt idx="10">
                  <c:v>21249.164300723998</c:v>
                </c:pt>
                <c:pt idx="11">
                  <c:v>21249.169719049183</c:v>
                </c:pt>
                <c:pt idx="12">
                  <c:v>21249.236287269807</c:v>
                </c:pt>
                <c:pt idx="13">
                  <c:v>21249.904314716554</c:v>
                </c:pt>
                <c:pt idx="14">
                  <c:v>21256.517187436755</c:v>
                </c:pt>
                <c:pt idx="15">
                  <c:v>21318.022948522812</c:v>
                </c:pt>
                <c:pt idx="16">
                  <c:v>21626.656240393881</c:v>
                </c:pt>
                <c:pt idx="17">
                  <c:v>22019.296579100948</c:v>
                </c:pt>
                <c:pt idx="18">
                  <c:v>22280.927585826728</c:v>
                </c:pt>
                <c:pt idx="19">
                  <c:v>21634.832802797777</c:v>
                </c:pt>
                <c:pt idx="20">
                  <c:v>19809.843613170575</c:v>
                </c:pt>
                <c:pt idx="21">
                  <c:v>17854.167769799165</c:v>
                </c:pt>
                <c:pt idx="22">
                  <c:v>16251.693600598475</c:v>
                </c:pt>
                <c:pt idx="23">
                  <c:v>14973.174915431517</c:v>
                </c:pt>
                <c:pt idx="24">
                  <c:v>13932.682294916583</c:v>
                </c:pt>
                <c:pt idx="25">
                  <c:v>13012.504459106436</c:v>
                </c:pt>
                <c:pt idx="26">
                  <c:v>12095.958273782331</c:v>
                </c:pt>
                <c:pt idx="27">
                  <c:v>11015.969851493697</c:v>
                </c:pt>
                <c:pt idx="28">
                  <c:v>9723.9790210987012</c:v>
                </c:pt>
                <c:pt idx="29">
                  <c:v>8226.9442531679888</c:v>
                </c:pt>
                <c:pt idx="30">
                  <c:v>6586.8915062561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21138.881521485364</c:v>
                </c:pt>
                <c:pt idx="1">
                  <c:v>21141.54918337987</c:v>
                </c:pt>
                <c:pt idx="2">
                  <c:v>21141.458002892334</c:v>
                </c:pt>
                <c:pt idx="3">
                  <c:v>21141.435782556586</c:v>
                </c:pt>
                <c:pt idx="4">
                  <c:v>21141.430419034266</c:v>
                </c:pt>
                <c:pt idx="5">
                  <c:v>21141.428886599821</c:v>
                </c:pt>
                <c:pt idx="6">
                  <c:v>21141.428120382676</c:v>
                </c:pt>
                <c:pt idx="7">
                  <c:v>21141.429652817013</c:v>
                </c:pt>
                <c:pt idx="8">
                  <c:v>21141.42888659981</c:v>
                </c:pt>
                <c:pt idx="9">
                  <c:v>21141.436548774276</c:v>
                </c:pt>
                <c:pt idx="10">
                  <c:v>21141.497080147841</c:v>
                </c:pt>
                <c:pt idx="11">
                  <c:v>21142.106244278795</c:v>
                </c:pt>
                <c:pt idx="12">
                  <c:v>21148.168381910014</c:v>
                </c:pt>
                <c:pt idx="13">
                  <c:v>21204.786669183137</c:v>
                </c:pt>
                <c:pt idx="14">
                  <c:v>21500.071275807713</c:v>
                </c:pt>
                <c:pt idx="15">
                  <c:v>21906.047441038187</c:v>
                </c:pt>
                <c:pt idx="16">
                  <c:v>22404.083637132706</c:v>
                </c:pt>
                <c:pt idx="17">
                  <c:v>22895.94836830191</c:v>
                </c:pt>
                <c:pt idx="18">
                  <c:v>22419.944782878854</c:v>
                </c:pt>
                <c:pt idx="19">
                  <c:v>20539.514116784583</c:v>
                </c:pt>
                <c:pt idx="20">
                  <c:v>18287.793331633096</c:v>
                </c:pt>
                <c:pt idx="21">
                  <c:v>16366.291443716864</c:v>
                </c:pt>
                <c:pt idx="22">
                  <c:v>14875.871056629718</c:v>
                </c:pt>
                <c:pt idx="23">
                  <c:v>13679.119589976604</c:v>
                </c:pt>
                <c:pt idx="24">
                  <c:v>12615.310243278691</c:v>
                </c:pt>
                <c:pt idx="25">
                  <c:v>11467.553246143232</c:v>
                </c:pt>
                <c:pt idx="26">
                  <c:v>10118.356731455086</c:v>
                </c:pt>
                <c:pt idx="27">
                  <c:v>8575.1274263935629</c:v>
                </c:pt>
                <c:pt idx="28">
                  <c:v>6896.5316120851512</c:v>
                </c:pt>
                <c:pt idx="29">
                  <c:v>5451.9982243309096</c:v>
                </c:pt>
                <c:pt idx="30">
                  <c:v>4395.1103769183901</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21029.337271371158</c:v>
                </c:pt>
                <c:pt idx="1">
                  <c:v>21032.04256923874</c:v>
                </c:pt>
                <c:pt idx="2">
                  <c:v>21031.951572573435</c:v>
                </c:pt>
                <c:pt idx="3">
                  <c:v>21031.929581830798</c:v>
                </c:pt>
                <c:pt idx="4">
                  <c:v>21031.924273727393</c:v>
                </c:pt>
                <c:pt idx="5">
                  <c:v>21031.925032027721</c:v>
                </c:pt>
                <c:pt idx="6">
                  <c:v>21031.928823530161</c:v>
                </c:pt>
                <c:pt idx="7">
                  <c:v>21031.981904707714</c:v>
                </c:pt>
                <c:pt idx="8">
                  <c:v>21032.514247905889</c:v>
                </c:pt>
                <c:pt idx="9">
                  <c:v>21037.823987899148</c:v>
                </c:pt>
                <c:pt idx="10">
                  <c:v>21087.745688053081</c:v>
                </c:pt>
                <c:pt idx="11">
                  <c:v>21362.386569694612</c:v>
                </c:pt>
                <c:pt idx="12">
                  <c:v>21755.784825889568</c:v>
                </c:pt>
                <c:pt idx="13">
                  <c:v>22254.922121125535</c:v>
                </c:pt>
                <c:pt idx="14">
                  <c:v>22956.140077474745</c:v>
                </c:pt>
                <c:pt idx="15">
                  <c:v>23852.304133942343</c:v>
                </c:pt>
                <c:pt idx="16">
                  <c:v>24984.336248848347</c:v>
                </c:pt>
                <c:pt idx="17">
                  <c:v>25418.575674324286</c:v>
                </c:pt>
                <c:pt idx="18">
                  <c:v>23263.120582790365</c:v>
                </c:pt>
                <c:pt idx="19">
                  <c:v>19909.225309289814</c:v>
                </c:pt>
                <c:pt idx="20">
                  <c:v>17085.395540575068</c:v>
                </c:pt>
                <c:pt idx="21">
                  <c:v>15005.121676746025</c:v>
                </c:pt>
                <c:pt idx="22">
                  <c:v>13356.486612068389</c:v>
                </c:pt>
                <c:pt idx="23">
                  <c:v>11757.435242482163</c:v>
                </c:pt>
                <c:pt idx="24">
                  <c:v>10057.498142164573</c:v>
                </c:pt>
                <c:pt idx="25">
                  <c:v>8262.3268959892011</c:v>
                </c:pt>
                <c:pt idx="26">
                  <c:v>6732.657482244631</c:v>
                </c:pt>
                <c:pt idx="27">
                  <c:v>5603.5970610254153</c:v>
                </c:pt>
                <c:pt idx="28">
                  <c:v>4975.4914399512863</c:v>
                </c:pt>
                <c:pt idx="29">
                  <c:v>4576.1234873460335</c:v>
                </c:pt>
                <c:pt idx="30">
                  <c:v>3979.3704886018731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20895.458516568593</c:v>
                </c:pt>
                <c:pt idx="1">
                  <c:v>20898.217072790078</c:v>
                </c:pt>
                <c:pt idx="2">
                  <c:v>20898.267983792535</c:v>
                </c:pt>
                <c:pt idx="3">
                  <c:v>20899.620210907251</c:v>
                </c:pt>
                <c:pt idx="4">
                  <c:v>20913.111625908266</c:v>
                </c:pt>
                <c:pt idx="5">
                  <c:v>21028.090248189499</c:v>
                </c:pt>
                <c:pt idx="6">
                  <c:v>21370.863989837715</c:v>
                </c:pt>
                <c:pt idx="7">
                  <c:v>21788.439703811193</c:v>
                </c:pt>
                <c:pt idx="8">
                  <c:v>22346.560185690454</c:v>
                </c:pt>
                <c:pt idx="9">
                  <c:v>23136.897372735224</c:v>
                </c:pt>
                <c:pt idx="10">
                  <c:v>24141.732774663273</c:v>
                </c:pt>
                <c:pt idx="11">
                  <c:v>25789.564463477425</c:v>
                </c:pt>
                <c:pt idx="12">
                  <c:v>28356.906835083992</c:v>
                </c:pt>
                <c:pt idx="13">
                  <c:v>32193.295166802207</c:v>
                </c:pt>
                <c:pt idx="14">
                  <c:v>39138.146699166959</c:v>
                </c:pt>
                <c:pt idx="15">
                  <c:v>53423.91587229132</c:v>
                </c:pt>
                <c:pt idx="16">
                  <c:v>92168.471325335064</c:v>
                </c:pt>
                <c:pt idx="17">
                  <c:v>171662.28437377722</c:v>
                </c:pt>
                <c:pt idx="18">
                  <c:v>463619.75761957688</c:v>
                </c:pt>
                <c:pt idx="19">
                  <c:v>-83849.607344267439</c:v>
                </c:pt>
                <c:pt idx="20">
                  <c:v>-17610.089474348857</c:v>
                </c:pt>
                <c:pt idx="21">
                  <c:v>-6995.2474288968015</c:v>
                </c:pt>
                <c:pt idx="22">
                  <c:v>-3775.0607407273196</c:v>
                </c:pt>
                <c:pt idx="23">
                  <c:v>-2584.1424467915831</c:v>
                </c:pt>
                <c:pt idx="24">
                  <c:v>-3776.7753137016589</c:v>
                </c:pt>
                <c:pt idx="25">
                  <c:v>-15046.463479224287</c:v>
                </c:pt>
                <c:pt idx="26">
                  <c:v>14080.059216706419</c:v>
                </c:pt>
                <c:pt idx="27">
                  <c:v>8907.4707211437271</c:v>
                </c:pt>
                <c:pt idx="28">
                  <c:v>3875.0716749864532</c:v>
                </c:pt>
                <c:pt idx="29">
                  <c:v>3845.5482779470067</c:v>
                </c:pt>
                <c:pt idx="30">
                  <c:v>3268.0379353843514</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22252.915138241082</c:v>
                </c:pt>
                <c:pt idx="1">
                  <c:v>23312.20967390361</c:v>
                </c:pt>
                <c:pt idx="2">
                  <c:v>24615.821575972968</c:v>
                </c:pt>
                <c:pt idx="3">
                  <c:v>26659.565167867426</c:v>
                </c:pt>
                <c:pt idx="4">
                  <c:v>29712.515284966801</c:v>
                </c:pt>
                <c:pt idx="5">
                  <c:v>34724.857590878732</c:v>
                </c:pt>
                <c:pt idx="6">
                  <c:v>44805.499964731716</c:v>
                </c:pt>
                <c:pt idx="7">
                  <c:v>78806.943927508604</c:v>
                </c:pt>
                <c:pt idx="8">
                  <c:v>-213035.71635085696</c:v>
                </c:pt>
                <c:pt idx="9">
                  <c:v>-26728.603714542747</c:v>
                </c:pt>
                <c:pt idx="10">
                  <c:v>-9451.4829187669911</c:v>
                </c:pt>
                <c:pt idx="11">
                  <c:v>-3672.303179894539</c:v>
                </c:pt>
                <c:pt idx="12">
                  <c:v>-1569.4773638584659</c:v>
                </c:pt>
                <c:pt idx="13">
                  <c:v>-740.99503141660125</c:v>
                </c:pt>
                <c:pt idx="14">
                  <c:v>-375.90063240770604</c:v>
                </c:pt>
                <c:pt idx="15">
                  <c:v>-256.31147227887442</c:v>
                </c:pt>
                <c:pt idx="16">
                  <c:v>-228.99407873653888</c:v>
                </c:pt>
                <c:pt idx="17">
                  <c:v>-221.01688035368008</c:v>
                </c:pt>
                <c:pt idx="18">
                  <c:v>-254.14496459277763</c:v>
                </c:pt>
                <c:pt idx="19">
                  <c:v>-341.81324131173977</c:v>
                </c:pt>
                <c:pt idx="20">
                  <c:v>-519.11790358595283</c:v>
                </c:pt>
                <c:pt idx="21">
                  <c:v>-874.87738593436063</c:v>
                </c:pt>
                <c:pt idx="22">
                  <c:v>-1696.3390289612576</c:v>
                </c:pt>
                <c:pt idx="23">
                  <c:v>-4564.4396504786673</c:v>
                </c:pt>
                <c:pt idx="24">
                  <c:v>39979.941492210644</c:v>
                </c:pt>
                <c:pt idx="25">
                  <c:v>5702.3698560346911</c:v>
                </c:pt>
                <c:pt idx="26">
                  <c:v>4947.7314580582743</c:v>
                </c:pt>
                <c:pt idx="27">
                  <c:v>3473.062579328473</c:v>
                </c:pt>
                <c:pt idx="28">
                  <c:v>3458.6419059528112</c:v>
                </c:pt>
                <c:pt idx="29">
                  <c:v>3182.9811273773585</c:v>
                </c:pt>
                <c:pt idx="30">
                  <c:v>3175.5856619222559</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23574.349943362293</c:v>
                </c:pt>
                <c:pt idx="1">
                  <c:v>25641.434776886017</c:v>
                </c:pt>
                <c:pt idx="2">
                  <c:v>28371.912649528116</c:v>
                </c:pt>
                <c:pt idx="3">
                  <c:v>32549.74926928135</c:v>
                </c:pt>
                <c:pt idx="4">
                  <c:v>40587.375864960486</c:v>
                </c:pt>
                <c:pt idx="5">
                  <c:v>62072.651960059178</c:v>
                </c:pt>
                <c:pt idx="6">
                  <c:v>1212789.0336150853</c:v>
                </c:pt>
                <c:pt idx="7">
                  <c:v>-36212.225992432257</c:v>
                </c:pt>
                <c:pt idx="8">
                  <c:v>-11752.153002824527</c:v>
                </c:pt>
                <c:pt idx="9">
                  <c:v>-4503.8650947765718</c:v>
                </c:pt>
                <c:pt idx="10">
                  <c:v>-1901.9597358384426</c:v>
                </c:pt>
                <c:pt idx="11">
                  <c:v>-881.52817896754868</c:v>
                </c:pt>
                <c:pt idx="12">
                  <c:v>-437.02600705557256</c:v>
                </c:pt>
                <c:pt idx="13">
                  <c:v>-271.00096000928653</c:v>
                </c:pt>
                <c:pt idx="14">
                  <c:v>-227.08483963573565</c:v>
                </c:pt>
                <c:pt idx="15">
                  <c:v>-208.6837543483359</c:v>
                </c:pt>
                <c:pt idx="16">
                  <c:v>-210.99557375293912</c:v>
                </c:pt>
                <c:pt idx="17">
                  <c:v>-234.01737548256389</c:v>
                </c:pt>
                <c:pt idx="18">
                  <c:v>-296.35954977328169</c:v>
                </c:pt>
                <c:pt idx="19">
                  <c:v>-429.41885776718681</c:v>
                </c:pt>
                <c:pt idx="20">
                  <c:v>-692.37975154011986</c:v>
                </c:pt>
                <c:pt idx="21">
                  <c:v>-1252.9938049480259</c:v>
                </c:pt>
                <c:pt idx="22">
                  <c:v>-2788.6968539117224</c:v>
                </c:pt>
                <c:pt idx="23">
                  <c:v>-15427.099242529001</c:v>
                </c:pt>
                <c:pt idx="24">
                  <c:v>8200.4451201611373</c:v>
                </c:pt>
                <c:pt idx="25">
                  <c:v>6514.2081393728131</c:v>
                </c:pt>
                <c:pt idx="26">
                  <c:v>5128.0743904844003</c:v>
                </c:pt>
                <c:pt idx="27">
                  <c:v>3264.0953429193382</c:v>
                </c:pt>
                <c:pt idx="28">
                  <c:v>3250.133626922548</c:v>
                </c:pt>
                <c:pt idx="29">
                  <c:v>3047.8499378020801</c:v>
                </c:pt>
                <c:pt idx="30">
                  <c:v>3045.7572818617796</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51797648"/>
        <c:axId val="5517960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517976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796080"/>
        <c:crosses val="autoZero"/>
        <c:crossBetween val="midCat"/>
        <c:majorUnit val="10000"/>
      </c:valAx>
      <c:valAx>
        <c:axId val="55179608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797648"/>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0.36075821278502584</c:v>
                </c:pt>
                <c:pt idx="1">
                  <c:v>0.36077235156217125</c:v>
                </c:pt>
                <c:pt idx="2">
                  <c:v>0.3607724109628368</c:v>
                </c:pt>
                <c:pt idx="3">
                  <c:v>0.36077245067394526</c:v>
                </c:pt>
                <c:pt idx="4">
                  <c:v>0.36077248405747009</c:v>
                </c:pt>
                <c:pt idx="5">
                  <c:v>0.36077249518530485</c:v>
                </c:pt>
                <c:pt idx="6">
                  <c:v>0.36077249719059723</c:v>
                </c:pt>
                <c:pt idx="7">
                  <c:v>0.36077250741450745</c:v>
                </c:pt>
                <c:pt idx="8">
                  <c:v>0.36077250741450745</c:v>
                </c:pt>
                <c:pt idx="9">
                  <c:v>0.36077250741450745</c:v>
                </c:pt>
                <c:pt idx="10">
                  <c:v>0.3607725125264627</c:v>
                </c:pt>
                <c:pt idx="11">
                  <c:v>0.36077249919588944</c:v>
                </c:pt>
                <c:pt idx="12">
                  <c:v>0.36077253698486383</c:v>
                </c:pt>
                <c:pt idx="13">
                  <c:v>0.36077279289389885</c:v>
                </c:pt>
                <c:pt idx="14">
                  <c:v>0.36077529773254408</c:v>
                </c:pt>
                <c:pt idx="15">
                  <c:v>0.36080044220027546</c:v>
                </c:pt>
                <c:pt idx="16">
                  <c:v>0.36104632914746104</c:v>
                </c:pt>
                <c:pt idx="17">
                  <c:v>0.36303105764137994</c:v>
                </c:pt>
                <c:pt idx="18">
                  <c:v>0.36808177298075478</c:v>
                </c:pt>
                <c:pt idx="19">
                  <c:v>0.37337068078846036</c:v>
                </c:pt>
                <c:pt idx="20">
                  <c:v>0.3785011301535724</c:v>
                </c:pt>
                <c:pt idx="21">
                  <c:v>0.3809584420082533</c:v>
                </c:pt>
                <c:pt idx="22">
                  <c:v>0.38013288148894225</c:v>
                </c:pt>
                <c:pt idx="23">
                  <c:v>0.37957977179592961</c:v>
                </c:pt>
                <c:pt idx="24">
                  <c:v>0.37967610113491412</c:v>
                </c:pt>
                <c:pt idx="25">
                  <c:v>0.38007223488822078</c:v>
                </c:pt>
                <c:pt idx="26">
                  <c:v>0.38143371375107804</c:v>
                </c:pt>
                <c:pt idx="27">
                  <c:v>0.3832566389252276</c:v>
                </c:pt>
                <c:pt idx="28">
                  <c:v>0.38666528511436832</c:v>
                </c:pt>
                <c:pt idx="29">
                  <c:v>0.39159123749561497</c:v>
                </c:pt>
                <c:pt idx="30">
                  <c:v>0.39884466140666064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0.36034330192910802</c:v>
                </c:pt>
                <c:pt idx="1">
                  <c:v>0.36035794624300349</c:v>
                </c:pt>
                <c:pt idx="2">
                  <c:v>0.36035802072368178</c:v>
                </c:pt>
                <c:pt idx="3">
                  <c:v>0.36035808428868132</c:v>
                </c:pt>
                <c:pt idx="4">
                  <c:v>0.36035811261057327</c:v>
                </c:pt>
                <c:pt idx="5">
                  <c:v>0.36035812374678278</c:v>
                </c:pt>
                <c:pt idx="6">
                  <c:v>0.36035812576326737</c:v>
                </c:pt>
                <c:pt idx="7">
                  <c:v>0.36035813593677452</c:v>
                </c:pt>
                <c:pt idx="8">
                  <c:v>0.36035811760624514</c:v>
                </c:pt>
                <c:pt idx="9">
                  <c:v>0.36035812269299844</c:v>
                </c:pt>
                <c:pt idx="10">
                  <c:v>0.36035814304001162</c:v>
                </c:pt>
                <c:pt idx="11">
                  <c:v>0.36035822836991183</c:v>
                </c:pt>
                <c:pt idx="12">
                  <c:v>0.36035913464067154</c:v>
                </c:pt>
                <c:pt idx="13">
                  <c:v>0.36036820517082785</c:v>
                </c:pt>
                <c:pt idx="14">
                  <c:v>0.36045809300748322</c:v>
                </c:pt>
                <c:pt idx="15">
                  <c:v>0.36128752630445571</c:v>
                </c:pt>
                <c:pt idx="16">
                  <c:v>0.36549577902897135</c:v>
                </c:pt>
                <c:pt idx="17">
                  <c:v>0.37053284467454167</c:v>
                </c:pt>
                <c:pt idx="18">
                  <c:v>0.37560725877333956</c:v>
                </c:pt>
                <c:pt idx="19">
                  <c:v>0.378942421586901</c:v>
                </c:pt>
                <c:pt idx="20">
                  <c:v>0.37883927370483844</c:v>
                </c:pt>
                <c:pt idx="21">
                  <c:v>0.37802082434975703</c:v>
                </c:pt>
                <c:pt idx="22">
                  <c:v>0.37813806734105387</c:v>
                </c:pt>
                <c:pt idx="23">
                  <c:v>0.37869505680899296</c:v>
                </c:pt>
                <c:pt idx="24">
                  <c:v>0.37986015531125017</c:v>
                </c:pt>
                <c:pt idx="25">
                  <c:v>0.38162361900152603</c:v>
                </c:pt>
                <c:pt idx="26">
                  <c:v>0.38426244971585954</c:v>
                </c:pt>
                <c:pt idx="27">
                  <c:v>0.38851043724304701</c:v>
                </c:pt>
                <c:pt idx="28">
                  <c:v>0.39466206083438088</c:v>
                </c:pt>
                <c:pt idx="29">
                  <c:v>0.4042193572787377</c:v>
                </c:pt>
                <c:pt idx="30">
                  <c:v>0.41966918952985927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0.36007959993361766</c:v>
                </c:pt>
                <c:pt idx="1">
                  <c:v>0.36009455957426084</c:v>
                </c:pt>
                <c:pt idx="2">
                  <c:v>0.36009465848176681</c:v>
                </c:pt>
                <c:pt idx="3">
                  <c:v>0.36009471716051339</c:v>
                </c:pt>
                <c:pt idx="4">
                  <c:v>0.36009474551214277</c:v>
                </c:pt>
                <c:pt idx="5">
                  <c:v>0.36009475665284973</c:v>
                </c:pt>
                <c:pt idx="6">
                  <c:v>0.36009475867624846</c:v>
                </c:pt>
                <c:pt idx="7">
                  <c:v>0.36009476881726538</c:v>
                </c:pt>
                <c:pt idx="8">
                  <c:v>0.36009477084066338</c:v>
                </c:pt>
                <c:pt idx="9">
                  <c:v>0.36009486410915376</c:v>
                </c:pt>
                <c:pt idx="10">
                  <c:v>0.36009570449829092</c:v>
                </c:pt>
                <c:pt idx="11">
                  <c:v>0.36010412635753059</c:v>
                </c:pt>
                <c:pt idx="12">
                  <c:v>0.36018776081587062</c:v>
                </c:pt>
                <c:pt idx="13">
                  <c:v>0.36096327323430338</c:v>
                </c:pt>
                <c:pt idx="14">
                  <c:v>0.36504682055873694</c:v>
                </c:pt>
                <c:pt idx="15">
                  <c:v>0.37010785358354592</c:v>
                </c:pt>
                <c:pt idx="16">
                  <c:v>0.37582354135732149</c:v>
                </c:pt>
                <c:pt idx="17">
                  <c:v>0.3822597308778426</c:v>
                </c:pt>
                <c:pt idx="18">
                  <c:v>0.38615340361220812</c:v>
                </c:pt>
                <c:pt idx="19">
                  <c:v>0.38663081927070042</c:v>
                </c:pt>
                <c:pt idx="20">
                  <c:v>0.38556651515378187</c:v>
                </c:pt>
                <c:pt idx="21">
                  <c:v>0.38438805099394219</c:v>
                </c:pt>
                <c:pt idx="22">
                  <c:v>0.38410195379942486</c:v>
                </c:pt>
                <c:pt idx="23">
                  <c:v>0.38495742886912027</c:v>
                </c:pt>
                <c:pt idx="24">
                  <c:v>0.38717310045239967</c:v>
                </c:pt>
                <c:pt idx="25">
                  <c:v>0.39139655377079169</c:v>
                </c:pt>
                <c:pt idx="26">
                  <c:v>0.39742728952438633</c:v>
                </c:pt>
                <c:pt idx="27">
                  <c:v>0.40676609759606197</c:v>
                </c:pt>
                <c:pt idx="28">
                  <c:v>0.42195974426244331</c:v>
                </c:pt>
                <c:pt idx="29">
                  <c:v>0.44008362411093732</c:v>
                </c:pt>
                <c:pt idx="30">
                  <c:v>0.45697800093866831</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0.35981245441786447</c:v>
                </c:pt>
                <c:pt idx="1">
                  <c:v>0.35982775903286135</c:v>
                </c:pt>
                <c:pt idx="2">
                  <c:v>0.35982785389671706</c:v>
                </c:pt>
                <c:pt idx="3">
                  <c:v>0.35982791277388299</c:v>
                </c:pt>
                <c:pt idx="4">
                  <c:v>0.35982794115380251</c:v>
                </c:pt>
                <c:pt idx="5">
                  <c:v>0.3598279674599853</c:v>
                </c:pt>
                <c:pt idx="6">
                  <c:v>0.35982804231801491</c:v>
                </c:pt>
                <c:pt idx="7">
                  <c:v>0.3598287927957996</c:v>
                </c:pt>
                <c:pt idx="8">
                  <c:v>0.35983629328050659</c:v>
                </c:pt>
                <c:pt idx="9">
                  <c:v>0.35991086948130546</c:v>
                </c:pt>
                <c:pt idx="10">
                  <c:v>0.36060759081103017</c:v>
                </c:pt>
                <c:pt idx="11">
                  <c:v>0.36448830450349007</c:v>
                </c:pt>
                <c:pt idx="12">
                  <c:v>0.36949596178055943</c:v>
                </c:pt>
                <c:pt idx="13">
                  <c:v>0.37518023115112409</c:v>
                </c:pt>
                <c:pt idx="14">
                  <c:v>0.38217742453001313</c:v>
                </c:pt>
                <c:pt idx="15">
                  <c:v>0.38988561025902041</c:v>
                </c:pt>
                <c:pt idx="16">
                  <c:v>0.3987869017344845</c:v>
                </c:pt>
                <c:pt idx="17">
                  <c:v>0.40657534762972719</c:v>
                </c:pt>
                <c:pt idx="18">
                  <c:v>0.40761974612266944</c:v>
                </c:pt>
                <c:pt idx="19">
                  <c:v>0.40395769813812726</c:v>
                </c:pt>
                <c:pt idx="20">
                  <c:v>0.40049611149866071</c:v>
                </c:pt>
                <c:pt idx="21">
                  <c:v>0.39952771666618203</c:v>
                </c:pt>
                <c:pt idx="22">
                  <c:v>0.40249532381574127</c:v>
                </c:pt>
                <c:pt idx="23">
                  <c:v>0.40835872198177181</c:v>
                </c:pt>
                <c:pt idx="24">
                  <c:v>0.41756908741558713</c:v>
                </c:pt>
                <c:pt idx="25">
                  <c:v>0.43228462532847456</c:v>
                </c:pt>
                <c:pt idx="26">
                  <c:v>0.44944640832174404</c:v>
                </c:pt>
                <c:pt idx="27">
                  <c:v>0.46486088631074041</c:v>
                </c:pt>
                <c:pt idx="28">
                  <c:v>0.47751130507142042</c:v>
                </c:pt>
                <c:pt idx="29">
                  <c:v>0.48303823899388809</c:v>
                </c:pt>
                <c:pt idx="30">
                  <c:v>0.48298510604595052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0.35948725403130255</c:v>
                </c:pt>
                <c:pt idx="1">
                  <c:v>0.35950314980870418</c:v>
                </c:pt>
                <c:pt idx="2">
                  <c:v>0.35950523876912627</c:v>
                </c:pt>
                <c:pt idx="3">
                  <c:v>0.35952503372311995</c:v>
                </c:pt>
                <c:pt idx="4">
                  <c:v>0.35971877859745266</c:v>
                </c:pt>
                <c:pt idx="5">
                  <c:v>0.36134311585472129</c:v>
                </c:pt>
                <c:pt idx="6">
                  <c:v>0.3661764362691331</c:v>
                </c:pt>
                <c:pt idx="7">
                  <c:v>0.37137588933926702</c:v>
                </c:pt>
                <c:pt idx="8">
                  <c:v>0.37754390267552423</c:v>
                </c:pt>
                <c:pt idx="9">
                  <c:v>0.38508679341874646</c:v>
                </c:pt>
                <c:pt idx="10">
                  <c:v>0.39316898307631853</c:v>
                </c:pt>
                <c:pt idx="11">
                  <c:v>0.40389726276124766</c:v>
                </c:pt>
                <c:pt idx="12">
                  <c:v>0.4165064126240301</c:v>
                </c:pt>
                <c:pt idx="13">
                  <c:v>0.42985855321235655</c:v>
                </c:pt>
                <c:pt idx="14">
                  <c:v>0.44536092035938063</c:v>
                </c:pt>
                <c:pt idx="15">
                  <c:v>0.4624481234972439</c:v>
                </c:pt>
                <c:pt idx="16">
                  <c:v>0.48039075532798176</c:v>
                </c:pt>
                <c:pt idx="17">
                  <c:v>0.49119802487754749</c:v>
                </c:pt>
                <c:pt idx="18">
                  <c:v>0.49746286479478913</c:v>
                </c:pt>
                <c:pt idx="19">
                  <c:v>0.50999228355385806</c:v>
                </c:pt>
                <c:pt idx="20">
                  <c:v>0.53011916843146323</c:v>
                </c:pt>
                <c:pt idx="21">
                  <c:v>0.54383764281084046</c:v>
                </c:pt>
                <c:pt idx="22">
                  <c:v>0.54526102632459827</c:v>
                </c:pt>
                <c:pt idx="23">
                  <c:v>0.53824100953015952</c:v>
                </c:pt>
                <c:pt idx="24">
                  <c:v>0.51997413922012958</c:v>
                </c:pt>
                <c:pt idx="25">
                  <c:v>0.50447018658769671</c:v>
                </c:pt>
                <c:pt idx="26">
                  <c:v>0.49557765281295169</c:v>
                </c:pt>
                <c:pt idx="27">
                  <c:v>0.49303610302077072</c:v>
                </c:pt>
                <c:pt idx="28">
                  <c:v>0.48418241807530432</c:v>
                </c:pt>
                <c:pt idx="29">
                  <c:v>0.48406377463273303</c:v>
                </c:pt>
                <c:pt idx="30">
                  <c:v>0.48134369853869274</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0.37888694126783645</c:v>
                </c:pt>
                <c:pt idx="1">
                  <c:v>0.38862667797254569</c:v>
                </c:pt>
                <c:pt idx="2">
                  <c:v>0.39830491134469787</c:v>
                </c:pt>
                <c:pt idx="3">
                  <c:v>0.41011716696403283</c:v>
                </c:pt>
                <c:pt idx="4">
                  <c:v>0.42303450549092125</c:v>
                </c:pt>
                <c:pt idx="5">
                  <c:v>0.4374204494871497</c:v>
                </c:pt>
                <c:pt idx="6">
                  <c:v>0.45425193995295127</c:v>
                </c:pt>
                <c:pt idx="7">
                  <c:v>0.47583559749142595</c:v>
                </c:pt>
                <c:pt idx="8">
                  <c:v>0.50802672786244374</c:v>
                </c:pt>
                <c:pt idx="9">
                  <c:v>0.55481705569880313</c:v>
                </c:pt>
                <c:pt idx="10">
                  <c:v>0.62311995765159445</c:v>
                </c:pt>
                <c:pt idx="11">
                  <c:v>0.72024714166073811</c:v>
                </c:pt>
                <c:pt idx="12">
                  <c:v>0.81944840572156641</c:v>
                </c:pt>
                <c:pt idx="13">
                  <c:v>0.89472311936608828</c:v>
                </c:pt>
                <c:pt idx="14">
                  <c:v>0.94335710117558313</c:v>
                </c:pt>
                <c:pt idx="15">
                  <c:v>0.9583911757902861</c:v>
                </c:pt>
                <c:pt idx="16">
                  <c:v>0.94640564294677398</c:v>
                </c:pt>
                <c:pt idx="17">
                  <c:v>0.91293941123073641</c:v>
                </c:pt>
                <c:pt idx="18">
                  <c:v>0.83455311397634313</c:v>
                </c:pt>
                <c:pt idx="19">
                  <c:v>0.7285927639183728</c:v>
                </c:pt>
                <c:pt idx="20">
                  <c:v>0.63917667185650529</c:v>
                </c:pt>
                <c:pt idx="21">
                  <c:v>0.57790711532695727</c:v>
                </c:pt>
                <c:pt idx="22">
                  <c:v>0.5386129069935689</c:v>
                </c:pt>
                <c:pt idx="23">
                  <c:v>0.51397926906476299</c:v>
                </c:pt>
                <c:pt idx="24">
                  <c:v>0.49843173405458169</c:v>
                </c:pt>
                <c:pt idx="25">
                  <c:v>0.48913303891579824</c:v>
                </c:pt>
                <c:pt idx="26">
                  <c:v>0.48750283692417007</c:v>
                </c:pt>
                <c:pt idx="27">
                  <c:v>0.48236867575488179</c:v>
                </c:pt>
                <c:pt idx="28">
                  <c:v>0.48229778836404746</c:v>
                </c:pt>
                <c:pt idx="29">
                  <c:v>0.48082397264822718</c:v>
                </c:pt>
                <c:pt idx="30">
                  <c:v>0.48078199302055891</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0.39233060069735937</c:v>
                </c:pt>
                <c:pt idx="1">
                  <c:v>0.40597346665282347</c:v>
                </c:pt>
                <c:pt idx="2">
                  <c:v>0.41898636417726026</c:v>
                </c:pt>
                <c:pt idx="3">
                  <c:v>0.43281088922423544</c:v>
                </c:pt>
                <c:pt idx="4">
                  <c:v>0.44912640347830879</c:v>
                </c:pt>
                <c:pt idx="5">
                  <c:v>0.4689348191146136</c:v>
                </c:pt>
                <c:pt idx="6">
                  <c:v>0.49856189126823414</c:v>
                </c:pt>
                <c:pt idx="7">
                  <c:v>0.54171656342369212</c:v>
                </c:pt>
                <c:pt idx="8">
                  <c:v>0.60421243665876778</c:v>
                </c:pt>
                <c:pt idx="9">
                  <c:v>0.69534610015651555</c:v>
                </c:pt>
                <c:pt idx="10">
                  <c:v>0.79570910128696104</c:v>
                </c:pt>
                <c:pt idx="11">
                  <c:v>0.87793610555921553</c:v>
                </c:pt>
                <c:pt idx="12">
                  <c:v>0.93476335373171815</c:v>
                </c:pt>
                <c:pt idx="13">
                  <c:v>0.96331157781143395</c:v>
                </c:pt>
                <c:pt idx="14">
                  <c:v>0.96903444381540293</c:v>
                </c:pt>
                <c:pt idx="15">
                  <c:v>0.96155254796303102</c:v>
                </c:pt>
                <c:pt idx="16">
                  <c:v>0.93407994864152366</c:v>
                </c:pt>
                <c:pt idx="17">
                  <c:v>0.87443271250747268</c:v>
                </c:pt>
                <c:pt idx="18">
                  <c:v>0.77355324032895589</c:v>
                </c:pt>
                <c:pt idx="19">
                  <c:v>0.67354571620762527</c:v>
                </c:pt>
                <c:pt idx="20">
                  <c:v>0.60064505880193675</c:v>
                </c:pt>
                <c:pt idx="21">
                  <c:v>0.55305926947281125</c:v>
                </c:pt>
                <c:pt idx="22">
                  <c:v>0.52310775136194199</c:v>
                </c:pt>
                <c:pt idx="23">
                  <c:v>0.50409092526538513</c:v>
                </c:pt>
                <c:pt idx="24">
                  <c:v>0.49241029046196377</c:v>
                </c:pt>
                <c:pt idx="25">
                  <c:v>0.49046885047095923</c:v>
                </c:pt>
                <c:pt idx="26">
                  <c:v>0.48793238130258682</c:v>
                </c:pt>
                <c:pt idx="27">
                  <c:v>0.48125251610496006</c:v>
                </c:pt>
                <c:pt idx="28">
                  <c:v>0.48117498593786245</c:v>
                </c:pt>
                <c:pt idx="29">
                  <c:v>0.48001299983791446</c:v>
                </c:pt>
                <c:pt idx="30">
                  <c:v>0.4800012776744671</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551798040"/>
        <c:axId val="55179568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5179804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51795688"/>
        <c:crosses val="autoZero"/>
        <c:crossBetween val="midCat"/>
        <c:majorUnit val="10000"/>
      </c:valAx>
      <c:valAx>
        <c:axId val="551795688"/>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51798040"/>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54823768"/>
        <c:axId val="45482416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482376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24160"/>
        <c:crosses val="autoZero"/>
        <c:crossBetween val="midCat"/>
        <c:majorUnit val="10000"/>
      </c:valAx>
      <c:valAx>
        <c:axId val="454824160"/>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23768"/>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5.6402091798650182E-6</c:v>
                </c:pt>
                <c:pt idx="1">
                  <c:v>2.5622520128643514E-6</c:v>
                </c:pt>
                <c:pt idx="2">
                  <c:v>2.5108221476880564E-6</c:v>
                </c:pt>
                <c:pt idx="3">
                  <c:v>4.019385193406879E-6</c:v>
                </c:pt>
                <c:pt idx="4">
                  <c:v>4.4914845336990561E-6</c:v>
                </c:pt>
                <c:pt idx="5">
                  <c:v>4.6262375512954597E-6</c:v>
                </c:pt>
                <c:pt idx="6">
                  <c:v>4.672975647072641E-6</c:v>
                </c:pt>
                <c:pt idx="7">
                  <c:v>4.4347567123225247E-6</c:v>
                </c:pt>
                <c:pt idx="8">
                  <c:v>2.003077484259267E-6</c:v>
                </c:pt>
                <c:pt idx="9">
                  <c:v>1.9483800946669915E-5</c:v>
                </c:pt>
                <c:pt idx="10">
                  <c:v>3.8369496586176793E-5</c:v>
                </c:pt>
                <c:pt idx="11">
                  <c:v>6.7444252845634892E-5</c:v>
                </c:pt>
                <c:pt idx="12">
                  <c:v>8.5783150220640318E-5</c:v>
                </c:pt>
                <c:pt idx="13">
                  <c:v>9.2778140781261349E-5</c:v>
                </c:pt>
                <c:pt idx="14">
                  <c:v>8.6593307811156232E-5</c:v>
                </c:pt>
                <c:pt idx="15">
                  <c:v>6.9222256338837698E-5</c:v>
                </c:pt>
                <c:pt idx="16">
                  <c:v>4.7876465928573366E-5</c:v>
                </c:pt>
                <c:pt idx="17">
                  <c:v>2.917754780054443E-5</c:v>
                </c:pt>
                <c:pt idx="18">
                  <c:v>1.583265165690092E-5</c:v>
                </c:pt>
                <c:pt idx="19">
                  <c:v>7.8667912565414864E-6</c:v>
                </c:pt>
                <c:pt idx="20">
                  <c:v>3.6709391498782244E-6</c:v>
                </c:pt>
                <c:pt idx="21">
                  <c:v>1.6194841913958745E-6</c:v>
                </c:pt>
                <c:pt idx="22">
                  <c:v>1.69605566457598E-8</c:v>
                </c:pt>
                <c:pt idx="23">
                  <c:v>1.0609053509038403E-6</c:v>
                </c:pt>
                <c:pt idx="24">
                  <c:v>2.9828773354507985E-6</c:v>
                </c:pt>
                <c:pt idx="25">
                  <c:v>4.2490453668237327E-6</c:v>
                </c:pt>
                <c:pt idx="26">
                  <c:v>3.481827411190775E-6</c:v>
                </c:pt>
                <c:pt idx="27">
                  <c:v>2.4061335064570636E-6</c:v>
                </c:pt>
                <c:pt idx="28">
                  <c:v>6.2620478384384222E-6</c:v>
                </c:pt>
                <c:pt idx="29">
                  <c:v>2.3853974830106929E-6</c:v>
                </c:pt>
                <c:pt idx="30">
                  <c:v>2.7753550702602814E-6</c:v>
                </c:pt>
              </c:numCache>
            </c:numRef>
          </c:yVal>
          <c:smooth val="1"/>
        </c:ser>
        <c:dLbls>
          <c:showLegendKey val="0"/>
          <c:showVal val="0"/>
          <c:showCatName val="0"/>
          <c:showSerName val="0"/>
          <c:showPercent val="0"/>
          <c:showBubbleSize val="0"/>
        </c:dLbls>
        <c:axId val="454824552"/>
        <c:axId val="454825336"/>
      </c:scatterChart>
      <c:valAx>
        <c:axId val="4548245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25336"/>
        <c:crossesAt val="-1.5000000000000005E-3"/>
        <c:crossBetween val="midCat"/>
      </c:valAx>
      <c:valAx>
        <c:axId val="454825336"/>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2455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6503.9876536058628</c:v>
                </c:pt>
                <c:pt idx="1">
                  <c:v>6503.9876535823141</c:v>
                </c:pt>
                <c:pt idx="2">
                  <c:v>6503.9876533468114</c:v>
                </c:pt>
                <c:pt idx="3">
                  <c:v>6503.9876509917931</c:v>
                </c:pt>
                <c:pt idx="4">
                  <c:v>6503.9876274416138</c:v>
                </c:pt>
                <c:pt idx="5">
                  <c:v>6503.9873919401953</c:v>
                </c:pt>
                <c:pt idx="6">
                  <c:v>6503.9850369624846</c:v>
                </c:pt>
                <c:pt idx="7">
                  <c:v>6503.9614908326539</c:v>
                </c:pt>
                <c:pt idx="8">
                  <c:v>6503.7263931997313</c:v>
                </c:pt>
                <c:pt idx="9">
                  <c:v>6501.4107494664113</c:v>
                </c:pt>
                <c:pt idx="10">
                  <c:v>6480.9844725800194</c:v>
                </c:pt>
                <c:pt idx="11">
                  <c:v>6365.1299660881095</c:v>
                </c:pt>
                <c:pt idx="12">
                  <c:v>6219.0199093596184</c:v>
                </c:pt>
                <c:pt idx="13">
                  <c:v>6060.5407846819226</c:v>
                </c:pt>
                <c:pt idx="14">
                  <c:v>5870.1233692503174</c:v>
                </c:pt>
                <c:pt idx="15">
                  <c:v>5669.5249707781904</c:v>
                </c:pt>
                <c:pt idx="16">
                  <c:v>5423.172770957186</c:v>
                </c:pt>
                <c:pt idx="17">
                  <c:v>5065.0487128384948</c:v>
                </c:pt>
                <c:pt idx="18">
                  <c:v>4580.1125612141095</c:v>
                </c:pt>
                <c:pt idx="19">
                  <c:v>4085.8984679605251</c:v>
                </c:pt>
                <c:pt idx="20">
                  <c:v>3641.6889088450444</c:v>
                </c:pt>
                <c:pt idx="21">
                  <c:v>3231.6643539325901</c:v>
                </c:pt>
                <c:pt idx="22">
                  <c:v>2785.720261307928</c:v>
                </c:pt>
                <c:pt idx="23">
                  <c:v>2295.1508701524699</c:v>
                </c:pt>
                <c:pt idx="24">
                  <c:v>1754.5202498105921</c:v>
                </c:pt>
                <c:pt idx="25">
                  <c:v>1171.8708158480144</c:v>
                </c:pt>
                <c:pt idx="26">
                  <c:v>704.46454671451761</c:v>
                </c:pt>
                <c:pt idx="27">
                  <c:v>403.25664147805116</c:v>
                </c:pt>
                <c:pt idx="28">
                  <c:v>227.18934478627733</c:v>
                </c:pt>
                <c:pt idx="29">
                  <c:v>157.01408643093379</c:v>
                </c:pt>
                <c:pt idx="30">
                  <c:v>136.97120997380671</c:v>
                </c:pt>
              </c:numCache>
            </c:numRef>
          </c:yVal>
          <c:smooth val="1"/>
        </c:ser>
        <c:dLbls>
          <c:showLegendKey val="0"/>
          <c:showVal val="0"/>
          <c:showCatName val="0"/>
          <c:showSerName val="0"/>
          <c:showPercent val="0"/>
          <c:showBubbleSize val="0"/>
        </c:dLbls>
        <c:axId val="454822592"/>
        <c:axId val="454822984"/>
      </c:scatterChart>
      <c:valAx>
        <c:axId val="4548225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22984"/>
        <c:crosses val="autoZero"/>
        <c:crossBetween val="midCat"/>
      </c:valAx>
      <c:valAx>
        <c:axId val="45482298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2259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8.0347675640615908E-3</c:v>
                </c:pt>
                <c:pt idx="1">
                  <c:v>9.9859657905025656E-3</c:v>
                </c:pt>
                <c:pt idx="2">
                  <c:v>1.0674582828101355E-2</c:v>
                </c:pt>
                <c:pt idx="3">
                  <c:v>1.0673037841580163E-2</c:v>
                </c:pt>
                <c:pt idx="4">
                  <c:v>1.0672558404781244E-2</c:v>
                </c:pt>
                <c:pt idx="5">
                  <c:v>1.0672398592566289E-2</c:v>
                </c:pt>
                <c:pt idx="6">
                  <c:v>1.0672346561196236E-2</c:v>
                </c:pt>
                <c:pt idx="7">
                  <c:v>1.0672339133381751E-2</c:v>
                </c:pt>
                <c:pt idx="8">
                  <c:v>1.0672339186521239E-2</c:v>
                </c:pt>
                <c:pt idx="9">
                  <c:v>1.0672339717915699E-2</c:v>
                </c:pt>
                <c:pt idx="10">
                  <c:v>1.0672341315295725E-2</c:v>
                </c:pt>
                <c:pt idx="11">
                  <c:v>1.0672353572412951E-2</c:v>
                </c:pt>
                <c:pt idx="12">
                  <c:v>1.067280690564602E-2</c:v>
                </c:pt>
                <c:pt idx="13">
                  <c:v>1.0677023115864914E-2</c:v>
                </c:pt>
                <c:pt idx="14">
                  <c:v>1.0719053178350977E-2</c:v>
                </c:pt>
                <c:pt idx="15">
                  <c:v>1.1128304269000109E-2</c:v>
                </c:pt>
                <c:pt idx="16">
                  <c:v>1.4437186992672157E-2</c:v>
                </c:pt>
                <c:pt idx="17">
                  <c:v>2.7119300942114122E-2</c:v>
                </c:pt>
                <c:pt idx="18">
                  <c:v>2.5938967338763889E-2</c:v>
                </c:pt>
                <c:pt idx="19">
                  <c:v>2.802170887706109E-2</c:v>
                </c:pt>
                <c:pt idx="20">
                  <c:v>2.1876489975690194E-2</c:v>
                </c:pt>
                <c:pt idx="21">
                  <c:v>1.2088587427756613E-2</c:v>
                </c:pt>
                <c:pt idx="22">
                  <c:v>5.9534575359092498E-2</c:v>
                </c:pt>
                <c:pt idx="23">
                  <c:v>8.7877664551053114E-2</c:v>
                </c:pt>
                <c:pt idx="24">
                  <c:v>7.9596264864561811E-2</c:v>
                </c:pt>
                <c:pt idx="25">
                  <c:v>5.0119856457092028E-2</c:v>
                </c:pt>
                <c:pt idx="26">
                  <c:v>1.8723334962334755E-2</c:v>
                </c:pt>
                <c:pt idx="27">
                  <c:v>1.1911214597193149E-2</c:v>
                </c:pt>
                <c:pt idx="28">
                  <c:v>6.103982749306365E-2</c:v>
                </c:pt>
                <c:pt idx="29">
                  <c:v>0.10644456708296479</c:v>
                </c:pt>
                <c:pt idx="30">
                  <c:v>0.16907427418370685</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5.6402091798650182E-6</c:v>
                </c:pt>
                <c:pt idx="1">
                  <c:v>2.5622520134236959E-6</c:v>
                </c:pt>
                <c:pt idx="2">
                  <c:v>2.5108221446116463E-6</c:v>
                </c:pt>
                <c:pt idx="3">
                  <c:v>4.0193851615240346E-6</c:v>
                </c:pt>
                <c:pt idx="4">
                  <c:v>4.4914842157094842E-6</c:v>
                </c:pt>
                <c:pt idx="5">
                  <c:v>4.6262343695813148E-6</c:v>
                </c:pt>
                <c:pt idx="6">
                  <c:v>4.6729438307572074E-6</c:v>
                </c:pt>
                <c:pt idx="7">
                  <c:v>4.4344386380077529E-6</c:v>
                </c:pt>
                <c:pt idx="8">
                  <c:v>1.999905552735161E-6</c:v>
                </c:pt>
                <c:pt idx="9">
                  <c:v>1.9514675991660485E-5</c:v>
                </c:pt>
                <c:pt idx="10">
                  <c:v>3.8620319418173721E-5</c:v>
                </c:pt>
                <c:pt idx="11">
                  <c:v>6.6424927438722974E-5</c:v>
                </c:pt>
                <c:pt idx="12">
                  <c:v>8.6554210079937955E-5</c:v>
                </c:pt>
                <c:pt idx="13">
                  <c:v>9.16348353002764E-5</c:v>
                </c:pt>
                <c:pt idx="14">
                  <c:v>8.7736051403570611E-5</c:v>
                </c:pt>
                <c:pt idx="15">
                  <c:v>6.7925414040751186E-5</c:v>
                </c:pt>
                <c:pt idx="16">
                  <c:v>4.9673110164869777E-5</c:v>
                </c:pt>
                <c:pt idx="17">
                  <c:v>2.6281933681348397E-5</c:v>
                </c:pt>
                <c:pt idx="18">
                  <c:v>1.9220920626713686E-5</c:v>
                </c:pt>
                <c:pt idx="19">
                  <c:v>4.5427337065731192E-6</c:v>
                </c:pt>
                <c:pt idx="20">
                  <c:v>7.1669927536855372E-6</c:v>
                </c:pt>
                <c:pt idx="21">
                  <c:v>1.7389762006238294E-6</c:v>
                </c:pt>
                <c:pt idx="22">
                  <c:v>6.650919331557623E-6</c:v>
                </c:pt>
                <c:pt idx="23">
                  <c:v>9.4474462586540969E-6</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3.8433705993164177E-3</c:v>
                </c:pt>
                <c:pt idx="1">
                  <c:v>3.8359135863230659E-3</c:v>
                </c:pt>
                <c:pt idx="2">
                  <c:v>3.8474676220559634E-3</c:v>
                </c:pt>
                <c:pt idx="3">
                  <c:v>3.9139207705675043E-3</c:v>
                </c:pt>
                <c:pt idx="4">
                  <c:v>4.5507879958599905E-3</c:v>
                </c:pt>
                <c:pt idx="5">
                  <c:v>9.7219220301175153E-3</c:v>
                </c:pt>
                <c:pt idx="6">
                  <c:v>1.838402484500291E-2</c:v>
                </c:pt>
                <c:pt idx="7">
                  <c:v>1.7980064223749252E-2</c:v>
                </c:pt>
                <c:pt idx="8">
                  <c:v>2.2281829533292746E-2</c:v>
                </c:pt>
                <c:pt idx="9">
                  <c:v>2.4687160097739375E-2</c:v>
                </c:pt>
                <c:pt idx="10">
                  <c:v>2.6875844171091682E-2</c:v>
                </c:pt>
                <c:pt idx="11">
                  <c:v>3.2301699370716599E-2</c:v>
                </c:pt>
                <c:pt idx="12">
                  <c:v>2.3435660726371082E-2</c:v>
                </c:pt>
                <c:pt idx="13">
                  <c:v>1.7733039705950856E-2</c:v>
                </c:pt>
                <c:pt idx="14">
                  <c:v>6.4311061474356404E-2</c:v>
                </c:pt>
                <c:pt idx="15">
                  <c:v>9.9581464137948675E-2</c:v>
                </c:pt>
                <c:pt idx="16">
                  <c:v>0.10222808887629334</c:v>
                </c:pt>
                <c:pt idx="17">
                  <c:v>5.3699623845256922E-2</c:v>
                </c:pt>
                <c:pt idx="18">
                  <c:v>1.1920715183403636E-2</c:v>
                </c:pt>
                <c:pt idx="19">
                  <c:v>0.11252198753671629</c:v>
                </c:pt>
                <c:pt idx="20">
                  <c:v>0.22515269654715092</c:v>
                </c:pt>
                <c:pt idx="21">
                  <c:v>0.28751778607953554</c:v>
                </c:pt>
                <c:pt idx="22">
                  <c:v>0.34475587171880129</c:v>
                </c:pt>
                <c:pt idx="23">
                  <c:v>0.28218703222182084</c:v>
                </c:pt>
                <c:pt idx="24">
                  <c:v>9.3048641664775181E-2</c:v>
                </c:pt>
                <c:pt idx="25">
                  <c:v>3.6574534067316915E-2</c:v>
                </c:pt>
                <c:pt idx="26">
                  <c:v>0.11916206926723133</c:v>
                </c:pt>
                <c:pt idx="27">
                  <c:v>0.39175362810711645</c:v>
                </c:pt>
                <c:pt idx="28">
                  <c:v>0.38870844300680069</c:v>
                </c:pt>
                <c:pt idx="29">
                  <c:v>0.38865019122512223</c:v>
                </c:pt>
                <c:pt idx="30">
                  <c:v>0.38662772485296182</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3.2836179615574994E-2</c:v>
                </c:pt>
                <c:pt idx="1">
                  <c:v>4.8768323051179265E-2</c:v>
                </c:pt>
                <c:pt idx="2">
                  <c:v>3.3692374121530866E-2</c:v>
                </c:pt>
                <c:pt idx="3">
                  <c:v>9.3400376196847521E-3</c:v>
                </c:pt>
                <c:pt idx="4">
                  <c:v>5.2983300909405111E-2</c:v>
                </c:pt>
                <c:pt idx="5">
                  <c:v>8.4194521023150032E-2</c:v>
                </c:pt>
                <c:pt idx="6">
                  <c:v>8.287791154845732E-2</c:v>
                </c:pt>
                <c:pt idx="7">
                  <c:v>6.9363412911614825E-2</c:v>
                </c:pt>
                <c:pt idx="8">
                  <c:v>2.122775750200618E-2</c:v>
                </c:pt>
                <c:pt idx="9">
                  <c:v>8.9580203284149118E-2</c:v>
                </c:pt>
                <c:pt idx="10">
                  <c:v>0.18379607848356092</c:v>
                </c:pt>
                <c:pt idx="11">
                  <c:v>0.25490965474600519</c:v>
                </c:pt>
                <c:pt idx="12">
                  <c:v>0.28498195065673732</c:v>
                </c:pt>
                <c:pt idx="13">
                  <c:v>0.12521375633193069</c:v>
                </c:pt>
                <c:pt idx="14">
                  <c:v>5.2217545315210105E-2</c:v>
                </c:pt>
                <c:pt idx="15">
                  <c:v>8.0151673339629859E-2</c:v>
                </c:pt>
                <c:pt idx="16">
                  <c:v>0.32928212056111417</c:v>
                </c:pt>
                <c:pt idx="17">
                  <c:v>0.45995431942519038</c:v>
                </c:pt>
                <c:pt idx="18">
                  <c:v>0.4477135509209173</c:v>
                </c:pt>
                <c:pt idx="19">
                  <c:v>0.4330777301854502</c:v>
                </c:pt>
                <c:pt idx="20">
                  <c:v>0.42011861298073122</c:v>
                </c:pt>
                <c:pt idx="21">
                  <c:v>0.41026244181514004</c:v>
                </c:pt>
                <c:pt idx="22">
                  <c:v>0.40330474687610829</c:v>
                </c:pt>
                <c:pt idx="23">
                  <c:v>0.39834266016977965</c:v>
                </c:pt>
                <c:pt idx="24">
                  <c:v>0.39464992566058271</c:v>
                </c:pt>
                <c:pt idx="25">
                  <c:v>0.39396607311363557</c:v>
                </c:pt>
                <c:pt idx="26">
                  <c:v>0.39300062124051854</c:v>
                </c:pt>
                <c:pt idx="27">
                  <c:v>0.38891134183892745</c:v>
                </c:pt>
                <c:pt idx="28">
                  <c:v>0.38884581507619403</c:v>
                </c:pt>
                <c:pt idx="29">
                  <c:v>0.38665436227615863</c:v>
                </c:pt>
                <c:pt idx="30">
                  <c:v>0.38659756462513734</c:v>
                </c:pt>
              </c:numCache>
            </c:numRef>
          </c:yVal>
          <c:smooth val="1"/>
        </c:ser>
        <c:dLbls>
          <c:showLegendKey val="0"/>
          <c:showVal val="0"/>
          <c:showCatName val="0"/>
          <c:showSerName val="0"/>
          <c:showPercent val="0"/>
          <c:showBubbleSize val="0"/>
        </c:dLbls>
        <c:axId val="551795296"/>
        <c:axId val="557724496"/>
      </c:scatterChart>
      <c:valAx>
        <c:axId val="5517952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724496"/>
        <c:crossesAt val="1.0000000000000005E-9"/>
        <c:crossBetween val="midCat"/>
      </c:valAx>
      <c:valAx>
        <c:axId val="557724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795296"/>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-13.421164302671253</c:v>
                </c:pt>
                <c:pt idx="1">
                  <c:v>-9.9402669067399305</c:v>
                </c:pt>
                <c:pt idx="2">
                  <c:v>-5.8835691205197316</c:v>
                </c:pt>
                <c:pt idx="3">
                  <c:v>0</c:v>
                </c:pt>
                <c:pt idx="4">
                  <c:v>11.126115554525432</c:v>
                </c:pt>
                <c:pt idx="5">
                  <c:v>30.587971776598696</c:v>
                </c:pt>
                <c:pt idx="6">
                  <c:v>34.754586084620072</c:v>
                </c:pt>
              </c:numCache>
            </c:numRef>
          </c:yVal>
          <c:smooth val="0"/>
        </c:ser>
        <c:dLbls>
          <c:showLegendKey val="0"/>
          <c:showVal val="0"/>
          <c:showCatName val="0"/>
          <c:showSerName val="0"/>
          <c:showPercent val="0"/>
          <c:showBubbleSize val="0"/>
        </c:dLbls>
        <c:axId val="557727240"/>
        <c:axId val="557724888"/>
      </c:scatterChart>
      <c:valAx>
        <c:axId val="5577272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724888"/>
        <c:crossesAt val="-100"/>
        <c:crossBetween val="midCat"/>
      </c:valAx>
      <c:valAx>
        <c:axId val="557724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72724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0"/>
        </c:ser>
        <c:dLbls>
          <c:showLegendKey val="0"/>
          <c:showVal val="0"/>
          <c:showCatName val="0"/>
          <c:showSerName val="0"/>
          <c:showPercent val="0"/>
          <c:showBubbleSize val="0"/>
        </c:dLbls>
        <c:axId val="557723712"/>
        <c:axId val="557725672"/>
      </c:scatterChart>
      <c:valAx>
        <c:axId val="55772371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725672"/>
        <c:crosses val="autoZero"/>
        <c:crossBetween val="midCat"/>
      </c:valAx>
      <c:valAx>
        <c:axId val="55772567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723712"/>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1.4834140997435133E-21</c:v>
                </c:pt>
                <c:pt idx="1">
                  <c:v>1.4834140997435131E-20</c:v>
                </c:pt>
                <c:pt idx="2">
                  <c:v>1.4834140997435133E-19</c:v>
                </c:pt>
                <c:pt idx="3">
                  <c:v>1.4834140997435132E-18</c:v>
                </c:pt>
                <c:pt idx="4">
                  <c:v>1.483414099743513E-17</c:v>
                </c:pt>
                <c:pt idx="5">
                  <c:v>1.4834140997435132E-16</c:v>
                </c:pt>
                <c:pt idx="6">
                  <c:v>1.4834140997435133E-15</c:v>
                </c:pt>
                <c:pt idx="7">
                  <c:v>1.4834140997435133E-14</c:v>
                </c:pt>
                <c:pt idx="8">
                  <c:v>1.4834140997435131E-13</c:v>
                </c:pt>
                <c:pt idx="9">
                  <c:v>1.4834140997435132E-12</c:v>
                </c:pt>
                <c:pt idx="10">
                  <c:v>1.4834140997435134E-11</c:v>
                </c:pt>
                <c:pt idx="11">
                  <c:v>1.4834140997435133E-10</c:v>
                </c:pt>
                <c:pt idx="12">
                  <c:v>1.4834140997435132E-9</c:v>
                </c:pt>
                <c:pt idx="13">
                  <c:v>1.4834140997435132E-8</c:v>
                </c:pt>
                <c:pt idx="14">
                  <c:v>1.4834140997435134E-7</c:v>
                </c:pt>
                <c:pt idx="15">
                  <c:v>1.4834140997435131E-6</c:v>
                </c:pt>
                <c:pt idx="16">
                  <c:v>1.4834140997435131E-5</c:v>
                </c:pt>
                <c:pt idx="17">
                  <c:v>1.4834140997435131E-4</c:v>
                </c:pt>
                <c:pt idx="18">
                  <c:v>1.4834140997435131E-3</c:v>
                </c:pt>
                <c:pt idx="19">
                  <c:v>1.4834140997435132E-2</c:v>
                </c:pt>
                <c:pt idx="20">
                  <c:v>0.14834140997435133</c:v>
                </c:pt>
                <c:pt idx="21">
                  <c:v>1.4834140997435132</c:v>
                </c:pt>
                <c:pt idx="22">
                  <c:v>14.834140997435131</c:v>
                </c:pt>
                <c:pt idx="23">
                  <c:v>148.34140997435131</c:v>
                </c:pt>
                <c:pt idx="24">
                  <c:v>1483.4140997435131</c:v>
                </c:pt>
                <c:pt idx="25">
                  <c:v>14834.140997435132</c:v>
                </c:pt>
                <c:pt idx="26">
                  <c:v>148341.40997435132</c:v>
                </c:pt>
                <c:pt idx="27">
                  <c:v>1483414.0997435132</c:v>
                </c:pt>
                <c:pt idx="28">
                  <c:v>14834140.997435132</c:v>
                </c:pt>
                <c:pt idx="29">
                  <c:v>148341409.97435132</c:v>
                </c:pt>
                <c:pt idx="30">
                  <c:v>1483414099.7435131</c:v>
                </c:pt>
              </c:numCache>
            </c:numRef>
          </c:xVal>
          <c:yVal>
            <c:numRef>
              <c:f>'Mastercurve bestimmen'!$J$404:$J$434</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4.8194439494850871E-20</c:v>
                </c:pt>
                <c:pt idx="1">
                  <c:v>4.8194439494850871E-19</c:v>
                </c:pt>
                <c:pt idx="2">
                  <c:v>4.8194439494850871E-18</c:v>
                </c:pt>
                <c:pt idx="3">
                  <c:v>4.8194439494850869E-17</c:v>
                </c:pt>
                <c:pt idx="4">
                  <c:v>4.8194439494850868E-16</c:v>
                </c:pt>
                <c:pt idx="5">
                  <c:v>4.819443949485087E-15</c:v>
                </c:pt>
                <c:pt idx="6">
                  <c:v>4.8194439494850871E-14</c:v>
                </c:pt>
                <c:pt idx="7">
                  <c:v>4.8194439494850875E-13</c:v>
                </c:pt>
                <c:pt idx="8">
                  <c:v>4.8194439494850871E-12</c:v>
                </c:pt>
                <c:pt idx="9">
                  <c:v>4.8194439494850869E-11</c:v>
                </c:pt>
                <c:pt idx="10">
                  <c:v>4.8194439494850876E-10</c:v>
                </c:pt>
                <c:pt idx="11">
                  <c:v>4.8194439494850876E-9</c:v>
                </c:pt>
                <c:pt idx="12">
                  <c:v>4.8194439494850868E-8</c:v>
                </c:pt>
                <c:pt idx="13">
                  <c:v>4.8194439494850876E-7</c:v>
                </c:pt>
                <c:pt idx="14">
                  <c:v>4.8194439494850873E-6</c:v>
                </c:pt>
                <c:pt idx="15">
                  <c:v>4.8194439494850872E-5</c:v>
                </c:pt>
                <c:pt idx="16">
                  <c:v>4.8194439494850868E-4</c:v>
                </c:pt>
                <c:pt idx="17">
                  <c:v>4.8194439494850866E-3</c:v>
                </c:pt>
                <c:pt idx="18">
                  <c:v>4.8194439494850867E-2</c:v>
                </c:pt>
                <c:pt idx="19">
                  <c:v>0.48194439494850871</c:v>
                </c:pt>
                <c:pt idx="20">
                  <c:v>4.8194439494850867</c:v>
                </c:pt>
                <c:pt idx="21">
                  <c:v>48.194439494850869</c:v>
                </c:pt>
                <c:pt idx="22">
                  <c:v>481.94439494850872</c:v>
                </c:pt>
                <c:pt idx="23">
                  <c:v>4819.4439494850867</c:v>
                </c:pt>
                <c:pt idx="24">
                  <c:v>48194.439494850871</c:v>
                </c:pt>
                <c:pt idx="25">
                  <c:v>481944.39494850871</c:v>
                </c:pt>
                <c:pt idx="26">
                  <c:v>4819443.9494850868</c:v>
                </c:pt>
                <c:pt idx="27">
                  <c:v>48194439.494850866</c:v>
                </c:pt>
                <c:pt idx="28">
                  <c:v>481944394.94850868</c:v>
                </c:pt>
                <c:pt idx="29">
                  <c:v>4819443949.4850874</c:v>
                </c:pt>
                <c:pt idx="30">
                  <c:v>48194439494.850868</c:v>
                </c:pt>
              </c:numCache>
            </c:numRef>
          </c:xVal>
          <c:yVal>
            <c:numRef>
              <c:f>'Mastercurve bestimmen'!$K$404:$K$434</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2.7848281292601443E-18</c:v>
                </c:pt>
                <c:pt idx="1">
                  <c:v>2.7848281292601441E-17</c:v>
                </c:pt>
                <c:pt idx="2">
                  <c:v>2.784828129260144E-16</c:v>
                </c:pt>
                <c:pt idx="3">
                  <c:v>2.7848281292601438E-15</c:v>
                </c:pt>
                <c:pt idx="4">
                  <c:v>2.7848281292601437E-14</c:v>
                </c:pt>
                <c:pt idx="5">
                  <c:v>2.7848281292601442E-13</c:v>
                </c:pt>
                <c:pt idx="6">
                  <c:v>2.7848281292601442E-12</c:v>
                </c:pt>
                <c:pt idx="7">
                  <c:v>2.7848281292601441E-11</c:v>
                </c:pt>
                <c:pt idx="8">
                  <c:v>2.7848281292601437E-10</c:v>
                </c:pt>
                <c:pt idx="9">
                  <c:v>2.7848281292601439E-9</c:v>
                </c:pt>
                <c:pt idx="10">
                  <c:v>2.7848281292601443E-8</c:v>
                </c:pt>
                <c:pt idx="11">
                  <c:v>2.784828129260144E-7</c:v>
                </c:pt>
                <c:pt idx="12">
                  <c:v>2.784828129260144E-6</c:v>
                </c:pt>
                <c:pt idx="13">
                  <c:v>2.784828129260144E-5</c:v>
                </c:pt>
                <c:pt idx="14">
                  <c:v>2.7848281292601441E-4</c:v>
                </c:pt>
                <c:pt idx="15">
                  <c:v>2.7848281292601439E-3</c:v>
                </c:pt>
                <c:pt idx="16">
                  <c:v>2.7848281292601439E-2</c:v>
                </c:pt>
                <c:pt idx="17">
                  <c:v>0.2784828129260144</c:v>
                </c:pt>
                <c:pt idx="18">
                  <c:v>2.784828129260144</c:v>
                </c:pt>
                <c:pt idx="19">
                  <c:v>27.848281292601438</c:v>
                </c:pt>
                <c:pt idx="20">
                  <c:v>278.48281292601439</c:v>
                </c:pt>
                <c:pt idx="21">
                  <c:v>2784.8281292601441</c:v>
                </c:pt>
                <c:pt idx="22">
                  <c:v>27848.281292601441</c:v>
                </c:pt>
                <c:pt idx="23">
                  <c:v>278482.81292601442</c:v>
                </c:pt>
                <c:pt idx="24">
                  <c:v>2784828.1292601437</c:v>
                </c:pt>
                <c:pt idx="25">
                  <c:v>27848281.29260144</c:v>
                </c:pt>
                <c:pt idx="26">
                  <c:v>278482812.92601442</c:v>
                </c:pt>
                <c:pt idx="27">
                  <c:v>2784828129.2601438</c:v>
                </c:pt>
                <c:pt idx="28">
                  <c:v>27848281292.60144</c:v>
                </c:pt>
                <c:pt idx="29">
                  <c:v>278482812926.0144</c:v>
                </c:pt>
                <c:pt idx="30">
                  <c:v>2784828129260.144</c:v>
                </c:pt>
              </c:numCache>
            </c:numRef>
          </c:xVal>
          <c:yVal>
            <c:numRef>
              <c:f>'Mastercurve bestimmen'!$L$404:$L$434</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6.7922019532074383E-11</c:v>
                </c:pt>
                <c:pt idx="1">
                  <c:v>6.7922019532074383E-10</c:v>
                </c:pt>
                <c:pt idx="2">
                  <c:v>6.7922019532074379E-9</c:v>
                </c:pt>
                <c:pt idx="3">
                  <c:v>6.792201953207438E-8</c:v>
                </c:pt>
                <c:pt idx="4">
                  <c:v>6.7922019532074373E-7</c:v>
                </c:pt>
                <c:pt idx="5">
                  <c:v>6.7922019532074381E-6</c:v>
                </c:pt>
                <c:pt idx="6">
                  <c:v>6.7922019532074381E-5</c:v>
                </c:pt>
                <c:pt idx="7">
                  <c:v>6.7922019532074386E-4</c:v>
                </c:pt>
                <c:pt idx="8">
                  <c:v>6.7922019532074378E-3</c:v>
                </c:pt>
                <c:pt idx="9">
                  <c:v>6.7922019532074371E-2</c:v>
                </c:pt>
                <c:pt idx="10">
                  <c:v>0.67922019532074385</c:v>
                </c:pt>
                <c:pt idx="11">
                  <c:v>6.7922019532074387</c:v>
                </c:pt>
                <c:pt idx="12">
                  <c:v>67.922019532074387</c:v>
                </c:pt>
                <c:pt idx="13">
                  <c:v>679.22019532074376</c:v>
                </c:pt>
                <c:pt idx="14">
                  <c:v>6792.2019532074382</c:v>
                </c:pt>
                <c:pt idx="15">
                  <c:v>67922.019532074381</c:v>
                </c:pt>
                <c:pt idx="16">
                  <c:v>679220.19532074383</c:v>
                </c:pt>
                <c:pt idx="17">
                  <c:v>6792201.9532074379</c:v>
                </c:pt>
                <c:pt idx="18">
                  <c:v>67922019.532074377</c:v>
                </c:pt>
                <c:pt idx="19">
                  <c:v>679220195.3207438</c:v>
                </c:pt>
                <c:pt idx="20">
                  <c:v>6792201953.2074375</c:v>
                </c:pt>
                <c:pt idx="21">
                  <c:v>67922019532.074379</c:v>
                </c:pt>
                <c:pt idx="22">
                  <c:v>679220195320.74377</c:v>
                </c:pt>
                <c:pt idx="23">
                  <c:v>6792201953207.4375</c:v>
                </c:pt>
                <c:pt idx="24">
                  <c:v>67922019532074.383</c:v>
                </c:pt>
                <c:pt idx="25">
                  <c:v>679220195320743.75</c:v>
                </c:pt>
                <c:pt idx="26">
                  <c:v>6792201953207438</c:v>
                </c:pt>
                <c:pt idx="27">
                  <c:v>6.7922019532074376E+16</c:v>
                </c:pt>
                <c:pt idx="28">
                  <c:v>6.7922019532074381E+17</c:v>
                </c:pt>
                <c:pt idx="29">
                  <c:v>6.7922019532074383E+18</c:v>
                </c:pt>
                <c:pt idx="30">
                  <c:v>6.7922019532074377E+19</c:v>
                </c:pt>
              </c:numCache>
            </c:numRef>
          </c:xVal>
          <c:yVal>
            <c:numRef>
              <c:f>'Mastercurve bestimmen'!$N$404:$N$434</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1.9239215320924492E-2</c:v>
                </c:pt>
                <c:pt idx="1">
                  <c:v>0.19239215320924488</c:v>
                </c:pt>
                <c:pt idx="2">
                  <c:v>1.923921532092449</c:v>
                </c:pt>
                <c:pt idx="3">
                  <c:v>19.23921532092449</c:v>
                </c:pt>
                <c:pt idx="4">
                  <c:v>192.39215320924487</c:v>
                </c:pt>
                <c:pt idx="5">
                  <c:v>1923.9215320924491</c:v>
                </c:pt>
                <c:pt idx="6">
                  <c:v>19239.21532092449</c:v>
                </c:pt>
                <c:pt idx="7">
                  <c:v>192392.15320924489</c:v>
                </c:pt>
                <c:pt idx="8">
                  <c:v>1923921.5320924488</c:v>
                </c:pt>
                <c:pt idx="9">
                  <c:v>19239215.320924487</c:v>
                </c:pt>
                <c:pt idx="10">
                  <c:v>192392153.20924491</c:v>
                </c:pt>
                <c:pt idx="11">
                  <c:v>1923921532.0924489</c:v>
                </c:pt>
                <c:pt idx="12">
                  <c:v>19239215320.924488</c:v>
                </c:pt>
                <c:pt idx="13">
                  <c:v>192392153209.2449</c:v>
                </c:pt>
                <c:pt idx="14">
                  <c:v>1923921532092.449</c:v>
                </c:pt>
                <c:pt idx="15">
                  <c:v>19239215320924.488</c:v>
                </c:pt>
                <c:pt idx="16">
                  <c:v>192392153209244.91</c:v>
                </c:pt>
                <c:pt idx="17">
                  <c:v>1923921532092449</c:v>
                </c:pt>
                <c:pt idx="18">
                  <c:v>1.9239215320924488E+16</c:v>
                </c:pt>
                <c:pt idx="19">
                  <c:v>1.923921532092449E+17</c:v>
                </c:pt>
                <c:pt idx="20">
                  <c:v>1.923921532092449E+18</c:v>
                </c:pt>
                <c:pt idx="21">
                  <c:v>1.9239215320924488E+19</c:v>
                </c:pt>
                <c:pt idx="22">
                  <c:v>1.9239215320924488E+20</c:v>
                </c:pt>
                <c:pt idx="23">
                  <c:v>1.923921532092449E+21</c:v>
                </c:pt>
                <c:pt idx="24">
                  <c:v>1.9239215320924487E+22</c:v>
                </c:pt>
                <c:pt idx="25">
                  <c:v>1.9239215320924491E+23</c:v>
                </c:pt>
                <c:pt idx="26">
                  <c:v>1.9239215320924489E+24</c:v>
                </c:pt>
                <c:pt idx="27">
                  <c:v>1.923921532092449E+25</c:v>
                </c:pt>
                <c:pt idx="28">
                  <c:v>1.9239215320924488E+26</c:v>
                </c:pt>
                <c:pt idx="29">
                  <c:v>1.9239215320924489E+27</c:v>
                </c:pt>
                <c:pt idx="30">
                  <c:v>1.9239215320924489E+28</c:v>
                </c:pt>
              </c:numCache>
            </c:numRef>
          </c:xVal>
          <c:yVal>
            <c:numRef>
              <c:f>'Mastercurve bestimmen'!$O$404:$O$434</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1.2408662069199454</c:v>
                </c:pt>
                <c:pt idx="1">
                  <c:v>12.408662069199455</c:v>
                </c:pt>
                <c:pt idx="2">
                  <c:v>124.08662069199454</c:v>
                </c:pt>
                <c:pt idx="3">
                  <c:v>1240.8662069199454</c:v>
                </c:pt>
                <c:pt idx="4">
                  <c:v>12408.662069199454</c:v>
                </c:pt>
                <c:pt idx="5">
                  <c:v>124086.62069199454</c:v>
                </c:pt>
                <c:pt idx="6">
                  <c:v>1240866.2069199455</c:v>
                </c:pt>
                <c:pt idx="7">
                  <c:v>12408662.069199454</c:v>
                </c:pt>
                <c:pt idx="8">
                  <c:v>124086620.69199453</c:v>
                </c:pt>
                <c:pt idx="9">
                  <c:v>1240866206.9199452</c:v>
                </c:pt>
                <c:pt idx="10">
                  <c:v>12408662069.199455</c:v>
                </c:pt>
                <c:pt idx="11">
                  <c:v>124086620691.99455</c:v>
                </c:pt>
                <c:pt idx="12">
                  <c:v>1240866206919.9453</c:v>
                </c:pt>
                <c:pt idx="13">
                  <c:v>12408662069199.455</c:v>
                </c:pt>
                <c:pt idx="14">
                  <c:v>124086620691994.55</c:v>
                </c:pt>
                <c:pt idx="15">
                  <c:v>1240866206919945.5</c:v>
                </c:pt>
                <c:pt idx="16">
                  <c:v>1.2408662069199454E+16</c:v>
                </c:pt>
                <c:pt idx="17">
                  <c:v>1.2408662069199454E+17</c:v>
                </c:pt>
                <c:pt idx="18">
                  <c:v>1.2408662069199455E+18</c:v>
                </c:pt>
                <c:pt idx="19">
                  <c:v>1.2408662069199454E+19</c:v>
                </c:pt>
                <c:pt idx="20">
                  <c:v>1.2408662069199454E+20</c:v>
                </c:pt>
                <c:pt idx="21">
                  <c:v>1.2408662069199454E+21</c:v>
                </c:pt>
                <c:pt idx="22">
                  <c:v>1.2408662069199453E+22</c:v>
                </c:pt>
                <c:pt idx="23">
                  <c:v>1.2408662069199455E+23</c:v>
                </c:pt>
                <c:pt idx="24">
                  <c:v>1.2408662069199455E+24</c:v>
                </c:pt>
                <c:pt idx="25">
                  <c:v>1.2408662069199453E+25</c:v>
                </c:pt>
                <c:pt idx="26">
                  <c:v>1.2408662069199455E+26</c:v>
                </c:pt>
                <c:pt idx="27">
                  <c:v>1.2408662069199455E+27</c:v>
                </c:pt>
                <c:pt idx="28">
                  <c:v>1.2408662069199454E+28</c:v>
                </c:pt>
                <c:pt idx="29">
                  <c:v>1.2408662069199453E+29</c:v>
                </c:pt>
                <c:pt idx="30">
                  <c:v>1.2408662069199454E+30</c:v>
                </c:pt>
              </c:numCache>
            </c:numRef>
          </c:xVal>
          <c:yVal>
            <c:numRef>
              <c:f>'Mastercurve bestimmen'!$P$404:$P$434</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dLbls>
          <c:showLegendKey val="0"/>
          <c:showVal val="0"/>
          <c:showCatName val="0"/>
          <c:showSerName val="0"/>
          <c:showPercent val="0"/>
          <c:showBubbleSize val="0"/>
        </c:dLbls>
        <c:axId val="557726064"/>
        <c:axId val="557726456"/>
      </c:scatterChart>
      <c:valAx>
        <c:axId val="55772606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726456"/>
        <c:crosses val="autoZero"/>
        <c:crossBetween val="midCat"/>
      </c:valAx>
      <c:valAx>
        <c:axId val="5577264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726064"/>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1.4834140997435133E-21</c:v>
                </c:pt>
                <c:pt idx="1">
                  <c:v>1.4834140997435131E-20</c:v>
                </c:pt>
                <c:pt idx="2">
                  <c:v>1.4834140997435133E-19</c:v>
                </c:pt>
                <c:pt idx="3">
                  <c:v>1.4834140997435132E-18</c:v>
                </c:pt>
                <c:pt idx="4">
                  <c:v>1.483414099743513E-17</c:v>
                </c:pt>
                <c:pt idx="5">
                  <c:v>1.4834140997435132E-16</c:v>
                </c:pt>
                <c:pt idx="6">
                  <c:v>1.4834140997435133E-15</c:v>
                </c:pt>
                <c:pt idx="7">
                  <c:v>1.4834140997435133E-14</c:v>
                </c:pt>
                <c:pt idx="8">
                  <c:v>1.4834140997435131E-13</c:v>
                </c:pt>
                <c:pt idx="9">
                  <c:v>1.4834140997435132E-12</c:v>
                </c:pt>
                <c:pt idx="10">
                  <c:v>1.4834140997435134E-11</c:v>
                </c:pt>
                <c:pt idx="11">
                  <c:v>1.4834140997435133E-10</c:v>
                </c:pt>
                <c:pt idx="12">
                  <c:v>1.4834140997435132E-9</c:v>
                </c:pt>
                <c:pt idx="13">
                  <c:v>1.4834140997435132E-8</c:v>
                </c:pt>
                <c:pt idx="14">
                  <c:v>1.4834140997435134E-7</c:v>
                </c:pt>
                <c:pt idx="15">
                  <c:v>1.4834140997435131E-6</c:v>
                </c:pt>
                <c:pt idx="16">
                  <c:v>1.4834140997435131E-5</c:v>
                </c:pt>
                <c:pt idx="17">
                  <c:v>1.4834140997435131E-4</c:v>
                </c:pt>
                <c:pt idx="18">
                  <c:v>1.4834140997435131E-3</c:v>
                </c:pt>
                <c:pt idx="19">
                  <c:v>1.4834140997435132E-2</c:v>
                </c:pt>
                <c:pt idx="20">
                  <c:v>0.14834140997435133</c:v>
                </c:pt>
                <c:pt idx="21">
                  <c:v>1.4834140997435132</c:v>
                </c:pt>
                <c:pt idx="22">
                  <c:v>14.834140997435131</c:v>
                </c:pt>
                <c:pt idx="23">
                  <c:v>148.34140997435131</c:v>
                </c:pt>
                <c:pt idx="24">
                  <c:v>1483.4140997435131</c:v>
                </c:pt>
                <c:pt idx="25">
                  <c:v>14834.140997435132</c:v>
                </c:pt>
                <c:pt idx="26">
                  <c:v>148341.40997435132</c:v>
                </c:pt>
                <c:pt idx="27">
                  <c:v>1483414.0997435132</c:v>
                </c:pt>
                <c:pt idx="28">
                  <c:v>14834140.997435132</c:v>
                </c:pt>
                <c:pt idx="29">
                  <c:v>148341409.97435132</c:v>
                </c:pt>
                <c:pt idx="30">
                  <c:v>1483414099.7435131</c:v>
                </c:pt>
              </c:numCache>
            </c:numRef>
          </c:xVal>
          <c:yVal>
            <c:numRef>
              <c:f>'Mastercurve bestimmen'!$J$404:$J$434</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4.8194439494850871E-20</c:v>
                </c:pt>
                <c:pt idx="1">
                  <c:v>4.8194439494850871E-19</c:v>
                </c:pt>
                <c:pt idx="2">
                  <c:v>4.8194439494850871E-18</c:v>
                </c:pt>
                <c:pt idx="3">
                  <c:v>4.8194439494850869E-17</c:v>
                </c:pt>
                <c:pt idx="4">
                  <c:v>4.8194439494850868E-16</c:v>
                </c:pt>
                <c:pt idx="5">
                  <c:v>4.819443949485087E-15</c:v>
                </c:pt>
                <c:pt idx="6">
                  <c:v>4.8194439494850871E-14</c:v>
                </c:pt>
                <c:pt idx="7">
                  <c:v>4.8194439494850875E-13</c:v>
                </c:pt>
                <c:pt idx="8">
                  <c:v>4.8194439494850871E-12</c:v>
                </c:pt>
                <c:pt idx="9">
                  <c:v>4.8194439494850869E-11</c:v>
                </c:pt>
                <c:pt idx="10">
                  <c:v>4.8194439494850876E-10</c:v>
                </c:pt>
                <c:pt idx="11">
                  <c:v>4.8194439494850876E-9</c:v>
                </c:pt>
                <c:pt idx="12">
                  <c:v>4.8194439494850868E-8</c:v>
                </c:pt>
                <c:pt idx="13">
                  <c:v>4.8194439494850876E-7</c:v>
                </c:pt>
                <c:pt idx="14">
                  <c:v>4.8194439494850873E-6</c:v>
                </c:pt>
                <c:pt idx="15">
                  <c:v>4.8194439494850872E-5</c:v>
                </c:pt>
                <c:pt idx="16">
                  <c:v>4.8194439494850868E-4</c:v>
                </c:pt>
                <c:pt idx="17">
                  <c:v>4.8194439494850866E-3</c:v>
                </c:pt>
                <c:pt idx="18">
                  <c:v>4.8194439494850867E-2</c:v>
                </c:pt>
                <c:pt idx="19">
                  <c:v>0.48194439494850871</c:v>
                </c:pt>
                <c:pt idx="20">
                  <c:v>4.8194439494850867</c:v>
                </c:pt>
                <c:pt idx="21">
                  <c:v>48.194439494850869</c:v>
                </c:pt>
                <c:pt idx="22">
                  <c:v>481.94439494850872</c:v>
                </c:pt>
                <c:pt idx="23">
                  <c:v>4819.4439494850867</c:v>
                </c:pt>
                <c:pt idx="24">
                  <c:v>48194.439494850871</c:v>
                </c:pt>
                <c:pt idx="25">
                  <c:v>481944.39494850871</c:v>
                </c:pt>
                <c:pt idx="26">
                  <c:v>4819443.9494850868</c:v>
                </c:pt>
                <c:pt idx="27">
                  <c:v>48194439.494850866</c:v>
                </c:pt>
                <c:pt idx="28">
                  <c:v>481944394.94850868</c:v>
                </c:pt>
                <c:pt idx="29">
                  <c:v>4819443949.4850874</c:v>
                </c:pt>
                <c:pt idx="30">
                  <c:v>48194439494.850868</c:v>
                </c:pt>
              </c:numCache>
            </c:numRef>
          </c:xVal>
          <c:yVal>
            <c:numRef>
              <c:f>'Mastercurve bestimmen'!$K$404:$K$434</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2.7848281292601443E-18</c:v>
                </c:pt>
                <c:pt idx="1">
                  <c:v>2.7848281292601441E-17</c:v>
                </c:pt>
                <c:pt idx="2">
                  <c:v>2.784828129260144E-16</c:v>
                </c:pt>
                <c:pt idx="3">
                  <c:v>2.7848281292601438E-15</c:v>
                </c:pt>
                <c:pt idx="4">
                  <c:v>2.7848281292601437E-14</c:v>
                </c:pt>
                <c:pt idx="5">
                  <c:v>2.7848281292601442E-13</c:v>
                </c:pt>
                <c:pt idx="6">
                  <c:v>2.7848281292601442E-12</c:v>
                </c:pt>
                <c:pt idx="7">
                  <c:v>2.7848281292601441E-11</c:v>
                </c:pt>
                <c:pt idx="8">
                  <c:v>2.7848281292601437E-10</c:v>
                </c:pt>
                <c:pt idx="9">
                  <c:v>2.7848281292601439E-9</c:v>
                </c:pt>
                <c:pt idx="10">
                  <c:v>2.7848281292601443E-8</c:v>
                </c:pt>
                <c:pt idx="11">
                  <c:v>2.784828129260144E-7</c:v>
                </c:pt>
                <c:pt idx="12">
                  <c:v>2.784828129260144E-6</c:v>
                </c:pt>
                <c:pt idx="13">
                  <c:v>2.784828129260144E-5</c:v>
                </c:pt>
                <c:pt idx="14">
                  <c:v>2.7848281292601441E-4</c:v>
                </c:pt>
                <c:pt idx="15">
                  <c:v>2.7848281292601439E-3</c:v>
                </c:pt>
                <c:pt idx="16">
                  <c:v>2.7848281292601439E-2</c:v>
                </c:pt>
                <c:pt idx="17">
                  <c:v>0.2784828129260144</c:v>
                </c:pt>
                <c:pt idx="18">
                  <c:v>2.784828129260144</c:v>
                </c:pt>
                <c:pt idx="19">
                  <c:v>27.848281292601438</c:v>
                </c:pt>
                <c:pt idx="20">
                  <c:v>278.48281292601439</c:v>
                </c:pt>
                <c:pt idx="21">
                  <c:v>2784.8281292601441</c:v>
                </c:pt>
                <c:pt idx="22">
                  <c:v>27848.281292601441</c:v>
                </c:pt>
                <c:pt idx="23">
                  <c:v>278482.81292601442</c:v>
                </c:pt>
                <c:pt idx="24">
                  <c:v>2784828.1292601437</c:v>
                </c:pt>
                <c:pt idx="25">
                  <c:v>27848281.29260144</c:v>
                </c:pt>
                <c:pt idx="26">
                  <c:v>278482812.92601442</c:v>
                </c:pt>
                <c:pt idx="27">
                  <c:v>2784828129.2601438</c:v>
                </c:pt>
                <c:pt idx="28">
                  <c:v>27848281292.60144</c:v>
                </c:pt>
                <c:pt idx="29">
                  <c:v>278482812926.0144</c:v>
                </c:pt>
                <c:pt idx="30">
                  <c:v>2784828129260.144</c:v>
                </c:pt>
              </c:numCache>
            </c:numRef>
          </c:xVal>
          <c:yVal>
            <c:numRef>
              <c:f>'Mastercurve bestimmen'!$L$404:$L$434</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6.7922019532074383E-11</c:v>
                </c:pt>
                <c:pt idx="1">
                  <c:v>6.7922019532074383E-10</c:v>
                </c:pt>
                <c:pt idx="2">
                  <c:v>6.7922019532074379E-9</c:v>
                </c:pt>
                <c:pt idx="3">
                  <c:v>6.792201953207438E-8</c:v>
                </c:pt>
                <c:pt idx="4">
                  <c:v>6.7922019532074373E-7</c:v>
                </c:pt>
                <c:pt idx="5">
                  <c:v>6.7922019532074381E-6</c:v>
                </c:pt>
                <c:pt idx="6">
                  <c:v>6.7922019532074381E-5</c:v>
                </c:pt>
                <c:pt idx="7">
                  <c:v>6.7922019532074386E-4</c:v>
                </c:pt>
                <c:pt idx="8">
                  <c:v>6.7922019532074378E-3</c:v>
                </c:pt>
                <c:pt idx="9">
                  <c:v>6.7922019532074371E-2</c:v>
                </c:pt>
                <c:pt idx="10">
                  <c:v>0.67922019532074385</c:v>
                </c:pt>
                <c:pt idx="11">
                  <c:v>6.7922019532074387</c:v>
                </c:pt>
                <c:pt idx="12">
                  <c:v>67.922019532074387</c:v>
                </c:pt>
                <c:pt idx="13">
                  <c:v>679.22019532074376</c:v>
                </c:pt>
                <c:pt idx="14">
                  <c:v>6792.2019532074382</c:v>
                </c:pt>
                <c:pt idx="15">
                  <c:v>67922.019532074381</c:v>
                </c:pt>
                <c:pt idx="16">
                  <c:v>679220.19532074383</c:v>
                </c:pt>
                <c:pt idx="17">
                  <c:v>6792201.9532074379</c:v>
                </c:pt>
                <c:pt idx="18">
                  <c:v>67922019.532074377</c:v>
                </c:pt>
                <c:pt idx="19">
                  <c:v>679220195.3207438</c:v>
                </c:pt>
                <c:pt idx="20">
                  <c:v>6792201953.2074375</c:v>
                </c:pt>
                <c:pt idx="21">
                  <c:v>67922019532.074379</c:v>
                </c:pt>
                <c:pt idx="22">
                  <c:v>679220195320.74377</c:v>
                </c:pt>
                <c:pt idx="23">
                  <c:v>6792201953207.4375</c:v>
                </c:pt>
                <c:pt idx="24">
                  <c:v>67922019532074.383</c:v>
                </c:pt>
                <c:pt idx="25">
                  <c:v>679220195320743.75</c:v>
                </c:pt>
                <c:pt idx="26">
                  <c:v>6792201953207438</c:v>
                </c:pt>
                <c:pt idx="27">
                  <c:v>6.7922019532074376E+16</c:v>
                </c:pt>
                <c:pt idx="28">
                  <c:v>6.7922019532074381E+17</c:v>
                </c:pt>
                <c:pt idx="29">
                  <c:v>6.7922019532074383E+18</c:v>
                </c:pt>
                <c:pt idx="30">
                  <c:v>6.7922019532074377E+19</c:v>
                </c:pt>
              </c:numCache>
            </c:numRef>
          </c:xVal>
          <c:yVal>
            <c:numRef>
              <c:f>'Mastercurve bestimmen'!$N$404:$N$434</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1.9239215320924492E-2</c:v>
                </c:pt>
                <c:pt idx="1">
                  <c:v>0.19239215320924488</c:v>
                </c:pt>
                <c:pt idx="2">
                  <c:v>1.923921532092449</c:v>
                </c:pt>
                <c:pt idx="3">
                  <c:v>19.23921532092449</c:v>
                </c:pt>
                <c:pt idx="4">
                  <c:v>192.39215320924487</c:v>
                </c:pt>
                <c:pt idx="5">
                  <c:v>1923.9215320924491</c:v>
                </c:pt>
                <c:pt idx="6">
                  <c:v>19239.21532092449</c:v>
                </c:pt>
                <c:pt idx="7">
                  <c:v>192392.15320924489</c:v>
                </c:pt>
                <c:pt idx="8">
                  <c:v>1923921.5320924488</c:v>
                </c:pt>
                <c:pt idx="9">
                  <c:v>19239215.320924487</c:v>
                </c:pt>
                <c:pt idx="10">
                  <c:v>192392153.20924491</c:v>
                </c:pt>
                <c:pt idx="11">
                  <c:v>1923921532.0924489</c:v>
                </c:pt>
                <c:pt idx="12">
                  <c:v>19239215320.924488</c:v>
                </c:pt>
                <c:pt idx="13">
                  <c:v>192392153209.2449</c:v>
                </c:pt>
                <c:pt idx="14">
                  <c:v>1923921532092.449</c:v>
                </c:pt>
                <c:pt idx="15">
                  <c:v>19239215320924.488</c:v>
                </c:pt>
                <c:pt idx="16">
                  <c:v>192392153209244.91</c:v>
                </c:pt>
                <c:pt idx="17">
                  <c:v>1923921532092449</c:v>
                </c:pt>
                <c:pt idx="18">
                  <c:v>1.9239215320924488E+16</c:v>
                </c:pt>
                <c:pt idx="19">
                  <c:v>1.923921532092449E+17</c:v>
                </c:pt>
                <c:pt idx="20">
                  <c:v>1.923921532092449E+18</c:v>
                </c:pt>
                <c:pt idx="21">
                  <c:v>1.9239215320924488E+19</c:v>
                </c:pt>
                <c:pt idx="22">
                  <c:v>1.9239215320924488E+20</c:v>
                </c:pt>
                <c:pt idx="23">
                  <c:v>1.923921532092449E+21</c:v>
                </c:pt>
                <c:pt idx="24">
                  <c:v>1.9239215320924487E+22</c:v>
                </c:pt>
                <c:pt idx="25">
                  <c:v>1.9239215320924491E+23</c:v>
                </c:pt>
                <c:pt idx="26">
                  <c:v>1.9239215320924489E+24</c:v>
                </c:pt>
                <c:pt idx="27">
                  <c:v>1.923921532092449E+25</c:v>
                </c:pt>
                <c:pt idx="28">
                  <c:v>1.9239215320924488E+26</c:v>
                </c:pt>
                <c:pt idx="29">
                  <c:v>1.9239215320924489E+27</c:v>
                </c:pt>
                <c:pt idx="30">
                  <c:v>1.9239215320924489E+28</c:v>
                </c:pt>
              </c:numCache>
            </c:numRef>
          </c:xVal>
          <c:yVal>
            <c:numRef>
              <c:f>'Mastercurve bestimmen'!$O$404:$O$434</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1.2408662069199454</c:v>
                </c:pt>
                <c:pt idx="1">
                  <c:v>12.408662069199455</c:v>
                </c:pt>
                <c:pt idx="2">
                  <c:v>124.08662069199454</c:v>
                </c:pt>
                <c:pt idx="3">
                  <c:v>1240.8662069199454</c:v>
                </c:pt>
                <c:pt idx="4">
                  <c:v>12408.662069199454</c:v>
                </c:pt>
                <c:pt idx="5">
                  <c:v>124086.62069199454</c:v>
                </c:pt>
                <c:pt idx="6">
                  <c:v>1240866.2069199455</c:v>
                </c:pt>
                <c:pt idx="7">
                  <c:v>12408662.069199454</c:v>
                </c:pt>
                <c:pt idx="8">
                  <c:v>124086620.69199453</c:v>
                </c:pt>
                <c:pt idx="9">
                  <c:v>1240866206.9199452</c:v>
                </c:pt>
                <c:pt idx="10">
                  <c:v>12408662069.199455</c:v>
                </c:pt>
                <c:pt idx="11">
                  <c:v>124086620691.99455</c:v>
                </c:pt>
                <c:pt idx="12">
                  <c:v>1240866206919.9453</c:v>
                </c:pt>
                <c:pt idx="13">
                  <c:v>12408662069199.455</c:v>
                </c:pt>
                <c:pt idx="14">
                  <c:v>124086620691994.55</c:v>
                </c:pt>
                <c:pt idx="15">
                  <c:v>1240866206919945.5</c:v>
                </c:pt>
                <c:pt idx="16">
                  <c:v>1.2408662069199454E+16</c:v>
                </c:pt>
                <c:pt idx="17">
                  <c:v>1.2408662069199454E+17</c:v>
                </c:pt>
                <c:pt idx="18">
                  <c:v>1.2408662069199455E+18</c:v>
                </c:pt>
                <c:pt idx="19">
                  <c:v>1.2408662069199454E+19</c:v>
                </c:pt>
                <c:pt idx="20">
                  <c:v>1.2408662069199454E+20</c:v>
                </c:pt>
                <c:pt idx="21">
                  <c:v>1.2408662069199454E+21</c:v>
                </c:pt>
                <c:pt idx="22">
                  <c:v>1.2408662069199453E+22</c:v>
                </c:pt>
                <c:pt idx="23">
                  <c:v>1.2408662069199455E+23</c:v>
                </c:pt>
                <c:pt idx="24">
                  <c:v>1.2408662069199455E+24</c:v>
                </c:pt>
                <c:pt idx="25">
                  <c:v>1.2408662069199453E+25</c:v>
                </c:pt>
                <c:pt idx="26">
                  <c:v>1.2408662069199455E+26</c:v>
                </c:pt>
                <c:pt idx="27">
                  <c:v>1.2408662069199455E+27</c:v>
                </c:pt>
                <c:pt idx="28">
                  <c:v>1.2408662069199454E+28</c:v>
                </c:pt>
                <c:pt idx="29">
                  <c:v>1.2408662069199453E+29</c:v>
                </c:pt>
                <c:pt idx="30">
                  <c:v>1.2408662069199454E+30</c:v>
                </c:pt>
              </c:numCache>
            </c:numRef>
          </c:xVal>
          <c:yVal>
            <c:numRef>
              <c:f>'Mastercurve bestimmen'!$P$404:$P$434</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dLbls>
          <c:showLegendKey val="0"/>
          <c:showVal val="0"/>
          <c:showCatName val="0"/>
          <c:showSerName val="0"/>
          <c:showPercent val="0"/>
          <c:showBubbleSize val="0"/>
        </c:dLbls>
        <c:axId val="446220464"/>
        <c:axId val="446221248"/>
      </c:scatterChart>
      <c:valAx>
        <c:axId val="44622046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221248"/>
        <c:crosses val="autoZero"/>
        <c:crossBetween val="midCat"/>
      </c:valAx>
      <c:valAx>
        <c:axId val="4462212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220464"/>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-13.421164302671254</c:v>
                </c:pt>
                <c:pt idx="1">
                  <c:v>-13.358279540322497</c:v>
                </c:pt>
                <c:pt idx="2">
                  <c:v>-13.295304205093629</c:v>
                </c:pt>
                <c:pt idx="3">
                  <c:v>-13.232147724104539</c:v>
                </c:pt>
                <c:pt idx="4">
                  <c:v>-13.168719524475117</c:v>
                </c:pt>
                <c:pt idx="5">
                  <c:v>-13.104929033325252</c:v>
                </c:pt>
                <c:pt idx="6">
                  <c:v>-13.040685677774832</c:v>
                </c:pt>
                <c:pt idx="7">
                  <c:v>-12.975898884943749</c:v>
                </c:pt>
                <c:pt idx="8">
                  <c:v>-12.91047808195189</c:v>
                </c:pt>
                <c:pt idx="9">
                  <c:v>-12.844332695919144</c:v>
                </c:pt>
                <c:pt idx="10">
                  <c:v>-12.777372153965402</c:v>
                </c:pt>
                <c:pt idx="11">
                  <c:v>-12.70950588321055</c:v>
                </c:pt>
                <c:pt idx="12">
                  <c:v>-12.640643310774481</c:v>
                </c:pt>
                <c:pt idx="13">
                  <c:v>-12.570693863777082</c:v>
                </c:pt>
                <c:pt idx="14">
                  <c:v>-12.499566969338241</c:v>
                </c:pt>
                <c:pt idx="15">
                  <c:v>-12.427172054577852</c:v>
                </c:pt>
                <c:pt idx="16">
                  <c:v>-12.353418546615799</c:v>
                </c:pt>
                <c:pt idx="17">
                  <c:v>-12.278215872571977</c:v>
                </c:pt>
                <c:pt idx="18">
                  <c:v>-12.201473459566268</c:v>
                </c:pt>
                <c:pt idx="19">
                  <c:v>-12.123100734718566</c:v>
                </c:pt>
                <c:pt idx="20">
                  <c:v>-12.043007125148758</c:v>
                </c:pt>
                <c:pt idx="21">
                  <c:v>-11.961102057976735</c:v>
                </c:pt>
                <c:pt idx="22">
                  <c:v>-11.877294960322384</c:v>
                </c:pt>
                <c:pt idx="23">
                  <c:v>-11.791495259305597</c:v>
                </c:pt>
                <c:pt idx="24">
                  <c:v>-11.703612382046261</c:v>
                </c:pt>
                <c:pt idx="25">
                  <c:v>-11.613555755664267</c:v>
                </c:pt>
                <c:pt idx="26">
                  <c:v>-11.521234807279502</c:v>
                </c:pt>
                <c:pt idx="27">
                  <c:v>-11.426558964011857</c:v>
                </c:pt>
                <c:pt idx="28">
                  <c:v>-11.32943765298122</c:v>
                </c:pt>
                <c:pt idx="29">
                  <c:v>-11.229780301307482</c:v>
                </c:pt>
                <c:pt idx="30">
                  <c:v>-11.127496336110532</c:v>
                </c:pt>
                <c:pt idx="31">
                  <c:v>-11.022495184510257</c:v>
                </c:pt>
                <c:pt idx="32">
                  <c:v>-10.914686273626547</c:v>
                </c:pt>
                <c:pt idx="33">
                  <c:v>-10.803979030579292</c:v>
                </c:pt>
                <c:pt idx="34">
                  <c:v>-10.690282882488379</c:v>
                </c:pt>
                <c:pt idx="35">
                  <c:v>-10.573507256473702</c:v>
                </c:pt>
                <c:pt idx="36">
                  <c:v>-10.453561579655146</c:v>
                </c:pt>
                <c:pt idx="37">
                  <c:v>-10.330355279152602</c:v>
                </c:pt>
                <c:pt idx="38">
                  <c:v>-10.20379778208596</c:v>
                </c:pt>
                <c:pt idx="39">
                  <c:v>-10.073798515575106</c:v>
                </c:pt>
                <c:pt idx="40">
                  <c:v>-9.9402669067399323</c:v>
                </c:pt>
                <c:pt idx="41">
                  <c:v>-9.8152042947407079</c:v>
                </c:pt>
                <c:pt idx="42">
                  <c:v>-9.6865790529505524</c:v>
                </c:pt>
                <c:pt idx="43">
                  <c:v>-9.5544514667829556</c:v>
                </c:pt>
                <c:pt idx="44">
                  <c:v>-9.4188818216514161</c:v>
                </c:pt>
                <c:pt idx="45">
                  <c:v>-9.2799304029694287</c:v>
                </c:pt>
                <c:pt idx="46">
                  <c:v>-9.1376574961504922</c:v>
                </c:pt>
                <c:pt idx="47">
                  <c:v>-8.9921233866080978</c:v>
                </c:pt>
                <c:pt idx="48">
                  <c:v>-8.8433883597557461</c:v>
                </c:pt>
                <c:pt idx="49">
                  <c:v>-8.6915127010069302</c:v>
                </c:pt>
                <c:pt idx="50">
                  <c:v>-8.5365566957751486</c:v>
                </c:pt>
                <c:pt idx="51">
                  <c:v>-8.3785806294738947</c:v>
                </c:pt>
                <c:pt idx="52">
                  <c:v>-8.2176447875166669</c:v>
                </c:pt>
                <c:pt idx="53">
                  <c:v>-8.0538094553169604</c:v>
                </c:pt>
                <c:pt idx="54">
                  <c:v>-7.8871349182882717</c:v>
                </c:pt>
                <c:pt idx="55">
                  <c:v>-7.7176814618440961</c:v>
                </c:pt>
                <c:pt idx="56">
                  <c:v>-7.545509371397932</c:v>
                </c:pt>
                <c:pt idx="57">
                  <c:v>-7.3706789323632727</c:v>
                </c:pt>
                <c:pt idx="58">
                  <c:v>-7.1932504301536149</c:v>
                </c:pt>
                <c:pt idx="59">
                  <c:v>-7.0132841501824537</c:v>
                </c:pt>
                <c:pt idx="60">
                  <c:v>-6.8308403778632885</c:v>
                </c:pt>
                <c:pt idx="61">
                  <c:v>-6.6459793986096125</c:v>
                </c:pt>
                <c:pt idx="62">
                  <c:v>-6.4587614978349226</c:v>
                </c:pt>
                <c:pt idx="63">
                  <c:v>-6.2692469609527155</c:v>
                </c:pt>
                <c:pt idx="64">
                  <c:v>-6.0774960733764862</c:v>
                </c:pt>
                <c:pt idx="65">
                  <c:v>-5.8835691205197316</c:v>
                </c:pt>
                <c:pt idx="66">
                  <c:v>-5.6874940992252334</c:v>
                </c:pt>
                <c:pt idx="67">
                  <c:v>-5.4891698520529184</c:v>
                </c:pt>
                <c:pt idx="68">
                  <c:v>-5.2884629329919974</c:v>
                </c:pt>
                <c:pt idx="69">
                  <c:v>-5.085239896031684</c:v>
                </c:pt>
                <c:pt idx="70">
                  <c:v>-4.8793672951611899</c:v>
                </c:pt>
                <c:pt idx="71">
                  <c:v>-4.6707116843697269</c:v>
                </c:pt>
                <c:pt idx="72">
                  <c:v>-4.4591396176465068</c:v>
                </c:pt>
                <c:pt idx="73">
                  <c:v>-4.244517648980743</c:v>
                </c:pt>
                <c:pt idx="74">
                  <c:v>-4.0267123323616456</c:v>
                </c:pt>
                <c:pt idx="75">
                  <c:v>-3.8055902217784285</c:v>
                </c:pt>
                <c:pt idx="76">
                  <c:v>-3.5810178712203031</c:v>
                </c:pt>
                <c:pt idx="77">
                  <c:v>-3.3528618346764829</c:v>
                </c:pt>
                <c:pt idx="78">
                  <c:v>-3.1209886661361779</c:v>
                </c:pt>
                <c:pt idx="79">
                  <c:v>-2.8852649195886011</c:v>
                </c:pt>
                <c:pt idx="80">
                  <c:v>-2.6455571490229652</c:v>
                </c:pt>
                <c:pt idx="81">
                  <c:v>-2.4017319084284816</c:v>
                </c:pt>
                <c:pt idx="82">
                  <c:v>-2.1536557517943629</c:v>
                </c:pt>
                <c:pt idx="83">
                  <c:v>-1.9011952331098212</c:v>
                </c:pt>
                <c:pt idx="84">
                  <c:v>-1.6442169063640684</c:v>
                </c:pt>
                <c:pt idx="85">
                  <c:v>-1.3825873255463168</c:v>
                </c:pt>
                <c:pt idx="86">
                  <c:v>-1.1161730446457783</c:v>
                </c:pt>
                <c:pt idx="87">
                  <c:v>-0.84484061765166518</c:v>
                </c:pt>
                <c:pt idx="88">
                  <c:v>-0.56845659855318975</c:v>
                </c:pt>
                <c:pt idx="89">
                  <c:v>-0.28688754133956396</c:v>
                </c:pt>
                <c:pt idx="90">
                  <c:v>0</c:v>
                </c:pt>
                <c:pt idx="91">
                  <c:v>0.29231667525341115</c:v>
                </c:pt>
                <c:pt idx="92">
                  <c:v>0.5900819493170627</c:v>
                </c:pt>
                <c:pt idx="93">
                  <c:v>0.89329249086446882</c:v>
                </c:pt>
                <c:pt idx="94">
                  <c:v>1.2019449685691446</c:v>
                </c:pt>
                <c:pt idx="95">
                  <c:v>1.516036051104604</c:v>
                </c:pt>
                <c:pt idx="96">
                  <c:v>1.8355624071443613</c:v>
                </c:pt>
                <c:pt idx="97">
                  <c:v>2.1605207053619315</c:v>
                </c:pt>
                <c:pt idx="98">
                  <c:v>2.490907614430828</c:v>
                </c:pt>
                <c:pt idx="99">
                  <c:v>2.8267198030245662</c:v>
                </c:pt>
                <c:pt idx="100">
                  <c:v>3.1679539398166603</c:v>
                </c:pt>
                <c:pt idx="101">
                  <c:v>3.5146066934806242</c:v>
                </c:pt>
                <c:pt idx="102">
                  <c:v>3.8666747326899724</c:v>
                </c:pt>
                <c:pt idx="103">
                  <c:v>4.2241547261182202</c:v>
                </c:pt>
                <c:pt idx="104">
                  <c:v>4.5870433424388812</c:v>
                </c:pt>
                <c:pt idx="105">
                  <c:v>4.9553372503254698</c:v>
                </c:pt>
                <c:pt idx="106">
                  <c:v>5.329033118451501</c:v>
                </c:pt>
                <c:pt idx="107">
                  <c:v>5.7081276154904881</c:v>
                </c:pt>
                <c:pt idx="108">
                  <c:v>6.0926174101159463</c:v>
                </c:pt>
                <c:pt idx="109">
                  <c:v>6.4824991710013906</c:v>
                </c:pt>
                <c:pt idx="110">
                  <c:v>6.8777695668203345</c:v>
                </c:pt>
                <c:pt idx="111">
                  <c:v>7.278425266246292</c:v>
                </c:pt>
                <c:pt idx="112">
                  <c:v>7.6844629379527785</c:v>
                </c:pt>
                <c:pt idx="113">
                  <c:v>8.0958792506133079</c:v>
                </c:pt>
                <c:pt idx="114">
                  <c:v>8.5126708729013956</c:v>
                </c:pt>
                <c:pt idx="115">
                  <c:v>8.9348344734905538</c:v>
                </c:pt>
                <c:pt idx="116">
                  <c:v>9.3623667210543005</c:v>
                </c:pt>
                <c:pt idx="117">
                  <c:v>9.7952642842661461</c:v>
                </c:pt>
                <c:pt idx="118">
                  <c:v>10.233523831799607</c:v>
                </c:pt>
                <c:pt idx="119">
                  <c:v>10.677142032328197</c:v>
                </c:pt>
                <c:pt idx="120">
                  <c:v>11.12611555452543</c:v>
                </c:pt>
                <c:pt idx="121">
                  <c:v>11.580372691835802</c:v>
                </c:pt>
                <c:pt idx="122">
                  <c:v>12.039568236787694</c:v>
                </c:pt>
                <c:pt idx="123">
                  <c:v>12.503288606680474</c:v>
                </c:pt>
                <c:pt idx="124">
                  <c:v>12.971120218813512</c:v>
                </c:pt>
                <c:pt idx="125">
                  <c:v>13.442649490486168</c:v>
                </c:pt>
                <c:pt idx="126">
                  <c:v>13.917462838997814</c:v>
                </c:pt>
                <c:pt idx="127">
                  <c:v>14.395146681647809</c:v>
                </c:pt>
                <c:pt idx="128">
                  <c:v>14.875287435735522</c:v>
                </c:pt>
                <c:pt idx="129">
                  <c:v>15.357471518560319</c:v>
                </c:pt>
                <c:pt idx="130">
                  <c:v>15.841285347421564</c:v>
                </c:pt>
                <c:pt idx="131">
                  <c:v>16.326315339618624</c:v>
                </c:pt>
                <c:pt idx="132">
                  <c:v>16.812147912450865</c:v>
                </c:pt>
                <c:pt idx="133">
                  <c:v>17.298369483217648</c:v>
                </c:pt>
                <c:pt idx="134">
                  <c:v>17.784566469218348</c:v>
                </c:pt>
                <c:pt idx="135">
                  <c:v>18.270325287752321</c:v>
                </c:pt>
                <c:pt idx="136">
                  <c:v>18.755232356118938</c:v>
                </c:pt>
                <c:pt idx="137">
                  <c:v>19.238874091617561</c:v>
                </c:pt>
                <c:pt idx="138">
                  <c:v>19.720836911547558</c:v>
                </c:pt>
                <c:pt idx="139">
                  <c:v>20.200707233208295</c:v>
                </c:pt>
                <c:pt idx="140">
                  <c:v>20.678071473899138</c:v>
                </c:pt>
                <c:pt idx="141">
                  <c:v>21.152516050919449</c:v>
                </c:pt>
                <c:pt idx="142">
                  <c:v>21.623627381568596</c:v>
                </c:pt>
                <c:pt idx="143">
                  <c:v>22.09099188314595</c:v>
                </c:pt>
                <c:pt idx="144">
                  <c:v>22.554195972950868</c:v>
                </c:pt>
                <c:pt idx="145">
                  <c:v>23.01282606828272</c:v>
                </c:pt>
                <c:pt idx="146">
                  <c:v>23.466468586440868</c:v>
                </c:pt>
                <c:pt idx="147">
                  <c:v>23.914709944724684</c:v>
                </c:pt>
                <c:pt idx="148">
                  <c:v>24.357136560433524</c:v>
                </c:pt>
                <c:pt idx="149">
                  <c:v>24.793334850866763</c:v>
                </c:pt>
                <c:pt idx="150">
                  <c:v>25.222891233323764</c:v>
                </c:pt>
                <c:pt idx="151">
                  <c:v>25.645392125103889</c:v>
                </c:pt>
                <c:pt idx="152">
                  <c:v>26.06042394350651</c:v>
                </c:pt>
                <c:pt idx="153">
                  <c:v>26.467573105830986</c:v>
                </c:pt>
                <c:pt idx="154">
                  <c:v>26.866426029376687</c:v>
                </c:pt>
                <c:pt idx="155">
                  <c:v>27.256569131442976</c:v>
                </c:pt>
                <c:pt idx="156">
                  <c:v>27.637588829329221</c:v>
                </c:pt>
                <c:pt idx="157">
                  <c:v>28.00907154033478</c:v>
                </c:pt>
                <c:pt idx="158">
                  <c:v>28.370603681759032</c:v>
                </c:pt>
                <c:pt idx="159">
                  <c:v>28.721771670901333</c:v>
                </c:pt>
                <c:pt idx="160">
                  <c:v>29.062161925061051</c:v>
                </c:pt>
                <c:pt idx="161">
                  <c:v>29.391360861537557</c:v>
                </c:pt>
                <c:pt idx="162">
                  <c:v>29.7089548976302</c:v>
                </c:pt>
                <c:pt idx="163">
                  <c:v>30.014530450638365</c:v>
                </c:pt>
                <c:pt idx="164">
                  <c:v>30.307673937861409</c:v>
                </c:pt>
                <c:pt idx="165">
                  <c:v>30.5879717765987</c:v>
                </c:pt>
                <c:pt idx="166">
                  <c:v>30.855142453795828</c:v>
                </c:pt>
                <c:pt idx="167">
                  <c:v>31.109432734983322</c:v>
                </c:pt>
                <c:pt idx="168">
                  <c:v>31.351221455337939</c:v>
                </c:pt>
                <c:pt idx="169">
                  <c:v>31.580887450036425</c:v>
                </c:pt>
                <c:pt idx="170">
                  <c:v>31.798809554255541</c:v>
                </c:pt>
                <c:pt idx="171">
                  <c:v>32.005366603172035</c:v>
                </c:pt>
                <c:pt idx="172">
                  <c:v>32.200937431962657</c:v>
                </c:pt>
                <c:pt idx="173">
                  <c:v>32.385900875804175</c:v>
                </c:pt>
                <c:pt idx="174">
                  <c:v>32.560635769873336</c:v>
                </c:pt>
                <c:pt idx="175">
                  <c:v>32.725520949346894</c:v>
                </c:pt>
                <c:pt idx="176">
                  <c:v>32.880935249401603</c:v>
                </c:pt>
                <c:pt idx="177">
                  <c:v>33.027257505214209</c:v>
                </c:pt>
                <c:pt idx="178">
                  <c:v>33.164866551961481</c:v>
                </c:pt>
                <c:pt idx="179">
                  <c:v>33.294141224820166</c:v>
                </c:pt>
                <c:pt idx="180">
                  <c:v>33.41546035896701</c:v>
                </c:pt>
                <c:pt idx="181">
                  <c:v>33.529202789578775</c:v>
                </c:pt>
                <c:pt idx="182">
                  <c:v>33.635747351832222</c:v>
                </c:pt>
                <c:pt idx="183">
                  <c:v>33.735472880904098</c:v>
                </c:pt>
                <c:pt idx="184">
                  <c:v>33.828758211971149</c:v>
                </c:pt>
                <c:pt idx="185">
                  <c:v>33.915982180210143</c:v>
                </c:pt>
                <c:pt idx="186">
                  <c:v>33.997523620797821</c:v>
                </c:pt>
                <c:pt idx="187">
                  <c:v>34.073761368910951</c:v>
                </c:pt>
                <c:pt idx="188">
                  <c:v>34.145074259726272</c:v>
                </c:pt>
                <c:pt idx="189">
                  <c:v>34.211841128420545</c:v>
                </c:pt>
                <c:pt idx="190">
                  <c:v>34.274440810170532</c:v>
                </c:pt>
                <c:pt idx="191">
                  <c:v>34.333252140152972</c:v>
                </c:pt>
                <c:pt idx="192">
                  <c:v>34.388653953544633</c:v>
                </c:pt>
                <c:pt idx="193">
                  <c:v>34.441025085522256</c:v>
                </c:pt>
                <c:pt idx="194">
                  <c:v>34.490744371262601</c:v>
                </c:pt>
                <c:pt idx="195">
                  <c:v>34.538190645942429</c:v>
                </c:pt>
                <c:pt idx="196">
                  <c:v>34.58374274473848</c:v>
                </c:pt>
                <c:pt idx="197">
                  <c:v>34.627779502827515</c:v>
                </c:pt>
                <c:pt idx="198">
                  <c:v>34.670679755386288</c:v>
                </c:pt>
                <c:pt idx="199">
                  <c:v>34.712822337591561</c:v>
                </c:pt>
                <c:pt idx="200">
                  <c:v>34.754586084620072</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-13.421164302671253</c:v>
                </c:pt>
                <c:pt idx="1">
                  <c:v>-9.9402669067399305</c:v>
                </c:pt>
                <c:pt idx="2">
                  <c:v>-5.8835691205197316</c:v>
                </c:pt>
                <c:pt idx="3">
                  <c:v>0</c:v>
                </c:pt>
                <c:pt idx="4">
                  <c:v>11.126115554525432</c:v>
                </c:pt>
                <c:pt idx="5">
                  <c:v>30.587971776598696</c:v>
                </c:pt>
                <c:pt idx="6">
                  <c:v>34.754586084620072</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-13.518573409908031</c:v>
                </c:pt>
                <c:pt idx="1">
                  <c:v>-13.414644604655148</c:v>
                </c:pt>
                <c:pt idx="2">
                  <c:v>-13.318941011149022</c:v>
                </c:pt>
                <c:pt idx="3">
                  <c:v>-13.230343332777522</c:v>
                </c:pt>
                <c:pt idx="4">
                  <c:v>-13.147813200956355</c:v>
                </c:pt>
                <c:pt idx="5">
                  <c:v>-13.070389286690082</c:v>
                </c:pt>
                <c:pt idx="6">
                  <c:v>-12.997183525555293</c:v>
                </c:pt>
                <c:pt idx="7">
                  <c:v>-12.92737745439668</c:v>
                </c:pt>
                <c:pt idx="8">
                  <c:v>-12.860218658035102</c:v>
                </c:pt>
                <c:pt idx="9">
                  <c:v>-12.795017324295159</c:v>
                </c:pt>
                <c:pt idx="10">
                  <c:v>-12.731142905668003</c:v>
                </c:pt>
                <c:pt idx="11">
                  <c:v>-12.668020885933641</c:v>
                </c:pt>
                <c:pt idx="12">
                  <c:v>-12.60512965007524</c:v>
                </c:pt>
                <c:pt idx="13">
                  <c:v>-12.541997455826225</c:v>
                </c:pt>
                <c:pt idx="14">
                  <c:v>-12.478199505199573</c:v>
                </c:pt>
                <c:pt idx="15">
                  <c:v>-12.413355114356792</c:v>
                </c:pt>
                <c:pt idx="16">
                  <c:v>-12.347124980182544</c:v>
                </c:pt>
                <c:pt idx="17">
                  <c:v>-12.279208541939287</c:v>
                </c:pt>
                <c:pt idx="18">
                  <c:v>-12.209341436384495</c:v>
                </c:pt>
                <c:pt idx="19">
                  <c:v>-12.137293044741634</c:v>
                </c:pt>
                <c:pt idx="20">
                  <c:v>-12.06286412992409</c:v>
                </c:pt>
                <c:pt idx="21">
                  <c:v>-11.985884562419951</c:v>
                </c:pt>
                <c:pt idx="22">
                  <c:v>-11.906211133253636</c:v>
                </c:pt>
                <c:pt idx="23">
                  <c:v>-11.823725452448835</c:v>
                </c:pt>
                <c:pt idx="24">
                  <c:v>-11.7383319314256</c:v>
                </c:pt>
                <c:pt idx="25">
                  <c:v>-11.649955847772732</c:v>
                </c:pt>
                <c:pt idx="26">
                  <c:v>-11.558541490844927</c:v>
                </c:pt>
                <c:pt idx="27">
                  <c:v>-11.464050386642674</c:v>
                </c:pt>
                <c:pt idx="28">
                  <c:v>-11.366459600441004</c:v>
                </c:pt>
                <c:pt idx="29">
                  <c:v>-11.265760115641784</c:v>
                </c:pt>
                <c:pt idx="30">
                  <c:v>-11.161955287332427</c:v>
                </c:pt>
                <c:pt idx="31">
                  <c:v>-11.055059369042324</c:v>
                </c:pt>
                <c:pt idx="32">
                  <c:v>-10.945096111196754</c:v>
                </c:pt>
                <c:pt idx="33">
                  <c:v>-10.8320974297761</c:v>
                </c:pt>
                <c:pt idx="34">
                  <c:v>-10.716102143696919</c:v>
                </c:pt>
                <c:pt idx="35">
                  <c:v>-10.597154779439469</c:v>
                </c:pt>
                <c:pt idx="36">
                  <c:v>-10.47530444145487</c:v>
                </c:pt>
                <c:pt idx="37">
                  <c:v>-10.350603746893235</c:v>
                </c:pt>
                <c:pt idx="38">
                  <c:v>-10.223107823202636</c:v>
                </c:pt>
                <c:pt idx="39">
                  <c:v>-10.092873367157049</c:v>
                </c:pt>
                <c:pt idx="40">
                  <c:v>-9.9599577638797694</c:v>
                </c:pt>
                <c:pt idx="41">
                  <c:v>-9.824418264437135</c:v>
                </c:pt>
                <c:pt idx="42">
                  <c:v>-9.6863112205858322</c:v>
                </c:pt>
                <c:pt idx="43">
                  <c:v>-9.5456913752653243</c:v>
                </c:pt>
                <c:pt idx="44">
                  <c:v>-9.4026112074353421</c:v>
                </c:pt>
                <c:pt idx="45">
                  <c:v>-9.2571203298667299</c:v>
                </c:pt>
                <c:pt idx="46">
                  <c:v>-9.1092649385022586</c:v>
                </c:pt>
                <c:pt idx="47">
                  <c:v>-8.9590873120124801</c:v>
                </c:pt>
                <c:pt idx="48">
                  <c:v>-8.8066253601799094</c:v>
                </c:pt>
                <c:pt idx="49">
                  <c:v>-8.6519122197532567</c:v>
                </c:pt>
                <c:pt idx="50">
                  <c:v>-8.4949758964218383</c:v>
                </c:pt>
                <c:pt idx="51">
                  <c:v>-8.3358389515685172</c:v>
                </c:pt>
                <c:pt idx="52">
                  <c:v>-8.1745182324679995</c:v>
                </c:pt>
                <c:pt idx="53">
                  <c:v>-8.0110246446056266</c:v>
                </c:pt>
                <c:pt idx="54">
                  <c:v>-7.8453629648001222</c:v>
                </c:pt>
                <c:pt idx="55">
                  <c:v>-7.6775316938221971</c:v>
                </c:pt>
                <c:pt idx="56">
                  <c:v>-7.5075229472091882</c:v>
                </c:pt>
                <c:pt idx="57">
                  <c:v>-7.3353223829842866</c:v>
                </c:pt>
                <c:pt idx="58">
                  <c:v>-7.1609091649973093</c:v>
                </c:pt>
                <c:pt idx="59">
                  <c:v>-6.9842559606122636</c:v>
                </c:pt>
                <c:pt idx="60">
                  <c:v>-6.8053289714753467</c:v>
                </c:pt>
                <c:pt idx="61">
                  <c:v>-6.6240879961053789</c:v>
                </c:pt>
                <c:pt idx="62">
                  <c:v>-6.4404865230569968</c:v>
                </c:pt>
                <c:pt idx="63">
                  <c:v>-6.2544718534153265</c:v>
                </c:pt>
                <c:pt idx="64">
                  <c:v>-6.0659852513891934</c:v>
                </c:pt>
                <c:pt idx="65">
                  <c:v>-5.8749621217782746</c:v>
                </c:pt>
                <c:pt idx="66">
                  <c:v>-5.6813322130979591</c:v>
                </c:pt>
                <c:pt idx="67">
                  <c:v>-5.4850198451540875</c:v>
                </c:pt>
                <c:pt idx="68">
                  <c:v>-5.2859441598679897</c:v>
                </c:pt>
                <c:pt idx="69">
                  <c:v>-5.0840193941607099</c:v>
                </c:pt>
                <c:pt idx="70">
                  <c:v>-4.8791551737135981</c:v>
                </c:pt>
                <c:pt idx="71">
                  <c:v>-4.6712568264308194</c:v>
                </c:pt>
                <c:pt idx="72">
                  <c:v>-4.4602257144377058</c:v>
                </c:pt>
                <c:pt idx="73">
                  <c:v>-4.2459595834571902</c:v>
                </c:pt>
                <c:pt idx="74">
                  <c:v>-4.0283529284149671</c:v>
                </c:pt>
                <c:pt idx="75">
                  <c:v>-3.8072973741323564</c:v>
                </c:pt>
                <c:pt idx="76">
                  <c:v>-3.5826820699741848</c:v>
                </c:pt>
                <c:pt idx="77">
                  <c:v>-3.3543940973274107</c:v>
                </c:pt>
                <c:pt idx="78">
                  <c:v>-3.122318888794505</c:v>
                </c:pt>
                <c:pt idx="79">
                  <c:v>-2.8863406579940132</c:v>
                </c:pt>
                <c:pt idx="80">
                  <c:v>-2.6463428388690531</c:v>
                </c:pt>
                <c:pt idx="81">
                  <c:v>-2.4022085334128662</c:v>
                </c:pt>
                <c:pt idx="82">
                  <c:v>-2.1538209667288939</c:v>
                </c:pt>
                <c:pt idx="83">
                  <c:v>-1.9010639483512013</c:v>
                </c:pt>
                <c:pt idx="84">
                  <c:v>-1.6438223387594539</c:v>
                </c:pt>
                <c:pt idx="85">
                  <c:v>-1.381982520030967</c:v>
                </c:pt>
                <c:pt idx="86">
                  <c:v>-1.1154328695807376</c:v>
                </c:pt>
                <c:pt idx="87">
                  <c:v>-0.84406423594871316</c:v>
                </c:pt>
                <c:pt idx="88">
                  <c:v>-0.56777041560190411</c:v>
                </c:pt>
                <c:pt idx="89">
                  <c:v>-0.28644862972731377</c:v>
                </c:pt>
                <c:pt idx="90">
                  <c:v>0</c:v>
                </c:pt>
                <c:pt idx="91">
                  <c:v>0.2916699776810413</c:v>
                </c:pt>
                <c:pt idx="92">
                  <c:v>0.58865096248814153</c:v>
                </c:pt>
                <c:pt idx="93">
                  <c:v>0.89102730198197788</c:v>
                </c:pt>
                <c:pt idx="94">
                  <c:v>1.1988775704325965</c:v>
                </c:pt>
                <c:pt idx="95">
                  <c:v>1.5122741131183339</c:v>
                </c:pt>
                <c:pt idx="96">
                  <c:v>1.8312825975681792</c:v>
                </c:pt>
                <c:pt idx="97">
                  <c:v>2.1559615727047508</c:v>
                </c:pt>
                <c:pt idx="98">
                  <c:v>2.486362036836721</c:v>
                </c:pt>
                <c:pt idx="99">
                  <c:v>2.8225270154411581</c:v>
                </c:pt>
                <c:pt idx="100">
                  <c:v>3.1644911496678878</c:v>
                </c:pt>
                <c:pt idx="101">
                  <c:v>3.5122802964896445</c:v>
                </c:pt>
                <c:pt idx="102">
                  <c:v>3.8659111414134055</c:v>
                </c:pt>
                <c:pt idx="103">
                  <c:v>4.2253908246599492</c:v>
                </c:pt>
                <c:pt idx="104">
                  <c:v>4.5907165817103355</c:v>
                </c:pt>
                <c:pt idx="105">
                  <c:v>4.9618753991096263</c:v>
                </c:pt>
                <c:pt idx="106">
                  <c:v>5.3388436864098265</c:v>
                </c:pt>
                <c:pt idx="107">
                  <c:v>5.7215869651256748</c:v>
                </c:pt>
                <c:pt idx="108">
                  <c:v>6.110059575568525</c:v>
                </c:pt>
                <c:pt idx="109">
                  <c:v>6.5042044024152359</c:v>
                </c:pt>
                <c:pt idx="110">
                  <c:v>6.9039526198606334</c:v>
                </c:pt>
                <c:pt idx="111">
                  <c:v>7.3092234571937</c:v>
                </c:pt>
                <c:pt idx="112">
                  <c:v>7.7199239856293644</c:v>
                </c:pt>
                <c:pt idx="113">
                  <c:v>8.135948927219367</c:v>
                </c:pt>
                <c:pt idx="114">
                  <c:v>8.5571804866572894</c:v>
                </c:pt>
                <c:pt idx="115">
                  <c:v>8.9834882067845854</c:v>
                </c:pt>
                <c:pt idx="116">
                  <c:v>9.4147288485959297</c:v>
                </c:pt>
                <c:pt idx="117">
                  <c:v>9.8507462965340498</c:v>
                </c:pt>
                <c:pt idx="118">
                  <c:v>10.291371489855626</c:v>
                </c:pt>
                <c:pt idx="119">
                  <c:v>10.736422380841708</c:v>
                </c:pt>
                <c:pt idx="120">
                  <c:v>11.185703920617552</c:v>
                </c:pt>
                <c:pt idx="121">
                  <c:v>11.639008073338557</c:v>
                </c:pt>
                <c:pt idx="122">
                  <c:v>12.09611385949054</c:v>
                </c:pt>
                <c:pt idx="123">
                  <c:v>12.556787429044313</c:v>
                </c:pt>
                <c:pt idx="124">
                  <c:v>13.020782165196055</c:v>
                </c:pt>
                <c:pt idx="125">
                  <c:v>13.487838819416764</c:v>
                </c:pt>
                <c:pt idx="126">
                  <c:v>13.957685678525554</c:v>
                </c:pt>
                <c:pt idx="127">
                  <c:v>14.430038764493373</c:v>
                </c:pt>
                <c:pt idx="128">
                  <c:v>14.904602067675189</c:v>
                </c:pt>
                <c:pt idx="129">
                  <c:v>15.381067814160504</c:v>
                </c:pt>
                <c:pt idx="130">
                  <c:v>15.859116767923551</c:v>
                </c:pt>
                <c:pt idx="131">
                  <c:v>16.338418568446329</c:v>
                </c:pt>
                <c:pt idx="132">
                  <c:v>16.818632104479025</c:v>
                </c:pt>
                <c:pt idx="133">
                  <c:v>17.29940592459441</c:v>
                </c:pt>
                <c:pt idx="134">
                  <c:v>17.780378685183969</c:v>
                </c:pt>
                <c:pt idx="135">
                  <c:v>18.261179636535552</c:v>
                </c:pt>
                <c:pt idx="136">
                  <c:v>18.741429147623833</c:v>
                </c:pt>
                <c:pt idx="137">
                  <c:v>19.220739270236404</c:v>
                </c:pt>
                <c:pt idx="138">
                  <c:v>19.698714343050138</c:v>
                </c:pt>
                <c:pt idx="139">
                  <c:v>20.174951636264087</c:v>
                </c:pt>
                <c:pt idx="140">
                  <c:v>20.649042037386678</c:v>
                </c:pt>
                <c:pt idx="141">
                  <c:v>21.120570778766766</c:v>
                </c:pt>
                <c:pt idx="142">
                  <c:v>21.589118207449673</c:v>
                </c:pt>
                <c:pt idx="143">
                  <c:v>22.054260597931009</c:v>
                </c:pt>
                <c:pt idx="144">
                  <c:v>22.515571008372739</c:v>
                </c:pt>
                <c:pt idx="145">
                  <c:v>22.972620180837492</c:v>
                </c:pt>
                <c:pt idx="146">
                  <c:v>23.424977486088896</c:v>
                </c:pt>
                <c:pt idx="147">
                  <c:v>23.872211913497335</c:v>
                </c:pt>
                <c:pt idx="148">
                  <c:v>24.31389310658205</c:v>
                </c:pt>
                <c:pt idx="149">
                  <c:v>24.74959244471227</c:v>
                </c:pt>
                <c:pt idx="150">
                  <c:v>25.178884171481716</c:v>
                </c:pt>
                <c:pt idx="151">
                  <c:v>25.601346570262386</c:v>
                </c:pt>
                <c:pt idx="152">
                  <c:v>26.016563187435111</c:v>
                </c:pt>
                <c:pt idx="153">
                  <c:v>26.424124103786301</c:v>
                </c:pt>
                <c:pt idx="154">
                  <c:v>26.823627254551599</c:v>
                </c:pt>
                <c:pt idx="155">
                  <c:v>27.214679798579006</c:v>
                </c:pt>
                <c:pt idx="156">
                  <c:v>27.596899537075601</c:v>
                </c:pt>
                <c:pt idx="157">
                  <c:v>27.96991638239377</c:v>
                </c:pt>
                <c:pt idx="158">
                  <c:v>28.333373877304204</c:v>
                </c:pt>
                <c:pt idx="159">
                  <c:v>28.686930765194944</c:v>
                </c:pt>
                <c:pt idx="160">
                  <c:v>29.030262611627112</c:v>
                </c:pt>
                <c:pt idx="161">
                  <c:v>29.363063477669606</c:v>
                </c:pt>
                <c:pt idx="162">
                  <c:v>29.68504764542703</c:v>
                </c:pt>
                <c:pt idx="163">
                  <c:v>29.995951396166337</c:v>
                </c:pt>
                <c:pt idx="164">
                  <c:v>30.295534841439419</c:v>
                </c:pt>
                <c:pt idx="165">
                  <c:v>30.583583807590845</c:v>
                </c:pt>
                <c:pt idx="166">
                  <c:v>30.859911774031158</c:v>
                </c:pt>
                <c:pt idx="167">
                  <c:v>31.124361865648019</c:v>
                </c:pt>
                <c:pt idx="168">
                  <c:v>31.376808899718998</c:v>
                </c:pt>
                <c:pt idx="169">
                  <c:v>31.617161487681763</c:v>
                </c:pt>
                <c:pt idx="170">
                  <c:v>31.84536419210859</c:v>
                </c:pt>
                <c:pt idx="171">
                  <c:v>32.061399739224065</c:v>
                </c:pt>
                <c:pt idx="172">
                  <c:v>32.265291287296563</c:v>
                </c:pt>
                <c:pt idx="173">
                  <c:v>32.457104751225501</c:v>
                </c:pt>
                <c:pt idx="174">
                  <c:v>32.636951183638089</c:v>
                </c:pt>
                <c:pt idx="175">
                  <c:v>32.804989212800919</c:v>
                </c:pt>
                <c:pt idx="176">
                  <c:v>32.961427537643779</c:v>
                </c:pt>
                <c:pt idx="177">
                  <c:v>33.106527480183708</c:v>
                </c:pt>
                <c:pt idx="178">
                  <c:v>33.240605595630306</c:v>
                </c:pt>
                <c:pt idx="179">
                  <c:v>33.364036340443768</c:v>
                </c:pt>
                <c:pt idx="180">
                  <c:v>33.477254798609543</c:v>
                </c:pt>
                <c:pt idx="181">
                  <c:v>33.580759466384634</c:v>
                </c:pt>
                <c:pt idx="182">
                  <c:v>33.675115095762649</c:v>
                </c:pt>
                <c:pt idx="183">
                  <c:v>33.760955596895975</c:v>
                </c:pt>
                <c:pt idx="184">
                  <c:v>33.838986999705355</c:v>
                </c:pt>
                <c:pt idx="185">
                  <c:v>33.909990474898628</c:v>
                </c:pt>
                <c:pt idx="186">
                  <c:v>33.974825414612155</c:v>
                </c:pt>
                <c:pt idx="187">
                  <c:v>34.034432572880021</c:v>
                </c:pt>
                <c:pt idx="188">
                  <c:v>34.089837266127667</c:v>
                </c:pt>
                <c:pt idx="189">
                  <c:v>34.142152633878631</c:v>
                </c:pt>
                <c:pt idx="190">
                  <c:v>34.192582959854022</c:v>
                </c:pt>
                <c:pt idx="191">
                  <c:v>34.242427053636845</c:v>
                </c:pt>
                <c:pt idx="192">
                  <c:v>34.293081693064217</c:v>
                </c:pt>
                <c:pt idx="193">
                  <c:v>34.346045127502499</c:v>
                </c:pt>
                <c:pt idx="194">
                  <c:v>34.40292064215204</c:v>
                </c:pt>
                <c:pt idx="195">
                  <c:v>34.465420183519818</c:v>
                </c:pt>
                <c:pt idx="196">
                  <c:v>34.53536804618971</c:v>
                </c:pt>
                <c:pt idx="197">
                  <c:v>34.614704621012024</c:v>
                </c:pt>
                <c:pt idx="198">
                  <c:v>34.705490204825665</c:v>
                </c:pt>
                <c:pt idx="199">
                  <c:v>34.809908871817434</c:v>
                </c:pt>
                <c:pt idx="200">
                  <c:v>34.930272406615188</c:v>
                </c:pt>
              </c:numCache>
            </c:numRef>
          </c:yVal>
          <c:smooth val="1"/>
        </c:ser>
        <c:dLbls>
          <c:showLegendKey val="0"/>
          <c:showVal val="0"/>
          <c:showCatName val="0"/>
          <c:showSerName val="0"/>
          <c:showPercent val="0"/>
          <c:showBubbleSize val="0"/>
        </c:dLbls>
        <c:axId val="446221640"/>
        <c:axId val="446219288"/>
      </c:scatterChart>
      <c:valAx>
        <c:axId val="446221640"/>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219288"/>
        <c:crossesAt val="-1000"/>
        <c:crossBetween val="midCat"/>
      </c:valAx>
      <c:valAx>
        <c:axId val="446219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221640"/>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85</v>
      </c>
    </row>
    <row r="22" spans="1:2" s="11" customFormat="1" x14ac:dyDescent="0.25">
      <c r="A22" s="61" t="s">
        <v>157</v>
      </c>
      <c r="B22" s="99">
        <f>CTE!N8-0.5</f>
        <v>95</v>
      </c>
    </row>
    <row r="23" spans="1:2" s="11" customFormat="1" x14ac:dyDescent="0.25">
      <c r="A23" s="61" t="s">
        <v>158</v>
      </c>
      <c r="B23" s="99">
        <f>CTE!N9</f>
        <v>180.5</v>
      </c>
    </row>
    <row r="24" spans="1:2" s="11" customFormat="1" x14ac:dyDescent="0.25"/>
    <row r="25" spans="1:2" s="11" customFormat="1" x14ac:dyDescent="0.25">
      <c r="A25" s="61" t="s">
        <v>147</v>
      </c>
      <c r="B25" s="53">
        <f>CTE!O5</f>
        <v>2.5270250571428573E-5</v>
      </c>
    </row>
    <row r="26" spans="1:2" s="11" customFormat="1" x14ac:dyDescent="0.25">
      <c r="A26" s="61" t="s">
        <v>148</v>
      </c>
      <c r="B26" s="53">
        <f>CTE!O6</f>
        <v>2.7904964857142861E-5</v>
      </c>
    </row>
    <row r="27" spans="1:2" s="11" customFormat="1" x14ac:dyDescent="0.25">
      <c r="A27" s="61" t="s">
        <v>149</v>
      </c>
      <c r="B27" s="53">
        <f>CTE!O8</f>
        <v>7.0197717142857148E-5</v>
      </c>
    </row>
    <row r="28" spans="1:2" s="11" customFormat="1" x14ac:dyDescent="0.25">
      <c r="A28" s="61" t="s">
        <v>150</v>
      </c>
      <c r="B28" s="53">
        <f>CTE!O9</f>
        <v>6.9821937142857152E-5</v>
      </c>
    </row>
    <row r="29" spans="1:2" s="11" customFormat="1" x14ac:dyDescent="0.25">
      <c r="A29" s="61"/>
    </row>
    <row r="30" spans="1:2" s="11" customFormat="1" x14ac:dyDescent="0.25">
      <c r="A30" s="61" t="s">
        <v>151</v>
      </c>
      <c r="B30" s="52">
        <f>CTE!P5</f>
        <v>2.2752914736842108E-5</v>
      </c>
    </row>
    <row r="31" spans="1:2" s="11" customFormat="1" x14ac:dyDescent="0.25">
      <c r="A31" s="61" t="s">
        <v>152</v>
      </c>
      <c r="B31" s="52">
        <f>CTE!P6</f>
        <v>2.4298146315789474E-5</v>
      </c>
    </row>
    <row r="32" spans="1:2" s="11" customFormat="1" x14ac:dyDescent="0.25">
      <c r="A32" s="61" t="s">
        <v>153</v>
      </c>
      <c r="B32" s="52">
        <f>CTE!P8</f>
        <v>4.5848989473684213E-5</v>
      </c>
    </row>
    <row r="33" spans="1:2" s="11" customFormat="1" x14ac:dyDescent="0.25">
      <c r="A33" s="61" t="s">
        <v>154</v>
      </c>
      <c r="B33" s="52">
        <f>CTE!P9</f>
        <v>4.720299789473684E-5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0.28904394113455834</v>
      </c>
      <c r="D59" s="55">
        <v>1</v>
      </c>
    </row>
    <row r="60" spans="1:4" s="11" customFormat="1" x14ac:dyDescent="0.25">
      <c r="A60" s="54">
        <v>2</v>
      </c>
      <c r="B60" s="56">
        <f>'Shiftfunktion bestimmen'!N2</f>
        <v>2.6108758712423399E-3</v>
      </c>
      <c r="D60" s="55">
        <v>2</v>
      </c>
    </row>
    <row r="61" spans="1:4" s="11" customFormat="1" x14ac:dyDescent="0.25">
      <c r="A61" s="54">
        <v>3</v>
      </c>
      <c r="B61" s="56">
        <f>'Shiftfunktion bestimmen'!N3</f>
        <v>1.5366477945688911E-5</v>
      </c>
      <c r="D61" s="55">
        <v>3</v>
      </c>
    </row>
    <row r="62" spans="1:4" s="11" customFormat="1" x14ac:dyDescent="0.25">
      <c r="A62" s="54">
        <v>4</v>
      </c>
      <c r="B62" s="56">
        <f>'Shiftfunktion bestimmen'!N4</f>
        <v>-2.0189996703244654E-7</v>
      </c>
      <c r="D62" s="55">
        <v>4</v>
      </c>
    </row>
    <row r="63" spans="1:4" s="11" customFormat="1" x14ac:dyDescent="0.25">
      <c r="A63" s="54">
        <v>5</v>
      </c>
      <c r="B63" s="56">
        <f>'Shiftfunktion bestimmen'!N5</f>
        <v>-3.9085222342781433E-9</v>
      </c>
      <c r="D63" s="55">
        <v>5</v>
      </c>
    </row>
    <row r="64" spans="1:4" s="11" customFormat="1" x14ac:dyDescent="0.25">
      <c r="A64" s="54">
        <v>6</v>
      </c>
      <c r="B64" s="56">
        <f>'Shiftfunktion bestimmen'!N6</f>
        <v>5.5886705637907465E-12</v>
      </c>
      <c r="D64" s="55">
        <v>6</v>
      </c>
    </row>
    <row r="65" spans="1:5" s="11" customFormat="1" x14ac:dyDescent="0.25">
      <c r="A65" s="54">
        <v>7</v>
      </c>
      <c r="B65" s="56">
        <f>'Shiftfunktion bestimmen'!N7</f>
        <v>1.9572006259982719E-13</v>
      </c>
      <c r="D65" s="55">
        <v>7</v>
      </c>
    </row>
    <row r="66" spans="1:5" x14ac:dyDescent="0.25">
      <c r="A66" s="54">
        <v>8</v>
      </c>
      <c r="B66" s="56">
        <f>'Shiftfunktion bestimmen'!N8</f>
        <v>-2.0725055894614993E-16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3.0816005456453127E-3</v>
      </c>
      <c r="D74" s="51">
        <v>1</v>
      </c>
      <c r="E74" s="56">
        <f>'Mastercurve bestimmen'!A18</f>
        <v>1.0000000000000001E-20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0</v>
      </c>
      <c r="D76" s="51">
        <v>3</v>
      </c>
      <c r="E76" s="56">
        <f>'Mastercurve bestimmen'!A20</f>
        <v>4.3276437088188502E-13</v>
      </c>
    </row>
    <row r="77" spans="1:5" x14ac:dyDescent="0.25">
      <c r="A77" s="50">
        <f t="shared" si="0"/>
        <v>4</v>
      </c>
      <c r="B77" s="56">
        <f>'Mastercurve bestimmen'!C21</f>
        <v>0</v>
      </c>
      <c r="D77" s="51">
        <v>4</v>
      </c>
      <c r="E77" s="56">
        <f>'Mastercurve bestimmen'!A21</f>
        <v>4.7973886968128502E-12</v>
      </c>
    </row>
    <row r="78" spans="1:5" x14ac:dyDescent="0.25">
      <c r="A78" s="50">
        <f t="shared" si="0"/>
        <v>5</v>
      </c>
      <c r="B78" s="56">
        <f>'Mastercurve bestimmen'!C22</f>
        <v>0</v>
      </c>
      <c r="D78" s="51">
        <v>5</v>
      </c>
      <c r="E78" s="56">
        <f>'Mastercurve bestimmen'!A22</f>
        <v>5.31812225239524E-11</v>
      </c>
    </row>
    <row r="79" spans="1:5" x14ac:dyDescent="0.25">
      <c r="A79" s="50">
        <f t="shared" si="0"/>
        <v>6</v>
      </c>
      <c r="B79" s="56">
        <f>'Mastercurve bestimmen'!C23</f>
        <v>0</v>
      </c>
      <c r="D79" s="51">
        <v>6</v>
      </c>
      <c r="E79" s="56">
        <f>'Mastercurve bestimmen'!A23</f>
        <v>5.8953789402578301E-10</v>
      </c>
    </row>
    <row r="80" spans="1:5" x14ac:dyDescent="0.25">
      <c r="A80" s="50">
        <f t="shared" si="0"/>
        <v>7</v>
      </c>
      <c r="B80" s="56">
        <f>'Mastercurve bestimmen'!C24</f>
        <v>0</v>
      </c>
      <c r="D80" s="51">
        <v>7</v>
      </c>
      <c r="E80" s="56">
        <f>'Mastercurve bestimmen'!A24</f>
        <v>6.5352940755699598E-9</v>
      </c>
    </row>
    <row r="81" spans="1:5" x14ac:dyDescent="0.25">
      <c r="A81" s="50">
        <f t="shared" si="0"/>
        <v>8</v>
      </c>
      <c r="B81" s="56">
        <f>'Mastercurve bestimmen'!C25</f>
        <v>0</v>
      </c>
      <c r="D81" s="51">
        <v>8</v>
      </c>
      <c r="E81" s="56">
        <f>'Mastercurve bestimmen'!A25</f>
        <v>7.2446689325643296E-8</v>
      </c>
    </row>
    <row r="82" spans="1:5" x14ac:dyDescent="0.25">
      <c r="A82" s="50">
        <f t="shared" si="0"/>
        <v>9</v>
      </c>
      <c r="B82" s="56">
        <f>'Mastercurve bestimmen'!C26</f>
        <v>0</v>
      </c>
      <c r="D82" s="51">
        <f>A82</f>
        <v>9</v>
      </c>
      <c r="E82" s="56">
        <f>'Mastercurve bestimmen'!A26</f>
        <v>8.03104303120212E-7</v>
      </c>
    </row>
    <row r="83" spans="1:5" x14ac:dyDescent="0.25">
      <c r="A83" s="50">
        <f t="shared" si="0"/>
        <v>10</v>
      </c>
      <c r="B83" s="56">
        <f>'Mastercurve bestimmen'!C27</f>
        <v>7.5540247309915909E-4</v>
      </c>
      <c r="C83" s="11"/>
      <c r="D83" s="51">
        <f t="shared" ref="D83:D104" si="1">A83</f>
        <v>10</v>
      </c>
      <c r="E83" s="56">
        <f>'Mastercurve bestimmen'!A27</f>
        <v>8.9027742702096099E-6</v>
      </c>
    </row>
    <row r="84" spans="1:5" x14ac:dyDescent="0.25">
      <c r="A84" s="50">
        <f t="shared" si="0"/>
        <v>11</v>
      </c>
      <c r="B84" s="56">
        <f>'Mastercurve bestimmen'!C28</f>
        <v>2.9283931569142382E-2</v>
      </c>
      <c r="C84" s="11"/>
      <c r="D84" s="51">
        <f t="shared" si="1"/>
        <v>11</v>
      </c>
      <c r="E84" s="56">
        <f>'Mastercurve bestimmen'!A28</f>
        <v>9.86912775817142E-5</v>
      </c>
    </row>
    <row r="85" spans="1:5" x14ac:dyDescent="0.25">
      <c r="A85" s="50">
        <f t="shared" si="0"/>
        <v>12</v>
      </c>
      <c r="B85" s="56">
        <f>'Mastercurve bestimmen'!C29</f>
        <v>1.8302599821955524E-2</v>
      </c>
      <c r="C85" s="11"/>
      <c r="D85" s="51">
        <f t="shared" si="1"/>
        <v>12</v>
      </c>
      <c r="E85" s="56">
        <f>'Mastercurve bestimmen'!A29</f>
        <v>1.0940374286813801E-3</v>
      </c>
    </row>
    <row r="86" spans="1:5" x14ac:dyDescent="0.25">
      <c r="A86" s="50">
        <f t="shared" si="0"/>
        <v>13</v>
      </c>
      <c r="B86" s="56">
        <f>'Mastercurve bestimmen'!C30</f>
        <v>3.0692844757975957E-2</v>
      </c>
      <c r="C86" s="11"/>
      <c r="D86" s="51">
        <f t="shared" si="1"/>
        <v>13</v>
      </c>
      <c r="E86" s="56">
        <f>'Mastercurve bestimmen'!A30</f>
        <v>1.2127899493091E-2</v>
      </c>
    </row>
    <row r="87" spans="1:5" x14ac:dyDescent="0.25">
      <c r="A87" s="50">
        <f t="shared" si="0"/>
        <v>14</v>
      </c>
      <c r="B87" s="56">
        <f>'Mastercurve bestimmen'!C31</f>
        <v>2.9931520210616631E-2</v>
      </c>
      <c r="C87" s="11"/>
      <c r="D87" s="51">
        <f t="shared" si="1"/>
        <v>14</v>
      </c>
      <c r="E87" s="56">
        <f>'Mastercurve bestimmen'!A31</f>
        <v>0.13444324870292301</v>
      </c>
    </row>
    <row r="88" spans="1:5" x14ac:dyDescent="0.25">
      <c r="A88" s="50">
        <f t="shared" si="0"/>
        <v>15</v>
      </c>
      <c r="B88" s="56">
        <f>'Mastercurve bestimmen'!C32</f>
        <v>3.2651774642810168E-2</v>
      </c>
      <c r="C88" s="11"/>
      <c r="D88" s="51">
        <f t="shared" si="1"/>
        <v>15</v>
      </c>
      <c r="E88" s="56">
        <f>'Mastercurve bestimmen'!A32</f>
        <v>1.49036419143257</v>
      </c>
    </row>
    <row r="89" spans="1:5" x14ac:dyDescent="0.25">
      <c r="A89" s="50">
        <f t="shared" si="0"/>
        <v>16</v>
      </c>
      <c r="B89" s="56">
        <f>'Mastercurve bestimmen'!C33</f>
        <v>4.3350627386052817E-2</v>
      </c>
      <c r="C89" s="11"/>
      <c r="D89" s="51">
        <f t="shared" si="1"/>
        <v>16</v>
      </c>
      <c r="E89" s="56">
        <f>'Mastercurve bestimmen'!A33</f>
        <v>16.521360830937301</v>
      </c>
    </row>
    <row r="90" spans="1:5" x14ac:dyDescent="0.25">
      <c r="A90" s="50">
        <f t="shared" si="0"/>
        <v>17</v>
      </c>
      <c r="B90" s="56">
        <f>'Mastercurve bestimmen'!C34</f>
        <v>7.4512934998130873E-2</v>
      </c>
      <c r="C90" s="11"/>
      <c r="D90" s="51">
        <f t="shared" si="1"/>
        <v>17</v>
      </c>
      <c r="E90" s="56">
        <f>'Mastercurve bestimmen'!A34</f>
        <v>183.146753843879</v>
      </c>
    </row>
    <row r="91" spans="1:5" x14ac:dyDescent="0.25">
      <c r="A91" s="50">
        <f t="shared" si="0"/>
        <v>18</v>
      </c>
      <c r="B91" s="56">
        <f>'Mastercurve bestimmen'!C35</f>
        <v>8.3057229561504284E-2</v>
      </c>
      <c r="C91" s="11"/>
      <c r="D91" s="51">
        <f t="shared" si="1"/>
        <v>18</v>
      </c>
      <c r="E91" s="56">
        <f>'Mastercurve bestimmen'!A35</f>
        <v>2030.26456396616</v>
      </c>
    </row>
    <row r="92" spans="1:5" x14ac:dyDescent="0.25">
      <c r="A92" s="50">
        <f t="shared" si="0"/>
        <v>19</v>
      </c>
      <c r="B92" s="56">
        <f>'Mastercurve bestimmen'!C36</f>
        <v>7.1718979370641908E-2</v>
      </c>
      <c r="C92" s="11"/>
      <c r="D92" s="51">
        <f t="shared" si="1"/>
        <v>19</v>
      </c>
      <c r="E92" s="56">
        <f>'Mastercurve bestimmen'!A36</f>
        <v>22506.400540467101</v>
      </c>
    </row>
    <row r="93" spans="1:5" x14ac:dyDescent="0.25">
      <c r="A93" s="50">
        <f t="shared" si="0"/>
        <v>20</v>
      </c>
      <c r="B93" s="56">
        <f>'Mastercurve bestimmen'!C37</f>
        <v>7.0532782470365804E-2</v>
      </c>
      <c r="C93" s="11"/>
      <c r="D93" s="51">
        <f t="shared" si="1"/>
        <v>20</v>
      </c>
      <c r="E93" s="56">
        <f>'Mastercurve bestimmen'!A37</f>
        <v>249493.62476110301</v>
      </c>
    </row>
    <row r="94" spans="1:5" x14ac:dyDescent="0.25">
      <c r="A94" s="50">
        <f t="shared" si="0"/>
        <v>21</v>
      </c>
      <c r="B94" s="56">
        <f>'Mastercurve bestimmen'!C38</f>
        <v>3.5919956978906278E-2</v>
      </c>
      <c r="C94" s="11"/>
      <c r="D94" s="51">
        <f t="shared" si="1"/>
        <v>21</v>
      </c>
      <c r="E94" s="56">
        <f>'Mastercurve bestimmen'!A38</f>
        <v>2765749.6224023802</v>
      </c>
    </row>
    <row r="95" spans="1:5" x14ac:dyDescent="0.25">
      <c r="A95" s="50">
        <f t="shared" si="0"/>
        <v>22</v>
      </c>
      <c r="B95" s="56">
        <f>'Mastercurve bestimmen'!C39</f>
        <v>6.619073120792586E-2</v>
      </c>
      <c r="C95" s="11"/>
      <c r="D95" s="51">
        <f t="shared" si="1"/>
        <v>22</v>
      </c>
      <c r="E95" s="56">
        <f>'Mastercurve bestimmen'!A39</f>
        <v>10000000</v>
      </c>
    </row>
    <row r="96" spans="1:5" x14ac:dyDescent="0.25">
      <c r="A96" s="50">
        <f t="shared" si="0"/>
        <v>23</v>
      </c>
      <c r="B96" s="56">
        <f>'Mastercurve bestimmen'!C40</f>
        <v>7.7756478024563841E-2</v>
      </c>
      <c r="C96" s="11"/>
      <c r="D96" s="51">
        <f t="shared" si="1"/>
        <v>23</v>
      </c>
      <c r="E96" s="56">
        <f>'Mastercurve bestimmen'!A40</f>
        <v>100000000</v>
      </c>
    </row>
    <row r="97" spans="1:5" x14ac:dyDescent="0.25">
      <c r="A97" s="50">
        <f t="shared" si="0"/>
        <v>24</v>
      </c>
      <c r="B97" s="56">
        <f>'Mastercurve bestimmen'!C41</f>
        <v>8.4379776386596134E-2</v>
      </c>
      <c r="C97" s="11"/>
      <c r="D97" s="51">
        <f t="shared" si="1"/>
        <v>24</v>
      </c>
      <c r="E97" s="56">
        <f>'Mastercurve bestimmen'!A41</f>
        <v>1000000000</v>
      </c>
    </row>
    <row r="98" spans="1:5" x14ac:dyDescent="0.25">
      <c r="A98" s="50">
        <f t="shared" si="0"/>
        <v>25</v>
      </c>
      <c r="B98" s="56">
        <f>'Mastercurve bestimmen'!C42</f>
        <v>9.8418254231933067E-2</v>
      </c>
      <c r="C98" s="11"/>
      <c r="D98" s="51">
        <f t="shared" si="1"/>
        <v>25</v>
      </c>
      <c r="E98" s="56">
        <f>'Mastercurve bestimmen'!A42</f>
        <v>10000000000</v>
      </c>
    </row>
    <row r="99" spans="1:5" x14ac:dyDescent="0.25">
      <c r="A99" s="50">
        <f t="shared" si="0"/>
        <v>26</v>
      </c>
      <c r="B99" s="56">
        <f>'Mastercurve bestimmen'!C43</f>
        <v>5.8940133460185569E-2</v>
      </c>
      <c r="C99" s="11"/>
      <c r="D99" s="51">
        <f t="shared" si="1"/>
        <v>26</v>
      </c>
      <c r="E99" s="56">
        <f>'Mastercurve bestimmen'!A43</f>
        <v>100000000000</v>
      </c>
    </row>
    <row r="100" spans="1:5" x14ac:dyDescent="0.25">
      <c r="A100" s="50">
        <f t="shared" si="0"/>
        <v>27</v>
      </c>
      <c r="B100" s="56">
        <f>'Mastercurve bestimmen'!C44</f>
        <v>4.2268801533997091E-2</v>
      </c>
      <c r="C100" s="11"/>
      <c r="D100" s="51">
        <f t="shared" si="1"/>
        <v>27</v>
      </c>
      <c r="E100" s="56">
        <f>'Mastercurve bestimmen'!A44</f>
        <v>1000000000000</v>
      </c>
    </row>
    <row r="101" spans="1:5" x14ac:dyDescent="0.25">
      <c r="A101" s="50">
        <f t="shared" si="0"/>
        <v>28</v>
      </c>
      <c r="B101" s="56">
        <f>'Mastercurve bestimmen'!C45</f>
        <v>2.0342268571851365E-2</v>
      </c>
      <c r="C101" s="11"/>
      <c r="D101" s="51">
        <f t="shared" si="1"/>
        <v>28</v>
      </c>
      <c r="E101" s="56">
        <f>'Mastercurve bestimmen'!A45</f>
        <v>10000000000000</v>
      </c>
    </row>
    <row r="102" spans="1:5" x14ac:dyDescent="0.25">
      <c r="A102" s="50">
        <f t="shared" si="0"/>
        <v>29</v>
      </c>
      <c r="B102" s="56">
        <f>'Mastercurve bestimmen'!C46</f>
        <v>5.9170897395369676E-3</v>
      </c>
      <c r="C102" s="11"/>
      <c r="D102" s="51">
        <f t="shared" si="1"/>
        <v>29</v>
      </c>
      <c r="E102" s="56">
        <f>'Mastercurve bestimmen'!A46</f>
        <v>100000000000000</v>
      </c>
    </row>
    <row r="103" spans="1:5" x14ac:dyDescent="0.25">
      <c r="A103" s="50">
        <f t="shared" si="0"/>
        <v>30</v>
      </c>
      <c r="B103" s="56">
        <f>'Mastercurve bestimmen'!C47</f>
        <v>2.1512309521192175E-5</v>
      </c>
      <c r="C103" s="11"/>
      <c r="D103" s="51">
        <f t="shared" si="1"/>
        <v>30</v>
      </c>
      <c r="E103" s="56">
        <f>'Mastercurve bestimmen'!A47</f>
        <v>1000000000000000</v>
      </c>
    </row>
    <row r="104" spans="1:5" x14ac:dyDescent="0.25">
      <c r="A104" s="50">
        <f t="shared" si="0"/>
        <v>31</v>
      </c>
      <c r="B104" s="56">
        <f>'Mastercurve bestimmen'!C48</f>
        <v>1.0364109378839697E-2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17746.768</v>
      </c>
    </row>
    <row r="108" spans="1:5" s="11" customFormat="1" x14ac:dyDescent="0.25">
      <c r="A108" s="61" t="str">
        <f>STUTT!B3</f>
        <v>mp,PRXY,MatID,</v>
      </c>
      <c r="B108" s="52">
        <f>STUTT!C3</f>
        <v>0.29104294000000003</v>
      </c>
    </row>
    <row r="109" spans="1:5" s="11" customFormat="1" x14ac:dyDescent="0.25">
      <c r="A109" s="61" t="str">
        <f>STUTT!B4</f>
        <v>mp,ey,MatID,</v>
      </c>
      <c r="B109" s="52">
        <f>STUTT!C4</f>
        <v>21858.703000000001</v>
      </c>
    </row>
    <row r="110" spans="1:5" s="11" customFormat="1" x14ac:dyDescent="0.25">
      <c r="A110" s="61" t="str">
        <f>STUTT!B5</f>
        <v>mp,PRYZ,MatID,</v>
      </c>
      <c r="B110" s="52">
        <f>STUTT!C5</f>
        <v>0.35853411000000002</v>
      </c>
    </row>
    <row r="111" spans="1:5" s="11" customFormat="1" x14ac:dyDescent="0.25">
      <c r="A111" s="61" t="str">
        <f>STUTT!B6</f>
        <v>mp,ez,MatID,</v>
      </c>
      <c r="B111" s="52">
        <f>STUTT!C6</f>
        <v>17746.768</v>
      </c>
    </row>
    <row r="112" spans="1:5" s="11" customFormat="1" x14ac:dyDescent="0.25">
      <c r="A112" s="61" t="str">
        <f>STUTT!B7</f>
        <v>mp,PRXZ,MatID,</v>
      </c>
      <c r="B112" s="52">
        <f>STUTT!C7</f>
        <v>0.36009481999999998</v>
      </c>
    </row>
    <row r="113" spans="1:4" s="11" customFormat="1" x14ac:dyDescent="0.25">
      <c r="A113" s="61" t="str">
        <f>STUTT!B8</f>
        <v>MP,GXZ,</v>
      </c>
      <c r="B113" s="52" t="str">
        <f>STUTT!C8</f>
        <v>MatID,</v>
      </c>
      <c r="C113" s="112">
        <f>STUTT!D8</f>
        <v>6524.0923000000003</v>
      </c>
      <c r="D113" s="112"/>
    </row>
    <row r="114" spans="1:4" s="11" customFormat="1" x14ac:dyDescent="0.25">
      <c r="A114" s="61" t="str">
        <f>STUTT!B9</f>
        <v>MP,GXY,</v>
      </c>
      <c r="B114" s="52" t="str">
        <f>STUTT!C9</f>
        <v>MatID,</v>
      </c>
      <c r="C114" s="112">
        <f>STUTT!D9</f>
        <v>8117.2861999999996</v>
      </c>
      <c r="D114" s="112"/>
    </row>
    <row r="115" spans="1:4" x14ac:dyDescent="0.25">
      <c r="A115" s="61" t="str">
        <f>STUTT!B10</f>
        <v>MP,GYZ,</v>
      </c>
      <c r="B115" s="52" t="str">
        <f>STUTT!C10</f>
        <v>MatID,</v>
      </c>
      <c r="C115" s="112">
        <f>STUTT!D10</f>
        <v>8117.2861999999996</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-2.206E-7</v>
      </c>
      <c r="C3" s="3">
        <v>2.537E-6</v>
      </c>
      <c r="D3" s="3">
        <v>-2.206E-7</v>
      </c>
      <c r="E3" s="3">
        <v>-1.415E-5</v>
      </c>
      <c r="F3" s="3">
        <v>-1.415E-5</v>
      </c>
      <c r="G3" s="3">
        <v>-1.415E-5</v>
      </c>
      <c r="H3" s="3">
        <v>-4.4272276999999998E-6</v>
      </c>
      <c r="I3" s="3">
        <v>-1.0771048000000001E-6</v>
      </c>
      <c r="J3" s="3">
        <v>-4.4272276999999998E-6</v>
      </c>
      <c r="L3" s="48">
        <f>ABS(H3/(-0.5)/$L$1)</f>
        <v>2.5298444000000002E-5</v>
      </c>
      <c r="R3">
        <f>ABS(I3/(-0.5)/$R$1)</f>
        <v>2.2675890526315791E-5</v>
      </c>
    </row>
    <row r="4" spans="1:18" x14ac:dyDescent="0.25">
      <c r="A4">
        <v>-39</v>
      </c>
      <c r="B4" s="3">
        <v>2.2030000000000001E-7</v>
      </c>
      <c r="C4" s="3">
        <v>-2.5359999999999999E-6</v>
      </c>
      <c r="D4" s="3">
        <v>2.2030000000000001E-7</v>
      </c>
      <c r="E4" s="3">
        <v>1.415E-5</v>
      </c>
      <c r="F4" s="3">
        <v>1.415E-5</v>
      </c>
      <c r="G4" s="3">
        <v>1.415E-5</v>
      </c>
      <c r="H4" s="3">
        <v>4.4271084000000003E-6</v>
      </c>
      <c r="I4" s="3">
        <v>1.0771928999999999E-6</v>
      </c>
      <c r="J4" s="3">
        <v>4.4271084000000003E-6</v>
      </c>
      <c r="L4" s="48">
        <f t="shared" ref="L4:L14" si="0">ABS(H4/(-0.5)/$L$1)</f>
        <v>2.5297762285714289E-5</v>
      </c>
      <c r="N4" s="39" t="s">
        <v>27</v>
      </c>
      <c r="O4" s="39" t="s">
        <v>131</v>
      </c>
      <c r="P4" s="85" t="s">
        <v>132</v>
      </c>
      <c r="R4" s="11">
        <f t="shared" ref="R4:R14" si="1">ABS(I4/(-0.5)/$R$1)</f>
        <v>2.2677745263157891E-5</v>
      </c>
    </row>
    <row r="5" spans="1:18" x14ac:dyDescent="0.25">
      <c r="A5">
        <v>0</v>
      </c>
      <c r="B5" s="3">
        <v>-2.0980000000000001E-7</v>
      </c>
      <c r="C5" s="3">
        <v>2.5040000000000001E-6</v>
      </c>
      <c r="D5" s="3">
        <v>-2.0980000000000001E-7</v>
      </c>
      <c r="E5" s="3">
        <v>-1.415E-5</v>
      </c>
      <c r="F5" s="3">
        <v>-1.415E-5</v>
      </c>
      <c r="G5" s="3">
        <v>-1.415E-5</v>
      </c>
      <c r="H5" s="3">
        <v>-4.4223560999999998E-6</v>
      </c>
      <c r="I5" s="3">
        <v>-1.0807171000000001E-6</v>
      </c>
      <c r="J5" s="3">
        <v>-4.4223560999999998E-6</v>
      </c>
      <c r="L5" s="48">
        <f t="shared" si="0"/>
        <v>2.5270606285714287E-5</v>
      </c>
      <c r="M5" s="48"/>
      <c r="N5" s="10">
        <f>(INDEX(A:A,ROW(A2)*2+1)+INDEX(A:A,ROW(A2)*2+2))/2</f>
        <v>0.5</v>
      </c>
      <c r="O5" s="89">
        <f>(INDEX(L:L,ROW(L2)*2+1)+INDEX(L:L,ROW(L2)*2+2))/2</f>
        <v>2.5270250571428573E-5</v>
      </c>
      <c r="P5" s="89">
        <f>(INDEX(R:R,ROW(M2)*2+1)+INDEX(R:R,ROW(R2)*2+2))/2</f>
        <v>2.2752914736842108E-5</v>
      </c>
      <c r="R5" s="11">
        <f t="shared" si="1"/>
        <v>2.2751938947368423E-5</v>
      </c>
    </row>
    <row r="6" spans="1:18" x14ac:dyDescent="0.25">
      <c r="A6">
        <v>1</v>
      </c>
      <c r="B6" s="3">
        <v>2.0949999999999999E-7</v>
      </c>
      <c r="C6" s="3">
        <v>-2.503E-6</v>
      </c>
      <c r="D6" s="3">
        <v>2.0949999999999999E-7</v>
      </c>
      <c r="E6" s="3">
        <v>1.415E-5</v>
      </c>
      <c r="F6" s="3">
        <v>1.415E-5</v>
      </c>
      <c r="G6" s="3">
        <v>1.415E-5</v>
      </c>
      <c r="H6" s="3">
        <v>4.4222316000000001E-6</v>
      </c>
      <c r="I6" s="3">
        <v>1.0808098000000001E-6</v>
      </c>
      <c r="J6" s="3">
        <v>4.4222316000000001E-6</v>
      </c>
      <c r="L6" s="48">
        <f t="shared" si="0"/>
        <v>2.5269894857142858E-5</v>
      </c>
      <c r="M6" s="49"/>
      <c r="N6" s="10">
        <f>(INDEX(A:A,ROW(A3)*2+1)+INDEX(A:A,ROW(A3)*2+2))/2</f>
        <v>85.5</v>
      </c>
      <c r="O6" s="89">
        <f t="shared" ref="O6:O7" si="2">(INDEX(L:L,ROW(L3)*2+1)+INDEX(L:L,ROW(L3)*2+2))/2</f>
        <v>2.7904964857142861E-5</v>
      </c>
      <c r="P6" s="89">
        <f t="shared" ref="P6:P9" si="3">(INDEX(R:R,ROW(M3)*2+1)+INDEX(R:R,ROW(R3)*2+2))/2</f>
        <v>2.4298146315789474E-5</v>
      </c>
      <c r="R6" s="11">
        <f t="shared" si="1"/>
        <v>2.2753890526315792E-5</v>
      </c>
    </row>
    <row r="7" spans="1:18" x14ac:dyDescent="0.25">
      <c r="A7">
        <v>85</v>
      </c>
      <c r="B7" s="3">
        <v>-2.7080000000000002E-7</v>
      </c>
      <c r="C7" s="3">
        <v>3.083E-6</v>
      </c>
      <c r="D7" s="3">
        <v>-2.7080000000000002E-7</v>
      </c>
      <c r="E7" s="3">
        <v>-1.525E-5</v>
      </c>
      <c r="F7" s="3">
        <v>-1.525E-5</v>
      </c>
      <c r="G7" s="3">
        <v>-1.525E-5</v>
      </c>
      <c r="H7" s="3">
        <v>-4.6867119999999999E-6</v>
      </c>
      <c r="I7" s="3">
        <v>-1.1269766E-6</v>
      </c>
      <c r="J7" s="3">
        <v>-4.6867119999999999E-6</v>
      </c>
      <c r="L7" s="48">
        <f t="shared" si="0"/>
        <v>2.6781211428571431E-5</v>
      </c>
      <c r="M7" s="48"/>
      <c r="N7" s="10">
        <f>(INDEX(A:A,ROW(A4)*2+1)+INDEX(A:A,ROW(A4)*2+2))/2</f>
        <v>90.5</v>
      </c>
      <c r="O7" s="89">
        <f t="shared" si="2"/>
        <v>5.0383506285714289E-5</v>
      </c>
      <c r="P7" s="89">
        <f t="shared" si="3"/>
        <v>3.5754844210526318E-5</v>
      </c>
      <c r="R7" s="11">
        <f t="shared" si="1"/>
        <v>2.3725823157894736E-5</v>
      </c>
    </row>
    <row r="8" spans="1:18" x14ac:dyDescent="0.25">
      <c r="A8">
        <v>86</v>
      </c>
      <c r="B8" s="3">
        <v>3.9289999999999998E-7</v>
      </c>
      <c r="C8" s="3">
        <v>-4.0199999999999996E-6</v>
      </c>
      <c r="D8" s="3">
        <v>3.9289999999999998E-7</v>
      </c>
      <c r="E8" s="3">
        <v>1.681E-5</v>
      </c>
      <c r="F8" s="3">
        <v>1.681E-5</v>
      </c>
      <c r="G8" s="3">
        <v>1.681E-5</v>
      </c>
      <c r="H8" s="3">
        <v>5.0800257000000001E-6</v>
      </c>
      <c r="I8" s="3">
        <v>1.1813473000000001E-6</v>
      </c>
      <c r="J8" s="3">
        <v>5.0800257000000001E-6</v>
      </c>
      <c r="L8" s="48">
        <f t="shared" si="0"/>
        <v>2.9028718285714287E-5</v>
      </c>
      <c r="M8" s="49"/>
      <c r="N8" s="10">
        <f>(INDEX(A:A,ROW(A5)*2+1)+INDEX(A:A,ROW(A5)*2+2))/2</f>
        <v>95.5</v>
      </c>
      <c r="O8" s="89">
        <f t="shared" ref="O8:O9" si="4">(INDEX(L:L,ROW(L5)*2+1)+INDEX(L:L,ROW(L5)*2+2))/2</f>
        <v>7.0197717142857148E-5</v>
      </c>
      <c r="P8" s="89">
        <f t="shared" si="3"/>
        <v>4.5848989473684213E-5</v>
      </c>
      <c r="R8" s="11">
        <f t="shared" si="1"/>
        <v>2.4870469473684213E-5</v>
      </c>
    </row>
    <row r="9" spans="1:18" x14ac:dyDescent="0.25">
      <c r="A9">
        <v>90</v>
      </c>
      <c r="B9" s="3">
        <v>-1.4899999999999999E-6</v>
      </c>
      <c r="C9" s="3">
        <v>1.2449999999999999E-5</v>
      </c>
      <c r="D9" s="3">
        <v>-1.4899999999999999E-6</v>
      </c>
      <c r="E9" s="3">
        <v>-3.0899999999999999E-5</v>
      </c>
      <c r="F9" s="3">
        <v>-3.0899999999999999E-5</v>
      </c>
      <c r="G9" s="3">
        <v>-3.0899999999999999E-5</v>
      </c>
      <c r="H9" s="3">
        <v>-8.6203071000000002E-6</v>
      </c>
      <c r="I9" s="3">
        <v>-1.6710444000000001E-6</v>
      </c>
      <c r="J9" s="3">
        <v>-8.6203071000000002E-6</v>
      </c>
      <c r="L9" s="48">
        <f t="shared" si="0"/>
        <v>4.9258897714285715E-5</v>
      </c>
      <c r="M9" s="48"/>
      <c r="N9" s="10">
        <f>(INDEX(A:A,ROW(A6)*2+1)+INDEX(A:A,ROW(A6)*2+2))/2</f>
        <v>180.5</v>
      </c>
      <c r="O9" s="89">
        <f t="shared" si="4"/>
        <v>6.9821937142857152E-5</v>
      </c>
      <c r="P9" s="89">
        <f t="shared" si="3"/>
        <v>4.720299789473684E-5</v>
      </c>
      <c r="R9" s="11">
        <f t="shared" si="1"/>
        <v>3.5179882105263159E-5</v>
      </c>
    </row>
    <row r="10" spans="1:18" x14ac:dyDescent="0.25">
      <c r="A10">
        <v>91</v>
      </c>
      <c r="B10" s="3">
        <v>1.612E-6</v>
      </c>
      <c r="C10" s="3">
        <v>-1.3380000000000001E-5</v>
      </c>
      <c r="D10" s="3">
        <v>1.612E-6</v>
      </c>
      <c r="E10" s="3">
        <v>3.2459999999999998E-5</v>
      </c>
      <c r="F10" s="3">
        <v>3.2459999999999998E-5</v>
      </c>
      <c r="G10" s="3">
        <v>3.2459999999999998E-5</v>
      </c>
      <c r="H10" s="3">
        <v>9.0139200999999999E-6</v>
      </c>
      <c r="I10" s="3">
        <v>1.7256658000000001E-6</v>
      </c>
      <c r="J10" s="3">
        <v>9.0139200999999999E-6</v>
      </c>
      <c r="L10" s="48">
        <f t="shared" si="0"/>
        <v>5.1508114857142862E-5</v>
      </c>
      <c r="M10" s="49"/>
      <c r="N10" s="10"/>
      <c r="O10" s="3"/>
      <c r="R10" s="11">
        <f t="shared" si="1"/>
        <v>3.6329806315789477E-5</v>
      </c>
    </row>
    <row r="11" spans="1:18" x14ac:dyDescent="0.25">
      <c r="A11">
        <v>95</v>
      </c>
      <c r="B11" s="3">
        <v>-2.6340000000000001E-6</v>
      </c>
      <c r="C11" s="3">
        <v>2.1149999999999999E-5</v>
      </c>
      <c r="D11" s="3">
        <v>-2.6340000000000001E-6</v>
      </c>
      <c r="E11" s="3">
        <v>-4.545E-5</v>
      </c>
      <c r="F11" s="3">
        <v>-4.545E-5</v>
      </c>
      <c r="G11" s="3">
        <v>-4.545E-5</v>
      </c>
      <c r="H11" s="3">
        <v>-1.2284985000000001E-5</v>
      </c>
      <c r="I11" s="3">
        <v>-2.1774679999999999E-6</v>
      </c>
      <c r="J11" s="3">
        <v>-1.2284985000000001E-5</v>
      </c>
      <c r="L11" s="48">
        <f t="shared" si="0"/>
        <v>7.01999142857143E-5</v>
      </c>
      <c r="M11" s="48"/>
      <c r="N11" s="10"/>
      <c r="O11" s="3"/>
      <c r="R11" s="11">
        <f t="shared" si="1"/>
        <v>4.5841431578947368E-5</v>
      </c>
    </row>
    <row r="12" spans="1:18" x14ac:dyDescent="0.25">
      <c r="A12">
        <v>96</v>
      </c>
      <c r="B12" s="3">
        <v>2.632E-6</v>
      </c>
      <c r="C12" s="3">
        <v>-2.1149999999999999E-5</v>
      </c>
      <c r="D12" s="3">
        <v>2.632E-6</v>
      </c>
      <c r="E12" s="3">
        <v>4.545E-5</v>
      </c>
      <c r="F12" s="3">
        <v>4.545E-5</v>
      </c>
      <c r="G12" s="3">
        <v>4.545E-5</v>
      </c>
      <c r="H12" s="3">
        <v>1.2284216E-5</v>
      </c>
      <c r="I12" s="3">
        <v>2.1781860000000002E-6</v>
      </c>
      <c r="J12" s="3">
        <v>1.2284216E-5</v>
      </c>
      <c r="L12" s="48">
        <f t="shared" si="0"/>
        <v>7.0195520000000011E-5</v>
      </c>
      <c r="M12" s="49"/>
      <c r="N12" s="10"/>
      <c r="O12" s="3"/>
      <c r="R12" s="11">
        <f t="shared" si="1"/>
        <v>4.5856547368421059E-5</v>
      </c>
    </row>
    <row r="13" spans="1:18" x14ac:dyDescent="0.25">
      <c r="A13">
        <v>180</v>
      </c>
      <c r="B13" s="3">
        <v>-2.4600000000000002E-6</v>
      </c>
      <c r="C13" s="3">
        <v>2.056E-5</v>
      </c>
      <c r="D13" s="3">
        <v>-2.4600000000000002E-6</v>
      </c>
      <c r="E13" s="3">
        <v>-4.545E-5</v>
      </c>
      <c r="F13" s="3">
        <v>-4.545E-5</v>
      </c>
      <c r="G13" s="3">
        <v>-4.545E-5</v>
      </c>
      <c r="H13" s="3">
        <v>-1.2219225999999999E-5</v>
      </c>
      <c r="I13" s="3">
        <v>-2.2417489999999999E-6</v>
      </c>
      <c r="J13" s="3">
        <v>-1.2219225999999999E-5</v>
      </c>
      <c r="L13" s="48">
        <f t="shared" si="0"/>
        <v>6.9824148571428571E-5</v>
      </c>
      <c r="M13" s="48"/>
      <c r="N13" s="10"/>
      <c r="O13" s="3"/>
      <c r="R13" s="11">
        <f t="shared" si="1"/>
        <v>4.7194715789473682E-5</v>
      </c>
    </row>
    <row r="14" spans="1:18" x14ac:dyDescent="0.25">
      <c r="A14" s="11">
        <v>181</v>
      </c>
      <c r="B14" s="3">
        <v>2.458E-6</v>
      </c>
      <c r="C14" s="3">
        <v>-2.0550000000000001E-5</v>
      </c>
      <c r="D14" s="3">
        <v>2.458E-6</v>
      </c>
      <c r="E14" s="3">
        <v>4.545E-5</v>
      </c>
      <c r="F14" s="3">
        <v>4.545E-5</v>
      </c>
      <c r="G14" s="3">
        <v>4.545E-5</v>
      </c>
      <c r="H14" s="3">
        <v>1.2218452E-5</v>
      </c>
      <c r="I14" s="3">
        <v>2.2425358E-6</v>
      </c>
      <c r="J14" s="3">
        <v>1.2218452E-5</v>
      </c>
      <c r="L14" s="48">
        <f t="shared" si="0"/>
        <v>6.981972571428572E-5</v>
      </c>
      <c r="M14" s="49"/>
      <c r="N14" s="10"/>
      <c r="O14" s="3"/>
      <c r="R14" s="11">
        <f t="shared" si="1"/>
        <v>4.7211279999999998E-5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17746.768</v>
      </c>
    </row>
    <row r="3" spans="2:4" x14ac:dyDescent="0.25">
      <c r="B3" t="s">
        <v>119</v>
      </c>
      <c r="C3" s="3">
        <v>0.29104294000000003</v>
      </c>
    </row>
    <row r="4" spans="2:4" x14ac:dyDescent="0.25">
      <c r="B4" t="s">
        <v>120</v>
      </c>
      <c r="C4" s="3">
        <v>21858.703000000001</v>
      </c>
    </row>
    <row r="5" spans="2:4" x14ac:dyDescent="0.25">
      <c r="B5" t="s">
        <v>121</v>
      </c>
      <c r="C5" s="3">
        <v>0.35853411000000002</v>
      </c>
    </row>
    <row r="6" spans="2:4" x14ac:dyDescent="0.25">
      <c r="B6" t="s">
        <v>122</v>
      </c>
      <c r="C6" s="3">
        <v>17746.768</v>
      </c>
    </row>
    <row r="7" spans="2:4" x14ac:dyDescent="0.25">
      <c r="B7" t="s">
        <v>123</v>
      </c>
      <c r="C7" s="3">
        <v>0.36009481999999998</v>
      </c>
    </row>
    <row r="8" spans="2:4" x14ac:dyDescent="0.25">
      <c r="B8" t="s">
        <v>124</v>
      </c>
      <c r="C8" t="s">
        <v>125</v>
      </c>
      <c r="D8" s="3">
        <v>6524.0923000000003</v>
      </c>
    </row>
    <row r="9" spans="2:4" x14ac:dyDescent="0.25">
      <c r="B9" t="s">
        <v>126</v>
      </c>
      <c r="C9" t="s">
        <v>125</v>
      </c>
      <c r="D9" s="3">
        <v>8117.2861999999996</v>
      </c>
    </row>
    <row r="10" spans="2:4" x14ac:dyDescent="0.25">
      <c r="B10" t="s">
        <v>127</v>
      </c>
      <c r="C10" t="s">
        <v>125</v>
      </c>
      <c r="D10" s="3">
        <v>8117.2861999999996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-5.5892037142857146E-4</v>
      </c>
      <c r="C3" s="2">
        <f>IF('Modell einstellen'!$B$2="Ja",creep_res0!O3,creep_res0!C3)</f>
        <v>-5.6168965714285715E-4</v>
      </c>
      <c r="D3" s="2">
        <f>IF('Modell einstellen'!$B$2="Ja",creep_res25!O3,creep_res25!C3)</f>
        <v>-5.6348934285714288E-4</v>
      </c>
      <c r="E3" s="2">
        <f>IF('Modell einstellen'!$B$2="Ja",creep_res50!O3,creep_res50!C3)</f>
        <v>-5.6534522857142858E-4</v>
      </c>
      <c r="F3" s="2">
        <f>IF('Modell einstellen'!$B$2="Ja",creep_res80!O3,creep_res80!C3)</f>
        <v>-5.6765062857142858E-4</v>
      </c>
      <c r="G3" s="2">
        <f>IF('Modell einstellen'!$B$2="Ja",creep_res125!O3,creep_res125!C3)</f>
        <v>-6.1840197142857146E-4</v>
      </c>
      <c r="H3" s="2">
        <f>IF('Modell einstellen'!$B$2="Ja",creep_res160!O3,creep_res160!C3)</f>
        <v>-6.5662397142857143E-4</v>
      </c>
      <c r="M3" s="9">
        <v>-10</v>
      </c>
      <c r="N3" s="2">
        <f t="shared" ref="N3:N33" si="4">A3</f>
        <v>1.0000000000000001E-15</v>
      </c>
      <c r="O3" s="2">
        <f t="shared" ref="O3:O33" si="5">$M$3/B3</f>
        <v>17891.636288798203</v>
      </c>
      <c r="P3" s="2">
        <f t="shared" ref="P3:P33" si="6">$M$3/C3</f>
        <v>17803.425562199114</v>
      </c>
      <c r="Q3" s="2">
        <f t="shared" ref="Q3:Q33" si="7">$M$3/D3</f>
        <v>17746.564556652535</v>
      </c>
      <c r="R3" s="2">
        <f t="shared" ref="R3:R33" si="8">$M$3/E3</f>
        <v>17688.307063754673</v>
      </c>
      <c r="S3" s="2">
        <f t="shared" ref="S3:S33" si="9">$M$3/F3</f>
        <v>17616.469526628349</v>
      </c>
      <c r="T3" s="2">
        <f t="shared" ref="T3:T33" si="10">$M$3/G3</f>
        <v>16170.711708597861</v>
      </c>
      <c r="U3" s="2">
        <f t="shared" ref="U3:U33" si="11">$M$3/H3</f>
        <v>15229.41658411235</v>
      </c>
      <c r="Z3" s="2">
        <v>1.0000000000000001E-15</v>
      </c>
      <c r="AA3" s="3">
        <f>IF('Modell einstellen'!$B$2="Ja",'creep_res-40'!P3,'creep_res-40'!L3)</f>
        <v>0.36075821278502584</v>
      </c>
      <c r="AB3" s="2">
        <f>IF('Modell einstellen'!$B$2="Ja",creep_res0!P3,creep_res0!L3)</f>
        <v>0.36034330192910802</v>
      </c>
      <c r="AC3" s="2">
        <f>IF('Modell einstellen'!$B$2="Ja",creep_res25!P3,creep_res25!L3)</f>
        <v>0.36007959993361766</v>
      </c>
      <c r="AD3" s="2">
        <f>IF('Modell einstellen'!$B$2="Ja",creep_res50!P3,creep_res50!L3)</f>
        <v>0.35981245441786447</v>
      </c>
      <c r="AE3" s="2">
        <f>IF('Modell einstellen'!$B$2="Ja",creep_res80!P3,creep_res80!L3)</f>
        <v>0.35948725403130255</v>
      </c>
      <c r="AF3" s="2">
        <f>IF('Modell einstellen'!$B$2="Ja",creep_res125!P3,creep_res125!L3)</f>
        <v>0.37888694126783645</v>
      </c>
      <c r="AG3" s="2">
        <f>IF('Modell einstellen'!$B$2="Ja",creep_res160!P3,creep_res160!L3)</f>
        <v>0.39233060069735937</v>
      </c>
      <c r="AL3" s="2">
        <f t="shared" ref="AL3:AL33" si="12">Z3</f>
        <v>1.0000000000000001E-15</v>
      </c>
      <c r="AM3" s="2">
        <f t="shared" ref="AM3:AM33" si="13">O3/(2*(1+AA3))</f>
        <v>6574.1423129756067</v>
      </c>
      <c r="AN3" s="2">
        <f t="shared" ref="AN3:AN33" si="14">P3/(2*(1+AB3))</f>
        <v>6543.7252261807771</v>
      </c>
      <c r="AO3" s="2">
        <f t="shared" ref="AO3:AO33" si="15">Q3/(2*(1+AC3))</f>
        <v>6524.0904126194901</v>
      </c>
      <c r="AP3" s="2">
        <f t="shared" ref="AP3:AP33" si="16">R3/(2*(1+AD3))</f>
        <v>6503.9509699618966</v>
      </c>
      <c r="AQ3" s="2">
        <f t="shared" ref="AQ3:AQ33" si="17">S3/(2*(1+AE3))</f>
        <v>6479.0859474371819</v>
      </c>
      <c r="AR3" s="2">
        <f t="shared" ref="AR3:AR33" si="18">T3/(2*(1+AF3))</f>
        <v>5863.6829549380891</v>
      </c>
      <c r="AS3" s="2">
        <f t="shared" ref="AS3:AS33" si="19">U3/(2*(1+AG3))</f>
        <v>5469.0375175567433</v>
      </c>
      <c r="AX3" s="2">
        <f>AL3</f>
        <v>1.0000000000000001E-15</v>
      </c>
      <c r="AY3" s="37">
        <f t="shared" ref="AY3:AY33" si="20">O3/(3*(1-(2*AA3)))</f>
        <v>21415.549463341617</v>
      </c>
      <c r="AZ3" s="37">
        <f t="shared" ref="AZ3:AZ33" si="21">P3/(3*(1-(2*AB3)))</f>
        <v>21246.654365218023</v>
      </c>
      <c r="BA3" s="37">
        <f t="shared" ref="BA3:BA33" si="22">Q3/(3*(1-(2*AC3)))</f>
        <v>21138.881521485364</v>
      </c>
      <c r="BB3" s="37">
        <f t="shared" ref="BB3:BB33" si="23">R3/(3*(1-(2*AD3)))</f>
        <v>21029.337271371158</v>
      </c>
      <c r="BC3" s="37">
        <f t="shared" ref="BC3:BC33" si="24">S3/(3*(1-(2*AE3)))</f>
        <v>20895.458516568593</v>
      </c>
      <c r="BD3" s="37">
        <f t="shared" ref="BD3:BD33" si="25">T3/(3*(1-(2*AF3)))</f>
        <v>22252.915138241082</v>
      </c>
      <c r="BE3" s="37">
        <f t="shared" ref="BE3:BE33" si="26">U3/(3*(1-(2*AG3)))</f>
        <v>23574.349943362293</v>
      </c>
    </row>
    <row r="4" spans="1:308" x14ac:dyDescent="0.25">
      <c r="A4" s="2">
        <f>'creep_res-40'!A4</f>
        <v>1E-14</v>
      </c>
      <c r="B4" s="3">
        <f>'creep_res-40'!O4</f>
        <v>-5.5890980000000007E-4</v>
      </c>
      <c r="C4" s="2">
        <f>IF('Modell einstellen'!$B$2="Ja",creep_res0!O4,creep_res0!C4)</f>
        <v>-5.6167891428571433E-4</v>
      </c>
      <c r="D4" s="2">
        <f>IF('Modell einstellen'!$B$2="Ja",creep_res25!O4,creep_res25!C4)</f>
        <v>-5.6347848571428581E-4</v>
      </c>
      <c r="E4" s="2">
        <f>IF('Modell einstellen'!$B$2="Ja",creep_res50!O4,creep_res50!C4)</f>
        <v>-5.6533422857142862E-4</v>
      </c>
      <c r="F4" s="2">
        <f>IF('Modell einstellen'!$B$2="Ja",creep_res80!O4,creep_res80!C4)</f>
        <v>-5.6763991428571429E-4</v>
      </c>
      <c r="G4" s="2">
        <f>IF('Modell einstellen'!$B$2="Ja",creep_res125!O4,creep_res125!C4)</f>
        <v>-6.4192477142857151E-4</v>
      </c>
      <c r="H4" s="2">
        <f>IF('Modell einstellen'!$B$2="Ja",creep_res160!O4,creep_res160!C4)</f>
        <v>-6.9128320000000007E-4</v>
      </c>
      <c r="M4" s="9">
        <f t="shared" ref="M4:M31" si="27">M3</f>
        <v>-10</v>
      </c>
      <c r="N4" s="2">
        <f t="shared" si="4"/>
        <v>1E-14</v>
      </c>
      <c r="O4" s="2">
        <f t="shared" si="5"/>
        <v>17891.97469788506</v>
      </c>
      <c r="P4" s="2">
        <f t="shared" si="6"/>
        <v>17803.766076419255</v>
      </c>
      <c r="Q4" s="2">
        <f t="shared" si="7"/>
        <v>17746.906498699122</v>
      </c>
      <c r="R4" s="2">
        <f t="shared" si="8"/>
        <v>17688.651234278703</v>
      </c>
      <c r="S4" s="2">
        <f t="shared" si="9"/>
        <v>17616.802040045808</v>
      </c>
      <c r="T4" s="2">
        <f t="shared" si="10"/>
        <v>15578.149411099215</v>
      </c>
      <c r="U4" s="2">
        <f t="shared" si="11"/>
        <v>14465.85133270995</v>
      </c>
      <c r="Z4" s="2">
        <v>1E-14</v>
      </c>
      <c r="AA4" s="3">
        <f>IF('Modell einstellen'!$B$2="Ja",'creep_res-40'!P4,'creep_res-40'!L4)</f>
        <v>0.36077235156217125</v>
      </c>
      <c r="AB4" s="2">
        <f>IF('Modell einstellen'!$B$2="Ja",creep_res0!P4,creep_res0!L4)</f>
        <v>0.36035794624300349</v>
      </c>
      <c r="AC4" s="2">
        <f>IF('Modell einstellen'!$B$2="Ja",creep_res25!P4,creep_res25!L4)</f>
        <v>0.36009455957426084</v>
      </c>
      <c r="AD4" s="2">
        <f>IF('Modell einstellen'!$B$2="Ja",creep_res50!P4,creep_res50!L4)</f>
        <v>0.35982775903286135</v>
      </c>
      <c r="AE4" s="2">
        <f>IF('Modell einstellen'!$B$2="Ja",creep_res80!P4,creep_res80!L4)</f>
        <v>0.35950314980870418</v>
      </c>
      <c r="AF4" s="2">
        <f>IF('Modell einstellen'!$B$2="Ja",creep_res125!P4,creep_res125!L4)</f>
        <v>0.38862667797254569</v>
      </c>
      <c r="AG4" s="2">
        <f>IF('Modell einstellen'!$B$2="Ja",creep_res160!P4,creep_res160!L4)</f>
        <v>0.40597346665282347</v>
      </c>
      <c r="AL4" s="2">
        <f t="shared" si="12"/>
        <v>1E-14</v>
      </c>
      <c r="AM4" s="2">
        <f t="shared" si="13"/>
        <v>6574.1983504239388</v>
      </c>
      <c r="AN4" s="2">
        <f t="shared" si="14"/>
        <v>6543.7799387981568</v>
      </c>
      <c r="AO4" s="2">
        <f t="shared" si="15"/>
        <v>6524.1443595856636</v>
      </c>
      <c r="AP4" s="2">
        <f t="shared" si="16"/>
        <v>6504.0043184804708</v>
      </c>
      <c r="AQ4" s="2">
        <f t="shared" si="17"/>
        <v>6479.1324839978006</v>
      </c>
      <c r="AR4" s="2">
        <f t="shared" si="18"/>
        <v>5609.1927579282792</v>
      </c>
      <c r="AS4" s="2">
        <f t="shared" si="19"/>
        <v>5144.4254375399241</v>
      </c>
      <c r="AX4" s="2">
        <f t="shared" ref="AX4:AX32" si="28">AL4</f>
        <v>1E-14</v>
      </c>
      <c r="AY4" s="37">
        <f t="shared" si="20"/>
        <v>21418.129347436585</v>
      </c>
      <c r="AZ4" s="37">
        <f t="shared" si="21"/>
        <v>21249.288922902317</v>
      </c>
      <c r="BA4" s="37">
        <f t="shared" si="22"/>
        <v>21141.54918337987</v>
      </c>
      <c r="BB4" s="37">
        <f t="shared" si="23"/>
        <v>21032.04256923874</v>
      </c>
      <c r="BC4" s="37">
        <f t="shared" si="24"/>
        <v>20898.217072790078</v>
      </c>
      <c r="BD4" s="37">
        <f t="shared" si="25"/>
        <v>23312.20967390361</v>
      </c>
      <c r="BE4" s="37">
        <f t="shared" si="26"/>
        <v>25641.434776886017</v>
      </c>
      <c r="BF4" s="5"/>
      <c r="BG4" s="5"/>
    </row>
    <row r="5" spans="1:308" x14ac:dyDescent="0.25">
      <c r="A5" s="2">
        <f>'creep_res-40'!A5</f>
        <v>1E-13</v>
      </c>
      <c r="B5" s="3">
        <f>'creep_res-40'!O5</f>
        <v>-5.5891268571428576E-4</v>
      </c>
      <c r="C5" s="2">
        <f>IF('Modell einstellen'!$B$2="Ja",creep_res0!O5,creep_res0!C5)</f>
        <v>-5.6168177142857149E-4</v>
      </c>
      <c r="D5" s="2">
        <f>IF('Modell einstellen'!$B$2="Ja",creep_res25!O5,creep_res25!C5)</f>
        <v>-5.6348131428571432E-4</v>
      </c>
      <c r="E5" s="2">
        <f>IF('Modell einstellen'!$B$2="Ja",creep_res50!O5,creep_res50!C5)</f>
        <v>-5.6533705714285724E-4</v>
      </c>
      <c r="F5" s="2">
        <f>IF('Modell einstellen'!$B$2="Ja",creep_res80!O5,creep_res80!C5)</f>
        <v>-5.6764697142857147E-4</v>
      </c>
      <c r="G5" s="2">
        <f>IF('Modell einstellen'!$B$2="Ja",creep_res125!O5,creep_res125!C5)</f>
        <v>-6.6578565714285718E-4</v>
      </c>
      <c r="H5" s="2">
        <f>IF('Modell einstellen'!$B$2="Ja",creep_res160!O5,creep_res160!C5)</f>
        <v>-7.2510685714285712E-4</v>
      </c>
      <c r="M5" s="9">
        <f t="shared" si="27"/>
        <v>-10</v>
      </c>
      <c r="N5" s="2">
        <f t="shared" si="4"/>
        <v>1E-13</v>
      </c>
      <c r="O5" s="2">
        <f t="shared" si="5"/>
        <v>17891.882320080251</v>
      </c>
      <c r="P5" s="2">
        <f t="shared" si="6"/>
        <v>17803.675512855218</v>
      </c>
      <c r="Q5" s="2">
        <f t="shared" si="7"/>
        <v>17746.817412528217</v>
      </c>
      <c r="R5" s="2">
        <f t="shared" si="8"/>
        <v>17688.562732007609</v>
      </c>
      <c r="S5" s="2">
        <f t="shared" si="9"/>
        <v>17616.583023130472</v>
      </c>
      <c r="T5" s="2">
        <f t="shared" si="10"/>
        <v>15019.848944950021</v>
      </c>
      <c r="U5" s="2">
        <f t="shared" si="11"/>
        <v>13791.070793900722</v>
      </c>
      <c r="Z5" s="2">
        <v>1E-13</v>
      </c>
      <c r="AA5" s="3">
        <f>IF('Modell einstellen'!$B$2="Ja",'creep_res-40'!P5,'creep_res-40'!L5)</f>
        <v>0.3607724109628368</v>
      </c>
      <c r="AB5" s="2">
        <f>IF('Modell einstellen'!$B$2="Ja",creep_res0!P5,creep_res0!L5)</f>
        <v>0.36035802072368178</v>
      </c>
      <c r="AC5" s="2">
        <f>IF('Modell einstellen'!$B$2="Ja",creep_res25!P5,creep_res25!L5)</f>
        <v>0.36009465848176681</v>
      </c>
      <c r="AD5" s="2">
        <f>IF('Modell einstellen'!$B$2="Ja",creep_res50!P5,creep_res50!L5)</f>
        <v>0.35982785389671706</v>
      </c>
      <c r="AE5" s="2">
        <f>IF('Modell einstellen'!$B$2="Ja",creep_res80!P5,creep_res80!L5)</f>
        <v>0.35950523876912627</v>
      </c>
      <c r="AF5" s="2">
        <f>IF('Modell einstellen'!$B$2="Ja",creep_res125!P5,creep_res125!L5)</f>
        <v>0.39830491134469787</v>
      </c>
      <c r="AG5" s="2">
        <f>IF('Modell einstellen'!$B$2="Ja",creep_res160!P5,creep_res160!L5)</f>
        <v>0.41898636417726026</v>
      </c>
      <c r="AL5" s="2">
        <f t="shared" si="12"/>
        <v>1E-13</v>
      </c>
      <c r="AM5" s="2">
        <f t="shared" si="13"/>
        <v>6574.1641202956771</v>
      </c>
      <c r="AN5" s="2">
        <f t="shared" si="14"/>
        <v>6543.7462938558028</v>
      </c>
      <c r="AO5" s="2">
        <f t="shared" si="15"/>
        <v>6524.1111351538066</v>
      </c>
      <c r="AP5" s="2">
        <f t="shared" si="16"/>
        <v>6503.9713230315656</v>
      </c>
      <c r="AQ5" s="2">
        <f t="shared" si="17"/>
        <v>6479.041978197979</v>
      </c>
      <c r="AR5" s="2">
        <f t="shared" si="18"/>
        <v>5370.7345311781783</v>
      </c>
      <c r="AS5" s="2">
        <f t="shared" si="19"/>
        <v>4859.4796757955091</v>
      </c>
      <c r="AX5" s="2">
        <f t="shared" si="28"/>
        <v>1E-13</v>
      </c>
      <c r="AY5" s="37">
        <f t="shared" si="20"/>
        <v>21418.027901668822</v>
      </c>
      <c r="AZ5" s="37">
        <f t="shared" si="21"/>
        <v>21249.192166425808</v>
      </c>
      <c r="BA5" s="37">
        <f t="shared" si="22"/>
        <v>21141.458002892334</v>
      </c>
      <c r="BB5" s="37">
        <f t="shared" si="23"/>
        <v>21031.951572573435</v>
      </c>
      <c r="BC5" s="37">
        <f t="shared" si="24"/>
        <v>20898.267983792535</v>
      </c>
      <c r="BD5" s="37">
        <f t="shared" si="25"/>
        <v>24615.821575972968</v>
      </c>
      <c r="BE5" s="37">
        <f t="shared" si="26"/>
        <v>28371.912649528116</v>
      </c>
    </row>
    <row r="6" spans="1:308" x14ac:dyDescent="0.25">
      <c r="A6" s="2">
        <f>'creep_res-40'!A6</f>
        <v>9.9999999999999998E-13</v>
      </c>
      <c r="B6" s="3">
        <f>'creep_res-40'!O6</f>
        <v>-5.5891354285714288E-4</v>
      </c>
      <c r="C6" s="2">
        <f>IF('Modell einstellen'!$B$2="Ja",creep_res0!O6,creep_res0!C6)</f>
        <v>-5.6168260000000008E-4</v>
      </c>
      <c r="D6" s="2">
        <f>IF('Modell einstellen'!$B$2="Ja",creep_res25!O6,creep_res25!C6)</f>
        <v>-5.6348214285714291E-4</v>
      </c>
      <c r="E6" s="2">
        <f>IF('Modell einstellen'!$B$2="Ja",creep_res50!O6,creep_res50!C6)</f>
        <v>-5.6533788571428573E-4</v>
      </c>
      <c r="F6" s="2">
        <f>IF('Modell einstellen'!$B$2="Ja",creep_res80!O6,creep_res80!C6)</f>
        <v>-5.6769022857142864E-4</v>
      </c>
      <c r="G6" s="2">
        <f>IF('Modell einstellen'!$B$2="Ja",creep_res125!O6,creep_res125!C6)</f>
        <v>-6.9553491428571434E-4</v>
      </c>
      <c r="H6" s="2">
        <f>IF('Modell einstellen'!$B$2="Ja",creep_res160!O6,creep_res160!C6)</f>
        <v>-7.6208288571428585E-4</v>
      </c>
      <c r="M6" s="9">
        <f t="shared" si="27"/>
        <v>-10</v>
      </c>
      <c r="N6" s="2">
        <f t="shared" si="4"/>
        <v>9.9999999999999998E-13</v>
      </c>
      <c r="O6" s="2">
        <f t="shared" si="5"/>
        <v>17891.85488131208</v>
      </c>
      <c r="P6" s="2">
        <f t="shared" si="6"/>
        <v>17803.649249593986</v>
      </c>
      <c r="Q6" s="2">
        <f t="shared" si="7"/>
        <v>17746.791316748531</v>
      </c>
      <c r="R6" s="2">
        <f t="shared" si="8"/>
        <v>17688.536807267625</v>
      </c>
      <c r="S6" s="2">
        <f t="shared" si="9"/>
        <v>17615.24066596078</v>
      </c>
      <c r="T6" s="2">
        <f t="shared" si="10"/>
        <v>14377.423468769482</v>
      </c>
      <c r="U6" s="2">
        <f t="shared" si="11"/>
        <v>13121.932256262637</v>
      </c>
      <c r="Z6" s="2">
        <v>9.9999999999999998E-13</v>
      </c>
      <c r="AA6" s="3">
        <f>IF('Modell einstellen'!$B$2="Ja",'creep_res-40'!P6,'creep_res-40'!L6)</f>
        <v>0.36077245067394526</v>
      </c>
      <c r="AB6" s="2">
        <f>IF('Modell einstellen'!$B$2="Ja",creep_res0!P6,creep_res0!L6)</f>
        <v>0.36035808428868132</v>
      </c>
      <c r="AC6" s="2">
        <f>IF('Modell einstellen'!$B$2="Ja",creep_res25!P6,creep_res25!L6)</f>
        <v>0.36009471716051339</v>
      </c>
      <c r="AD6" s="2">
        <f>IF('Modell einstellen'!$B$2="Ja",creep_res50!P6,creep_res50!L6)</f>
        <v>0.35982791277388299</v>
      </c>
      <c r="AE6" s="2">
        <f>IF('Modell einstellen'!$B$2="Ja",creep_res80!P6,creep_res80!L6)</f>
        <v>0.35952503372311995</v>
      </c>
      <c r="AF6" s="2">
        <f>IF('Modell einstellen'!$B$2="Ja",creep_res125!P6,creep_res125!L6)</f>
        <v>0.41011716696403283</v>
      </c>
      <c r="AG6" s="2">
        <f>IF('Modell einstellen'!$B$2="Ja",creep_res160!P6,creep_res160!L6)</f>
        <v>0.43281088922423544</v>
      </c>
      <c r="AL6" s="2">
        <f t="shared" si="12"/>
        <v>9.9999999999999998E-13</v>
      </c>
      <c r="AM6" s="2">
        <f t="shared" si="13"/>
        <v>6574.1538463873376</v>
      </c>
      <c r="AN6" s="2">
        <f t="shared" si="14"/>
        <v>6543.7363350192272</v>
      </c>
      <c r="AO6" s="2">
        <f t="shared" si="15"/>
        <v>6524.1012603146964</v>
      </c>
      <c r="AP6" s="2">
        <f t="shared" si="16"/>
        <v>6503.9615090652051</v>
      </c>
      <c r="AQ6" s="2">
        <f t="shared" si="17"/>
        <v>6478.4539559822069</v>
      </c>
      <c r="AR6" s="2">
        <f t="shared" si="18"/>
        <v>5097.9534912421213</v>
      </c>
      <c r="AS6" s="2">
        <f t="shared" si="19"/>
        <v>4579.0872874253573</v>
      </c>
      <c r="AX6" s="2">
        <f t="shared" si="28"/>
        <v>9.9999999999999998E-13</v>
      </c>
      <c r="AY6" s="37">
        <f t="shared" si="20"/>
        <v>21418.001164184629</v>
      </c>
      <c r="AZ6" s="37">
        <f t="shared" si="21"/>
        <v>21249.170493095851</v>
      </c>
      <c r="BA6" s="37">
        <f t="shared" si="22"/>
        <v>21141.435782556586</v>
      </c>
      <c r="BB6" s="37">
        <f t="shared" si="23"/>
        <v>21031.929581830798</v>
      </c>
      <c r="BC6" s="37">
        <f t="shared" si="24"/>
        <v>20899.620210907251</v>
      </c>
      <c r="BD6" s="37">
        <f t="shared" si="25"/>
        <v>26659.565167867426</v>
      </c>
      <c r="BE6" s="37">
        <f t="shared" si="26"/>
        <v>32549.74926928135</v>
      </c>
    </row>
    <row r="7" spans="1:308" x14ac:dyDescent="0.25">
      <c r="A7" s="2">
        <f>'creep_res-40'!A7</f>
        <v>9.9999999999999994E-12</v>
      </c>
      <c r="B7" s="3">
        <f>'creep_res-40'!O7</f>
        <v>-5.5891380000000002E-4</v>
      </c>
      <c r="C7" s="2">
        <f>IF('Modell einstellen'!$B$2="Ja",creep_res0!O7,creep_res0!C7)</f>
        <v>-5.6168285714285721E-4</v>
      </c>
      <c r="D7" s="2">
        <f>IF('Modell einstellen'!$B$2="Ja",creep_res25!O7,creep_res25!C7)</f>
        <v>-5.6348240000000005E-4</v>
      </c>
      <c r="E7" s="2">
        <f>IF('Modell einstellen'!$B$2="Ja",creep_res50!O7,creep_res50!C7)</f>
        <v>-5.6533814285714286E-4</v>
      </c>
      <c r="F7" s="2">
        <f>IF('Modell einstellen'!$B$2="Ja",creep_res80!O7,creep_res80!C7)</f>
        <v>-5.6810754285714291E-4</v>
      </c>
      <c r="G7" s="2">
        <f>IF('Modell einstellen'!$B$2="Ja",creep_res125!O7,creep_res125!C7)</f>
        <v>-7.2880822857142866E-4</v>
      </c>
      <c r="H7" s="2">
        <f>IF('Modell einstellen'!$B$2="Ja",creep_res160!O7,creep_res160!C7)</f>
        <v>-8.0717060000000005E-4</v>
      </c>
      <c r="M7" s="9">
        <f t="shared" si="27"/>
        <v>-10</v>
      </c>
      <c r="N7" s="2">
        <f t="shared" si="4"/>
        <v>9.9999999999999994E-12</v>
      </c>
      <c r="O7" s="2">
        <f t="shared" si="5"/>
        <v>17891.84664969804</v>
      </c>
      <c r="P7" s="2">
        <f t="shared" si="6"/>
        <v>17803.641098942462</v>
      </c>
      <c r="Q7" s="2">
        <f t="shared" si="7"/>
        <v>17746.783218073891</v>
      </c>
      <c r="R7" s="2">
        <f t="shared" si="8"/>
        <v>17688.528761674112</v>
      </c>
      <c r="S7" s="2">
        <f t="shared" si="9"/>
        <v>17602.301053261344</v>
      </c>
      <c r="T7" s="2">
        <f t="shared" si="10"/>
        <v>13721.030592096184</v>
      </c>
      <c r="U7" s="2">
        <f t="shared" si="11"/>
        <v>12388.954701769366</v>
      </c>
      <c r="Z7" s="2">
        <v>9.9999999999999994E-12</v>
      </c>
      <c r="AA7" s="3">
        <f>IF('Modell einstellen'!$B$2="Ja",'creep_res-40'!P7,'creep_res-40'!L7)</f>
        <v>0.36077248405747009</v>
      </c>
      <c r="AB7" s="2">
        <f>IF('Modell einstellen'!$B$2="Ja",creep_res0!P7,creep_res0!L7)</f>
        <v>0.36035811261057327</v>
      </c>
      <c r="AC7" s="2">
        <f>IF('Modell einstellen'!$B$2="Ja",creep_res25!P7,creep_res25!L7)</f>
        <v>0.36009474551214277</v>
      </c>
      <c r="AD7" s="2">
        <f>IF('Modell einstellen'!$B$2="Ja",creep_res50!P7,creep_res50!L7)</f>
        <v>0.35982794115380251</v>
      </c>
      <c r="AE7" s="2">
        <f>IF('Modell einstellen'!$B$2="Ja",creep_res80!P7,creep_res80!L7)</f>
        <v>0.35971877859745266</v>
      </c>
      <c r="AF7" s="2">
        <f>IF('Modell einstellen'!$B$2="Ja",creep_res125!P7,creep_res125!L7)</f>
        <v>0.42303450549092125</v>
      </c>
      <c r="AG7" s="2">
        <f>IF('Modell einstellen'!$B$2="Ja",creep_res160!P7,creep_res160!L7)</f>
        <v>0.44912640347830879</v>
      </c>
      <c r="AL7" s="2">
        <f t="shared" si="12"/>
        <v>9.9999999999999994E-12</v>
      </c>
      <c r="AM7" s="2">
        <f t="shared" si="13"/>
        <v>6574.1506604943988</v>
      </c>
      <c r="AN7" s="2">
        <f t="shared" si="14"/>
        <v>6543.7332030080934</v>
      </c>
      <c r="AO7" s="2">
        <f t="shared" si="15"/>
        <v>6524.0981470711258</v>
      </c>
      <c r="AP7" s="2">
        <f t="shared" si="16"/>
        <v>6503.9584150129849</v>
      </c>
      <c r="AQ7" s="2">
        <f t="shared" si="17"/>
        <v>6472.7726535549082</v>
      </c>
      <c r="AR7" s="2">
        <f t="shared" si="18"/>
        <v>4821.046341164677</v>
      </c>
      <c r="AS7" s="2">
        <f t="shared" si="19"/>
        <v>4274.6287252900811</v>
      </c>
      <c r="AX7" s="2">
        <f t="shared" si="28"/>
        <v>9.9999999999999994E-12</v>
      </c>
      <c r="AY7" s="37">
        <f t="shared" si="20"/>
        <v>21417.996445812005</v>
      </c>
      <c r="AZ7" s="37">
        <f t="shared" si="21"/>
        <v>21249.165074770277</v>
      </c>
      <c r="BA7" s="37">
        <f t="shared" si="22"/>
        <v>21141.430419034266</v>
      </c>
      <c r="BB7" s="37">
        <f t="shared" si="23"/>
        <v>21031.924273727393</v>
      </c>
      <c r="BC7" s="37">
        <f t="shared" si="24"/>
        <v>20913.111625908266</v>
      </c>
      <c r="BD7" s="37">
        <f t="shared" si="25"/>
        <v>29712.515284966801</v>
      </c>
      <c r="BE7" s="37">
        <f t="shared" si="26"/>
        <v>40587.375864960486</v>
      </c>
    </row>
    <row r="8" spans="1:308" x14ac:dyDescent="0.25">
      <c r="A8" s="2">
        <f>'creep_res-40'!A8</f>
        <v>1E-10</v>
      </c>
      <c r="B8" s="3">
        <f>'creep_res-40'!O8</f>
        <v>-5.5891388571428573E-4</v>
      </c>
      <c r="C8" s="2">
        <f>IF('Modell einstellen'!$B$2="Ja",creep_res0!O8,creep_res0!C8)</f>
        <v>-5.6168294285714293E-4</v>
      </c>
      <c r="D8" s="2">
        <f>IF('Modell einstellen'!$B$2="Ja",creep_res25!O8,creep_res25!C8)</f>
        <v>-5.6348248571428576E-4</v>
      </c>
      <c r="E8" s="2">
        <f>IF('Modell einstellen'!$B$2="Ja",creep_res50!O8,creep_res50!C8)</f>
        <v>-5.6533822857142858E-4</v>
      </c>
      <c r="F8" s="2">
        <f>IF('Modell einstellen'!$B$2="Ja",creep_res80!O8,creep_res80!C8)</f>
        <v>-5.7162008571428572E-4</v>
      </c>
      <c r="G8" s="2">
        <f>IF('Modell einstellen'!$B$2="Ja",creep_res125!O8,creep_res125!C8)</f>
        <v>-7.6696551428571426E-4</v>
      </c>
      <c r="H8" s="2">
        <f>IF('Modell einstellen'!$B$2="Ja",creep_res160!O8,creep_res160!C8)</f>
        <v>-8.6432000000000013E-4</v>
      </c>
      <c r="M8" s="9">
        <f t="shared" si="27"/>
        <v>-10</v>
      </c>
      <c r="N8" s="2">
        <f t="shared" si="4"/>
        <v>1E-10</v>
      </c>
      <c r="O8" s="2">
        <f t="shared" si="5"/>
        <v>17891.843905828377</v>
      </c>
      <c r="P8" s="2">
        <f t="shared" si="6"/>
        <v>17803.638382060279</v>
      </c>
      <c r="Q8" s="2">
        <f t="shared" si="7"/>
        <v>17746.78051851732</v>
      </c>
      <c r="R8" s="2">
        <f t="shared" si="8"/>
        <v>17688.526079811236</v>
      </c>
      <c r="S8" s="2">
        <f t="shared" si="9"/>
        <v>17494.13684003806</v>
      </c>
      <c r="T8" s="2">
        <f t="shared" si="10"/>
        <v>13038.395877959572</v>
      </c>
      <c r="U8" s="2">
        <f t="shared" si="11"/>
        <v>11569.788967049239</v>
      </c>
      <c r="Z8" s="2">
        <v>1E-10</v>
      </c>
      <c r="AA8" s="3">
        <f>IF('Modell einstellen'!$B$2="Ja",'creep_res-40'!P8,'creep_res-40'!L8)</f>
        <v>0.36077249518530485</v>
      </c>
      <c r="AB8" s="2">
        <f>IF('Modell einstellen'!$B$2="Ja",creep_res0!P8,creep_res0!L8)</f>
        <v>0.36035812374678278</v>
      </c>
      <c r="AC8" s="2">
        <f>IF('Modell einstellen'!$B$2="Ja",creep_res25!P8,creep_res25!L8)</f>
        <v>0.36009475665284973</v>
      </c>
      <c r="AD8" s="2">
        <f>IF('Modell einstellen'!$B$2="Ja",creep_res50!P8,creep_res50!L8)</f>
        <v>0.3598279674599853</v>
      </c>
      <c r="AE8" s="2">
        <f>IF('Modell einstellen'!$B$2="Ja",creep_res80!P8,creep_res80!L8)</f>
        <v>0.36134311585472129</v>
      </c>
      <c r="AF8" s="2">
        <f>IF('Modell einstellen'!$B$2="Ja",creep_res125!P8,creep_res125!L8)</f>
        <v>0.4374204494871497</v>
      </c>
      <c r="AG8" s="2">
        <f>IF('Modell einstellen'!$B$2="Ja",creep_res160!P8,creep_res160!L8)</f>
        <v>0.4689348191146136</v>
      </c>
      <c r="AL8" s="2">
        <f t="shared" si="12"/>
        <v>1E-10</v>
      </c>
      <c r="AM8" s="2">
        <f t="shared" si="13"/>
        <v>6574.149598530772</v>
      </c>
      <c r="AN8" s="2">
        <f t="shared" si="14"/>
        <v>6543.7321508487757</v>
      </c>
      <c r="AO8" s="2">
        <f t="shared" si="15"/>
        <v>6524.0971012165301</v>
      </c>
      <c r="AP8" s="2">
        <f t="shared" si="16"/>
        <v>6503.9573030886877</v>
      </c>
      <c r="AQ8" s="2">
        <f t="shared" si="17"/>
        <v>6425.3224026678754</v>
      </c>
      <c r="AR8" s="2">
        <f t="shared" si="18"/>
        <v>4535.3452020984814</v>
      </c>
      <c r="AS8" s="2">
        <f t="shared" si="19"/>
        <v>3938.1560081824523</v>
      </c>
      <c r="AX8" s="2">
        <f t="shared" si="28"/>
        <v>1E-10</v>
      </c>
      <c r="AY8" s="37">
        <f t="shared" si="20"/>
        <v>21417.994873021591</v>
      </c>
      <c r="AZ8" s="37">
        <f t="shared" si="21"/>
        <v>21249.163526677763</v>
      </c>
      <c r="BA8" s="37">
        <f t="shared" si="22"/>
        <v>21141.428886599821</v>
      </c>
      <c r="BB8" s="37">
        <f t="shared" si="23"/>
        <v>21031.925032027721</v>
      </c>
      <c r="BC8" s="37">
        <f t="shared" si="24"/>
        <v>21028.090248189499</v>
      </c>
      <c r="BD8" s="37">
        <f t="shared" si="25"/>
        <v>34724.857590878732</v>
      </c>
      <c r="BE8" s="37">
        <f t="shared" si="26"/>
        <v>62072.651960059178</v>
      </c>
    </row>
    <row r="9" spans="1:308" x14ac:dyDescent="0.25">
      <c r="A9" s="2">
        <f>'creep_res-40'!A9</f>
        <v>1.0000000000000001E-9</v>
      </c>
      <c r="B9" s="3">
        <f>'creep_res-40'!O9</f>
        <v>-5.5891391428571438E-4</v>
      </c>
      <c r="C9" s="2">
        <f>IF('Modell einstellen'!$B$2="Ja",creep_res0!O9,creep_res0!C9)</f>
        <v>-5.6168297142857146E-4</v>
      </c>
      <c r="D9" s="2">
        <f>IF('Modell einstellen'!$B$2="Ja",creep_res25!O9,creep_res25!C9)</f>
        <v>-5.634825142857143E-4</v>
      </c>
      <c r="E9" s="2">
        <f>IF('Modell einstellen'!$B$2="Ja",creep_res50!O9,creep_res50!C9)</f>
        <v>-5.6533842857142854E-4</v>
      </c>
      <c r="F9" s="2">
        <f>IF('Modell einstellen'!$B$2="Ja",creep_res80!O9,creep_res80!C9)</f>
        <v>-5.8276582857142865E-4</v>
      </c>
      <c r="G9" s="2">
        <f>IF('Modell einstellen'!$B$2="Ja",creep_res125!O9,creep_res125!C9)</f>
        <v>-8.1310145714285709E-4</v>
      </c>
      <c r="H9" s="2">
        <f>IF('Modell einstellen'!$B$2="Ja",creep_res160!O9,creep_res160!C9)</f>
        <v>-9.5559037142857147E-4</v>
      </c>
      <c r="M9" s="9">
        <f t="shared" si="27"/>
        <v>-10</v>
      </c>
      <c r="N9" s="2">
        <f t="shared" si="4"/>
        <v>1.0000000000000001E-9</v>
      </c>
      <c r="O9" s="2">
        <f t="shared" si="5"/>
        <v>17891.84299120534</v>
      </c>
      <c r="P9" s="2">
        <f t="shared" si="6"/>
        <v>17803.637476433069</v>
      </c>
      <c r="Q9" s="2">
        <f t="shared" si="7"/>
        <v>17746.77961866531</v>
      </c>
      <c r="R9" s="2">
        <f t="shared" si="8"/>
        <v>17688.519822134353</v>
      </c>
      <c r="S9" s="2">
        <f t="shared" si="9"/>
        <v>17159.551074766416</v>
      </c>
      <c r="T9" s="2">
        <f t="shared" si="10"/>
        <v>12298.588216947519</v>
      </c>
      <c r="U9" s="2">
        <f t="shared" si="11"/>
        <v>10464.734994190427</v>
      </c>
      <c r="Z9" s="2">
        <v>1.0000000000000001E-9</v>
      </c>
      <c r="AA9" s="3">
        <f>IF('Modell einstellen'!$B$2="Ja",'creep_res-40'!P9,'creep_res-40'!L9)</f>
        <v>0.36077249719059723</v>
      </c>
      <c r="AB9" s="2">
        <f>IF('Modell einstellen'!$B$2="Ja",creep_res0!P9,creep_res0!L9)</f>
        <v>0.36035812576326737</v>
      </c>
      <c r="AC9" s="2">
        <f>IF('Modell einstellen'!$B$2="Ja",creep_res25!P9,creep_res25!L9)</f>
        <v>0.36009475867624846</v>
      </c>
      <c r="AD9" s="2">
        <f>IF('Modell einstellen'!$B$2="Ja",creep_res50!P9,creep_res50!L9)</f>
        <v>0.35982804231801491</v>
      </c>
      <c r="AE9" s="2">
        <f>IF('Modell einstellen'!$B$2="Ja",creep_res80!P9,creep_res80!L9)</f>
        <v>0.3661764362691331</v>
      </c>
      <c r="AF9" s="2">
        <f>IF('Modell einstellen'!$B$2="Ja",creep_res125!P9,creep_res125!L9)</f>
        <v>0.45425193995295127</v>
      </c>
      <c r="AG9" s="2">
        <f>IF('Modell einstellen'!$B$2="Ja",creep_res160!P9,creep_res160!L9)</f>
        <v>0.49856189126823414</v>
      </c>
      <c r="AL9" s="2">
        <f t="shared" si="12"/>
        <v>1.0000000000000001E-9</v>
      </c>
      <c r="AM9" s="2">
        <f t="shared" si="13"/>
        <v>6574.1492527752453</v>
      </c>
      <c r="AN9" s="2">
        <f t="shared" si="14"/>
        <v>6543.7318082853499</v>
      </c>
      <c r="AO9" s="2">
        <f t="shared" si="15"/>
        <v>6524.0967607058046</v>
      </c>
      <c r="AP9" s="2">
        <f t="shared" si="16"/>
        <v>6503.9546441408229</v>
      </c>
      <c r="AQ9" s="2">
        <f t="shared" si="17"/>
        <v>6280.1372572444334</v>
      </c>
      <c r="AR9" s="2">
        <f t="shared" si="18"/>
        <v>4228.4929725950406</v>
      </c>
      <c r="AS9" s="2">
        <f t="shared" si="19"/>
        <v>3491.5925245283374</v>
      </c>
      <c r="AX9" s="2">
        <f t="shared" si="28"/>
        <v>1.0000000000000001E-9</v>
      </c>
      <c r="AY9" s="37">
        <f t="shared" si="20"/>
        <v>21417.994086626455</v>
      </c>
      <c r="AZ9" s="37">
        <f t="shared" si="21"/>
        <v>21249.162752631597</v>
      </c>
      <c r="BA9" s="37">
        <f t="shared" si="22"/>
        <v>21141.428120382676</v>
      </c>
      <c r="BB9" s="37">
        <f t="shared" si="23"/>
        <v>21031.928823530161</v>
      </c>
      <c r="BC9" s="37">
        <f t="shared" si="24"/>
        <v>21370.863989837715</v>
      </c>
      <c r="BD9" s="37">
        <f t="shared" si="25"/>
        <v>44805.499964731716</v>
      </c>
      <c r="BE9" s="37">
        <f t="shared" si="26"/>
        <v>1212789.0336150853</v>
      </c>
    </row>
    <row r="10" spans="1:308" x14ac:dyDescent="0.25">
      <c r="A10" s="2">
        <f>'creep_res-40'!A10</f>
        <v>1E-8</v>
      </c>
      <c r="B10" s="3">
        <f>'creep_res-40'!O10</f>
        <v>-5.5891391428571438E-4</v>
      </c>
      <c r="C10" s="2">
        <f>IF('Modell einstellen'!$B$2="Ja",creep_res0!O10,creep_res0!C10)</f>
        <v>-5.6168297142857146E-4</v>
      </c>
      <c r="D10" s="2">
        <f>IF('Modell einstellen'!$B$2="Ja",creep_res25!O10,creep_res25!C10)</f>
        <v>-5.634825142857143E-4</v>
      </c>
      <c r="E10" s="2">
        <f>IF('Modell einstellen'!$B$2="Ja",creep_res50!O10,creep_res50!C10)</f>
        <v>-5.6534002857142865E-4</v>
      </c>
      <c r="F10" s="2">
        <f>IF('Modell einstellen'!$B$2="Ja",creep_res80!O10,creep_res80!C10)</f>
        <v>-5.9470314285714281E-4</v>
      </c>
      <c r="G10" s="2">
        <f>IF('Modell einstellen'!$B$2="Ja",creep_res125!O10,creep_res125!C10)</f>
        <v>-8.7520179999999999E-4</v>
      </c>
      <c r="H10" s="2">
        <f>IF('Modell einstellen'!$B$2="Ja",creep_res160!O10,creep_res160!C10)</f>
        <v>-1.1032781142857142E-3</v>
      </c>
      <c r="M10" s="9">
        <f t="shared" si="27"/>
        <v>-10</v>
      </c>
      <c r="N10" s="2">
        <f t="shared" si="4"/>
        <v>1E-8</v>
      </c>
      <c r="O10" s="2">
        <f t="shared" si="5"/>
        <v>17891.84299120534</v>
      </c>
      <c r="P10" s="2">
        <f t="shared" si="6"/>
        <v>17803.637476433069</v>
      </c>
      <c r="Q10" s="2">
        <f t="shared" si="7"/>
        <v>17746.77961866531</v>
      </c>
      <c r="R10" s="2">
        <f t="shared" si="8"/>
        <v>17688.46976087867</v>
      </c>
      <c r="S10" s="2">
        <f t="shared" si="9"/>
        <v>16815.112077526315</v>
      </c>
      <c r="T10" s="2">
        <f t="shared" si="10"/>
        <v>11425.936281209659</v>
      </c>
      <c r="U10" s="2">
        <f t="shared" si="11"/>
        <v>9063.8977339582361</v>
      </c>
      <c r="Z10" s="2">
        <v>1E-8</v>
      </c>
      <c r="AA10" s="3">
        <f>IF('Modell einstellen'!$B$2="Ja",'creep_res-40'!P10,'creep_res-40'!L10)</f>
        <v>0.36077250741450745</v>
      </c>
      <c r="AB10" s="2">
        <f>IF('Modell einstellen'!$B$2="Ja",creep_res0!P10,creep_res0!L10)</f>
        <v>0.36035813593677452</v>
      </c>
      <c r="AC10" s="2">
        <f>IF('Modell einstellen'!$B$2="Ja",creep_res25!P10,creep_res25!L10)</f>
        <v>0.36009476881726538</v>
      </c>
      <c r="AD10" s="2">
        <f>IF('Modell einstellen'!$B$2="Ja",creep_res50!P10,creep_res50!L10)</f>
        <v>0.3598287927957996</v>
      </c>
      <c r="AE10" s="2">
        <f>IF('Modell einstellen'!$B$2="Ja",creep_res80!P10,creep_res80!L10)</f>
        <v>0.37137588933926702</v>
      </c>
      <c r="AF10" s="2">
        <f>IF('Modell einstellen'!$B$2="Ja",creep_res125!P10,creep_res125!L10)</f>
        <v>0.47583559749142595</v>
      </c>
      <c r="AG10" s="2">
        <f>IF('Modell einstellen'!$B$2="Ja",creep_res160!P10,creep_res160!L10)</f>
        <v>0.54171656342369212</v>
      </c>
      <c r="AL10" s="2">
        <f t="shared" si="12"/>
        <v>1E-8</v>
      </c>
      <c r="AM10" s="2">
        <f t="shared" si="13"/>
        <v>6574.149203381603</v>
      </c>
      <c r="AN10" s="2">
        <f t="shared" si="14"/>
        <v>6543.7317593477201</v>
      </c>
      <c r="AO10" s="2">
        <f t="shared" si="15"/>
        <v>6524.0967120614177</v>
      </c>
      <c r="AP10" s="2">
        <f t="shared" si="16"/>
        <v>6503.932647473689</v>
      </c>
      <c r="AQ10" s="2">
        <f t="shared" si="17"/>
        <v>6130.7451181848783</v>
      </c>
      <c r="AR10" s="2">
        <f t="shared" si="18"/>
        <v>3871.0057883923755</v>
      </c>
      <c r="AS10" s="2">
        <f t="shared" si="19"/>
        <v>2939.5473684961994</v>
      </c>
      <c r="AX10" s="2">
        <f t="shared" si="28"/>
        <v>1E-8</v>
      </c>
      <c r="AY10" s="37">
        <f t="shared" si="20"/>
        <v>21417.995659416745</v>
      </c>
      <c r="AZ10" s="37">
        <f t="shared" si="21"/>
        <v>21249.164300724002</v>
      </c>
      <c r="BA10" s="37">
        <f t="shared" si="22"/>
        <v>21141.429652817013</v>
      </c>
      <c r="BB10" s="37">
        <f t="shared" si="23"/>
        <v>21031.981904707714</v>
      </c>
      <c r="BC10" s="37">
        <f t="shared" si="24"/>
        <v>21788.439703811193</v>
      </c>
      <c r="BD10" s="37">
        <f t="shared" si="25"/>
        <v>78806.943927508604</v>
      </c>
      <c r="BE10" s="37">
        <f t="shared" si="26"/>
        <v>-36212.225992432257</v>
      </c>
    </row>
    <row r="11" spans="1:308" x14ac:dyDescent="0.25">
      <c r="A11" s="2">
        <f>'creep_res-40'!A11</f>
        <v>9.9999999999999995E-8</v>
      </c>
      <c r="B11" s="3">
        <f>'creep_res-40'!O11</f>
        <v>-5.5891391428571438E-4</v>
      </c>
      <c r="C11" s="2">
        <f>IF('Modell einstellen'!$B$2="Ja",creep_res0!O11,creep_res0!C11)</f>
        <v>-5.61683E-4</v>
      </c>
      <c r="D11" s="2">
        <f>IF('Modell einstellen'!$B$2="Ja",creep_res25!O11,creep_res25!C11)</f>
        <v>-5.6348254285714294E-4</v>
      </c>
      <c r="E11" s="2">
        <f>IF('Modell einstellen'!$B$2="Ja",creep_res50!O11,creep_res50!C11)</f>
        <v>-5.6535597142857151E-4</v>
      </c>
      <c r="F11" s="2">
        <f>IF('Modell einstellen'!$B$2="Ja",creep_res80!O11,creep_res80!C11)</f>
        <v>-6.0905660000000006E-4</v>
      </c>
      <c r="G11" s="2">
        <f>IF('Modell einstellen'!$B$2="Ja",creep_res125!O11,creep_res125!C11)</f>
        <v>-9.7467042857142863E-4</v>
      </c>
      <c r="H11" s="2">
        <f>IF('Modell einstellen'!$B$2="Ja",creep_res160!O11,creep_res160!C11)</f>
        <v>-1.3608547142857144E-3</v>
      </c>
      <c r="M11" s="9">
        <f t="shared" si="27"/>
        <v>-10</v>
      </c>
      <c r="N11" s="2">
        <f t="shared" si="4"/>
        <v>9.9999999999999995E-8</v>
      </c>
      <c r="O11" s="2">
        <f t="shared" si="5"/>
        <v>17891.84299120534</v>
      </c>
      <c r="P11" s="2">
        <f t="shared" si="6"/>
        <v>17803.636570805953</v>
      </c>
      <c r="Q11" s="2">
        <f t="shared" si="7"/>
        <v>17746.778718813392</v>
      </c>
      <c r="R11" s="2">
        <f t="shared" si="8"/>
        <v>17687.970951702286</v>
      </c>
      <c r="S11" s="2">
        <f t="shared" si="9"/>
        <v>16418.835293796994</v>
      </c>
      <c r="T11" s="2">
        <f t="shared" si="10"/>
        <v>10259.878320774509</v>
      </c>
      <c r="U11" s="2">
        <f t="shared" si="11"/>
        <v>7348.3230024659915</v>
      </c>
      <c r="Z11" s="2">
        <v>9.9999999999999995E-8</v>
      </c>
      <c r="AA11" s="3">
        <f>IF('Modell einstellen'!$B$2="Ja",'creep_res-40'!P11,'creep_res-40'!L11)</f>
        <v>0.36077250741450745</v>
      </c>
      <c r="AB11" s="2">
        <f>IF('Modell einstellen'!$B$2="Ja",creep_res0!P11,creep_res0!L11)</f>
        <v>0.36035811760624514</v>
      </c>
      <c r="AC11" s="2">
        <f>IF('Modell einstellen'!$B$2="Ja",creep_res25!P11,creep_res25!L11)</f>
        <v>0.36009477084066338</v>
      </c>
      <c r="AD11" s="2">
        <f>IF('Modell einstellen'!$B$2="Ja",creep_res50!P11,creep_res50!L11)</f>
        <v>0.35983629328050659</v>
      </c>
      <c r="AE11" s="2">
        <f>IF('Modell einstellen'!$B$2="Ja",creep_res80!P11,creep_res80!L11)</f>
        <v>0.37754390267552423</v>
      </c>
      <c r="AF11" s="2">
        <f>IF('Modell einstellen'!$B$2="Ja",creep_res125!P11,creep_res125!L11)</f>
        <v>0.50802672786244374</v>
      </c>
      <c r="AG11" s="2">
        <f>IF('Modell einstellen'!$B$2="Ja",creep_res160!P11,creep_res160!L11)</f>
        <v>0.60421243665876778</v>
      </c>
      <c r="AL11" s="2">
        <f t="shared" si="12"/>
        <v>9.9999999999999995E-8</v>
      </c>
      <c r="AM11" s="2">
        <f t="shared" si="13"/>
        <v>6574.149203381603</v>
      </c>
      <c r="AN11" s="2">
        <f t="shared" si="14"/>
        <v>6543.7315146595847</v>
      </c>
      <c r="AO11" s="2">
        <f t="shared" si="15"/>
        <v>6524.0963715507314</v>
      </c>
      <c r="AP11" s="2">
        <f t="shared" si="16"/>
        <v>6503.7133657579243</v>
      </c>
      <c r="AQ11" s="2">
        <f t="shared" si="17"/>
        <v>5959.459898848826</v>
      </c>
      <c r="AR11" s="2">
        <f t="shared" si="18"/>
        <v>3401.7561264704505</v>
      </c>
      <c r="AS11" s="2">
        <f t="shared" si="19"/>
        <v>2290.3210430692648</v>
      </c>
      <c r="AX11" s="2">
        <f t="shared" si="28"/>
        <v>9.9999999999999995E-8</v>
      </c>
      <c r="AY11" s="37">
        <f t="shared" si="20"/>
        <v>21417.995659416745</v>
      </c>
      <c r="AZ11" s="37">
        <f t="shared" si="21"/>
        <v>21249.160430493426</v>
      </c>
      <c r="BA11" s="37">
        <f t="shared" si="22"/>
        <v>21141.42888659981</v>
      </c>
      <c r="BB11" s="37">
        <f t="shared" si="23"/>
        <v>21032.514247905889</v>
      </c>
      <c r="BC11" s="37">
        <f t="shared" si="24"/>
        <v>22346.560185690454</v>
      </c>
      <c r="BD11" s="37">
        <f t="shared" si="25"/>
        <v>-213035.71635085696</v>
      </c>
      <c r="BE11" s="37">
        <f t="shared" si="26"/>
        <v>-11752.153002824527</v>
      </c>
    </row>
    <row r="12" spans="1:308" x14ac:dyDescent="0.25">
      <c r="A12" s="2">
        <f>'creep_res-40'!A12</f>
        <v>9.9999999999999995E-7</v>
      </c>
      <c r="B12" s="3">
        <f>'creep_res-40'!O12</f>
        <v>-5.5891391428571438E-4</v>
      </c>
      <c r="C12" s="2">
        <f>IF('Modell einstellen'!$B$2="Ja",creep_res0!O12,creep_res0!C12)</f>
        <v>-5.61683E-4</v>
      </c>
      <c r="D12" s="2">
        <f>IF('Modell einstellen'!$B$2="Ja",creep_res25!O12,creep_res25!C12)</f>
        <v>-5.6348271428571437E-4</v>
      </c>
      <c r="E12" s="2">
        <f>IF('Modell einstellen'!$B$2="Ja",creep_res50!O12,creep_res50!C12)</f>
        <v>-5.6551417142857146E-4</v>
      </c>
      <c r="F12" s="2">
        <f>IF('Modell einstellen'!$B$2="Ja",creep_res80!O12,creep_res80!C12)</f>
        <v>-6.2686451428571436E-4</v>
      </c>
      <c r="G12" s="2">
        <f>IF('Modell einstellen'!$B$2="Ja",creep_res125!O12,creep_res125!C12)</f>
        <v>-1.1375140571428571E-3</v>
      </c>
      <c r="H12" s="2">
        <f>IF('Modell einstellen'!$B$2="Ja",creep_res160!O12,creep_res160!C12)</f>
        <v>-1.8943430571428572E-3</v>
      </c>
      <c r="M12" s="9">
        <f t="shared" si="27"/>
        <v>-10</v>
      </c>
      <c r="N12" s="2">
        <f t="shared" si="4"/>
        <v>9.9999999999999995E-7</v>
      </c>
      <c r="O12" s="2">
        <f t="shared" si="5"/>
        <v>17891.84299120534</v>
      </c>
      <c r="P12" s="2">
        <f t="shared" si="6"/>
        <v>17803.636570805953</v>
      </c>
      <c r="Q12" s="2">
        <f t="shared" si="7"/>
        <v>17746.773319703811</v>
      </c>
      <c r="R12" s="2">
        <f t="shared" si="8"/>
        <v>17683.02282282076</v>
      </c>
      <c r="S12" s="2">
        <f t="shared" si="9"/>
        <v>15952.410404654309</v>
      </c>
      <c r="T12" s="2">
        <f t="shared" si="10"/>
        <v>8791.100151427956</v>
      </c>
      <c r="U12" s="2">
        <f t="shared" si="11"/>
        <v>5278.8748913739519</v>
      </c>
      <c r="Z12" s="2">
        <v>9.9999999999999995E-7</v>
      </c>
      <c r="AA12" s="3">
        <f>IF('Modell einstellen'!$B$2="Ja",'creep_res-40'!P12,'creep_res-40'!L12)</f>
        <v>0.36077250741450745</v>
      </c>
      <c r="AB12" s="2">
        <f>IF('Modell einstellen'!$B$2="Ja",creep_res0!P12,creep_res0!L12)</f>
        <v>0.36035812269299844</v>
      </c>
      <c r="AC12" s="2">
        <f>IF('Modell einstellen'!$B$2="Ja",creep_res25!P12,creep_res25!L12)</f>
        <v>0.36009486410915376</v>
      </c>
      <c r="AD12" s="2">
        <f>IF('Modell einstellen'!$B$2="Ja",creep_res50!P12,creep_res50!L12)</f>
        <v>0.35991086948130546</v>
      </c>
      <c r="AE12" s="2">
        <f>IF('Modell einstellen'!$B$2="Ja",creep_res80!P12,creep_res80!L12)</f>
        <v>0.38508679341874646</v>
      </c>
      <c r="AF12" s="2">
        <f>IF('Modell einstellen'!$B$2="Ja",creep_res125!P12,creep_res125!L12)</f>
        <v>0.55481705569880313</v>
      </c>
      <c r="AG12" s="2">
        <f>IF('Modell einstellen'!$B$2="Ja",creep_res160!P12,creep_res160!L12)</f>
        <v>0.69534610015651555</v>
      </c>
      <c r="AL12" s="2">
        <f t="shared" si="12"/>
        <v>9.9999999999999995E-7</v>
      </c>
      <c r="AM12" s="2">
        <f t="shared" si="13"/>
        <v>6574.149203381603</v>
      </c>
      <c r="AN12" s="2">
        <f t="shared" si="14"/>
        <v>6543.731490190773</v>
      </c>
      <c r="AO12" s="2">
        <f t="shared" si="15"/>
        <v>6524.0939393325853</v>
      </c>
      <c r="AP12" s="2">
        <f t="shared" si="16"/>
        <v>6501.5374241274303</v>
      </c>
      <c r="AQ12" s="2">
        <f t="shared" si="17"/>
        <v>5758.6320512376351</v>
      </c>
      <c r="AR12" s="2">
        <f t="shared" si="18"/>
        <v>2827.0529060658037</v>
      </c>
      <c r="AS12" s="2">
        <f t="shared" si="19"/>
        <v>1556.8723374202477</v>
      </c>
      <c r="AX12" s="2">
        <f t="shared" si="28"/>
        <v>9.9999999999999995E-7</v>
      </c>
      <c r="AY12" s="37">
        <f t="shared" si="20"/>
        <v>21417.995659416745</v>
      </c>
      <c r="AZ12" s="37">
        <f t="shared" si="21"/>
        <v>21249.161204539429</v>
      </c>
      <c r="BA12" s="37">
        <f t="shared" si="22"/>
        <v>21141.436548774276</v>
      </c>
      <c r="BB12" s="37">
        <f t="shared" si="23"/>
        <v>21037.823987899148</v>
      </c>
      <c r="BC12" s="37">
        <f t="shared" si="24"/>
        <v>23136.897372735224</v>
      </c>
      <c r="BD12" s="37">
        <f t="shared" si="25"/>
        <v>-26728.603714542747</v>
      </c>
      <c r="BE12" s="37">
        <f t="shared" si="26"/>
        <v>-4503.8650947765718</v>
      </c>
    </row>
    <row r="13" spans="1:308" x14ac:dyDescent="0.25">
      <c r="A13" s="2">
        <f>'creep_res-40'!A13</f>
        <v>1.0000000000000001E-5</v>
      </c>
      <c r="B13" s="3">
        <f>'creep_res-40'!O13</f>
        <v>-5.5891391428571438E-4</v>
      </c>
      <c r="C13" s="2">
        <f>IF('Modell einstellen'!$B$2="Ja",creep_res0!O13,creep_res0!C13)</f>
        <v>-5.61683E-4</v>
      </c>
      <c r="D13" s="2">
        <f>IF('Modell einstellen'!$B$2="Ja",creep_res25!O13,creep_res25!C13)</f>
        <v>-5.6348448571428569E-4</v>
      </c>
      <c r="E13" s="2">
        <f>IF('Modell einstellen'!$B$2="Ja",creep_res50!O13,creep_res50!C13)</f>
        <v>-5.6699531428571425E-4</v>
      </c>
      <c r="F13" s="2">
        <f>IF('Modell einstellen'!$B$2="Ja",creep_res80!O13,creep_res80!C13)</f>
        <v>-6.4622380000000008E-4</v>
      </c>
      <c r="G13" s="2">
        <f>IF('Modell einstellen'!$B$2="Ja",creep_res125!O13,creep_res125!C13)</f>
        <v>-1.4322549714285717E-3</v>
      </c>
      <c r="H13" s="2">
        <f>IF('Modell einstellen'!$B$2="Ja",creep_res160!O13,creep_res160!C13)</f>
        <v>-2.9633485714285718E-3</v>
      </c>
      <c r="M13" s="9">
        <f t="shared" si="27"/>
        <v>-10</v>
      </c>
      <c r="N13" s="2">
        <f t="shared" si="4"/>
        <v>1.0000000000000001E-5</v>
      </c>
      <c r="O13" s="2">
        <f t="shared" si="5"/>
        <v>17891.84299120534</v>
      </c>
      <c r="P13" s="2">
        <f t="shared" si="6"/>
        <v>17803.636570805953</v>
      </c>
      <c r="Q13" s="2">
        <f t="shared" si="7"/>
        <v>17746.717529097139</v>
      </c>
      <c r="R13" s="2">
        <f t="shared" si="8"/>
        <v>17636.830054932176</v>
      </c>
      <c r="S13" s="2">
        <f t="shared" si="9"/>
        <v>15474.515175702285</v>
      </c>
      <c r="T13" s="2">
        <f t="shared" si="10"/>
        <v>6981.997060220162</v>
      </c>
      <c r="U13" s="2">
        <f t="shared" si="11"/>
        <v>3374.5608250126302</v>
      </c>
      <c r="Z13" s="2">
        <v>1.0000000000000001E-5</v>
      </c>
      <c r="AA13" s="3">
        <f>IF('Modell einstellen'!$B$2="Ja",'creep_res-40'!P13,'creep_res-40'!L13)</f>
        <v>0.3607725125264627</v>
      </c>
      <c r="AB13" s="2">
        <f>IF('Modell einstellen'!$B$2="Ja",creep_res0!P13,creep_res0!L13)</f>
        <v>0.36035814304001162</v>
      </c>
      <c r="AC13" s="2">
        <f>IF('Modell einstellen'!$B$2="Ja",creep_res25!P13,creep_res25!L13)</f>
        <v>0.36009570449829092</v>
      </c>
      <c r="AD13" s="2">
        <f>IF('Modell einstellen'!$B$2="Ja",creep_res50!P13,creep_res50!L13)</f>
        <v>0.36060759081103017</v>
      </c>
      <c r="AE13" s="2">
        <f>IF('Modell einstellen'!$B$2="Ja",creep_res80!P13,creep_res80!L13)</f>
        <v>0.39316898307631853</v>
      </c>
      <c r="AF13" s="2">
        <f>IF('Modell einstellen'!$B$2="Ja",creep_res125!P13,creep_res125!L13)</f>
        <v>0.62311995765159445</v>
      </c>
      <c r="AG13" s="2">
        <f>IF('Modell einstellen'!$B$2="Ja",creep_res160!P13,creep_res160!L13)</f>
        <v>0.79570910128696104</v>
      </c>
      <c r="AL13" s="2">
        <f t="shared" si="12"/>
        <v>1.0000000000000001E-5</v>
      </c>
      <c r="AM13" s="2">
        <f t="shared" si="13"/>
        <v>6574.1491786847801</v>
      </c>
      <c r="AN13" s="2">
        <f t="shared" si="14"/>
        <v>6543.7313923155243</v>
      </c>
      <c r="AO13" s="2">
        <f t="shared" si="15"/>
        <v>6524.06939835293</v>
      </c>
      <c r="AP13" s="2">
        <f t="shared" si="16"/>
        <v>6481.233154233405</v>
      </c>
      <c r="AQ13" s="2">
        <f t="shared" si="17"/>
        <v>5553.7107715147085</v>
      </c>
      <c r="AR13" s="2">
        <f t="shared" si="18"/>
        <v>2150.7951483518323</v>
      </c>
      <c r="AS13" s="2">
        <f t="shared" si="19"/>
        <v>939.61789874376836</v>
      </c>
      <c r="AX13" s="2">
        <f t="shared" si="28"/>
        <v>1.0000000000000001E-5</v>
      </c>
      <c r="AY13" s="37">
        <f t="shared" si="20"/>
        <v>21417.996445811998</v>
      </c>
      <c r="AZ13" s="37">
        <f t="shared" si="21"/>
        <v>21249.164300723998</v>
      </c>
      <c r="BA13" s="37">
        <f t="shared" si="22"/>
        <v>21141.497080147841</v>
      </c>
      <c r="BB13" s="37">
        <f t="shared" si="23"/>
        <v>21087.745688053081</v>
      </c>
      <c r="BC13" s="37">
        <f t="shared" si="24"/>
        <v>24141.732774663273</v>
      </c>
      <c r="BD13" s="37">
        <f t="shared" si="25"/>
        <v>-9451.4829187669911</v>
      </c>
      <c r="BE13" s="37">
        <f t="shared" si="26"/>
        <v>-1901.9597358384426</v>
      </c>
    </row>
    <row r="14" spans="1:308" x14ac:dyDescent="0.25">
      <c r="A14" s="2">
        <f>'creep_res-40'!A14</f>
        <v>1E-4</v>
      </c>
      <c r="B14" s="3">
        <f>'creep_res-40'!O14</f>
        <v>-5.5891394285714291E-4</v>
      </c>
      <c r="C14" s="2">
        <f>IF('Modell einstellen'!$B$2="Ja",creep_res0!O14,creep_res0!C14)</f>
        <v>-5.6168320000000006E-4</v>
      </c>
      <c r="D14" s="2">
        <f>IF('Modell einstellen'!$B$2="Ja",creep_res25!O14,creep_res25!C14)</f>
        <v>-5.6350217142857144E-4</v>
      </c>
      <c r="E14" s="2">
        <f>IF('Modell einstellen'!$B$2="Ja",creep_res50!O14,creep_res50!C14)</f>
        <v>-5.7573442857142862E-4</v>
      </c>
      <c r="F14" s="2">
        <f>IF('Modell einstellen'!$B$2="Ja",creep_res80!O14,creep_res80!C14)</f>
        <v>-6.724639142857144E-4</v>
      </c>
      <c r="G14" s="2">
        <f>IF('Modell einstellen'!$B$2="Ja",creep_res125!O14,creep_res125!C14)</f>
        <v>-2.0606296285714289E-3</v>
      </c>
      <c r="H14" s="2">
        <f>IF('Modell einstellen'!$B$2="Ja",creep_res160!O14,creep_res160!C14)</f>
        <v>-5.0025814285714291E-3</v>
      </c>
      <c r="M14" s="9">
        <f t="shared" si="27"/>
        <v>-10</v>
      </c>
      <c r="N14" s="2">
        <f t="shared" si="4"/>
        <v>1E-4</v>
      </c>
      <c r="O14" s="2">
        <f t="shared" si="5"/>
        <v>17891.842076582398</v>
      </c>
      <c r="P14" s="2">
        <f t="shared" si="6"/>
        <v>17803.630231418705</v>
      </c>
      <c r="Q14" s="2">
        <f t="shared" si="7"/>
        <v>17746.160542111738</v>
      </c>
      <c r="R14" s="2">
        <f t="shared" si="8"/>
        <v>17369.119343467137</v>
      </c>
      <c r="S14" s="2">
        <f t="shared" si="9"/>
        <v>14870.686422812616</v>
      </c>
      <c r="T14" s="2">
        <f t="shared" si="10"/>
        <v>4852.8856721004695</v>
      </c>
      <c r="U14" s="2">
        <f t="shared" si="11"/>
        <v>1998.967961398215</v>
      </c>
      <c r="Z14" s="2">
        <v>1E-4</v>
      </c>
      <c r="AA14" s="3">
        <f>IF('Modell einstellen'!$B$2="Ja",'creep_res-40'!P14,'creep_res-40'!L14)</f>
        <v>0.36077249919588944</v>
      </c>
      <c r="AB14" s="2">
        <f>IF('Modell einstellen'!$B$2="Ja",creep_res0!P14,creep_res0!L14)</f>
        <v>0.36035822836991183</v>
      </c>
      <c r="AC14" s="2">
        <f>IF('Modell einstellen'!$B$2="Ja",creep_res25!P14,creep_res25!L14)</f>
        <v>0.36010412635753059</v>
      </c>
      <c r="AD14" s="2">
        <f>IF('Modell einstellen'!$B$2="Ja",creep_res50!P14,creep_res50!L14)</f>
        <v>0.36448830450349007</v>
      </c>
      <c r="AE14" s="2">
        <f>IF('Modell einstellen'!$B$2="Ja",creep_res80!P14,creep_res80!L14)</f>
        <v>0.40389726276124766</v>
      </c>
      <c r="AF14" s="2">
        <f>IF('Modell einstellen'!$B$2="Ja",creep_res125!P14,creep_res125!L14)</f>
        <v>0.72024714166073811</v>
      </c>
      <c r="AG14" s="2">
        <f>IF('Modell einstellen'!$B$2="Ja",creep_res160!P14,creep_res160!L14)</f>
        <v>0.87793610555921553</v>
      </c>
      <c r="AL14" s="2">
        <f t="shared" si="12"/>
        <v>1E-4</v>
      </c>
      <c r="AM14" s="2">
        <f t="shared" si="13"/>
        <v>6574.1489070197567</v>
      </c>
      <c r="AN14" s="2">
        <f t="shared" si="14"/>
        <v>6543.7286518097571</v>
      </c>
      <c r="AO14" s="2">
        <f t="shared" si="15"/>
        <v>6523.8242419120506</v>
      </c>
      <c r="AP14" s="2">
        <f t="shared" si="16"/>
        <v>6364.7007036045688</v>
      </c>
      <c r="AQ14" s="2">
        <f t="shared" si="17"/>
        <v>5296.2160470219478</v>
      </c>
      <c r="AR14" s="2">
        <f t="shared" si="18"/>
        <v>1410.5199057082755</v>
      </c>
      <c r="AS14" s="2">
        <f t="shared" si="19"/>
        <v>532.22470015904992</v>
      </c>
      <c r="AX14" s="2">
        <f t="shared" si="28"/>
        <v>1E-4</v>
      </c>
      <c r="AY14" s="37">
        <f t="shared" si="20"/>
        <v>21417.993300231385</v>
      </c>
      <c r="AZ14" s="37">
        <f t="shared" si="21"/>
        <v>21249.169719049183</v>
      </c>
      <c r="BA14" s="37">
        <f t="shared" si="22"/>
        <v>21142.106244278795</v>
      </c>
      <c r="BB14" s="37">
        <f t="shared" si="23"/>
        <v>21362.386569694612</v>
      </c>
      <c r="BC14" s="37">
        <f t="shared" si="24"/>
        <v>25789.564463477425</v>
      </c>
      <c r="BD14" s="37">
        <f t="shared" si="25"/>
        <v>-3672.303179894539</v>
      </c>
      <c r="BE14" s="37">
        <f t="shared" si="26"/>
        <v>-881.52817896754868</v>
      </c>
    </row>
    <row r="15" spans="1:308" x14ac:dyDescent="0.25">
      <c r="A15" s="2">
        <f>'creep_res-40'!A15</f>
        <v>1E-3</v>
      </c>
      <c r="B15" s="3">
        <f>'creep_res-40'!O15</f>
        <v>-5.5891397142857145E-4</v>
      </c>
      <c r="C15" s="2">
        <f>IF('Modell einstellen'!$B$2="Ja",creep_res0!O15,creep_res0!C15)</f>
        <v>-5.6168508571428574E-4</v>
      </c>
      <c r="D15" s="2">
        <f>IF('Modell einstellen'!$B$2="Ja",creep_res25!O15,creep_res25!C15)</f>
        <v>-5.6367762857142858E-4</v>
      </c>
      <c r="E15" s="2">
        <f>IF('Modell einstellen'!$B$2="Ja",creep_res50!O15,creep_res50!C15)</f>
        <v>-5.8701614285714288E-4</v>
      </c>
      <c r="F15" s="2">
        <f>IF('Modell einstellen'!$B$2="Ja",creep_res80!O15,creep_res80!C15)</f>
        <v>-7.0394182857142862E-4</v>
      </c>
      <c r="G15" s="2">
        <f>IF('Modell einstellen'!$B$2="Ja",creep_res125!O15,creep_res125!C15)</f>
        <v>-3.3242445714285712E-3</v>
      </c>
      <c r="H15" s="2">
        <f>IF('Modell einstellen'!$B$2="Ja",creep_res160!O15,creep_res160!C15)</f>
        <v>-8.7717962857142857E-3</v>
      </c>
      <c r="M15" s="9">
        <f t="shared" si="27"/>
        <v>-10</v>
      </c>
      <c r="N15" s="2">
        <f t="shared" si="4"/>
        <v>1E-3</v>
      </c>
      <c r="O15" s="2">
        <f t="shared" si="5"/>
        <v>17891.841161959554</v>
      </c>
      <c r="P15" s="2">
        <f t="shared" si="6"/>
        <v>17803.570460275198</v>
      </c>
      <c r="Q15" s="2">
        <f t="shared" si="7"/>
        <v>17740.636656707073</v>
      </c>
      <c r="R15" s="2">
        <f t="shared" si="8"/>
        <v>17035.306646470905</v>
      </c>
      <c r="S15" s="2">
        <f t="shared" si="9"/>
        <v>14205.719271283941</v>
      </c>
      <c r="T15" s="2">
        <f t="shared" si="10"/>
        <v>3008.2022502040422</v>
      </c>
      <c r="U15" s="2">
        <f t="shared" si="11"/>
        <v>1140.0173549727735</v>
      </c>
      <c r="Z15" s="2">
        <v>1E-3</v>
      </c>
      <c r="AA15" s="3">
        <f>IF('Modell einstellen'!$B$2="Ja",'creep_res-40'!P15,'creep_res-40'!L15)</f>
        <v>0.36077253698486383</v>
      </c>
      <c r="AB15" s="2">
        <f>IF('Modell einstellen'!$B$2="Ja",creep_res0!P15,creep_res0!L15)</f>
        <v>0.36035913464067154</v>
      </c>
      <c r="AC15" s="2">
        <f>IF('Modell einstellen'!$B$2="Ja",creep_res25!P15,creep_res25!L15)</f>
        <v>0.36018776081587062</v>
      </c>
      <c r="AD15" s="2">
        <f>IF('Modell einstellen'!$B$2="Ja",creep_res50!P15,creep_res50!L15)</f>
        <v>0.36949596178055943</v>
      </c>
      <c r="AE15" s="2">
        <f>IF('Modell einstellen'!$B$2="Ja",creep_res80!P15,creep_res80!L15)</f>
        <v>0.4165064126240301</v>
      </c>
      <c r="AF15" s="2">
        <f>IF('Modell einstellen'!$B$2="Ja",creep_res125!P15,creep_res125!L15)</f>
        <v>0.81944840572156641</v>
      </c>
      <c r="AG15" s="2">
        <f>IF('Modell einstellen'!$B$2="Ja",creep_res160!P15,creep_res160!L15)</f>
        <v>0.93476335373171815</v>
      </c>
      <c r="AL15" s="2">
        <f t="shared" si="12"/>
        <v>1E-3</v>
      </c>
      <c r="AM15" s="2">
        <f t="shared" si="13"/>
        <v>6574.1483883865922</v>
      </c>
      <c r="AN15" s="2">
        <f t="shared" si="14"/>
        <v>6543.7023234963144</v>
      </c>
      <c r="AO15" s="2">
        <f t="shared" si="15"/>
        <v>6521.3925487999713</v>
      </c>
      <c r="AP15" s="2">
        <f t="shared" si="16"/>
        <v>6219.55344224686</v>
      </c>
      <c r="AQ15" s="2">
        <f t="shared" si="17"/>
        <v>5014.3504980568096</v>
      </c>
      <c r="AR15" s="2">
        <f t="shared" si="18"/>
        <v>826.67973456797017</v>
      </c>
      <c r="AS15" s="2">
        <f t="shared" si="19"/>
        <v>294.61415856723238</v>
      </c>
      <c r="AX15" s="2">
        <f t="shared" si="28"/>
        <v>1E-3</v>
      </c>
      <c r="AY15" s="37">
        <f t="shared" si="20"/>
        <v>21417.998018602641</v>
      </c>
      <c r="AZ15" s="37">
        <f t="shared" si="21"/>
        <v>21249.236287269807</v>
      </c>
      <c r="BA15" s="37">
        <f t="shared" si="22"/>
        <v>21148.168381910014</v>
      </c>
      <c r="BB15" s="37">
        <f t="shared" si="23"/>
        <v>21755.784825889568</v>
      </c>
      <c r="BC15" s="37">
        <f t="shared" si="24"/>
        <v>28356.906835083992</v>
      </c>
      <c r="BD15" s="37">
        <f t="shared" si="25"/>
        <v>-1569.4773638584659</v>
      </c>
      <c r="BE15" s="37">
        <f t="shared" si="26"/>
        <v>-437.02600705557256</v>
      </c>
    </row>
    <row r="16" spans="1:308" x14ac:dyDescent="0.25">
      <c r="A16" s="2">
        <f>'creep_res-40'!A16</f>
        <v>0.01</v>
      </c>
      <c r="B16" s="3">
        <f>'creep_res-40'!O16</f>
        <v>-5.5891448571428572E-4</v>
      </c>
      <c r="C16" s="2">
        <f>IF('Modell einstellen'!$B$2="Ja",creep_res0!O16,creep_res0!C16)</f>
        <v>-5.617039142857144E-4</v>
      </c>
      <c r="D16" s="2">
        <f>IF('Modell einstellen'!$B$2="Ja",creep_res25!O16,creep_res25!C16)</f>
        <v>-5.6530822857142854E-4</v>
      </c>
      <c r="E16" s="2">
        <f>IF('Modell einstellen'!$B$2="Ja",creep_res50!O16,creep_res50!C16)</f>
        <v>-5.9998348571428575E-4</v>
      </c>
      <c r="F16" s="2">
        <f>IF('Modell einstellen'!$B$2="Ja",creep_res80!O16,creep_res80!C16)</f>
        <v>-7.3808877142857144E-4</v>
      </c>
      <c r="G16" s="2">
        <f>IF('Modell einstellen'!$B$2="Ja",creep_res125!O16,creep_res125!C16)</f>
        <v>-5.6982420000000001E-3</v>
      </c>
      <c r="H16" s="2">
        <f>IF('Modell einstellen'!$B$2="Ja",creep_res160!O16,creep_res160!C16)</f>
        <v>-1.3274090285714286E-2</v>
      </c>
      <c r="M16" s="9">
        <f t="shared" si="27"/>
        <v>-10</v>
      </c>
      <c r="N16" s="2">
        <f t="shared" si="4"/>
        <v>0.01</v>
      </c>
      <c r="O16" s="2">
        <f t="shared" si="5"/>
        <v>17891.824698764292</v>
      </c>
      <c r="P16" s="2">
        <f t="shared" si="6"/>
        <v>17802.973676472251</v>
      </c>
      <c r="Q16" s="2">
        <f t="shared" si="7"/>
        <v>17689.464781488612</v>
      </c>
      <c r="R16" s="2">
        <f t="shared" si="8"/>
        <v>16667.125409451746</v>
      </c>
      <c r="S16" s="2">
        <f t="shared" si="9"/>
        <v>13548.505799166936</v>
      </c>
      <c r="T16" s="2">
        <f t="shared" si="10"/>
        <v>1754.9272214132006</v>
      </c>
      <c r="U16" s="2">
        <f t="shared" si="11"/>
        <v>753.34729422189514</v>
      </c>
      <c r="Z16" s="2">
        <v>0.01</v>
      </c>
      <c r="AA16" s="3">
        <f>IF('Modell einstellen'!$B$2="Ja",'creep_res-40'!P16,'creep_res-40'!L16)</f>
        <v>0.36077279289389885</v>
      </c>
      <c r="AB16" s="2">
        <f>IF('Modell einstellen'!$B$2="Ja",creep_res0!P16,creep_res0!L16)</f>
        <v>0.36036820517082785</v>
      </c>
      <c r="AC16" s="2">
        <f>IF('Modell einstellen'!$B$2="Ja",creep_res25!P16,creep_res25!L16)</f>
        <v>0.36096327323430338</v>
      </c>
      <c r="AD16" s="2">
        <f>IF('Modell einstellen'!$B$2="Ja",creep_res50!P16,creep_res50!L16)</f>
        <v>0.37518023115112409</v>
      </c>
      <c r="AE16" s="2">
        <f>IF('Modell einstellen'!$B$2="Ja",creep_res80!P16,creep_res80!L16)</f>
        <v>0.42985855321235655</v>
      </c>
      <c r="AF16" s="2">
        <f>IF('Modell einstellen'!$B$2="Ja",creep_res125!P16,creep_res125!L16)</f>
        <v>0.89472311936608828</v>
      </c>
      <c r="AG16" s="2">
        <f>IF('Modell einstellen'!$B$2="Ja",creep_res160!P16,creep_res160!L16)</f>
        <v>0.96331157781143395</v>
      </c>
      <c r="AL16" s="2">
        <f t="shared" si="12"/>
        <v>0.01</v>
      </c>
      <c r="AM16" s="2">
        <f t="shared" si="13"/>
        <v>6574.141102834109</v>
      </c>
      <c r="AN16" s="2">
        <f t="shared" si="14"/>
        <v>6543.4393456132884</v>
      </c>
      <c r="AO16" s="2">
        <f t="shared" si="15"/>
        <v>6498.8766153292054</v>
      </c>
      <c r="AP16" s="2">
        <f t="shared" si="16"/>
        <v>6059.9785511387736</v>
      </c>
      <c r="AQ16" s="2">
        <f t="shared" si="17"/>
        <v>4737.7084148388376</v>
      </c>
      <c r="AR16" s="2">
        <f t="shared" si="18"/>
        <v>463.10914863390207</v>
      </c>
      <c r="AS16" s="2">
        <f t="shared" si="19"/>
        <v>191.85627557437303</v>
      </c>
      <c r="AX16" s="2">
        <f t="shared" si="28"/>
        <v>0.01</v>
      </c>
      <c r="AY16" s="37">
        <f t="shared" si="20"/>
        <v>21418.017678505221</v>
      </c>
      <c r="AZ16" s="37">
        <f t="shared" si="21"/>
        <v>21249.904314716554</v>
      </c>
      <c r="BA16" s="37">
        <f t="shared" si="22"/>
        <v>21204.786669183137</v>
      </c>
      <c r="BB16" s="37">
        <f t="shared" si="23"/>
        <v>22254.922121125535</v>
      </c>
      <c r="BC16" s="37">
        <f t="shared" si="24"/>
        <v>32193.295166802207</v>
      </c>
      <c r="BD16" s="37">
        <f t="shared" si="25"/>
        <v>-740.99503141660125</v>
      </c>
      <c r="BE16" s="37">
        <f t="shared" si="26"/>
        <v>-271.00096000928653</v>
      </c>
    </row>
    <row r="17" spans="1:57" x14ac:dyDescent="0.25">
      <c r="A17" s="2">
        <f>'creep_res-40'!A17</f>
        <v>0.1</v>
      </c>
      <c r="B17" s="3">
        <f>'creep_res-40'!O17</f>
        <v>-5.5891965714285712E-4</v>
      </c>
      <c r="C17" s="2">
        <f>IF('Modell einstellen'!$B$2="Ja",creep_res0!O17,creep_res0!C17)</f>
        <v>-5.6189088571428577E-4</v>
      </c>
      <c r="D17" s="2">
        <f>IF('Modell einstellen'!$B$2="Ja",creep_res25!O17,creep_res25!C17)</f>
        <v>-5.7441494285714293E-4</v>
      </c>
      <c r="E17" s="2">
        <f>IF('Modell einstellen'!$B$2="Ja",creep_res50!O17,creep_res50!C17)</f>
        <v>-6.1619954285714292E-4</v>
      </c>
      <c r="F17" s="2">
        <f>IF('Modell einstellen'!$B$2="Ja",creep_res80!O17,creep_res80!C17)</f>
        <v>-7.7937257142857153E-4</v>
      </c>
      <c r="G17" s="2">
        <f>IF('Modell einstellen'!$B$2="Ja",creep_res125!O17,creep_res125!C17)</f>
        <v>-1.0000507142857143E-2</v>
      </c>
      <c r="H17" s="2">
        <f>IF('Modell einstellen'!$B$2="Ja",creep_res160!O17,creep_res160!C17)</f>
        <v>-1.5647893142857142E-2</v>
      </c>
      <c r="M17" s="9">
        <f t="shared" si="27"/>
        <v>-10</v>
      </c>
      <c r="N17" s="2">
        <f t="shared" si="4"/>
        <v>0.1</v>
      </c>
      <c r="O17" s="2">
        <f t="shared" si="5"/>
        <v>17891.659153873792</v>
      </c>
      <c r="P17" s="2">
        <f t="shared" si="6"/>
        <v>17797.049666124803</v>
      </c>
      <c r="Q17" s="2">
        <f t="shared" si="7"/>
        <v>17409.017861304143</v>
      </c>
      <c r="R17" s="2">
        <f t="shared" si="8"/>
        <v>16228.509280667151</v>
      </c>
      <c r="S17" s="2">
        <f t="shared" si="9"/>
        <v>12830.833886892166</v>
      </c>
      <c r="T17" s="2">
        <f t="shared" si="10"/>
        <v>999.94928828609397</v>
      </c>
      <c r="U17" s="2">
        <f t="shared" si="11"/>
        <v>639.0636687447435</v>
      </c>
      <c r="Z17" s="2">
        <v>0.1</v>
      </c>
      <c r="AA17" s="3">
        <f>IF('Modell einstellen'!$B$2="Ja",'creep_res-40'!P17,'creep_res-40'!L17)</f>
        <v>0.36077529773254408</v>
      </c>
      <c r="AB17" s="2">
        <f>IF('Modell einstellen'!$B$2="Ja",creep_res0!P17,creep_res0!L17)</f>
        <v>0.36045809300748322</v>
      </c>
      <c r="AC17" s="2">
        <f>IF('Modell einstellen'!$B$2="Ja",creep_res25!P17,creep_res25!L17)</f>
        <v>0.36504682055873694</v>
      </c>
      <c r="AD17" s="2">
        <f>IF('Modell einstellen'!$B$2="Ja",creep_res50!P17,creep_res50!L17)</f>
        <v>0.38217742453001313</v>
      </c>
      <c r="AE17" s="2">
        <f>IF('Modell einstellen'!$B$2="Ja",creep_res80!P17,creep_res80!L17)</f>
        <v>0.44536092035938063</v>
      </c>
      <c r="AF17" s="2">
        <f>IF('Modell einstellen'!$B$2="Ja",creep_res125!P17,creep_res125!L17)</f>
        <v>0.94335710117558313</v>
      </c>
      <c r="AG17" s="2">
        <f>IF('Modell einstellen'!$B$2="Ja",creep_res160!P17,creep_res160!L17)</f>
        <v>0.96903444381540293</v>
      </c>
      <c r="AL17" s="2">
        <f t="shared" si="12"/>
        <v>0.1</v>
      </c>
      <c r="AM17" s="2">
        <f t="shared" si="13"/>
        <v>6574.0681741087647</v>
      </c>
      <c r="AN17" s="2">
        <f t="shared" si="14"/>
        <v>6540.8297975507394</v>
      </c>
      <c r="AO17" s="2">
        <f t="shared" si="15"/>
        <v>6376.7108933957061</v>
      </c>
      <c r="AP17" s="2">
        <f t="shared" si="16"/>
        <v>5870.6317266704709</v>
      </c>
      <c r="AQ17" s="2">
        <f t="shared" si="17"/>
        <v>4438.626264954587</v>
      </c>
      <c r="AR17" s="2">
        <f t="shared" si="18"/>
        <v>257.27368574751409</v>
      </c>
      <c r="AS17" s="2">
        <f t="shared" si="19"/>
        <v>162.27843823453597</v>
      </c>
      <c r="AX17" s="2">
        <f t="shared" si="28"/>
        <v>0.1</v>
      </c>
      <c r="AY17" s="37">
        <f t="shared" si="20"/>
        <v>21418.204842585139</v>
      </c>
      <c r="AZ17" s="37">
        <f t="shared" si="21"/>
        <v>21256.517187436755</v>
      </c>
      <c r="BA17" s="37">
        <f t="shared" si="22"/>
        <v>21500.071275807713</v>
      </c>
      <c r="BB17" s="37">
        <f t="shared" si="23"/>
        <v>22956.140077474745</v>
      </c>
      <c r="BC17" s="37">
        <f t="shared" si="24"/>
        <v>39138.146699166959</v>
      </c>
      <c r="BD17" s="37">
        <f t="shared" si="25"/>
        <v>-375.90063240770604</v>
      </c>
      <c r="BE17" s="37">
        <f t="shared" si="26"/>
        <v>-227.08483963573565</v>
      </c>
    </row>
    <row r="18" spans="1:57" x14ac:dyDescent="0.25">
      <c r="A18" s="2">
        <f>'creep_res-40'!A18</f>
        <v>1</v>
      </c>
      <c r="B18" s="3">
        <f>'creep_res-40'!O18</f>
        <v>-5.5897102857142866E-4</v>
      </c>
      <c r="C18" s="2">
        <f>IF('Modell einstellen'!$B$2="Ja",creep_res0!O18,creep_res0!C18)</f>
        <v>-5.6361988571428567E-4</v>
      </c>
      <c r="D18" s="2">
        <f>IF('Modell einstellen'!$B$2="Ja",creep_res25!O18,creep_res25!C18)</f>
        <v>-5.8573588571428576E-4</v>
      </c>
      <c r="E18" s="2">
        <f>IF('Modell einstellen'!$B$2="Ja",creep_res50!O18,creep_res50!C18)</f>
        <v>-6.345624E-4</v>
      </c>
      <c r="F18" s="2">
        <f>IF('Modell einstellen'!$B$2="Ja",creep_res80!O18,creep_res80!C18)</f>
        <v>-8.3077111428571425E-4</v>
      </c>
      <c r="G18" s="2">
        <f>IF('Modell einstellen'!$B$2="Ja",creep_res125!O18,creep_res125!C18)</f>
        <v>-1.4185493714285716E-2</v>
      </c>
      <c r="H18" s="2">
        <f>IF('Modell einstellen'!$B$2="Ja",creep_res160!O18,creep_res160!C18)</f>
        <v>-1.7303699142857145E-2</v>
      </c>
      <c r="M18" s="9">
        <f t="shared" si="27"/>
        <v>-10</v>
      </c>
      <c r="N18" s="2">
        <f t="shared" si="4"/>
        <v>1</v>
      </c>
      <c r="O18" s="2">
        <f t="shared" si="5"/>
        <v>17890.014846667746</v>
      </c>
      <c r="P18" s="2">
        <f t="shared" si="6"/>
        <v>17742.454184927879</v>
      </c>
      <c r="Q18" s="2">
        <f t="shared" si="7"/>
        <v>17072.541129702728</v>
      </c>
      <c r="R18" s="2">
        <f t="shared" si="8"/>
        <v>15758.891481751834</v>
      </c>
      <c r="S18" s="2">
        <f t="shared" si="9"/>
        <v>12037.009746779489</v>
      </c>
      <c r="T18" s="2">
        <f t="shared" si="10"/>
        <v>704.94550287871539</v>
      </c>
      <c r="U18" s="2">
        <f t="shared" si="11"/>
        <v>577.91111122779409</v>
      </c>
      <c r="Z18" s="2">
        <v>1</v>
      </c>
      <c r="AA18" s="3">
        <f>IF('Modell einstellen'!$B$2="Ja",'creep_res-40'!P18,'creep_res-40'!L18)</f>
        <v>0.36080044220027546</v>
      </c>
      <c r="AB18" s="2">
        <f>IF('Modell einstellen'!$B$2="Ja",creep_res0!P18,creep_res0!L18)</f>
        <v>0.36128752630445571</v>
      </c>
      <c r="AC18" s="2">
        <f>IF('Modell einstellen'!$B$2="Ja",creep_res25!P18,creep_res25!L18)</f>
        <v>0.37010785358354592</v>
      </c>
      <c r="AD18" s="2">
        <f>IF('Modell einstellen'!$B$2="Ja",creep_res50!P18,creep_res50!L18)</f>
        <v>0.38988561025902041</v>
      </c>
      <c r="AE18" s="2">
        <f>IF('Modell einstellen'!$B$2="Ja",creep_res80!P18,creep_res80!L18)</f>
        <v>0.4624481234972439</v>
      </c>
      <c r="AF18" s="2">
        <f>IF('Modell einstellen'!$B$2="Ja",creep_res125!P18,creep_res125!L18)</f>
        <v>0.9583911757902861</v>
      </c>
      <c r="AG18" s="2">
        <f>IF('Modell einstellen'!$B$2="Ja",creep_res160!P18,creep_res160!L18)</f>
        <v>0.96155254796303102</v>
      </c>
      <c r="AL18" s="2">
        <f t="shared" si="12"/>
        <v>1</v>
      </c>
      <c r="AM18" s="2">
        <f t="shared" si="13"/>
        <v>6573.3425313051102</v>
      </c>
      <c r="AN18" s="2">
        <f t="shared" si="14"/>
        <v>6516.7915822655277</v>
      </c>
      <c r="AO18" s="2">
        <f t="shared" si="15"/>
        <v>6230.3639399807598</v>
      </c>
      <c r="AP18" s="2">
        <f t="shared" si="16"/>
        <v>5669.1325406322439</v>
      </c>
      <c r="AQ18" s="2">
        <f t="shared" si="17"/>
        <v>4115.3629839514006</v>
      </c>
      <c r="AR18" s="2">
        <f t="shared" si="18"/>
        <v>179.98076982609024</v>
      </c>
      <c r="AS18" s="2">
        <f t="shared" si="19"/>
        <v>147.30961753431595</v>
      </c>
      <c r="AX18" s="2">
        <f t="shared" si="28"/>
        <v>1</v>
      </c>
      <c r="AY18" s="37">
        <f t="shared" si="20"/>
        <v>21420.104979077681</v>
      </c>
      <c r="AZ18" s="37">
        <f t="shared" si="21"/>
        <v>21318.022948522812</v>
      </c>
      <c r="BA18" s="37">
        <f t="shared" si="22"/>
        <v>21906.047441038187</v>
      </c>
      <c r="BB18" s="37">
        <f t="shared" si="23"/>
        <v>23852.304133942343</v>
      </c>
      <c r="BC18" s="37">
        <f t="shared" si="24"/>
        <v>53423.91587229132</v>
      </c>
      <c r="BD18" s="37">
        <f t="shared" si="25"/>
        <v>-256.31147227887442</v>
      </c>
      <c r="BE18" s="37">
        <f t="shared" si="26"/>
        <v>-208.6837543483359</v>
      </c>
    </row>
    <row r="19" spans="1:57" x14ac:dyDescent="0.25">
      <c r="A19" s="2">
        <f>'creep_res-40'!A19</f>
        <v>10</v>
      </c>
      <c r="B19" s="3">
        <f>'creep_res-40'!O19</f>
        <v>-5.5947377142857152E-4</v>
      </c>
      <c r="C19" s="2">
        <f>IF('Modell einstellen'!$B$2="Ja",creep_res0!O19,creep_res0!C19)</f>
        <v>-5.7295888571428581E-4</v>
      </c>
      <c r="D19" s="2">
        <f>IF('Modell einstellen'!$B$2="Ja",creep_res25!O19,creep_res25!C19)</f>
        <v>-5.9907651428571431E-4</v>
      </c>
      <c r="E19" s="2">
        <f>IF('Modell einstellen'!$B$2="Ja",creep_res50!O19,creep_res50!C19)</f>
        <v>-6.5908922857142857E-4</v>
      </c>
      <c r="F19" s="2">
        <f>IF('Modell einstellen'!$B$2="Ja",creep_res80!O19,creep_res80!C19)</f>
        <v>-9.2215834285714292E-4</v>
      </c>
      <c r="G19" s="2">
        <f>IF('Modell einstellen'!$B$2="Ja",creep_res125!O19,creep_res125!C19)</f>
        <v>-1.6304024571428571E-2</v>
      </c>
      <c r="H19" s="2">
        <f>IF('Modell einstellen'!$B$2="Ja",creep_res160!O19,creep_res160!C19)</f>
        <v>-1.8197246571428575E-2</v>
      </c>
      <c r="M19" s="9">
        <f t="shared" si="27"/>
        <v>-10</v>
      </c>
      <c r="N19" s="2">
        <f t="shared" si="4"/>
        <v>10</v>
      </c>
      <c r="O19" s="2">
        <f t="shared" si="5"/>
        <v>17873.938888083707</v>
      </c>
      <c r="P19" s="2">
        <f t="shared" si="6"/>
        <v>17453.259298934485</v>
      </c>
      <c r="Q19" s="2">
        <f t="shared" si="7"/>
        <v>16692.358591161119</v>
      </c>
      <c r="R19" s="2">
        <f t="shared" si="8"/>
        <v>15172.452479120213</v>
      </c>
      <c r="S19" s="2">
        <f t="shared" si="9"/>
        <v>10844.124631586357</v>
      </c>
      <c r="T19" s="2">
        <f t="shared" si="10"/>
        <v>613.34549369633294</v>
      </c>
      <c r="U19" s="2">
        <f t="shared" si="11"/>
        <v>549.5336869095878</v>
      </c>
      <c r="Z19" s="2">
        <v>10</v>
      </c>
      <c r="AA19" s="3">
        <f>IF('Modell einstellen'!$B$2="Ja",'creep_res-40'!P19,'creep_res-40'!L19)</f>
        <v>0.36104632914746104</v>
      </c>
      <c r="AB19" s="2">
        <f>IF('Modell einstellen'!$B$2="Ja",creep_res0!P19,creep_res0!L19)</f>
        <v>0.36549577902897135</v>
      </c>
      <c r="AC19" s="2">
        <f>IF('Modell einstellen'!$B$2="Ja",creep_res25!P19,creep_res25!L19)</f>
        <v>0.37582354135732149</v>
      </c>
      <c r="AD19" s="2">
        <f>IF('Modell einstellen'!$B$2="Ja",creep_res50!P19,creep_res50!L19)</f>
        <v>0.3987869017344845</v>
      </c>
      <c r="AE19" s="2">
        <f>IF('Modell einstellen'!$B$2="Ja",creep_res80!P19,creep_res80!L19)</f>
        <v>0.48039075532798176</v>
      </c>
      <c r="AF19" s="2">
        <f>IF('Modell einstellen'!$B$2="Ja",creep_res125!P19,creep_res125!L19)</f>
        <v>0.94640564294677398</v>
      </c>
      <c r="AG19" s="2">
        <f>IF('Modell einstellen'!$B$2="Ja",creep_res160!P19,creep_res160!L19)</f>
        <v>0.93407994864152366</v>
      </c>
      <c r="AL19" s="2">
        <f t="shared" si="12"/>
        <v>10</v>
      </c>
      <c r="AM19" s="2">
        <f t="shared" si="13"/>
        <v>6566.2492544539882</v>
      </c>
      <c r="AN19" s="2">
        <f t="shared" si="14"/>
        <v>6390.814079024768</v>
      </c>
      <c r="AO19" s="2">
        <f t="shared" si="15"/>
        <v>6066.3152248046426</v>
      </c>
      <c r="AP19" s="2">
        <f t="shared" si="16"/>
        <v>5423.4324257349326</v>
      </c>
      <c r="AQ19" s="2">
        <f t="shared" si="17"/>
        <v>3662.5886079597385</v>
      </c>
      <c r="AR19" s="2">
        <f t="shared" si="18"/>
        <v>157.55849658546879</v>
      </c>
      <c r="AS19" s="2">
        <f t="shared" si="19"/>
        <v>142.06591803394016</v>
      </c>
      <c r="AX19" s="2">
        <f t="shared" si="28"/>
        <v>10</v>
      </c>
      <c r="AY19" s="37">
        <f t="shared" si="20"/>
        <v>21438.72699730254</v>
      </c>
      <c r="AZ19" s="37">
        <f t="shared" si="21"/>
        <v>21626.656240393881</v>
      </c>
      <c r="BA19" s="37">
        <f t="shared" si="22"/>
        <v>22404.083637132706</v>
      </c>
      <c r="BB19" s="37">
        <f t="shared" si="23"/>
        <v>24984.336248848347</v>
      </c>
      <c r="BC19" s="37">
        <f t="shared" si="24"/>
        <v>92168.471325335064</v>
      </c>
      <c r="BD19" s="37">
        <f t="shared" si="25"/>
        <v>-228.99407873653888</v>
      </c>
      <c r="BE19" s="37">
        <f t="shared" si="26"/>
        <v>-210.99557375293912</v>
      </c>
    </row>
    <row r="20" spans="1:57" x14ac:dyDescent="0.25">
      <c r="A20" s="2">
        <f>'creep_res-40'!A20</f>
        <v>100</v>
      </c>
      <c r="B20" s="3">
        <f>'creep_res-40'!O20</f>
        <v>-5.6355397142857143E-4</v>
      </c>
      <c r="C20" s="2">
        <f>IF('Modell einstellen'!$B$2="Ja",creep_res0!O20,creep_res0!C20)</f>
        <v>-5.846362000000001E-4</v>
      </c>
      <c r="D20" s="2">
        <f>IF('Modell einstellen'!$B$2="Ja",creep_res25!O20,creep_res25!C20)</f>
        <v>-6.1825137142857149E-4</v>
      </c>
      <c r="E20" s="2">
        <f>IF('Modell einstellen'!$B$2="Ja",creep_res50!O20,creep_res50!C20)</f>
        <v>-7.0183665714285723E-4</v>
      </c>
      <c r="F20" s="2">
        <f>IF('Modell einstellen'!$B$2="Ja",creep_res80!O20,creep_res80!C20)</f>
        <v>-1.1030462571428572E-3</v>
      </c>
      <c r="G20" s="2">
        <f>IF('Modell einstellen'!$B$2="Ja",creep_res125!O20,creep_res125!C20)</f>
        <v>-1.8261522000000002E-2</v>
      </c>
      <c r="H20" s="2">
        <f>IF('Modell einstellen'!$B$2="Ja",creep_res160!O20,creep_res160!C20)</f>
        <v>-1.9020716E-2</v>
      </c>
      <c r="M20" s="9">
        <f t="shared" si="27"/>
        <v>-10</v>
      </c>
      <c r="N20" s="2">
        <f t="shared" si="4"/>
        <v>100</v>
      </c>
      <c r="O20" s="2">
        <f t="shared" si="5"/>
        <v>17744.529374268575</v>
      </c>
      <c r="P20" s="2">
        <f t="shared" si="6"/>
        <v>17104.654142182775</v>
      </c>
      <c r="Q20" s="2">
        <f t="shared" si="7"/>
        <v>16174.650736145324</v>
      </c>
      <c r="R20" s="2">
        <f t="shared" si="8"/>
        <v>14248.329576727314</v>
      </c>
      <c r="S20" s="2">
        <f t="shared" si="9"/>
        <v>9065.8029391281325</v>
      </c>
      <c r="T20" s="2">
        <f t="shared" si="10"/>
        <v>547.59948267181665</v>
      </c>
      <c r="U20" s="2">
        <f t="shared" si="11"/>
        <v>525.74256405489677</v>
      </c>
      <c r="Z20" s="2">
        <v>100</v>
      </c>
      <c r="AA20" s="3">
        <f>IF('Modell einstellen'!$B$2="Ja",'creep_res-40'!P20,'creep_res-40'!L20)</f>
        <v>0.36303105764137994</v>
      </c>
      <c r="AB20" s="2">
        <f>IF('Modell einstellen'!$B$2="Ja",creep_res0!P20,creep_res0!L20)</f>
        <v>0.37053284467454167</v>
      </c>
      <c r="AC20" s="2">
        <f>IF('Modell einstellen'!$B$2="Ja",creep_res25!P20,creep_res25!L20)</f>
        <v>0.3822597308778426</v>
      </c>
      <c r="AD20" s="2">
        <f>IF('Modell einstellen'!$B$2="Ja",creep_res50!P20,creep_res50!L20)</f>
        <v>0.40657534762972719</v>
      </c>
      <c r="AE20" s="2">
        <f>IF('Modell einstellen'!$B$2="Ja",creep_res80!P20,creep_res80!L20)</f>
        <v>0.49119802487754749</v>
      </c>
      <c r="AF20" s="2">
        <f>IF('Modell einstellen'!$B$2="Ja",creep_res125!P20,creep_res125!L20)</f>
        <v>0.91293941123073641</v>
      </c>
      <c r="AG20" s="2">
        <f>IF('Modell einstellen'!$B$2="Ja",creep_res160!P20,creep_res160!L20)</f>
        <v>0.87443271250747268</v>
      </c>
      <c r="AL20" s="2">
        <f t="shared" si="12"/>
        <v>100</v>
      </c>
      <c r="AM20" s="2">
        <f t="shared" si="13"/>
        <v>6509.2168204054406</v>
      </c>
      <c r="AN20" s="2">
        <f t="shared" si="14"/>
        <v>6240.1474757230608</v>
      </c>
      <c r="AO20" s="2">
        <f t="shared" si="15"/>
        <v>5850.8000974148181</v>
      </c>
      <c r="AP20" s="2">
        <f t="shared" si="16"/>
        <v>5064.9009314494624</v>
      </c>
      <c r="AQ20" s="2">
        <f t="shared" si="17"/>
        <v>3039.7716426269371</v>
      </c>
      <c r="AR20" s="2">
        <f t="shared" si="18"/>
        <v>143.13037816485394</v>
      </c>
      <c r="AS20" s="2">
        <f t="shared" si="19"/>
        <v>140.2404472955443</v>
      </c>
      <c r="AX20" s="2">
        <f t="shared" si="28"/>
        <v>100</v>
      </c>
      <c r="AY20" s="37">
        <f t="shared" si="20"/>
        <v>21591.91354953156</v>
      </c>
      <c r="AZ20" s="37">
        <f t="shared" si="21"/>
        <v>22019.296579100948</v>
      </c>
      <c r="BA20" s="37">
        <f t="shared" si="22"/>
        <v>22895.94836830191</v>
      </c>
      <c r="BB20" s="37">
        <f t="shared" si="23"/>
        <v>25418.575674324286</v>
      </c>
      <c r="BC20" s="37">
        <f t="shared" si="24"/>
        <v>171662.28437377722</v>
      </c>
      <c r="BD20" s="37">
        <f t="shared" si="25"/>
        <v>-221.01688035368008</v>
      </c>
      <c r="BE20" s="37">
        <f t="shared" si="26"/>
        <v>-234.01737548256389</v>
      </c>
    </row>
    <row r="21" spans="1:57" x14ac:dyDescent="0.25">
      <c r="A21" s="2">
        <f>'creep_res-40'!A21</f>
        <v>1000</v>
      </c>
      <c r="B21" s="3">
        <f>'creep_res-40'!O21</f>
        <v>-5.7474800000000003E-4</v>
      </c>
      <c r="C21" s="2">
        <f>IF('Modell einstellen'!$B$2="Ja",creep_res0!O21,creep_res0!C21)</f>
        <v>-6.0134048571428575E-4</v>
      </c>
      <c r="D21" s="2">
        <f>IF('Modell einstellen'!$B$2="Ja",creep_res25!O21,creep_res25!C21)</f>
        <v>-6.5297140000000005E-4</v>
      </c>
      <c r="E21" s="2">
        <f>IF('Modell einstellen'!$B$2="Ja",creep_res50!O21,creep_res50!C21)</f>
        <v>-7.7553539999999997E-4</v>
      </c>
      <c r="F21" s="2">
        <f>IF('Modell einstellen'!$B$2="Ja",creep_res80!O21,creep_res80!C21)</f>
        <v>-1.4169130571428574E-3</v>
      </c>
      <c r="G21" s="2">
        <f>IF('Modell einstellen'!$B$2="Ja",creep_res125!O21,creep_res125!C21)</f>
        <v>-1.960208028571429E-2</v>
      </c>
      <c r="H21" s="2">
        <f>IF('Modell einstellen'!$B$2="Ja",creep_res160!O21,creep_res160!C21)</f>
        <v>-2.0558336000000003E-2</v>
      </c>
      <c r="M21" s="9">
        <f t="shared" si="27"/>
        <v>-10</v>
      </c>
      <c r="N21" s="2">
        <f t="shared" si="4"/>
        <v>1000</v>
      </c>
      <c r="O21" s="2">
        <f t="shared" si="5"/>
        <v>17398.92961784991</v>
      </c>
      <c r="P21" s="2">
        <f t="shared" si="6"/>
        <v>16629.513956842227</v>
      </c>
      <c r="Q21" s="2">
        <f t="shared" si="7"/>
        <v>15314.606428397934</v>
      </c>
      <c r="R21" s="2">
        <f t="shared" si="8"/>
        <v>12894.317912502769</v>
      </c>
      <c r="S21" s="2">
        <f t="shared" si="9"/>
        <v>7057.5960533277594</v>
      </c>
      <c r="T21" s="2">
        <f t="shared" si="10"/>
        <v>510.14993583552734</v>
      </c>
      <c r="U21" s="2">
        <f t="shared" si="11"/>
        <v>486.42069085747011</v>
      </c>
      <c r="Z21" s="2">
        <v>1000</v>
      </c>
      <c r="AA21" s="3">
        <f>IF('Modell einstellen'!$B$2="Ja",'creep_res-40'!P21,'creep_res-40'!L21)</f>
        <v>0.36808177298075478</v>
      </c>
      <c r="AB21" s="2">
        <f>IF('Modell einstellen'!$B$2="Ja",creep_res0!P21,creep_res0!L21)</f>
        <v>0.37560725877333956</v>
      </c>
      <c r="AC21" s="2">
        <f>IF('Modell einstellen'!$B$2="Ja",creep_res25!P21,creep_res25!L21)</f>
        <v>0.38615340361220812</v>
      </c>
      <c r="AD21" s="2">
        <f>IF('Modell einstellen'!$B$2="Ja",creep_res50!P21,creep_res50!L21)</f>
        <v>0.40761974612266944</v>
      </c>
      <c r="AE21" s="2">
        <f>IF('Modell einstellen'!$B$2="Ja",creep_res80!P21,creep_res80!L21)</f>
        <v>0.49746286479478913</v>
      </c>
      <c r="AF21" s="2">
        <f>IF('Modell einstellen'!$B$2="Ja",creep_res125!P21,creep_res125!L21)</f>
        <v>0.83455311397634313</v>
      </c>
      <c r="AG21" s="2">
        <f>IF('Modell einstellen'!$B$2="Ja",creep_res160!P21,creep_res160!L21)</f>
        <v>0.77355324032895589</v>
      </c>
      <c r="AL21" s="2">
        <f t="shared" si="12"/>
        <v>1000</v>
      </c>
      <c r="AM21" s="2">
        <f t="shared" si="13"/>
        <v>6358.877795711509</v>
      </c>
      <c r="AN21" s="2">
        <f t="shared" si="14"/>
        <v>6044.4265071962272</v>
      </c>
      <c r="AO21" s="2">
        <f t="shared" si="15"/>
        <v>5524.1383776461034</v>
      </c>
      <c r="AP21" s="2">
        <f t="shared" si="16"/>
        <v>4580.1850776889687</v>
      </c>
      <c r="AQ21" s="2">
        <f t="shared" si="17"/>
        <v>2356.5178874385392</v>
      </c>
      <c r="AR21" s="2">
        <f t="shared" si="18"/>
        <v>139.03929298884987</v>
      </c>
      <c r="AS21" s="2">
        <f t="shared" si="19"/>
        <v>137.13168564571805</v>
      </c>
      <c r="AX21" s="2">
        <f t="shared" si="28"/>
        <v>1000</v>
      </c>
      <c r="AY21" s="37">
        <f t="shared" si="20"/>
        <v>21981.9631335095</v>
      </c>
      <c r="AZ21" s="37">
        <f t="shared" si="21"/>
        <v>22280.927585826728</v>
      </c>
      <c r="BA21" s="37">
        <f t="shared" si="22"/>
        <v>22419.944782878854</v>
      </c>
      <c r="BB21" s="37">
        <f t="shared" si="23"/>
        <v>23263.120582790365</v>
      </c>
      <c r="BC21" s="37">
        <f t="shared" si="24"/>
        <v>463619.75761957688</v>
      </c>
      <c r="BD21" s="37">
        <f t="shared" si="25"/>
        <v>-254.14496459277763</v>
      </c>
      <c r="BE21" s="37">
        <f t="shared" si="26"/>
        <v>-296.35954977328169</v>
      </c>
    </row>
    <row r="22" spans="1:57" x14ac:dyDescent="0.25">
      <c r="A22" s="2">
        <f>'creep_res-40'!A22</f>
        <v>10000</v>
      </c>
      <c r="B22" s="3">
        <f>'creep_res-40'!O22</f>
        <v>-5.8737985714285719E-4</v>
      </c>
      <c r="C22" s="2">
        <f>IF('Modell einstellen'!$B$2="Ja",creep_res0!O22,creep_res0!C22)</f>
        <v>-6.3636051428571437E-4</v>
      </c>
      <c r="D22" s="2">
        <f>IF('Modell einstellen'!$B$2="Ja",creep_res25!O22,creep_res25!C22)</f>
        <v>-7.1575365714285713E-4</v>
      </c>
      <c r="E22" s="2">
        <f>IF('Modell einstellen'!$B$2="Ja",creep_res50!O22,creep_res50!C22)</f>
        <v>-8.7162931428571438E-4</v>
      </c>
      <c r="F22" s="2">
        <f>IF('Modell einstellen'!$B$2="Ja",creep_res80!O22,creep_res80!C22)</f>
        <v>-1.989220685714286E-3</v>
      </c>
      <c r="G22" s="2">
        <f>IF('Modell einstellen'!$B$2="Ja",creep_res125!O22,creep_res125!C22)</f>
        <v>-2.1330320857142857E-2</v>
      </c>
      <c r="H22" s="2">
        <f>IF('Modell einstellen'!$B$2="Ja",creep_res160!O22,creep_res160!C22)</f>
        <v>-2.2364219142857147E-2</v>
      </c>
      <c r="M22" s="9">
        <f t="shared" si="27"/>
        <v>-10</v>
      </c>
      <c r="N22" s="2">
        <f t="shared" si="4"/>
        <v>10000</v>
      </c>
      <c r="O22" s="2">
        <f t="shared" si="5"/>
        <v>17024.758132909366</v>
      </c>
      <c r="P22" s="2">
        <f t="shared" si="6"/>
        <v>15714.36281087387</v>
      </c>
      <c r="Q22" s="2">
        <f t="shared" si="7"/>
        <v>13971.287327986509</v>
      </c>
      <c r="R22" s="2">
        <f t="shared" si="8"/>
        <v>11472.766961945093</v>
      </c>
      <c r="S22" s="2">
        <f t="shared" si="9"/>
        <v>5027.0943147814778</v>
      </c>
      <c r="T22" s="2">
        <f t="shared" si="10"/>
        <v>468.8162014520899</v>
      </c>
      <c r="U22" s="2">
        <f t="shared" si="11"/>
        <v>447.1428193456008</v>
      </c>
      <c r="Z22" s="2">
        <v>10000</v>
      </c>
      <c r="AA22" s="3">
        <f>IF('Modell einstellen'!$B$2="Ja",'creep_res-40'!P22,'creep_res-40'!L22)</f>
        <v>0.37337068078846036</v>
      </c>
      <c r="AB22" s="2">
        <f>IF('Modell einstellen'!$B$2="Ja",creep_res0!P22,creep_res0!L22)</f>
        <v>0.378942421586901</v>
      </c>
      <c r="AC22" s="2">
        <f>IF('Modell einstellen'!$B$2="Ja",creep_res25!P22,creep_res25!L22)</f>
        <v>0.38663081927070042</v>
      </c>
      <c r="AD22" s="2">
        <f>IF('Modell einstellen'!$B$2="Ja",creep_res50!P22,creep_res50!L22)</f>
        <v>0.40395769813812726</v>
      </c>
      <c r="AE22" s="2">
        <f>IF('Modell einstellen'!$B$2="Ja",creep_res80!P22,creep_res80!L22)</f>
        <v>0.50999228355385806</v>
      </c>
      <c r="AF22" s="2">
        <f>IF('Modell einstellen'!$B$2="Ja",creep_res125!P22,creep_res125!L22)</f>
        <v>0.7285927639183728</v>
      </c>
      <c r="AG22" s="2">
        <f>IF('Modell einstellen'!$B$2="Ja",creep_res160!P22,creep_res160!L22)</f>
        <v>0.67354571620762527</v>
      </c>
      <c r="AL22" s="2">
        <f t="shared" si="12"/>
        <v>10000</v>
      </c>
      <c r="AM22" s="2">
        <f t="shared" si="13"/>
        <v>6198.1657141301985</v>
      </c>
      <c r="AN22" s="2">
        <f t="shared" si="14"/>
        <v>5697.9764219559002</v>
      </c>
      <c r="AO22" s="2">
        <f t="shared" si="15"/>
        <v>5037.8540321693981</v>
      </c>
      <c r="AP22" s="2">
        <f t="shared" si="16"/>
        <v>4085.8663253030418</v>
      </c>
      <c r="AQ22" s="2">
        <f t="shared" si="17"/>
        <v>1664.6092730189016</v>
      </c>
      <c r="AR22" s="2">
        <f t="shared" si="18"/>
        <v>135.60631839895524</v>
      </c>
      <c r="AS22" s="2">
        <f t="shared" si="19"/>
        <v>133.5914564553571</v>
      </c>
      <c r="AX22" s="2">
        <f t="shared" si="28"/>
        <v>10000</v>
      </c>
      <c r="AY22" s="37">
        <f t="shared" si="20"/>
        <v>22407.604388033797</v>
      </c>
      <c r="AZ22" s="37">
        <f t="shared" si="21"/>
        <v>21634.832802797777</v>
      </c>
      <c r="BA22" s="37">
        <f t="shared" si="22"/>
        <v>20539.514116784583</v>
      </c>
      <c r="BB22" s="37">
        <f t="shared" si="23"/>
        <v>19909.225309289814</v>
      </c>
      <c r="BC22" s="37">
        <f t="shared" si="24"/>
        <v>-83849.607344267439</v>
      </c>
      <c r="BD22" s="37">
        <f t="shared" si="25"/>
        <v>-341.81324131173977</v>
      </c>
      <c r="BE22" s="37">
        <f t="shared" si="26"/>
        <v>-429.41885776718681</v>
      </c>
    </row>
    <row r="23" spans="1:57" x14ac:dyDescent="0.25">
      <c r="A23" s="2">
        <f>'creep_res-40'!A23</f>
        <v>100000</v>
      </c>
      <c r="B23" s="3">
        <f>'creep_res-40'!O23</f>
        <v>-6.0804631428571431E-4</v>
      </c>
      <c r="C23" s="2">
        <f>IF('Modell einstellen'!$B$2="Ja",creep_res0!O23,creep_res0!C23)</f>
        <v>-6.9439380000000002E-4</v>
      </c>
      <c r="D23" s="2">
        <f>IF('Modell einstellen'!$B$2="Ja",creep_res25!O23,creep_res25!C23)</f>
        <v>-7.9640562857142866E-4</v>
      </c>
      <c r="E23" s="2">
        <f>IF('Modell einstellen'!$B$2="Ja",creep_res50!O23,creep_res50!C23)</f>
        <v>-9.803556571428573E-4</v>
      </c>
      <c r="F23" s="2">
        <f>IF('Modell einstellen'!$B$2="Ja",creep_res80!O23,creep_res80!C23)</f>
        <v>-3.1422751428571431E-3</v>
      </c>
      <c r="G23" s="2">
        <f>IF('Modell einstellen'!$B$2="Ja",creep_res125!O23,creep_res125!C23)</f>
        <v>-2.3068337428571433E-2</v>
      </c>
      <c r="H23" s="2">
        <f>IF('Modell einstellen'!$B$2="Ja",creep_res160!O23,creep_res160!C23)</f>
        <v>-2.3917288000000002E-2</v>
      </c>
      <c r="M23" s="9">
        <f t="shared" si="27"/>
        <v>-10</v>
      </c>
      <c r="N23" s="2">
        <f t="shared" si="4"/>
        <v>100000</v>
      </c>
      <c r="O23" s="2">
        <f t="shared" si="5"/>
        <v>16446.115641285032</v>
      </c>
      <c r="P23" s="2">
        <f t="shared" si="6"/>
        <v>14401.050239791886</v>
      </c>
      <c r="Q23" s="2">
        <f t="shared" si="7"/>
        <v>12556.415526517228</v>
      </c>
      <c r="R23" s="2">
        <f t="shared" si="8"/>
        <v>10200.379757223965</v>
      </c>
      <c r="S23" s="2">
        <f t="shared" si="9"/>
        <v>3182.4075058263061</v>
      </c>
      <c r="T23" s="2">
        <f t="shared" si="10"/>
        <v>433.49461273331463</v>
      </c>
      <c r="U23" s="2">
        <f t="shared" si="11"/>
        <v>418.10760484215433</v>
      </c>
      <c r="Z23" s="2">
        <v>100000</v>
      </c>
      <c r="AA23" s="3">
        <f>IF('Modell einstellen'!$B$2="Ja",'creep_res-40'!P23,'creep_res-40'!L23)</f>
        <v>0.3785011301535724</v>
      </c>
      <c r="AB23" s="2">
        <f>IF('Modell einstellen'!$B$2="Ja",creep_res0!P23,creep_res0!L23)</f>
        <v>0.37883927370483844</v>
      </c>
      <c r="AC23" s="2">
        <f>IF('Modell einstellen'!$B$2="Ja",creep_res25!P23,creep_res25!L23)</f>
        <v>0.38556651515378187</v>
      </c>
      <c r="AD23" s="2">
        <f>IF('Modell einstellen'!$B$2="Ja",creep_res50!P23,creep_res50!L23)</f>
        <v>0.40049611149866071</v>
      </c>
      <c r="AE23" s="2">
        <f>IF('Modell einstellen'!$B$2="Ja",creep_res80!P23,creep_res80!L23)</f>
        <v>0.53011916843146323</v>
      </c>
      <c r="AF23" s="2">
        <f>IF('Modell einstellen'!$B$2="Ja",creep_res125!P23,creep_res125!L23)</f>
        <v>0.63917667185650529</v>
      </c>
      <c r="AG23" s="2">
        <f>IF('Modell einstellen'!$B$2="Ja",creep_res160!P23,creep_res160!L23)</f>
        <v>0.60064505880193675</v>
      </c>
      <c r="AL23" s="2">
        <f t="shared" si="12"/>
        <v>100000</v>
      </c>
      <c r="AM23" s="2">
        <f t="shared" si="13"/>
        <v>5965.2165970487267</v>
      </c>
      <c r="AN23" s="2">
        <f t="shared" si="14"/>
        <v>5222.1642197271249</v>
      </c>
      <c r="AO23" s="2">
        <f t="shared" si="15"/>
        <v>4531.1485912762591</v>
      </c>
      <c r="AP23" s="2">
        <f t="shared" si="16"/>
        <v>3641.7022773125063</v>
      </c>
      <c r="AQ23" s="2">
        <f t="shared" si="17"/>
        <v>1039.9214556238178</v>
      </c>
      <c r="AR23" s="2">
        <f t="shared" si="18"/>
        <v>132.22937471479068</v>
      </c>
      <c r="AS23" s="2">
        <f t="shared" si="19"/>
        <v>130.60597118111332</v>
      </c>
      <c r="AX23" s="2">
        <f t="shared" si="28"/>
        <v>100000</v>
      </c>
      <c r="AY23" s="37">
        <f t="shared" si="20"/>
        <v>22560.039258077912</v>
      </c>
      <c r="AZ23" s="37">
        <f t="shared" si="21"/>
        <v>19809.843613170575</v>
      </c>
      <c r="BA23" s="37">
        <f t="shared" si="22"/>
        <v>18287.793331633096</v>
      </c>
      <c r="BB23" s="37">
        <f t="shared" si="23"/>
        <v>17085.395540575068</v>
      </c>
      <c r="BC23" s="37">
        <f t="shared" si="24"/>
        <v>-17610.089474348857</v>
      </c>
      <c r="BD23" s="37">
        <f t="shared" si="25"/>
        <v>-519.11790358595283</v>
      </c>
      <c r="BE23" s="37">
        <f t="shared" si="26"/>
        <v>-692.37975154011986</v>
      </c>
    </row>
    <row r="24" spans="1:57" x14ac:dyDescent="0.25">
      <c r="A24" s="2">
        <f>'creep_res-40'!A24</f>
        <v>1000000</v>
      </c>
      <c r="B24" s="3">
        <f>'creep_res-40'!O24</f>
        <v>-6.5085985714285718E-4</v>
      </c>
      <c r="C24" s="2">
        <f>IF('Modell einstellen'!$B$2="Ja",creep_res0!O24,creep_res0!C24)</f>
        <v>-7.6528542857142866E-4</v>
      </c>
      <c r="D24" s="2">
        <f>IF('Modell einstellen'!$B$2="Ja",creep_res25!O24,creep_res25!C24)</f>
        <v>-8.8083740000000001E-4</v>
      </c>
      <c r="E24" s="2">
        <f>IF('Modell einstellen'!$B$2="Ja",creep_res50!O24,creep_res50!C24)</f>
        <v>-1.1055107142857144E-3</v>
      </c>
      <c r="F24" s="2">
        <f>IF('Modell einstellen'!$B$2="Ja",creep_res80!O24,creep_res80!C24)</f>
        <v>-5.4349865714285722E-3</v>
      </c>
      <c r="G24" s="2">
        <f>IF('Modell einstellen'!$B$2="Ja",creep_res125!O24,creep_res125!C24)</f>
        <v>-2.4452565714285716E-2</v>
      </c>
      <c r="H24" s="2">
        <f>IF('Modell einstellen'!$B$2="Ja",creep_res160!O24,creep_res160!C24)</f>
        <v>-2.5069089428571428E-2</v>
      </c>
      <c r="M24" s="9">
        <f t="shared" si="27"/>
        <v>-10</v>
      </c>
      <c r="N24" s="2">
        <f t="shared" si="4"/>
        <v>1000000</v>
      </c>
      <c r="O24" s="2">
        <f t="shared" si="5"/>
        <v>15364.29062301979</v>
      </c>
      <c r="P24" s="2">
        <f t="shared" si="6"/>
        <v>13067.019998887436</v>
      </c>
      <c r="Q24" s="2">
        <f t="shared" si="7"/>
        <v>11352.833110855647</v>
      </c>
      <c r="R24" s="2">
        <f t="shared" si="8"/>
        <v>9045.5930193866425</v>
      </c>
      <c r="S24" s="2">
        <f t="shared" si="9"/>
        <v>1839.9309489685686</v>
      </c>
      <c r="T24" s="2">
        <f t="shared" si="10"/>
        <v>408.9550404176108</v>
      </c>
      <c r="U24" s="2">
        <f t="shared" si="11"/>
        <v>398.89761566700247</v>
      </c>
      <c r="Z24" s="2">
        <v>1000000</v>
      </c>
      <c r="AA24" s="3">
        <f>IF('Modell einstellen'!$B$2="Ja",'creep_res-40'!P24,'creep_res-40'!L24)</f>
        <v>0.3809584420082533</v>
      </c>
      <c r="AB24" s="2">
        <f>IF('Modell einstellen'!$B$2="Ja",creep_res0!P24,creep_res0!L24)</f>
        <v>0.37802082434975703</v>
      </c>
      <c r="AC24" s="2">
        <f>IF('Modell einstellen'!$B$2="Ja",creep_res25!P24,creep_res25!L24)</f>
        <v>0.38438805099394219</v>
      </c>
      <c r="AD24" s="2">
        <f>IF('Modell einstellen'!$B$2="Ja",creep_res50!P24,creep_res50!L24)</f>
        <v>0.39952771666618203</v>
      </c>
      <c r="AE24" s="2">
        <f>IF('Modell einstellen'!$B$2="Ja",creep_res80!P24,creep_res80!L24)</f>
        <v>0.54383764281084046</v>
      </c>
      <c r="AF24" s="2">
        <f>IF('Modell einstellen'!$B$2="Ja",creep_res125!P24,creep_res125!L24)</f>
        <v>0.57790711532695727</v>
      </c>
      <c r="AG24" s="2">
        <f>IF('Modell einstellen'!$B$2="Ja",creep_res160!P24,creep_res160!L24)</f>
        <v>0.55305926947281125</v>
      </c>
      <c r="AL24" s="2">
        <f t="shared" si="12"/>
        <v>1000000</v>
      </c>
      <c r="AM24" s="2">
        <f t="shared" si="13"/>
        <v>5562.9083959530062</v>
      </c>
      <c r="AN24" s="2">
        <f t="shared" si="14"/>
        <v>4741.2273341563377</v>
      </c>
      <c r="AO24" s="2">
        <f t="shared" si="15"/>
        <v>4100.3073895013431</v>
      </c>
      <c r="AP24" s="2">
        <f t="shared" si="16"/>
        <v>3231.6591203117327</v>
      </c>
      <c r="AQ24" s="2">
        <f t="shared" si="17"/>
        <v>595.89522173414423</v>
      </c>
      <c r="AR24" s="2">
        <f t="shared" si="18"/>
        <v>129.58780540541244</v>
      </c>
      <c r="AS24" s="2">
        <f t="shared" si="19"/>
        <v>128.42317853149575</v>
      </c>
      <c r="AX24" s="2">
        <f t="shared" si="28"/>
        <v>1000000</v>
      </c>
      <c r="AY24" s="37">
        <f t="shared" si="20"/>
        <v>21511.102064156192</v>
      </c>
      <c r="AZ24" s="37">
        <f t="shared" si="21"/>
        <v>17854.167769799165</v>
      </c>
      <c r="BA24" s="37">
        <f t="shared" si="22"/>
        <v>16366.291443716864</v>
      </c>
      <c r="BB24" s="37">
        <f t="shared" si="23"/>
        <v>15005.121676746025</v>
      </c>
      <c r="BC24" s="37">
        <f t="shared" si="24"/>
        <v>-6995.2474288968015</v>
      </c>
      <c r="BD24" s="37">
        <f t="shared" si="25"/>
        <v>-874.87738593436063</v>
      </c>
      <c r="BE24" s="37">
        <f t="shared" si="26"/>
        <v>-1252.9938049480259</v>
      </c>
    </row>
    <row r="25" spans="1:57" x14ac:dyDescent="0.25">
      <c r="A25" s="2">
        <f>'creep_res-40'!A25</f>
        <v>10000000</v>
      </c>
      <c r="B25" s="3">
        <f>'creep_res-40'!O25</f>
        <v>-7.1475934285714299E-4</v>
      </c>
      <c r="C25" s="2">
        <f>IF('Modell einstellen'!$B$2="Ja",creep_res0!O25,creep_res0!C25)</f>
        <v>-8.4155414285714278E-4</v>
      </c>
      <c r="D25" s="2">
        <f>IF('Modell einstellen'!$B$2="Ja",creep_res25!O25,creep_res25!C25)</f>
        <v>-9.6669668571428577E-4</v>
      </c>
      <c r="E25" s="2">
        <f>IF('Modell einstellen'!$B$2="Ja",creep_res50!O25,creep_res50!C25)</f>
        <v>-1.2797674857142859E-3</v>
      </c>
      <c r="F25" s="2">
        <f>IF('Modell einstellen'!$B$2="Ja",creep_res80!O25,creep_res80!C25)</f>
        <v>-9.7543965714285731E-3</v>
      </c>
      <c r="G25" s="2">
        <f>IF('Modell einstellen'!$B$2="Ja",creep_res125!O25,creep_res125!C25)</f>
        <v>-2.5445066857142859E-2</v>
      </c>
      <c r="H25" s="2">
        <f>IF('Modell einstellen'!$B$2="Ja",creep_res160!O25,creep_res160!C25)</f>
        <v>-2.5863646571428575E-2</v>
      </c>
      <c r="M25" s="9">
        <f t="shared" si="27"/>
        <v>-10</v>
      </c>
      <c r="N25" s="2">
        <f t="shared" si="4"/>
        <v>10000000</v>
      </c>
      <c r="O25" s="2">
        <f t="shared" si="5"/>
        <v>13990.723031372356</v>
      </c>
      <c r="P25" s="2">
        <f t="shared" si="6"/>
        <v>11882.776746899743</v>
      </c>
      <c r="Q25" s="2">
        <f t="shared" si="7"/>
        <v>10344.506345970418</v>
      </c>
      <c r="R25" s="2">
        <f t="shared" si="8"/>
        <v>7813.9194124146916</v>
      </c>
      <c r="S25" s="2">
        <f t="shared" si="9"/>
        <v>1025.1787413781001</v>
      </c>
      <c r="T25" s="2">
        <f t="shared" si="10"/>
        <v>393.00348692905209</v>
      </c>
      <c r="U25" s="2">
        <f t="shared" si="11"/>
        <v>386.6430811441316</v>
      </c>
      <c r="Z25" s="2">
        <v>10000000</v>
      </c>
      <c r="AA25" s="3">
        <f>IF('Modell einstellen'!$B$2="Ja",'creep_res-40'!P25,'creep_res-40'!L25)</f>
        <v>0.38013288148894225</v>
      </c>
      <c r="AB25" s="2">
        <f>IF('Modell einstellen'!$B$2="Ja",creep_res0!P25,creep_res0!L25)</f>
        <v>0.37813806734105387</v>
      </c>
      <c r="AC25" s="2">
        <f>IF('Modell einstellen'!$B$2="Ja",creep_res25!P25,creep_res25!L25)</f>
        <v>0.38410195379942486</v>
      </c>
      <c r="AD25" s="2">
        <f>IF('Modell einstellen'!$B$2="Ja",creep_res50!P25,creep_res50!L25)</f>
        <v>0.40249532381574127</v>
      </c>
      <c r="AE25" s="2">
        <f>IF('Modell einstellen'!$B$2="Ja",creep_res80!P25,creep_res80!L25)</f>
        <v>0.54526102632459827</v>
      </c>
      <c r="AF25" s="2">
        <f>IF('Modell einstellen'!$B$2="Ja",creep_res125!P25,creep_res125!L25)</f>
        <v>0.5386129069935689</v>
      </c>
      <c r="AG25" s="2">
        <f>IF('Modell einstellen'!$B$2="Ja",creep_res160!P25,creep_res160!L25)</f>
        <v>0.52310775136194199</v>
      </c>
      <c r="AL25" s="2">
        <f t="shared" si="12"/>
        <v>10000000</v>
      </c>
      <c r="AM25" s="2">
        <f t="shared" si="13"/>
        <v>5068.6144859756578</v>
      </c>
      <c r="AN25" s="2">
        <f t="shared" si="14"/>
        <v>4311.1706397553053</v>
      </c>
      <c r="AO25" s="2">
        <f t="shared" si="15"/>
        <v>3736.9018653482362</v>
      </c>
      <c r="AP25" s="2">
        <f t="shared" si="16"/>
        <v>2785.7203085552951</v>
      </c>
      <c r="AQ25" s="2">
        <f t="shared" si="17"/>
        <v>331.71701217899948</v>
      </c>
      <c r="AR25" s="2">
        <f t="shared" si="18"/>
        <v>127.7135675720335</v>
      </c>
      <c r="AS25" s="2">
        <f t="shared" si="19"/>
        <v>126.92571513683149</v>
      </c>
      <c r="AX25" s="2">
        <f t="shared" si="28"/>
        <v>10000000</v>
      </c>
      <c r="AY25" s="37">
        <f t="shared" si="20"/>
        <v>19453.10107442255</v>
      </c>
      <c r="AZ25" s="37">
        <f t="shared" si="21"/>
        <v>16251.693600598475</v>
      </c>
      <c r="BA25" s="37">
        <f t="shared" si="22"/>
        <v>14875.871056629718</v>
      </c>
      <c r="BB25" s="37">
        <f t="shared" si="23"/>
        <v>13356.486612068389</v>
      </c>
      <c r="BC25" s="37">
        <f t="shared" si="24"/>
        <v>-3775.0607407273196</v>
      </c>
      <c r="BD25" s="37">
        <f t="shared" si="25"/>
        <v>-1696.3390289612576</v>
      </c>
      <c r="BE25" s="37">
        <f t="shared" si="26"/>
        <v>-2788.6968539117224</v>
      </c>
    </row>
    <row r="26" spans="1:57" x14ac:dyDescent="0.25">
      <c r="A26" s="2">
        <f>'creep_res-40'!A26</f>
        <v>100000000</v>
      </c>
      <c r="B26" s="3">
        <f>'creep_res-40'!O26</f>
        <v>-7.9079345714285724E-4</v>
      </c>
      <c r="C26" s="2">
        <f>IF('Modell einstellen'!$B$2="Ja",creep_res0!O26,creep_res0!C26)</f>
        <v>-9.1760622857142856E-4</v>
      </c>
      <c r="D26" s="2">
        <f>IF('Modell einstellen'!$B$2="Ja",creep_res25!O26,creep_res25!C26)</f>
        <v>-1.0590879428571428E-3</v>
      </c>
      <c r="E26" s="2">
        <f>IF('Modell einstellen'!$B$2="Ja",creep_res50!O26,creep_res50!C26)</f>
        <v>-1.5468386571428571E-3</v>
      </c>
      <c r="F26" s="2">
        <f>IF('Modell einstellen'!$B$2="Ja",creep_res80!O26,creep_res80!C26)</f>
        <v>-1.6865644857142859E-2</v>
      </c>
      <c r="G26" s="2">
        <f>IF('Modell einstellen'!$B$2="Ja",creep_res125!O26,creep_res125!C26)</f>
        <v>-2.6120219142857143E-2</v>
      </c>
      <c r="H26" s="2">
        <f>IF('Modell einstellen'!$B$2="Ja",creep_res160!O26,creep_res160!C26)</f>
        <v>-2.6408451142857142E-2</v>
      </c>
      <c r="M26" s="9">
        <f t="shared" si="27"/>
        <v>-10</v>
      </c>
      <c r="N26" s="2">
        <f t="shared" si="4"/>
        <v>100000000</v>
      </c>
      <c r="O26" s="2">
        <f t="shared" si="5"/>
        <v>12645.526982646108</v>
      </c>
      <c r="P26" s="2">
        <f t="shared" si="6"/>
        <v>10897.920795032591</v>
      </c>
      <c r="Q26" s="2">
        <f t="shared" si="7"/>
        <v>9442.0865306261639</v>
      </c>
      <c r="R26" s="2">
        <f t="shared" si="8"/>
        <v>6464.7983510257318</v>
      </c>
      <c r="S26" s="2">
        <f t="shared" si="9"/>
        <v>592.92129561028003</v>
      </c>
      <c r="T26" s="2">
        <f t="shared" si="10"/>
        <v>382.84518002348415</v>
      </c>
      <c r="U26" s="2">
        <f t="shared" si="11"/>
        <v>378.66666037719375</v>
      </c>
      <c r="Z26" s="2">
        <v>100000000</v>
      </c>
      <c r="AA26" s="3">
        <f>IF('Modell einstellen'!$B$2="Ja",'creep_res-40'!P26,'creep_res-40'!L26)</f>
        <v>0.37957977179592961</v>
      </c>
      <c r="AB26" s="2">
        <f>IF('Modell einstellen'!$B$2="Ja",creep_res0!P26,creep_res0!L26)</f>
        <v>0.37869505680899296</v>
      </c>
      <c r="AC26" s="2">
        <f>IF('Modell einstellen'!$B$2="Ja",creep_res25!P26,creep_res25!L26)</f>
        <v>0.38495742886912027</v>
      </c>
      <c r="AD26" s="2">
        <f>IF('Modell einstellen'!$B$2="Ja",creep_res50!P26,creep_res50!L26)</f>
        <v>0.40835872198177181</v>
      </c>
      <c r="AE26" s="2">
        <f>IF('Modell einstellen'!$B$2="Ja",creep_res80!P26,creep_res80!L26)</f>
        <v>0.53824100953015952</v>
      </c>
      <c r="AF26" s="2">
        <f>IF('Modell einstellen'!$B$2="Ja",creep_res125!P26,creep_res125!L26)</f>
        <v>0.51397926906476299</v>
      </c>
      <c r="AG26" s="2">
        <f>IF('Modell einstellen'!$B$2="Ja",creep_res160!P26,creep_res160!L26)</f>
        <v>0.50409092526538513</v>
      </c>
      <c r="AL26" s="2">
        <f t="shared" si="12"/>
        <v>100000000</v>
      </c>
      <c r="AM26" s="2">
        <f t="shared" si="13"/>
        <v>4583.1082918040429</v>
      </c>
      <c r="AN26" s="2">
        <f t="shared" si="14"/>
        <v>3952.2593271118144</v>
      </c>
      <c r="AO26" s="2">
        <f t="shared" si="15"/>
        <v>3408.8002756648089</v>
      </c>
      <c r="AP26" s="2">
        <f t="shared" si="16"/>
        <v>2295.1533050928924</v>
      </c>
      <c r="AQ26" s="2">
        <f t="shared" si="17"/>
        <v>192.72704730170403</v>
      </c>
      <c r="AR26" s="2">
        <f t="shared" si="18"/>
        <v>126.4367312836393</v>
      </c>
      <c r="AS26" s="2">
        <f t="shared" si="19"/>
        <v>125.87891264299097</v>
      </c>
      <c r="AX26" s="2">
        <f t="shared" si="28"/>
        <v>100000000</v>
      </c>
      <c r="AY26" s="37">
        <f t="shared" si="20"/>
        <v>17501.941840447187</v>
      </c>
      <c r="AZ26" s="37">
        <f t="shared" si="21"/>
        <v>14973.174915431517</v>
      </c>
      <c r="BA26" s="37">
        <f t="shared" si="22"/>
        <v>13679.119589976604</v>
      </c>
      <c r="BB26" s="37">
        <f t="shared" si="23"/>
        <v>11757.435242482163</v>
      </c>
      <c r="BC26" s="37">
        <f t="shared" si="24"/>
        <v>-2584.1424467915831</v>
      </c>
      <c r="BD26" s="37">
        <f t="shared" si="25"/>
        <v>-4564.4396504786673</v>
      </c>
      <c r="BE26" s="37">
        <f t="shared" si="26"/>
        <v>-15427.099242529001</v>
      </c>
    </row>
    <row r="27" spans="1:57" x14ac:dyDescent="0.25">
      <c r="A27" s="2">
        <f>'creep_res-40'!A27</f>
        <v>1000000000</v>
      </c>
      <c r="B27" s="3">
        <f>'creep_res-40'!O27</f>
        <v>-8.6991351428571432E-4</v>
      </c>
      <c r="C27" s="2">
        <f>IF('Modell einstellen'!$B$2="Ja",creep_res0!O27,creep_res0!C27)</f>
        <v>-9.9569642857142869E-4</v>
      </c>
      <c r="D27" s="2">
        <f>IF('Modell einstellen'!$B$2="Ja",creep_res25!O27,creep_res25!C27)</f>
        <v>-1.1709494857142858E-3</v>
      </c>
      <c r="E27" s="2">
        <f>IF('Modell einstellen'!$B$2="Ja",creep_res50!O27,creep_res50!C27)</f>
        <v>-2.0103361428571429E-3</v>
      </c>
      <c r="F27" s="2">
        <f>IF('Modell einstellen'!$B$2="Ja",creep_res80!O27,creep_res80!C27)</f>
        <v>-2.2093246E-2</v>
      </c>
      <c r="G27" s="2">
        <f>IF('Modell einstellen'!$B$2="Ja",creep_res125!O27,creep_res125!C27)</f>
        <v>-2.6581952857142859E-2</v>
      </c>
      <c r="H27" s="2">
        <f>IF('Modell einstellen'!$B$2="Ja",creep_res160!O27,creep_res160!C27)</f>
        <v>-2.6778495142857142E-2</v>
      </c>
      <c r="M27" s="9">
        <f t="shared" si="27"/>
        <v>-10</v>
      </c>
      <c r="N27" s="2">
        <f t="shared" si="4"/>
        <v>1000000000</v>
      </c>
      <c r="O27" s="2">
        <f t="shared" si="5"/>
        <v>11495.395617817245</v>
      </c>
      <c r="P27" s="2">
        <f t="shared" si="6"/>
        <v>10043.221722053837</v>
      </c>
      <c r="Q27" s="2">
        <f t="shared" si="7"/>
        <v>8540.0780494813098</v>
      </c>
      <c r="R27" s="2">
        <f t="shared" si="8"/>
        <v>4974.2925010479767</v>
      </c>
      <c r="S27" s="2">
        <f t="shared" si="9"/>
        <v>452.62701551415307</v>
      </c>
      <c r="T27" s="2">
        <f t="shared" si="10"/>
        <v>376.19508445230321</v>
      </c>
      <c r="U27" s="2">
        <f t="shared" si="11"/>
        <v>373.43397926777772</v>
      </c>
      <c r="Z27" s="2">
        <v>1000000000</v>
      </c>
      <c r="AA27" s="3">
        <f>IF('Modell einstellen'!$B$2="Ja",'creep_res-40'!P27,'creep_res-40'!L27)</f>
        <v>0.37967610113491412</v>
      </c>
      <c r="AB27" s="2">
        <f>IF('Modell einstellen'!$B$2="Ja",creep_res0!P27,creep_res0!L27)</f>
        <v>0.37986015531125017</v>
      </c>
      <c r="AC27" s="2">
        <f>IF('Modell einstellen'!$B$2="Ja",creep_res25!P27,creep_res25!L27)</f>
        <v>0.38717310045239967</v>
      </c>
      <c r="AD27" s="2">
        <f>IF('Modell einstellen'!$B$2="Ja",creep_res50!P27,creep_res50!L27)</f>
        <v>0.41756908741558713</v>
      </c>
      <c r="AE27" s="2">
        <f>IF('Modell einstellen'!$B$2="Ja",creep_res80!P27,creep_res80!L27)</f>
        <v>0.51997413922012958</v>
      </c>
      <c r="AF27" s="2">
        <f>IF('Modell einstellen'!$B$2="Ja",creep_res125!P27,creep_res125!L27)</f>
        <v>0.49843173405458169</v>
      </c>
      <c r="AG27" s="2">
        <f>IF('Modell einstellen'!$B$2="Ja",creep_res160!P27,creep_res160!L27)</f>
        <v>0.49241029046196377</v>
      </c>
      <c r="AL27" s="2">
        <f t="shared" si="12"/>
        <v>1000000000</v>
      </c>
      <c r="AM27" s="2">
        <f t="shared" si="13"/>
        <v>4165.9762057055259</v>
      </c>
      <c r="AN27" s="2">
        <f t="shared" si="14"/>
        <v>3639.2172363975619</v>
      </c>
      <c r="AO27" s="2">
        <f t="shared" si="15"/>
        <v>3078.2308446927527</v>
      </c>
      <c r="AP27" s="2">
        <f t="shared" si="16"/>
        <v>1754.5150163075152</v>
      </c>
      <c r="AQ27" s="2">
        <f t="shared" si="17"/>
        <v>148.89299884614732</v>
      </c>
      <c r="AR27" s="2">
        <f t="shared" si="18"/>
        <v>125.52960401951817</v>
      </c>
      <c r="AS27" s="2">
        <f t="shared" si="19"/>
        <v>125.11103067782525</v>
      </c>
      <c r="AX27" s="2">
        <f t="shared" si="28"/>
        <v>1000000000</v>
      </c>
      <c r="AY27" s="37">
        <f t="shared" si="20"/>
        <v>15922.848974370625</v>
      </c>
      <c r="AZ27" s="37">
        <f t="shared" si="21"/>
        <v>13932.682294916583</v>
      </c>
      <c r="BA27" s="37">
        <f t="shared" si="22"/>
        <v>12615.310243278691</v>
      </c>
      <c r="BB27" s="37">
        <f t="shared" si="23"/>
        <v>10057.498142164573</v>
      </c>
      <c r="BC27" s="37">
        <f t="shared" si="24"/>
        <v>-3776.7753137016589</v>
      </c>
      <c r="BD27" s="37">
        <f t="shared" si="25"/>
        <v>39979.941492210644</v>
      </c>
      <c r="BE27" s="37">
        <f t="shared" si="26"/>
        <v>8200.4451201611373</v>
      </c>
    </row>
    <row r="28" spans="1:57" x14ac:dyDescent="0.25">
      <c r="A28" s="2">
        <f>'creep_res-40'!A28</f>
        <v>10000000000</v>
      </c>
      <c r="B28" s="3">
        <f>'creep_res-40'!O28</f>
        <v>-9.4754371428571436E-4</v>
      </c>
      <c r="C28" s="2">
        <f>IF('Modell einstellen'!$B$2="Ja",creep_res0!O28,creep_res0!C28)</f>
        <v>-1.0819888857142856E-3</v>
      </c>
      <c r="D28" s="2">
        <f>IF('Modell einstellen'!$B$2="Ja",creep_res25!O28,creep_res25!C28)</f>
        <v>-1.338241142857143E-3</v>
      </c>
      <c r="E28" s="2">
        <f>IF('Modell einstellen'!$B$2="Ja",creep_res50!O28,creep_res50!C28)</f>
        <v>-2.9789217142857146E-3</v>
      </c>
      <c r="F28" s="2">
        <f>IF('Modell einstellen'!$B$2="Ja",creep_res80!O28,creep_res80!C28)</f>
        <v>-2.4779278857142862E-2</v>
      </c>
      <c r="G28" s="2">
        <f>IF('Modell einstellen'!$B$2="Ja",creep_res125!O28,creep_res125!C28)</f>
        <v>-2.6895848857142857E-2</v>
      </c>
      <c r="H28" s="2">
        <f>IF('Modell einstellen'!$B$2="Ja",creep_res160!O28,creep_res160!C28)</f>
        <v>-2.6843666571428573E-2</v>
      </c>
      <c r="M28" s="9">
        <f t="shared" si="27"/>
        <v>-10</v>
      </c>
      <c r="N28" s="2">
        <f t="shared" si="4"/>
        <v>10000000000</v>
      </c>
      <c r="O28" s="2">
        <f t="shared" si="5"/>
        <v>10553.602804001805</v>
      </c>
      <c r="P28" s="2">
        <f t="shared" si="6"/>
        <v>9242.2391135731505</v>
      </c>
      <c r="Q28" s="2">
        <f t="shared" si="7"/>
        <v>7472.4948140885981</v>
      </c>
      <c r="R28" s="2">
        <f t="shared" si="8"/>
        <v>3356.9193685231835</v>
      </c>
      <c r="S28" s="2">
        <f t="shared" si="9"/>
        <v>403.56299542258085</v>
      </c>
      <c r="T28" s="2">
        <f t="shared" si="10"/>
        <v>371.80458787952523</v>
      </c>
      <c r="U28" s="2">
        <f t="shared" si="11"/>
        <v>372.52735103794049</v>
      </c>
      <c r="Z28" s="2">
        <v>10000000000</v>
      </c>
      <c r="AA28" s="3">
        <f>IF('Modell einstellen'!$B$2="Ja",'creep_res-40'!P28,'creep_res-40'!L28)</f>
        <v>0.38007223488822078</v>
      </c>
      <c r="AB28" s="2">
        <f>IF('Modell einstellen'!$B$2="Ja",creep_res0!P28,creep_res0!L28)</f>
        <v>0.38162361900152603</v>
      </c>
      <c r="AC28" s="2">
        <f>IF('Modell einstellen'!$B$2="Ja",creep_res25!P28,creep_res25!L28)</f>
        <v>0.39139655377079169</v>
      </c>
      <c r="AD28" s="2">
        <f>IF('Modell einstellen'!$B$2="Ja",creep_res50!P28,creep_res50!L28)</f>
        <v>0.43228462532847456</v>
      </c>
      <c r="AE28" s="2">
        <f>IF('Modell einstellen'!$B$2="Ja",creep_res80!P28,creep_res80!L28)</f>
        <v>0.50447018658769671</v>
      </c>
      <c r="AF28" s="2">
        <f>IF('Modell einstellen'!$B$2="Ja",creep_res125!P28,creep_res125!L28)</f>
        <v>0.48913303891579824</v>
      </c>
      <c r="AG28" s="2">
        <f>IF('Modell einstellen'!$B$2="Ja",creep_res160!P28,creep_res160!L28)</f>
        <v>0.49046885047095923</v>
      </c>
      <c r="AL28" s="2">
        <f t="shared" si="12"/>
        <v>10000000000</v>
      </c>
      <c r="AM28" s="2">
        <f t="shared" si="13"/>
        <v>3823.5689905233821</v>
      </c>
      <c r="AN28" s="2">
        <f t="shared" si="14"/>
        <v>3344.7021990881808</v>
      </c>
      <c r="AO28" s="2">
        <f t="shared" si="15"/>
        <v>2685.2498641877337</v>
      </c>
      <c r="AP28" s="2">
        <f t="shared" si="16"/>
        <v>1171.8757952014325</v>
      </c>
      <c r="AQ28" s="2">
        <f t="shared" si="17"/>
        <v>134.12130031566326</v>
      </c>
      <c r="AR28" s="2">
        <f t="shared" si="18"/>
        <v>124.83927834622055</v>
      </c>
      <c r="AS28" s="2">
        <f t="shared" si="19"/>
        <v>124.96985459314666</v>
      </c>
      <c r="AX28" s="2">
        <f t="shared" si="28"/>
        <v>10000000000</v>
      </c>
      <c r="AY28" s="37">
        <f t="shared" si="20"/>
        <v>14666.610346882935</v>
      </c>
      <c r="AZ28" s="37">
        <f t="shared" si="21"/>
        <v>13012.504459106436</v>
      </c>
      <c r="BA28" s="37">
        <f t="shared" si="22"/>
        <v>11467.553246143232</v>
      </c>
      <c r="BB28" s="37">
        <f t="shared" si="23"/>
        <v>8262.3268959892011</v>
      </c>
      <c r="BC28" s="37">
        <f t="shared" si="24"/>
        <v>-15046.463479224287</v>
      </c>
      <c r="BD28" s="37">
        <f t="shared" si="25"/>
        <v>5702.3698560346911</v>
      </c>
      <c r="BE28" s="37">
        <f t="shared" si="26"/>
        <v>6514.2081393728131</v>
      </c>
    </row>
    <row r="29" spans="1:57" x14ac:dyDescent="0.25">
      <c r="A29" s="2">
        <f>'creep_res-40'!A29</f>
        <v>100000000000</v>
      </c>
      <c r="B29" s="3">
        <f>'creep_res-40'!O29</f>
        <v>-1.0310119428571429E-3</v>
      </c>
      <c r="C29" s="2">
        <f>IF('Modell einstellen'!$B$2="Ja",creep_res0!O29,creep_res0!C29)</f>
        <v>-1.1905131142857144E-3</v>
      </c>
      <c r="D29" s="2">
        <f>IF('Modell einstellen'!$B$2="Ja",creep_res25!O29,creep_res25!C29)</f>
        <v>-1.6058572285714287E-3</v>
      </c>
      <c r="E29" s="2">
        <f>IF('Modell einstellen'!$B$2="Ja",creep_res50!O29,creep_res50!C29)</f>
        <v>-4.8967757142857147E-3</v>
      </c>
      <c r="F29" s="2">
        <f>IF('Modell einstellen'!$B$2="Ja",creep_res80!O29,creep_res80!C29)</f>
        <v>-2.6766490571428572E-2</v>
      </c>
      <c r="G29" s="2">
        <f>IF('Modell einstellen'!$B$2="Ja",creep_res125!O29,creep_res125!C29)</f>
        <v>-2.6954494571428574E-2</v>
      </c>
      <c r="H29" s="2">
        <f>IF('Modell einstellen'!$B$2="Ja",creep_res160!O29,creep_res160!C29)</f>
        <v>-2.693226342857143E-2</v>
      </c>
      <c r="M29" s="9">
        <f t="shared" si="27"/>
        <v>-10</v>
      </c>
      <c r="N29" s="2">
        <f t="shared" si="4"/>
        <v>100000000000</v>
      </c>
      <c r="O29" s="2">
        <f t="shared" si="5"/>
        <v>9699.2086942154856</v>
      </c>
      <c r="P29" s="2">
        <f t="shared" si="6"/>
        <v>8399.7394736804836</v>
      </c>
      <c r="Q29" s="2">
        <f t="shared" si="7"/>
        <v>6227.2036530271153</v>
      </c>
      <c r="R29" s="2">
        <f t="shared" si="8"/>
        <v>2042.1601036016993</v>
      </c>
      <c r="S29" s="2">
        <f t="shared" si="9"/>
        <v>373.60146162285196</v>
      </c>
      <c r="T29" s="2">
        <f t="shared" si="10"/>
        <v>370.99564132060834</v>
      </c>
      <c r="U29" s="2">
        <f t="shared" si="11"/>
        <v>371.30187837801162</v>
      </c>
      <c r="Z29" s="2">
        <v>100000000000</v>
      </c>
      <c r="AA29" s="3">
        <f>IF('Modell einstellen'!$B$2="Ja",'creep_res-40'!P29,'creep_res-40'!L29)</f>
        <v>0.38143371375107804</v>
      </c>
      <c r="AB29" s="2">
        <f>IF('Modell einstellen'!$B$2="Ja",creep_res0!P29,creep_res0!L29)</f>
        <v>0.38426244971585954</v>
      </c>
      <c r="AC29" s="2">
        <f>IF('Modell einstellen'!$B$2="Ja",creep_res25!P29,creep_res25!L29)</f>
        <v>0.39742728952438633</v>
      </c>
      <c r="AD29" s="2">
        <f>IF('Modell einstellen'!$B$2="Ja",creep_res50!P29,creep_res50!L29)</f>
        <v>0.44944640832174404</v>
      </c>
      <c r="AE29" s="2">
        <f>IF('Modell einstellen'!$B$2="Ja",creep_res80!P29,creep_res80!L29)</f>
        <v>0.49557765281295169</v>
      </c>
      <c r="AF29" s="2">
        <f>IF('Modell einstellen'!$B$2="Ja",creep_res125!P29,creep_res125!L29)</f>
        <v>0.48750283692417007</v>
      </c>
      <c r="AG29" s="2">
        <f>IF('Modell einstellen'!$B$2="Ja",creep_res160!P29,creep_res160!L29)</f>
        <v>0.48793238130258682</v>
      </c>
      <c r="AL29" s="2">
        <f t="shared" si="12"/>
        <v>100000000000</v>
      </c>
      <c r="AM29" s="2">
        <f t="shared" si="13"/>
        <v>3510.558848270296</v>
      </c>
      <c r="AN29" s="2">
        <f t="shared" si="14"/>
        <v>3034.0126163953428</v>
      </c>
      <c r="AO29" s="2">
        <f t="shared" si="15"/>
        <v>2228.0957655931211</v>
      </c>
      <c r="AP29" s="2">
        <f t="shared" si="16"/>
        <v>704.46209389908893</v>
      </c>
      <c r="AQ29" s="2">
        <f t="shared" si="17"/>
        <v>124.90206072555479</v>
      </c>
      <c r="AR29" s="2">
        <f t="shared" si="18"/>
        <v>124.70417941781746</v>
      </c>
      <c r="AS29" s="2">
        <f t="shared" si="19"/>
        <v>124.77108605330615</v>
      </c>
      <c r="AX29" s="2">
        <f t="shared" si="28"/>
        <v>100000000000</v>
      </c>
      <c r="AY29" s="37">
        <f t="shared" si="20"/>
        <v>13634.017168889319</v>
      </c>
      <c r="AZ29" s="37">
        <f t="shared" si="21"/>
        <v>12095.958273782331</v>
      </c>
      <c r="BA29" s="37">
        <f t="shared" si="22"/>
        <v>10118.356731455086</v>
      </c>
      <c r="BB29" s="37">
        <f t="shared" si="23"/>
        <v>6732.657482244631</v>
      </c>
      <c r="BC29" s="37">
        <f t="shared" si="24"/>
        <v>14080.059216706419</v>
      </c>
      <c r="BD29" s="37">
        <f t="shared" si="25"/>
        <v>4947.7314580582743</v>
      </c>
      <c r="BE29" s="37">
        <f t="shared" si="26"/>
        <v>5128.0743904844003</v>
      </c>
    </row>
    <row r="30" spans="1:57" x14ac:dyDescent="0.25">
      <c r="A30" s="2">
        <f>'creep_res-40'!A30</f>
        <v>1000000000000</v>
      </c>
      <c r="B30" s="3">
        <f>'creep_res-40'!O30</f>
        <v>-1.1241460285714286E-3</v>
      </c>
      <c r="C30" s="2">
        <f>IF('Modell einstellen'!$B$2="Ja",creep_res0!O30,creep_res0!C30)</f>
        <v>-1.357037342857143E-3</v>
      </c>
      <c r="D30" s="2">
        <f>IF('Modell einstellen'!$B$2="Ja",creep_res25!O30,creep_res25!C30)</f>
        <v>-2.0846555428571428E-3</v>
      </c>
      <c r="E30" s="2">
        <f>IF('Modell einstellen'!$B$2="Ja",creep_res50!O30,creep_res50!C30)</f>
        <v>-8.4642999999999993E-3</v>
      </c>
      <c r="F30" s="2">
        <f>IF('Modell einstellen'!$B$2="Ja",creep_res80!O30,creep_res80!C30)</f>
        <v>-2.6868412571428572E-2</v>
      </c>
      <c r="G30" s="2">
        <f>IF('Modell einstellen'!$B$2="Ja",creep_res125!O30,creep_res125!C30)</f>
        <v>-2.7217686571428569E-2</v>
      </c>
      <c r="H30" s="2">
        <f>IF('Modell einstellen'!$B$2="Ja",creep_res160!O30,creep_res160!C30)</f>
        <v>-2.7235974857142856E-2</v>
      </c>
      <c r="M30" s="9">
        <f t="shared" si="27"/>
        <v>-10</v>
      </c>
      <c r="N30" s="2">
        <f t="shared" si="4"/>
        <v>1000000000000</v>
      </c>
      <c r="O30" s="2">
        <f t="shared" si="5"/>
        <v>8895.6414432278507</v>
      </c>
      <c r="P30" s="2">
        <f t="shared" si="6"/>
        <v>7368.9939725208524</v>
      </c>
      <c r="Q30" s="2">
        <f t="shared" si="7"/>
        <v>4796.9555614422579</v>
      </c>
      <c r="R30" s="2">
        <f t="shared" si="8"/>
        <v>1181.4326051770379</v>
      </c>
      <c r="S30" s="2">
        <f t="shared" si="9"/>
        <v>372.18425068527625</v>
      </c>
      <c r="T30" s="2">
        <f t="shared" si="10"/>
        <v>367.40815475836132</v>
      </c>
      <c r="U30" s="2">
        <f t="shared" si="11"/>
        <v>367.16144923953101</v>
      </c>
      <c r="Z30" s="2">
        <v>1000000000000</v>
      </c>
      <c r="AA30" s="3">
        <f>IF('Modell einstellen'!$B$2="Ja",'creep_res-40'!P30,'creep_res-40'!L30)</f>
        <v>0.3832566389252276</v>
      </c>
      <c r="AB30" s="2">
        <f>IF('Modell einstellen'!$B$2="Ja",creep_res0!P30,creep_res0!L30)</f>
        <v>0.38851043724304701</v>
      </c>
      <c r="AC30" s="2">
        <f>IF('Modell einstellen'!$B$2="Ja",creep_res25!P30,creep_res25!L30)</f>
        <v>0.40676609759606197</v>
      </c>
      <c r="AD30" s="2">
        <f>IF('Modell einstellen'!$B$2="Ja",creep_res50!P30,creep_res50!L30)</f>
        <v>0.46486088631074041</v>
      </c>
      <c r="AE30" s="2">
        <f>IF('Modell einstellen'!$B$2="Ja",creep_res80!P30,creep_res80!L30)</f>
        <v>0.49303610302077072</v>
      </c>
      <c r="AF30" s="2">
        <f>IF('Modell einstellen'!$B$2="Ja",creep_res125!P30,creep_res125!L30)</f>
        <v>0.48236867575488179</v>
      </c>
      <c r="AG30" s="2">
        <f>IF('Modell einstellen'!$B$2="Ja",creep_res160!P30,creep_res160!L30)</f>
        <v>0.48125251610496006</v>
      </c>
      <c r="AL30" s="2">
        <f t="shared" si="12"/>
        <v>1000000000000</v>
      </c>
      <c r="AM30" s="2">
        <f t="shared" si="13"/>
        <v>3215.4703591878829</v>
      </c>
      <c r="AN30" s="2">
        <f t="shared" si="14"/>
        <v>2653.5608861364908</v>
      </c>
      <c r="AO30" s="2">
        <f t="shared" si="15"/>
        <v>1704.9584752004923</v>
      </c>
      <c r="AP30" s="2">
        <f t="shared" si="16"/>
        <v>403.25761176970258</v>
      </c>
      <c r="AQ30" s="2">
        <f t="shared" si="17"/>
        <v>124.64007063602084</v>
      </c>
      <c r="AR30" s="2">
        <f t="shared" si="18"/>
        <v>123.9260383626436</v>
      </c>
      <c r="AS30" s="2">
        <f t="shared" si="19"/>
        <v>123.93614365125383</v>
      </c>
      <c r="AX30" s="2">
        <f t="shared" si="28"/>
        <v>1000000000000</v>
      </c>
      <c r="AY30" s="37">
        <f t="shared" si="20"/>
        <v>12699.710660677774</v>
      </c>
      <c r="AZ30" s="37">
        <f t="shared" si="21"/>
        <v>11015.969851493697</v>
      </c>
      <c r="BA30" s="37">
        <f t="shared" si="22"/>
        <v>8575.1274263935629</v>
      </c>
      <c r="BB30" s="37">
        <f t="shared" si="23"/>
        <v>5603.5970610254153</v>
      </c>
      <c r="BC30" s="37">
        <f t="shared" si="24"/>
        <v>8907.4707211437271</v>
      </c>
      <c r="BD30" s="37">
        <f t="shared" si="25"/>
        <v>3473.062579328473</v>
      </c>
      <c r="BE30" s="37">
        <f t="shared" si="26"/>
        <v>3264.0953429193382</v>
      </c>
    </row>
    <row r="31" spans="1:57" x14ac:dyDescent="0.25">
      <c r="A31" s="2">
        <f>'creep_res-40'!A31</f>
        <v>10000000000000</v>
      </c>
      <c r="B31" s="3">
        <f>'creep_res-40'!O31</f>
        <v>-1.2562818285714286E-3</v>
      </c>
      <c r="C31" s="2">
        <f>IF('Modell einstellen'!$B$2="Ja",creep_res0!O31,creep_res0!C31)</f>
        <v>-1.6271212571428572E-3</v>
      </c>
      <c r="D31" s="2">
        <f>IF('Modell einstellen'!$B$2="Ja",creep_res25!O31,creep_res25!C31)</f>
        <v>-3.0967014285714287E-3</v>
      </c>
      <c r="E31" s="2">
        <f>IF('Modell einstellen'!$B$2="Ja",creep_res50!O31,creep_res50!C31)</f>
        <v>-1.4895274571428573E-2</v>
      </c>
      <c r="F31" s="2">
        <f>IF('Modell einstellen'!$B$2="Ja",creep_res80!O31,creep_res80!C31)</f>
        <v>-2.7191233999999998E-2</v>
      </c>
      <c r="G31" s="2">
        <f>IF('Modell einstellen'!$B$2="Ja",creep_res125!O31,creep_res125!C31)</f>
        <v>-2.7221723714285714E-2</v>
      </c>
      <c r="H31" s="2">
        <f>IF('Modell einstellen'!$B$2="Ja",creep_res160!O31,creep_res160!C31)</f>
        <v>-2.7240321142857141E-2</v>
      </c>
      <c r="M31" s="9">
        <f t="shared" si="27"/>
        <v>-10</v>
      </c>
      <c r="N31" s="2">
        <f t="shared" si="4"/>
        <v>10000000000000</v>
      </c>
      <c r="O31" s="2">
        <f t="shared" si="5"/>
        <v>7959.9973290797534</v>
      </c>
      <c r="P31" s="2">
        <f t="shared" si="6"/>
        <v>6145.8234634335095</v>
      </c>
      <c r="Q31" s="2">
        <f t="shared" si="7"/>
        <v>3229.2425442556155</v>
      </c>
      <c r="R31" s="2">
        <f t="shared" si="8"/>
        <v>671.35385467694152</v>
      </c>
      <c r="S31" s="2">
        <f t="shared" si="9"/>
        <v>367.76558209899559</v>
      </c>
      <c r="T31" s="2">
        <f t="shared" si="10"/>
        <v>367.35366595290549</v>
      </c>
      <c r="U31" s="2">
        <f t="shared" si="11"/>
        <v>367.10286738385844</v>
      </c>
      <c r="Z31" s="2">
        <v>10000000000000</v>
      </c>
      <c r="AA31" s="3">
        <f>IF('Modell einstellen'!$B$2="Ja",'creep_res-40'!P31,'creep_res-40'!L31)</f>
        <v>0.38666528511436832</v>
      </c>
      <c r="AB31" s="2">
        <f>IF('Modell einstellen'!$B$2="Ja",creep_res0!P31,creep_res0!L31)</f>
        <v>0.39466206083438088</v>
      </c>
      <c r="AC31" s="2">
        <f>IF('Modell einstellen'!$B$2="Ja",creep_res25!P31,creep_res25!L31)</f>
        <v>0.42195974426244331</v>
      </c>
      <c r="AD31" s="2">
        <f>IF('Modell einstellen'!$B$2="Ja",creep_res50!P31,creep_res50!L31)</f>
        <v>0.47751130507142042</v>
      </c>
      <c r="AE31" s="2">
        <f>IF('Modell einstellen'!$B$2="Ja",creep_res80!P31,creep_res80!L31)</f>
        <v>0.48418241807530432</v>
      </c>
      <c r="AF31" s="2">
        <f>IF('Modell einstellen'!$B$2="Ja",creep_res125!P31,creep_res125!L31)</f>
        <v>0.48229778836404746</v>
      </c>
      <c r="AG31" s="2">
        <f>IF('Modell einstellen'!$B$2="Ja",creep_res160!P31,creep_res160!L31)</f>
        <v>0.48117498593786245</v>
      </c>
      <c r="AL31" s="2">
        <f t="shared" si="12"/>
        <v>10000000000000</v>
      </c>
      <c r="AM31" s="2">
        <f t="shared" si="13"/>
        <v>2870.194204228324</v>
      </c>
      <c r="AN31" s="2">
        <f t="shared" si="14"/>
        <v>2203.3378680125074</v>
      </c>
      <c r="AO31" s="2">
        <f t="shared" si="15"/>
        <v>1135.4901421385146</v>
      </c>
      <c r="AP31" s="2">
        <f t="shared" si="16"/>
        <v>227.19076746573165</v>
      </c>
      <c r="AQ31" s="2">
        <f t="shared" si="17"/>
        <v>123.89500698166064</v>
      </c>
      <c r="AR31" s="2">
        <f t="shared" si="18"/>
        <v>123.91358498832378</v>
      </c>
      <c r="AS31" s="2">
        <f t="shared" si="19"/>
        <v>123.92285545904397</v>
      </c>
      <c r="AX31" s="2">
        <f t="shared" si="28"/>
        <v>10000000000000</v>
      </c>
      <c r="AY31" s="37">
        <f t="shared" si="20"/>
        <v>11705.735730239914</v>
      </c>
      <c r="AZ31" s="37">
        <f t="shared" si="21"/>
        <v>9723.9790210987012</v>
      </c>
      <c r="BA31" s="37">
        <f t="shared" si="22"/>
        <v>6896.5316120851512</v>
      </c>
      <c r="BB31" s="37">
        <f t="shared" si="23"/>
        <v>4975.4914399512863</v>
      </c>
      <c r="BC31" s="37">
        <f t="shared" si="24"/>
        <v>3875.0716749864532</v>
      </c>
      <c r="BD31" s="37">
        <f t="shared" si="25"/>
        <v>3458.6419059528112</v>
      </c>
      <c r="BE31" s="37">
        <f t="shared" si="26"/>
        <v>3250.133626922548</v>
      </c>
    </row>
    <row r="32" spans="1:57" x14ac:dyDescent="0.25">
      <c r="A32" s="2">
        <f>'creep_res-40'!A32</f>
        <v>100000000000000</v>
      </c>
      <c r="B32" s="3">
        <f>'creep_res-40'!O32</f>
        <v>-1.4614530285714286E-3</v>
      </c>
      <c r="C32" s="2">
        <f>IF('Modell einstellen'!$B$2="Ja",creep_res0!O32,creep_res0!C32)</f>
        <v>-2.1151075142857145E-3</v>
      </c>
      <c r="D32" s="2">
        <f>IF('Modell einstellen'!$B$2="Ja",creep_res25!O32,creep_res25!C32)</f>
        <v>-5.1020828571428575E-3</v>
      </c>
      <c r="E32" s="2">
        <f>IF('Modell einstellen'!$B$2="Ja",creep_res50!O32,creep_res50!C32)</f>
        <v>-2.1472374571428574E-2</v>
      </c>
      <c r="F32" s="2">
        <f>IF('Modell einstellen'!$B$2="Ja",creep_res80!O32,creep_res80!C32)</f>
        <v>-2.7195999142857145E-2</v>
      </c>
      <c r="G32" s="2">
        <f>IF('Modell einstellen'!$B$2="Ja",creep_res125!O32,creep_res125!C32)</f>
        <v>-2.7305871714285716E-2</v>
      </c>
      <c r="H32" s="2">
        <f>IF('Modell einstellen'!$B$2="Ja",creep_res160!O32,creep_res160!C32)</f>
        <v>-2.7359462000000005E-2</v>
      </c>
      <c r="M32" s="9">
        <v>-1</v>
      </c>
      <c r="N32" s="2">
        <f t="shared" si="4"/>
        <v>100000000000000</v>
      </c>
      <c r="O32" s="2">
        <f t="shared" si="5"/>
        <v>6842.5052358850062</v>
      </c>
      <c r="P32" s="2">
        <f t="shared" si="6"/>
        <v>4727.8920492025509</v>
      </c>
      <c r="Q32" s="2">
        <f t="shared" si="7"/>
        <v>1959.9838497330782</v>
      </c>
      <c r="R32" s="2">
        <f t="shared" si="8"/>
        <v>465.71467756091272</v>
      </c>
      <c r="S32" s="2">
        <f t="shared" si="9"/>
        <v>367.7011441084133</v>
      </c>
      <c r="T32" s="2">
        <f t="shared" si="10"/>
        <v>366.22159895258943</v>
      </c>
      <c r="U32" s="2">
        <f t="shared" si="11"/>
        <v>365.50426320517556</v>
      </c>
      <c r="Z32" s="2">
        <v>100000000000000</v>
      </c>
      <c r="AA32" s="3">
        <f>IF('Modell einstellen'!$B$2="Ja",'creep_res-40'!P32,'creep_res-40'!L32)</f>
        <v>0.39159123749561497</v>
      </c>
      <c r="AB32" s="2">
        <f>IF('Modell einstellen'!$B$2="Ja",creep_res0!P32,creep_res0!L32)</f>
        <v>0.4042193572787377</v>
      </c>
      <c r="AC32" s="2">
        <f>IF('Modell einstellen'!$B$2="Ja",creep_res25!P32,creep_res25!L32)</f>
        <v>0.44008362411093732</v>
      </c>
      <c r="AD32" s="2">
        <f>IF('Modell einstellen'!$B$2="Ja",creep_res50!P32,creep_res50!L32)</f>
        <v>0.48303823899388809</v>
      </c>
      <c r="AE32" s="2">
        <f>IF('Modell einstellen'!$B$2="Ja",creep_res80!P32,creep_res80!L32)</f>
        <v>0.48406377463273303</v>
      </c>
      <c r="AF32" s="2">
        <f>IF('Modell einstellen'!$B$2="Ja",creep_res125!P32,creep_res125!L32)</f>
        <v>0.48082397264822718</v>
      </c>
      <c r="AG32" s="2">
        <f>IF('Modell einstellen'!$B$2="Ja",creep_res160!P32,creep_res160!L32)</f>
        <v>0.48001299983791446</v>
      </c>
      <c r="AL32" s="2">
        <f t="shared" si="12"/>
        <v>100000000000000</v>
      </c>
      <c r="AM32" s="2">
        <f t="shared" si="13"/>
        <v>2458.5183678646754</v>
      </c>
      <c r="AN32" s="2">
        <f t="shared" si="14"/>
        <v>1683.4592204898881</v>
      </c>
      <c r="AO32" s="2">
        <f t="shared" si="15"/>
        <v>680.51042901870051</v>
      </c>
      <c r="AP32" s="2">
        <f t="shared" si="16"/>
        <v>157.01371189082064</v>
      </c>
      <c r="AQ32" s="2">
        <f t="shared" si="17"/>
        <v>123.88320178471095</v>
      </c>
      <c r="AR32" s="2">
        <f t="shared" si="18"/>
        <v>123.65466987195585</v>
      </c>
      <c r="AS32" s="2">
        <f t="shared" si="19"/>
        <v>123.48008539289999</v>
      </c>
      <c r="AX32" s="2">
        <f t="shared" si="28"/>
        <v>100000000000000</v>
      </c>
      <c r="AY32" s="37">
        <f t="shared" si="20"/>
        <v>10519.606653272505</v>
      </c>
      <c r="AZ32" s="37">
        <f t="shared" si="21"/>
        <v>8226.9442531679888</v>
      </c>
      <c r="BA32" s="37">
        <f t="shared" si="22"/>
        <v>5451.9982243309096</v>
      </c>
      <c r="BB32" s="37">
        <f t="shared" si="23"/>
        <v>4576.1234873460335</v>
      </c>
      <c r="BC32" s="37">
        <f t="shared" si="24"/>
        <v>3845.5482779470067</v>
      </c>
      <c r="BD32" s="37">
        <f t="shared" si="25"/>
        <v>3182.9811273773585</v>
      </c>
      <c r="BE32" s="37">
        <f t="shared" si="26"/>
        <v>3047.8499378020801</v>
      </c>
    </row>
    <row r="33" spans="1:60" x14ac:dyDescent="0.25">
      <c r="A33" s="2">
        <f>'creep_res-40'!A33</f>
        <v>1000000000000000</v>
      </c>
      <c r="B33" s="3">
        <f>'creep_res-40'!O33</f>
        <v>-1.802786285714286E-3</v>
      </c>
      <c r="C33" s="2">
        <f>IF('Modell einstellen'!$B$2="Ja",creep_res0!O33,creep_res0!C33)</f>
        <v>-3.1498225714285716E-3</v>
      </c>
      <c r="D33" s="2">
        <f>IF('Modell einstellen'!$B$2="Ja",creep_res25!O33,creep_res25!C33)</f>
        <v>-8.8143111428571428E-3</v>
      </c>
      <c r="E33" s="2">
        <f>IF('Modell einstellen'!$B$2="Ja",creep_res50!O33,creep_res50!C33)</f>
        <v>-2.4615299714285718E-2</v>
      </c>
      <c r="F33" s="2">
        <f>IF('Modell einstellen'!$B$2="Ja",creep_res80!O33,creep_res80!C33)</f>
        <v>-2.7336072000000003E-2</v>
      </c>
      <c r="G33" s="2">
        <f>IF('Modell einstellen'!$B$2="Ja",creep_res125!O33,creep_res125!C33)</f>
        <v>-2.7309677428571429E-2</v>
      </c>
      <c r="H33" s="2">
        <f>IF('Modell einstellen'!$B$2="Ja",creep_res160!O33,creep_res160!C33)</f>
        <v>-2.7362212285714289E-2</v>
      </c>
      <c r="M33" s="9">
        <f>M31</f>
        <v>-10</v>
      </c>
      <c r="N33" s="2">
        <f t="shared" si="4"/>
        <v>1000000000000000</v>
      </c>
      <c r="O33" s="2">
        <f t="shared" si="5"/>
        <v>5546.9691994233681</v>
      </c>
      <c r="P33" s="2">
        <f t="shared" si="6"/>
        <v>3174.7819990586318</v>
      </c>
      <c r="Q33" s="2">
        <f t="shared" si="7"/>
        <v>1134.5186070613929</v>
      </c>
      <c r="R33" s="2">
        <f t="shared" si="8"/>
        <v>406.25140120460964</v>
      </c>
      <c r="S33" s="2">
        <f t="shared" si="9"/>
        <v>365.81700545711175</v>
      </c>
      <c r="T33" s="2">
        <f t="shared" si="10"/>
        <v>366.17056448780988</v>
      </c>
      <c r="U33" s="2">
        <f t="shared" si="11"/>
        <v>365.4675249055415</v>
      </c>
      <c r="Z33" s="2">
        <v>1000000000000000</v>
      </c>
      <c r="AA33" s="3">
        <f>IF('Modell einstellen'!$B$2="Ja",'creep_res-40'!P33,'creep_res-40'!L33)</f>
        <v>0.39884466140666064</v>
      </c>
      <c r="AB33" s="2">
        <f>IF('Modell einstellen'!$B$2="Ja",creep_res0!P33,creep_res0!L33)</f>
        <v>0.41966918952985927</v>
      </c>
      <c r="AC33" s="2">
        <f>IF('Modell einstellen'!$B$2="Ja",creep_res25!P33,creep_res25!L33)</f>
        <v>0.45697800093866831</v>
      </c>
      <c r="AD33" s="2">
        <f>IF('Modell einstellen'!$B$2="Ja",creep_res50!P33,creep_res50!L33)</f>
        <v>0.48298510604595052</v>
      </c>
      <c r="AE33" s="2">
        <f>IF('Modell einstellen'!$B$2="Ja",creep_res80!P33,creep_res80!L33)</f>
        <v>0.48134369853869274</v>
      </c>
      <c r="AF33" s="2">
        <f>IF('Modell einstellen'!$B$2="Ja",creep_res125!P33,creep_res125!L33)</f>
        <v>0.48078199302055891</v>
      </c>
      <c r="AG33" s="2">
        <f>IF('Modell einstellen'!$B$2="Ja",creep_res160!P33,creep_res160!L33)</f>
        <v>0.4800012776744671</v>
      </c>
      <c r="AL33" s="2">
        <f t="shared" si="12"/>
        <v>1000000000000000</v>
      </c>
      <c r="AM33" s="2">
        <f t="shared" si="13"/>
        <v>1982.6966326072995</v>
      </c>
      <c r="AN33" s="2">
        <f t="shared" si="14"/>
        <v>1118.1414735463829</v>
      </c>
      <c r="AO33" s="2">
        <f t="shared" si="15"/>
        <v>389.33964903055204</v>
      </c>
      <c r="AP33" s="2">
        <f t="shared" si="16"/>
        <v>136.97082983111966</v>
      </c>
      <c r="AQ33" s="2">
        <f t="shared" si="17"/>
        <v>123.47472292148701</v>
      </c>
      <c r="AR33" s="2">
        <f t="shared" si="18"/>
        <v>123.64094316844046</v>
      </c>
      <c r="AS33" s="2">
        <f t="shared" si="19"/>
        <v>123.46865182434244</v>
      </c>
      <c r="AX33" s="2">
        <f>AL33</f>
        <v>1000000000000000</v>
      </c>
      <c r="AY33" s="37">
        <f t="shared" si="20"/>
        <v>9139.358134000011</v>
      </c>
      <c r="AZ33" s="37">
        <f t="shared" si="21"/>
        <v>6586.8915062561</v>
      </c>
      <c r="BA33" s="37">
        <f t="shared" si="22"/>
        <v>4395.1103769183901</v>
      </c>
      <c r="BB33" s="37">
        <f t="shared" si="23"/>
        <v>3979.3704886018731</v>
      </c>
      <c r="BC33" s="37">
        <f t="shared" si="24"/>
        <v>3268.0379353843514</v>
      </c>
      <c r="BD33" s="37">
        <f t="shared" si="25"/>
        <v>3175.5856619222559</v>
      </c>
      <c r="BE33" s="37">
        <f t="shared" si="26"/>
        <v>3045.7572818617796</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D71" sqref="D71"/>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111</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6503.9509699618966</v>
      </c>
      <c r="G16" s="26">
        <f>INDEX(Comparison!$AM$3:$AS$33,G14,$B$3)</f>
        <v>6504.0043184804708</v>
      </c>
      <c r="H16" s="26">
        <f>INDEX(Comparison!$AM$3:$AS$33,H14,$B$3)</f>
        <v>6503.9713230315656</v>
      </c>
      <c r="I16" s="26">
        <f>INDEX(Comparison!$AM$3:$AS$33,I14,$B$3)</f>
        <v>6503.9615090652051</v>
      </c>
      <c r="J16" s="26">
        <f>INDEX(Comparison!$AM$3:$AS$33,J14,$B$3)</f>
        <v>6503.9584150129849</v>
      </c>
      <c r="K16" s="26">
        <f>INDEX(Comparison!$AM$3:$AS$33,K14,$B$3)</f>
        <v>6503.9573030886877</v>
      </c>
      <c r="L16" s="26">
        <f>INDEX(Comparison!$AM$3:$AS$33,L14,$B$3)</f>
        <v>6503.9546441408229</v>
      </c>
      <c r="M16" s="26">
        <f>INDEX(Comparison!$AM$3:$AS$33,M14,$B$3)</f>
        <v>6503.932647473689</v>
      </c>
      <c r="N16" s="26">
        <f>INDEX(Comparison!$AM$3:$AS$33,N14,$B$3)</f>
        <v>6503.7133657579243</v>
      </c>
      <c r="O16" s="26">
        <f>INDEX(Comparison!$AM$3:$AS$33,O14,$B$3)</f>
        <v>6501.5374241274303</v>
      </c>
      <c r="P16" s="26">
        <f>INDEX(Comparison!$AM$3:$AS$33,P14,$B$3)</f>
        <v>6481.233154233405</v>
      </c>
      <c r="Q16" s="26">
        <f>INDEX(Comparison!$AM$3:$AS$33,Q14,$B$3)</f>
        <v>6364.7007036045688</v>
      </c>
      <c r="R16" s="26">
        <f>INDEX(Comparison!$AM$3:$AS$33,R14,$B$3)</f>
        <v>6219.55344224686</v>
      </c>
      <c r="S16" s="26">
        <f>INDEX(Comparison!$AM$3:$AS$33,S14,$B$3)</f>
        <v>6059.9785511387736</v>
      </c>
      <c r="T16" s="26">
        <f>INDEX(Comparison!$AM$3:$AS$33,T14,$B$3)</f>
        <v>5870.6317266704709</v>
      </c>
      <c r="U16" s="26">
        <f>INDEX(Comparison!$AM$3:$AS$33,U14,$B$3)</f>
        <v>5669.1325406322439</v>
      </c>
      <c r="V16" s="26">
        <f>INDEX(Comparison!$AM$3:$AS$33,V14,$B$3)</f>
        <v>5423.4324257349326</v>
      </c>
      <c r="W16" s="26">
        <f>INDEX(Comparison!$AM$3:$AS$33,W14,$B$3)</f>
        <v>5064.9009314494624</v>
      </c>
      <c r="X16" s="26">
        <f>INDEX(Comparison!$AM$3:$AS$33,X14,$B$3)</f>
        <v>4580.1850776889687</v>
      </c>
      <c r="Y16" s="26">
        <f>INDEX(Comparison!$AM$3:$AS$33,Y14,$B$3)</f>
        <v>4085.8663253030418</v>
      </c>
      <c r="Z16" s="26">
        <f>INDEX(Comparison!$AM$3:$AS$33,Z14,$B$3)</f>
        <v>3641.7022773125063</v>
      </c>
      <c r="AA16" s="26">
        <f>INDEX(Comparison!$AM$3:$AS$33,AA14,$B$3)</f>
        <v>3231.6591203117327</v>
      </c>
      <c r="AB16" s="26">
        <f>INDEX(Comparison!$AM$3:$AS$33,AB14,$B$3)</f>
        <v>2785.7203085552951</v>
      </c>
      <c r="AC16" s="26">
        <f>INDEX(Comparison!$AM$3:$AS$33,AC14,$B$3)</f>
        <v>2295.1533050928924</v>
      </c>
      <c r="AD16" s="26">
        <f>INDEX(Comparison!$AM$3:$AS$33,AD14,$B$3)</f>
        <v>1754.5150163075152</v>
      </c>
      <c r="AE16" s="26">
        <f>INDEX(Comparison!$AM$3:$AS$33,AE14,$B$3)</f>
        <v>1171.8757952014325</v>
      </c>
      <c r="AF16" s="26">
        <f>INDEX(Comparison!$AM$3:$AS$33,AF14,$B$3)</f>
        <v>704.46209389908893</v>
      </c>
      <c r="AG16" s="26">
        <f>INDEX(Comparison!$AM$3:$AS$33,AG14,$B$3)</f>
        <v>403.25761176970258</v>
      </c>
      <c r="AH16" s="26">
        <f>INDEX(Comparison!$AM$3:$AS$33,AH14,$B$3)</f>
        <v>227.19076746573165</v>
      </c>
      <c r="AI16" s="26">
        <f>INDEX(Comparison!$AM$3:$AS$33,AI14,$B$3)</f>
        <v>157.01371189082064</v>
      </c>
      <c r="AJ16" s="26">
        <f>INDEX(Comparison!$AM$3:$AS$33,AJ14,$B$3)</f>
        <v>136.97082983111966</v>
      </c>
    </row>
    <row r="17" spans="1:36" x14ac:dyDescent="0.25">
      <c r="A17" s="14" t="s">
        <v>20</v>
      </c>
      <c r="B17" s="105">
        <v>1.4251199939051476E-2</v>
      </c>
      <c r="C17" s="18">
        <f t="shared" ref="C17:C48" si="3">ABS(B17/$B$49)</f>
        <v>1.1608660368202123E-2</v>
      </c>
      <c r="D17" s="66"/>
      <c r="E17" s="65" t="s">
        <v>22</v>
      </c>
      <c r="F17" s="27">
        <f>($C$17+SUM(F18:F48))*$B$51</f>
        <v>6503.9876536058628</v>
      </c>
      <c r="G17" s="27">
        <f t="shared" ref="G17:M17" si="4">($C$17+SUM(G18:G48))*$B$51</f>
        <v>6503.9876535823141</v>
      </c>
      <c r="H17" s="27">
        <f t="shared" si="4"/>
        <v>6503.9876533468114</v>
      </c>
      <c r="I17" s="27">
        <f t="shared" si="4"/>
        <v>6503.9876509917931</v>
      </c>
      <c r="J17" s="27">
        <f t="shared" si="4"/>
        <v>6503.9876274416138</v>
      </c>
      <c r="K17" s="27">
        <f t="shared" si="4"/>
        <v>6503.9873919401953</v>
      </c>
      <c r="L17" s="27">
        <f t="shared" si="4"/>
        <v>6503.9850369624846</v>
      </c>
      <c r="M17" s="27">
        <f t="shared" si="4"/>
        <v>6503.9614908326539</v>
      </c>
      <c r="N17" s="27">
        <f t="shared" ref="N17" si="5">($C$17+SUM(N18:N48))*$B$51</f>
        <v>6503.7263931997313</v>
      </c>
      <c r="O17" s="27">
        <f t="shared" ref="O17" si="6">($C$17+SUM(O18:O48))*$B$51</f>
        <v>6501.4107494664113</v>
      </c>
      <c r="P17" s="27">
        <f t="shared" ref="P17" si="7">($C$17+SUM(P18:P48))*$B$51</f>
        <v>6480.9844725800194</v>
      </c>
      <c r="Q17" s="27">
        <f t="shared" ref="Q17" si="8">($C$17+SUM(Q18:Q48))*$B$51</f>
        <v>6365.1299660881095</v>
      </c>
      <c r="R17" s="27">
        <f t="shared" ref="R17" si="9">($C$17+SUM(R18:R48))*$B$51</f>
        <v>6219.0199093596184</v>
      </c>
      <c r="S17" s="27">
        <f t="shared" ref="S17:T17" si="10">($C$17+SUM(S18:S48))*$B$51</f>
        <v>6060.5407846819226</v>
      </c>
      <c r="T17" s="27">
        <f t="shared" si="10"/>
        <v>5870.1233692503174</v>
      </c>
      <c r="U17" s="27">
        <f t="shared" ref="U17" si="11">($C$17+SUM(U18:U48))*$B$51</f>
        <v>5669.5249707781904</v>
      </c>
      <c r="V17" s="27">
        <f t="shared" ref="V17" si="12">($C$17+SUM(V18:V48))*$B$51</f>
        <v>5423.172770957186</v>
      </c>
      <c r="W17" s="27">
        <f t="shared" ref="W17" si="13">($C$17+SUM(W18:W48))*$B$51</f>
        <v>5065.0487128384948</v>
      </c>
      <c r="X17" s="27">
        <f t="shared" ref="X17" si="14">($C$17+SUM(X18:X48))*$B$51</f>
        <v>4580.1125612141095</v>
      </c>
      <c r="Y17" s="27">
        <f t="shared" ref="Y17" si="15">($C$17+SUM(Y18:Y48))*$B$51</f>
        <v>4085.8984679605251</v>
      </c>
      <c r="Z17" s="27">
        <f t="shared" ref="Z17:AA17" si="16">($C$17+SUM(Z18:Z48))*$B$51</f>
        <v>3641.6889088450444</v>
      </c>
      <c r="AA17" s="27">
        <f t="shared" si="16"/>
        <v>3231.6643539325901</v>
      </c>
      <c r="AB17" s="27">
        <f t="shared" ref="AB17" si="17">($C$17+SUM(AB18:AB48))*$B$51</f>
        <v>2785.720261307928</v>
      </c>
      <c r="AC17" s="27">
        <f t="shared" ref="AC17" si="18">($C$17+SUM(AC18:AC48))*$B$51</f>
        <v>2295.1508701524699</v>
      </c>
      <c r="AD17" s="27">
        <f t="shared" ref="AD17" si="19">($C$17+SUM(AD18:AD48))*$B$51</f>
        <v>1754.5202498105921</v>
      </c>
      <c r="AE17" s="27">
        <f t="shared" ref="AE17" si="20">($C$17+SUM(AE18:AE48))*$B$51</f>
        <v>1171.8708158480144</v>
      </c>
      <c r="AF17" s="27">
        <f t="shared" ref="AF17" si="21">($C$17+SUM(AF18:AF48))*$B$51</f>
        <v>704.46454671451761</v>
      </c>
      <c r="AG17" s="27">
        <f t="shared" ref="AG17:AH17" si="22">($C$17+SUM(AG18:AG48))*$B$51</f>
        <v>403.25664147805116</v>
      </c>
      <c r="AH17" s="27">
        <f t="shared" si="22"/>
        <v>227.18934478627733</v>
      </c>
      <c r="AI17" s="27">
        <f t="shared" ref="AI17" si="23">($C$17+SUM(AI18:AI48))*$B$51</f>
        <v>157.01408643093379</v>
      </c>
      <c r="AJ17" s="27">
        <f t="shared" ref="AJ17" si="24">($C$17+SUM(AJ18:AJ48))*$B$51</f>
        <v>136.97120997380671</v>
      </c>
    </row>
    <row r="18" spans="1:36" x14ac:dyDescent="0.25">
      <c r="A18" s="3">
        <f>0.000000000000001/10^5</f>
        <v>1.0000000000000001E-20</v>
      </c>
      <c r="B18" s="106">
        <v>3.7830812613465228E-3</v>
      </c>
      <c r="C18" s="18">
        <f t="shared" si="3"/>
        <v>3.0816005456453127E-3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0</v>
      </c>
      <c r="C22" s="18">
        <f t="shared" si="3"/>
        <v>0</v>
      </c>
      <c r="D22" s="17"/>
      <c r="F22" s="3">
        <f t="shared" si="25"/>
        <v>0</v>
      </c>
      <c r="G22" s="3">
        <f t="shared" si="25"/>
        <v>0</v>
      </c>
      <c r="H22" s="3">
        <f t="shared" si="25"/>
        <v>0</v>
      </c>
      <c r="I22" s="3">
        <f t="shared" si="25"/>
        <v>0</v>
      </c>
      <c r="J22" s="3">
        <f t="shared" si="25"/>
        <v>0</v>
      </c>
      <c r="K22" s="3">
        <f t="shared" si="25"/>
        <v>0</v>
      </c>
      <c r="L22" s="3">
        <f t="shared" si="25"/>
        <v>0</v>
      </c>
      <c r="M22" s="3">
        <f t="shared" si="25"/>
        <v>0</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0</v>
      </c>
      <c r="C23" s="18">
        <f t="shared" si="3"/>
        <v>0</v>
      </c>
      <c r="D23" s="17"/>
      <c r="F23" s="3">
        <f t="shared" si="25"/>
        <v>0</v>
      </c>
      <c r="G23" s="3">
        <f t="shared" si="25"/>
        <v>0</v>
      </c>
      <c r="H23" s="3">
        <f t="shared" si="25"/>
        <v>0</v>
      </c>
      <c r="I23" s="3">
        <f t="shared" si="25"/>
        <v>0</v>
      </c>
      <c r="J23" s="3">
        <f t="shared" si="25"/>
        <v>0</v>
      </c>
      <c r="K23" s="3">
        <f t="shared" si="25"/>
        <v>0</v>
      </c>
      <c r="L23" s="3">
        <f t="shared" si="25"/>
        <v>0</v>
      </c>
      <c r="M23" s="3">
        <f t="shared" si="25"/>
        <v>0</v>
      </c>
      <c r="N23" s="3">
        <f t="shared" si="25"/>
        <v>0</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0</v>
      </c>
      <c r="C24" s="18">
        <f t="shared" si="3"/>
        <v>0</v>
      </c>
      <c r="D24" s="17"/>
      <c r="F24" s="3">
        <f t="shared" si="25"/>
        <v>0</v>
      </c>
      <c r="G24" s="3">
        <f t="shared" si="25"/>
        <v>0</v>
      </c>
      <c r="H24" s="3">
        <f t="shared" si="25"/>
        <v>0</v>
      </c>
      <c r="I24" s="3">
        <f t="shared" si="25"/>
        <v>0</v>
      </c>
      <c r="J24" s="3">
        <f t="shared" si="25"/>
        <v>0</v>
      </c>
      <c r="K24" s="3">
        <f t="shared" si="25"/>
        <v>0</v>
      </c>
      <c r="L24" s="3">
        <f t="shared" si="25"/>
        <v>0</v>
      </c>
      <c r="M24" s="3">
        <f t="shared" si="25"/>
        <v>0</v>
      </c>
      <c r="N24" s="3">
        <f t="shared" si="25"/>
        <v>0</v>
      </c>
      <c r="O24" s="3">
        <f t="shared" si="25"/>
        <v>0</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0</v>
      </c>
      <c r="C25" s="18">
        <f t="shared" si="3"/>
        <v>0</v>
      </c>
      <c r="D25" s="17"/>
      <c r="F25" s="3">
        <f t="shared" si="25"/>
        <v>0</v>
      </c>
      <c r="G25" s="3">
        <f t="shared" si="25"/>
        <v>0</v>
      </c>
      <c r="H25" s="3">
        <f t="shared" si="25"/>
        <v>0</v>
      </c>
      <c r="I25" s="3">
        <f t="shared" si="25"/>
        <v>0</v>
      </c>
      <c r="J25" s="3">
        <f t="shared" si="25"/>
        <v>0</v>
      </c>
      <c r="K25" s="3">
        <f t="shared" si="25"/>
        <v>0</v>
      </c>
      <c r="L25" s="3">
        <f t="shared" si="25"/>
        <v>0</v>
      </c>
      <c r="M25" s="3">
        <f t="shared" si="25"/>
        <v>0</v>
      </c>
      <c r="N25" s="3">
        <f t="shared" si="25"/>
        <v>0</v>
      </c>
      <c r="O25" s="3">
        <f t="shared" si="25"/>
        <v>0</v>
      </c>
      <c r="P25" s="3">
        <f t="shared" si="25"/>
        <v>0</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0</v>
      </c>
      <c r="C26" s="18">
        <f t="shared" si="3"/>
        <v>0</v>
      </c>
      <c r="D26" s="17"/>
      <c r="F26" s="3">
        <f t="shared" si="25"/>
        <v>0</v>
      </c>
      <c r="G26" s="3">
        <f t="shared" si="25"/>
        <v>0</v>
      </c>
      <c r="H26" s="3">
        <f t="shared" si="25"/>
        <v>0</v>
      </c>
      <c r="I26" s="3">
        <f t="shared" si="25"/>
        <v>0</v>
      </c>
      <c r="J26" s="3">
        <f t="shared" si="25"/>
        <v>0</v>
      </c>
      <c r="K26" s="3">
        <f t="shared" si="25"/>
        <v>0</v>
      </c>
      <c r="L26" s="3">
        <f t="shared" si="25"/>
        <v>0</v>
      </c>
      <c r="M26" s="3">
        <f t="shared" si="25"/>
        <v>0</v>
      </c>
      <c r="N26" s="3">
        <f t="shared" si="25"/>
        <v>0</v>
      </c>
      <c r="O26" s="3">
        <f t="shared" si="25"/>
        <v>0</v>
      </c>
      <c r="P26" s="3">
        <f t="shared" si="25"/>
        <v>0</v>
      </c>
      <c r="Q26" s="3">
        <f t="shared" si="25"/>
        <v>0</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9.2735865613556123E-4</v>
      </c>
      <c r="C27" s="18">
        <f t="shared" si="3"/>
        <v>7.5540247309915909E-4</v>
      </c>
      <c r="D27" s="17"/>
      <c r="F27" s="3">
        <f t="shared" si="25"/>
        <v>7.5540247301430889E-4</v>
      </c>
      <c r="G27" s="3">
        <f t="shared" si="25"/>
        <v>7.5540247225065673E-4</v>
      </c>
      <c r="H27" s="3">
        <f t="shared" si="25"/>
        <v>7.5540246461413586E-4</v>
      </c>
      <c r="I27" s="3">
        <f t="shared" si="25"/>
        <v>7.5540238824893069E-4</v>
      </c>
      <c r="J27" s="3">
        <f t="shared" si="25"/>
        <v>7.554016245973034E-4</v>
      </c>
      <c r="K27" s="3">
        <f t="shared" si="25"/>
        <v>7.5539398812349116E-4</v>
      </c>
      <c r="L27" s="3">
        <f t="shared" si="25"/>
        <v>7.5531762763114598E-4</v>
      </c>
      <c r="M27" s="3">
        <f t="shared" si="25"/>
        <v>7.5455444712678227E-4</v>
      </c>
      <c r="N27" s="3">
        <f t="shared" si="25"/>
        <v>7.4696492567024729E-4</v>
      </c>
      <c r="O27" s="3">
        <f t="shared" si="25"/>
        <v>6.751440982192625E-4</v>
      </c>
      <c r="P27" s="3">
        <f t="shared" si="25"/>
        <v>2.4567396511542504E-4</v>
      </c>
      <c r="Q27" s="3">
        <f t="shared" si="25"/>
        <v>9.999671472948962E-9</v>
      </c>
      <c r="R27" s="3">
        <f t="shared" si="25"/>
        <v>1.2481066560809901E-52</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3.5949984800699546E-2</v>
      </c>
      <c r="C28" s="18">
        <f t="shared" si="3"/>
        <v>2.9283931569142382E-2</v>
      </c>
      <c r="D28" s="17"/>
      <c r="F28" s="3">
        <f t="shared" si="25"/>
        <v>2.9283931568845661E-2</v>
      </c>
      <c r="G28" s="3">
        <f t="shared" si="25"/>
        <v>2.9283931566175158E-2</v>
      </c>
      <c r="H28" s="3">
        <f t="shared" si="25"/>
        <v>2.9283931539470121E-2</v>
      </c>
      <c r="I28" s="3">
        <f t="shared" si="25"/>
        <v>2.9283931272419794E-2</v>
      </c>
      <c r="J28" s="3">
        <f t="shared" si="25"/>
        <v>2.9283928601916625E-2</v>
      </c>
      <c r="K28" s="3">
        <f t="shared" si="25"/>
        <v>2.9283901896898341E-2</v>
      </c>
      <c r="L28" s="3">
        <f t="shared" si="25"/>
        <v>2.9283634848054907E-2</v>
      </c>
      <c r="M28" s="3">
        <f t="shared" si="25"/>
        <v>2.9280964493558419E-2</v>
      </c>
      <c r="N28" s="3">
        <f t="shared" si="25"/>
        <v>2.9254274337858637E-2</v>
      </c>
      <c r="O28" s="3">
        <f t="shared" si="25"/>
        <v>2.898870720062148E-2</v>
      </c>
      <c r="P28" s="3">
        <f t="shared" si="25"/>
        <v>2.6462082992234646E-2</v>
      </c>
      <c r="Q28" s="3">
        <f t="shared" si="25"/>
        <v>1.0631041703485387E-2</v>
      </c>
      <c r="R28" s="3">
        <f t="shared" si="25"/>
        <v>1.1643774020498168E-6</v>
      </c>
      <c r="S28" s="3">
        <f t="shared" si="25"/>
        <v>2.8924990953431445E-46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2.2468915550462647E-2</v>
      </c>
      <c r="C29" s="18">
        <f t="shared" si="3"/>
        <v>1.8302599821955524E-2</v>
      </c>
      <c r="D29" s="17"/>
      <c r="F29" s="3">
        <f t="shared" si="25"/>
        <v>1.8302599821938794E-2</v>
      </c>
      <c r="G29" s="3">
        <f t="shared" si="25"/>
        <v>1.830259982178823E-2</v>
      </c>
      <c r="H29" s="3">
        <f t="shared" si="25"/>
        <v>1.8302599820282584E-2</v>
      </c>
      <c r="I29" s="3">
        <f t="shared" si="25"/>
        <v>1.8302599805226114E-2</v>
      </c>
      <c r="J29" s="3">
        <f t="shared" si="25"/>
        <v>1.8302599654661432E-2</v>
      </c>
      <c r="K29" s="3">
        <f t="shared" si="25"/>
        <v>1.8302598149014682E-2</v>
      </c>
      <c r="L29" s="3">
        <f t="shared" si="25"/>
        <v>1.8302583092553972E-2</v>
      </c>
      <c r="M29" s="3">
        <f t="shared" si="25"/>
        <v>1.8302432528628117E-2</v>
      </c>
      <c r="N29" s="3">
        <f t="shared" si="25"/>
        <v>1.8300926957490634E-2</v>
      </c>
      <c r="O29" s="3">
        <f t="shared" si="25"/>
        <v>1.828587805614958E-2</v>
      </c>
      <c r="P29" s="3">
        <f t="shared" si="25"/>
        <v>1.8136067977848804E-2</v>
      </c>
      <c r="Q29" s="3">
        <f t="shared" si="25"/>
        <v>1.6703838870328589E-2</v>
      </c>
      <c r="R29" s="3">
        <f t="shared" si="25"/>
        <v>7.3374957507147762E-3</v>
      </c>
      <c r="S29" s="3">
        <f t="shared" si="25"/>
        <v>1.9627436003926621E-6</v>
      </c>
      <c r="T29" s="3">
        <f t="shared" si="25"/>
        <v>3.6814647164703448E-42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3.7679616206389772E-2</v>
      </c>
      <c r="C30" s="18">
        <f t="shared" si="3"/>
        <v>3.0692844757975957E-2</v>
      </c>
      <c r="D30" s="17"/>
      <c r="F30" s="3">
        <f t="shared" si="25"/>
        <v>3.0692844757973424E-2</v>
      </c>
      <c r="G30" s="3">
        <f t="shared" si="25"/>
        <v>3.0692844757950647E-2</v>
      </c>
      <c r="H30" s="3">
        <f t="shared" si="25"/>
        <v>3.0692844757722881E-2</v>
      </c>
      <c r="I30" s="3">
        <f t="shared" si="25"/>
        <v>3.0692844755445193E-2</v>
      </c>
      <c r="J30" s="3">
        <f t="shared" si="25"/>
        <v>3.0692844732668322E-2</v>
      </c>
      <c r="K30" s="3">
        <f t="shared" si="25"/>
        <v>3.0692844504899612E-2</v>
      </c>
      <c r="L30" s="3">
        <f t="shared" si="25"/>
        <v>3.0692842227212611E-2</v>
      </c>
      <c r="M30" s="3">
        <f t="shared" si="25"/>
        <v>3.0692819450351894E-2</v>
      </c>
      <c r="N30" s="3">
        <f t="shared" si="25"/>
        <v>3.0692591682674353E-2</v>
      </c>
      <c r="O30" s="3">
        <f t="shared" si="25"/>
        <v>3.0690314098859882E-2</v>
      </c>
      <c r="P30" s="3">
        <f t="shared" si="25"/>
        <v>3.0667547554255419E-2</v>
      </c>
      <c r="Q30" s="3">
        <f t="shared" si="25"/>
        <v>3.0440808915534589E-2</v>
      </c>
      <c r="R30" s="3">
        <f t="shared" si="25"/>
        <v>2.8263608219180641E-2</v>
      </c>
      <c r="S30" s="3">
        <f t="shared" si="25"/>
        <v>1.3456798808156265E-2</v>
      </c>
      <c r="T30" s="3">
        <f t="shared" si="25"/>
        <v>8.0553294782083542E-6</v>
      </c>
      <c r="U30" s="3">
        <f t="shared" si="25"/>
        <v>4.7588147714138241E-38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3.6744987403513875E-2</v>
      </c>
      <c r="C31" s="18">
        <f t="shared" si="3"/>
        <v>2.9931520210616631E-2</v>
      </c>
      <c r="D31" s="17"/>
      <c r="F31" s="3">
        <f t="shared" si="25"/>
        <v>2.9931520210616409E-2</v>
      </c>
      <c r="G31" s="3">
        <f t="shared" si="25"/>
        <v>2.9931520210614404E-2</v>
      </c>
      <c r="H31" s="3">
        <f t="shared" si="25"/>
        <v>2.9931520210594368E-2</v>
      </c>
      <c r="I31" s="3">
        <f t="shared" si="25"/>
        <v>2.9931520210394E-2</v>
      </c>
      <c r="J31" s="3">
        <f t="shared" si="25"/>
        <v>2.9931520208390301E-2</v>
      </c>
      <c r="K31" s="3">
        <f t="shared" si="25"/>
        <v>2.9931520188353319E-2</v>
      </c>
      <c r="L31" s="3">
        <f t="shared" si="25"/>
        <v>2.9931519987983508E-2</v>
      </c>
      <c r="M31" s="3">
        <f t="shared" si="25"/>
        <v>2.9931517984285495E-2</v>
      </c>
      <c r="N31" s="3">
        <f t="shared" si="25"/>
        <v>2.9931497947312698E-2</v>
      </c>
      <c r="O31" s="3">
        <f t="shared" si="25"/>
        <v>2.9931297578322462E-2</v>
      </c>
      <c r="P31" s="3">
        <f t="shared" si="25"/>
        <v>2.9929293962191263E-2</v>
      </c>
      <c r="Q31" s="3">
        <f t="shared" si="25"/>
        <v>2.9909265176167078E-2</v>
      </c>
      <c r="R31" s="3">
        <f t="shared" si="25"/>
        <v>2.9709713021198663E-2</v>
      </c>
      <c r="S31" s="3">
        <f t="shared" si="25"/>
        <v>2.7785971914541224E-2</v>
      </c>
      <c r="T31" s="3">
        <f t="shared" si="25"/>
        <v>1.4226463322519287E-2</v>
      </c>
      <c r="U31" s="3">
        <f t="shared" si="25"/>
        <v>1.7612074341118971E-5</v>
      </c>
      <c r="V31" s="3">
        <f t="shared" si="26"/>
        <v>1.4891763283445977E-34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4.0084467461391132E-2</v>
      </c>
      <c r="C32" s="18">
        <f t="shared" si="3"/>
        <v>3.2651774642810168E-2</v>
      </c>
      <c r="D32" s="17"/>
      <c r="F32" s="3">
        <f t="shared" si="25"/>
        <v>3.2651774642810147E-2</v>
      </c>
      <c r="G32" s="3">
        <f t="shared" si="25"/>
        <v>3.2651774642809953E-2</v>
      </c>
      <c r="H32" s="3">
        <f t="shared" si="25"/>
        <v>3.2651774642807975E-2</v>
      </c>
      <c r="I32" s="3">
        <f t="shared" si="25"/>
        <v>3.2651774642788255E-2</v>
      </c>
      <c r="J32" s="3">
        <f t="shared" si="25"/>
        <v>3.2651774642591086E-2</v>
      </c>
      <c r="K32" s="3">
        <f t="shared" si="25"/>
        <v>3.2651774640619309E-2</v>
      </c>
      <c r="L32" s="3">
        <f t="shared" si="25"/>
        <v>3.2651774620901582E-2</v>
      </c>
      <c r="M32" s="3">
        <f t="shared" si="25"/>
        <v>3.2651774423724293E-2</v>
      </c>
      <c r="N32" s="3">
        <f t="shared" si="25"/>
        <v>3.2651772451951472E-2</v>
      </c>
      <c r="O32" s="3">
        <f t="shared" si="25"/>
        <v>3.2651752734229787E-2</v>
      </c>
      <c r="P32" s="3">
        <f t="shared" si="25"/>
        <v>3.2651555557667841E-2</v>
      </c>
      <c r="Q32" s="3">
        <f t="shared" si="25"/>
        <v>3.2649583857535962E-2</v>
      </c>
      <c r="R32" s="3">
        <f t="shared" si="25"/>
        <v>3.2629873403511617E-2</v>
      </c>
      <c r="S32" s="3">
        <f t="shared" si="25"/>
        <v>3.2433422132172797E-2</v>
      </c>
      <c r="T32" s="3">
        <f t="shared" si="25"/>
        <v>3.0532799953551626E-2</v>
      </c>
      <c r="U32" s="3">
        <f t="shared" si="25"/>
        <v>1.6691878285213981E-2</v>
      </c>
      <c r="V32" s="3">
        <f t="shared" si="26"/>
        <v>3.9800724593031855E-5</v>
      </c>
      <c r="W32" s="3">
        <f t="shared" si="26"/>
        <v>2.3645509335670566E-31</v>
      </c>
      <c r="X32" s="3">
        <f t="shared" si="26"/>
        <v>1.2951665515354256E-293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5.3218755546867627E-2</v>
      </c>
      <c r="C33" s="18">
        <f t="shared" si="3"/>
        <v>4.3350627386052817E-2</v>
      </c>
      <c r="D33" s="17"/>
      <c r="F33" s="3">
        <f t="shared" si="25"/>
        <v>4.335062738605281E-2</v>
      </c>
      <c r="G33" s="3">
        <f t="shared" si="25"/>
        <v>4.3350627386052797E-2</v>
      </c>
      <c r="H33" s="3">
        <f t="shared" si="25"/>
        <v>4.3350627386052554E-2</v>
      </c>
      <c r="I33" s="3">
        <f t="shared" si="25"/>
        <v>4.3350627386050195E-2</v>
      </c>
      <c r="J33" s="3">
        <f t="shared" si="25"/>
        <v>4.3350627386026575E-2</v>
      </c>
      <c r="K33" s="3">
        <f t="shared" si="25"/>
        <v>4.3350627385790423E-2</v>
      </c>
      <c r="L33" s="3">
        <f t="shared" si="25"/>
        <v>4.3350627383428902E-2</v>
      </c>
      <c r="M33" s="3">
        <f t="shared" si="25"/>
        <v>4.3350627359813675E-2</v>
      </c>
      <c r="N33" s="3">
        <f t="shared" si="25"/>
        <v>4.3350627123661431E-2</v>
      </c>
      <c r="O33" s="3">
        <f t="shared" si="25"/>
        <v>4.3350624762139058E-2</v>
      </c>
      <c r="P33" s="3">
        <f t="shared" si="25"/>
        <v>4.3350601146922331E-2</v>
      </c>
      <c r="Q33" s="3">
        <f t="shared" si="25"/>
        <v>4.3350364995462631E-2</v>
      </c>
      <c r="R33" s="3">
        <f t="shared" si="25"/>
        <v>4.3348003551618157E-2</v>
      </c>
      <c r="S33" s="3">
        <f t="shared" si="25"/>
        <v>4.3324396186996697E-2</v>
      </c>
      <c r="T33" s="3">
        <f t="shared" si="25"/>
        <v>4.3089028499403909E-2</v>
      </c>
      <c r="U33" s="3">
        <f t="shared" ref="P33:AE48" si="27">$C33*EXP(-U$15/$A33)</f>
        <v>4.0804545070738454E-2</v>
      </c>
      <c r="V33" s="3">
        <f t="shared" si="27"/>
        <v>2.3666112171541132E-2</v>
      </c>
      <c r="W33" s="3">
        <f t="shared" si="27"/>
        <v>1.0193203676705445E-4</v>
      </c>
      <c r="X33" s="3">
        <f t="shared" si="27"/>
        <v>2.2394869596338521E-28</v>
      </c>
      <c r="Y33" s="3">
        <f t="shared" si="27"/>
        <v>5.8684971108158065E-265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9.1474700871825881E-2</v>
      </c>
      <c r="C34" s="18">
        <f t="shared" si="3"/>
        <v>7.4512934998130873E-2</v>
      </c>
      <c r="D34" s="17"/>
      <c r="F34" s="3">
        <f t="shared" ref="F34:O48" si="28">$C34*EXP(-F$15/$A34)</f>
        <v>7.4512934998130873E-2</v>
      </c>
      <c r="G34" s="3">
        <f t="shared" si="28"/>
        <v>7.4512934998130873E-2</v>
      </c>
      <c r="H34" s="3">
        <f t="shared" si="28"/>
        <v>7.4512934998130831E-2</v>
      </c>
      <c r="I34" s="3">
        <f t="shared" si="28"/>
        <v>7.451293499813047E-2</v>
      </c>
      <c r="J34" s="3">
        <f t="shared" si="28"/>
        <v>7.4512934998126806E-2</v>
      </c>
      <c r="K34" s="3">
        <f t="shared" si="28"/>
        <v>7.4512934998090183E-2</v>
      </c>
      <c r="L34" s="3">
        <f t="shared" si="28"/>
        <v>7.4512934997724031E-2</v>
      </c>
      <c r="M34" s="3">
        <f t="shared" si="28"/>
        <v>7.4512934994062391E-2</v>
      </c>
      <c r="N34" s="3">
        <f t="shared" si="28"/>
        <v>7.4512934957446042E-2</v>
      </c>
      <c r="O34" s="3">
        <f t="shared" si="28"/>
        <v>7.4512934591282623E-2</v>
      </c>
      <c r="P34" s="3">
        <f t="shared" si="27"/>
        <v>7.4512930929648558E-2</v>
      </c>
      <c r="Q34" s="3">
        <f t="shared" si="27"/>
        <v>7.4512894313317687E-2</v>
      </c>
      <c r="R34" s="3">
        <f t="shared" si="27"/>
        <v>7.4512528150998666E-2</v>
      </c>
      <c r="S34" s="3">
        <f t="shared" si="27"/>
        <v>7.4508866626771281E-2</v>
      </c>
      <c r="T34" s="3">
        <f t="shared" si="27"/>
        <v>7.4472261278982474E-2</v>
      </c>
      <c r="U34" s="3">
        <f t="shared" si="27"/>
        <v>7.4107195452924338E-2</v>
      </c>
      <c r="V34" s="3">
        <f t="shared" si="27"/>
        <v>7.0553529973006124E-2</v>
      </c>
      <c r="W34" s="3">
        <f t="shared" si="27"/>
        <v>4.3162087723793714E-2</v>
      </c>
      <c r="X34" s="3">
        <f t="shared" si="27"/>
        <v>3.169125215094646E-4</v>
      </c>
      <c r="Y34" s="3">
        <f t="shared" si="27"/>
        <v>1.4431416378440418E-25</v>
      </c>
      <c r="Z34" s="3">
        <f t="shared" si="27"/>
        <v>5.533558943797479E-239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0.10196397752379183</v>
      </c>
      <c r="C35" s="18">
        <f t="shared" si="3"/>
        <v>8.3057229561504284E-2</v>
      </c>
      <c r="D35" s="17"/>
      <c r="F35" s="3">
        <f t="shared" si="28"/>
        <v>8.3057229561504284E-2</v>
      </c>
      <c r="G35" s="3">
        <f t="shared" si="28"/>
        <v>8.3057229561504284E-2</v>
      </c>
      <c r="H35" s="3">
        <f t="shared" si="28"/>
        <v>8.3057229561504284E-2</v>
      </c>
      <c r="I35" s="3">
        <f t="shared" si="28"/>
        <v>8.3057229561504242E-2</v>
      </c>
      <c r="J35" s="3">
        <f t="shared" si="28"/>
        <v>8.3057229561503881E-2</v>
      </c>
      <c r="K35" s="3">
        <f t="shared" si="28"/>
        <v>8.305722956150019E-2</v>
      </c>
      <c r="L35" s="3">
        <f t="shared" si="28"/>
        <v>8.3057229561463372E-2</v>
      </c>
      <c r="M35" s="3">
        <f t="shared" si="28"/>
        <v>8.3057229561095181E-2</v>
      </c>
      <c r="N35" s="3">
        <f t="shared" si="28"/>
        <v>8.305722955741332E-2</v>
      </c>
      <c r="O35" s="3">
        <f t="shared" si="28"/>
        <v>8.3057229520594716E-2</v>
      </c>
      <c r="P35" s="3">
        <f t="shared" si="27"/>
        <v>8.3057229152408679E-2</v>
      </c>
      <c r="Q35" s="3">
        <f t="shared" si="27"/>
        <v>8.3057225470548404E-2</v>
      </c>
      <c r="R35" s="3">
        <f t="shared" si="27"/>
        <v>8.3057188651954564E-2</v>
      </c>
      <c r="S35" s="3">
        <f t="shared" si="27"/>
        <v>8.3056820466913914E-2</v>
      </c>
      <c r="T35" s="3">
        <f t="shared" si="27"/>
        <v>8.3053138706273344E-2</v>
      </c>
      <c r="U35" s="3">
        <f t="shared" si="27"/>
        <v>8.3016330074997313E-2</v>
      </c>
      <c r="V35" s="3">
        <f t="shared" si="27"/>
        <v>8.2649139804873248E-2</v>
      </c>
      <c r="W35" s="3">
        <f t="shared" si="27"/>
        <v>7.9065388959517091E-2</v>
      </c>
      <c r="X35" s="3">
        <f t="shared" si="27"/>
        <v>5.0753634834264719E-2</v>
      </c>
      <c r="Y35" s="3">
        <f t="shared" si="27"/>
        <v>6.0294061496012703E-4</v>
      </c>
      <c r="Z35" s="3">
        <f t="shared" si="27"/>
        <v>3.375580182487083E-23</v>
      </c>
      <c r="AA35" s="3">
        <f t="shared" si="27"/>
        <v>1.0211447723813932E-215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8.8044742633298312E-2</v>
      </c>
      <c r="C36" s="18">
        <f t="shared" si="3"/>
        <v>7.1718979370641908E-2</v>
      </c>
      <c r="D36" s="17"/>
      <c r="F36" s="3">
        <f t="shared" si="28"/>
        <v>7.1718979370641908E-2</v>
      </c>
      <c r="G36" s="3">
        <f t="shared" si="28"/>
        <v>7.1718979370641908E-2</v>
      </c>
      <c r="H36" s="3">
        <f t="shared" si="28"/>
        <v>7.1718979370641908E-2</v>
      </c>
      <c r="I36" s="3">
        <f t="shared" si="28"/>
        <v>7.1718979370641908E-2</v>
      </c>
      <c r="J36" s="3">
        <f t="shared" si="28"/>
        <v>7.171897937064188E-2</v>
      </c>
      <c r="K36" s="3">
        <f t="shared" si="28"/>
        <v>7.1718979370641589E-2</v>
      </c>
      <c r="L36" s="3">
        <f t="shared" si="28"/>
        <v>7.1718979370638716E-2</v>
      </c>
      <c r="M36" s="3">
        <f t="shared" si="28"/>
        <v>7.1718979370610045E-2</v>
      </c>
      <c r="N36" s="3">
        <f t="shared" si="28"/>
        <v>7.1718979370323246E-2</v>
      </c>
      <c r="O36" s="3">
        <f t="shared" si="28"/>
        <v>7.1718979367455304E-2</v>
      </c>
      <c r="P36" s="3">
        <f t="shared" si="27"/>
        <v>7.1718979338775871E-2</v>
      </c>
      <c r="Q36" s="3">
        <f t="shared" si="27"/>
        <v>7.1718979051981532E-2</v>
      </c>
      <c r="R36" s="3">
        <f t="shared" si="27"/>
        <v>7.1718976184038274E-2</v>
      </c>
      <c r="S36" s="3">
        <f t="shared" si="27"/>
        <v>7.1718947504611927E-2</v>
      </c>
      <c r="T36" s="3">
        <f t="shared" si="27"/>
        <v>7.1718660710979251E-2</v>
      </c>
      <c r="U36" s="3">
        <f t="shared" si="27"/>
        <v>7.1715792837728151E-2</v>
      </c>
      <c r="V36" s="3">
        <f t="shared" si="27"/>
        <v>7.1687120411861399E-2</v>
      </c>
      <c r="W36" s="3">
        <f t="shared" si="27"/>
        <v>7.1401025885488315E-2</v>
      </c>
      <c r="X36" s="3">
        <f t="shared" si="27"/>
        <v>6.8602131994713586E-2</v>
      </c>
      <c r="Y36" s="3">
        <f t="shared" si="27"/>
        <v>4.5990615642981639E-2</v>
      </c>
      <c r="Z36" s="3">
        <f t="shared" si="27"/>
        <v>8.433062662318953E-4</v>
      </c>
      <c r="AA36" s="3">
        <f t="shared" si="27"/>
        <v>3.6236510492569304E-21</v>
      </c>
      <c r="AB36" s="3">
        <f t="shared" si="27"/>
        <v>7.7760096024182494E-195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8.6588525580103923E-2</v>
      </c>
      <c r="C37" s="18">
        <f t="shared" si="3"/>
        <v>7.0532782470365804E-2</v>
      </c>
      <c r="D37" s="17"/>
      <c r="F37" s="3">
        <f t="shared" si="28"/>
        <v>7.0532782470365804E-2</v>
      </c>
      <c r="G37" s="3">
        <f t="shared" si="28"/>
        <v>7.0532782470365804E-2</v>
      </c>
      <c r="H37" s="3">
        <f t="shared" si="28"/>
        <v>7.0532782470365804E-2</v>
      </c>
      <c r="I37" s="3">
        <f t="shared" si="28"/>
        <v>7.0532782470365804E-2</v>
      </c>
      <c r="J37" s="3">
        <f t="shared" si="28"/>
        <v>7.0532782470365804E-2</v>
      </c>
      <c r="K37" s="3">
        <f t="shared" si="28"/>
        <v>7.0532782470365776E-2</v>
      </c>
      <c r="L37" s="3">
        <f t="shared" si="28"/>
        <v>7.0532782470365527E-2</v>
      </c>
      <c r="M37" s="3">
        <f t="shared" si="28"/>
        <v>7.0532782470362973E-2</v>
      </c>
      <c r="N37" s="3">
        <f t="shared" si="28"/>
        <v>7.0532782470337535E-2</v>
      </c>
      <c r="O37" s="3">
        <f t="shared" si="28"/>
        <v>7.05327824700831E-2</v>
      </c>
      <c r="P37" s="3">
        <f t="shared" si="27"/>
        <v>7.0532782467538774E-2</v>
      </c>
      <c r="Q37" s="3">
        <f t="shared" si="27"/>
        <v>7.0532782442095432E-2</v>
      </c>
      <c r="R37" s="3">
        <f t="shared" si="27"/>
        <v>7.0532782187662055E-2</v>
      </c>
      <c r="S37" s="3">
        <f t="shared" si="27"/>
        <v>7.0532779643328394E-2</v>
      </c>
      <c r="T37" s="3">
        <f t="shared" si="27"/>
        <v>7.0532754199996814E-2</v>
      </c>
      <c r="U37" s="3">
        <f t="shared" si="27"/>
        <v>7.0532499767185772E-2</v>
      </c>
      <c r="V37" s="3">
        <f t="shared" si="27"/>
        <v>7.0529955489554652E-2</v>
      </c>
      <c r="W37" s="3">
        <f t="shared" si="27"/>
        <v>7.0504517760500415E-2</v>
      </c>
      <c r="X37" s="3">
        <f t="shared" si="27"/>
        <v>7.0250644522644401E-2</v>
      </c>
      <c r="Y37" s="3">
        <f t="shared" si="27"/>
        <v>6.7761651094007835E-2</v>
      </c>
      <c r="Z37" s="3">
        <f t="shared" si="27"/>
        <v>4.7241169923258115E-2</v>
      </c>
      <c r="AA37" s="3">
        <f t="shared" si="27"/>
        <v>1.2814075902035217E-3</v>
      </c>
      <c r="AB37" s="3">
        <f t="shared" si="27"/>
        <v>2.762827499752134E-19</v>
      </c>
      <c r="AC37" s="3">
        <f t="shared" si="27"/>
        <v>5.9981669528162298E-176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4.4096603093902134E-2</v>
      </c>
      <c r="C38" s="18">
        <f t="shared" si="3"/>
        <v>3.5919956978906278E-2</v>
      </c>
      <c r="D38" s="17"/>
      <c r="F38" s="3">
        <f t="shared" si="28"/>
        <v>3.5919956978906278E-2</v>
      </c>
      <c r="G38" s="3">
        <f t="shared" si="28"/>
        <v>3.5919956978906278E-2</v>
      </c>
      <c r="H38" s="3">
        <f t="shared" si="28"/>
        <v>3.5919956978906278E-2</v>
      </c>
      <c r="I38" s="3">
        <f t="shared" si="28"/>
        <v>3.5919956978906278E-2</v>
      </c>
      <c r="J38" s="3">
        <f t="shared" si="28"/>
        <v>3.5919956978906278E-2</v>
      </c>
      <c r="K38" s="3">
        <f t="shared" si="28"/>
        <v>3.5919956978906278E-2</v>
      </c>
      <c r="L38" s="3">
        <f t="shared" si="28"/>
        <v>3.5919956978906264E-2</v>
      </c>
      <c r="M38" s="3">
        <f t="shared" si="28"/>
        <v>3.5919956978906147E-2</v>
      </c>
      <c r="N38" s="3">
        <f t="shared" si="28"/>
        <v>3.5919956978904981E-2</v>
      </c>
      <c r="O38" s="3">
        <f t="shared" si="28"/>
        <v>3.5919956978893289E-2</v>
      </c>
      <c r="P38" s="3">
        <f t="shared" si="27"/>
        <v>3.5919956978776403E-2</v>
      </c>
      <c r="Q38" s="3">
        <f t="shared" si="27"/>
        <v>3.5919956977607539E-2</v>
      </c>
      <c r="R38" s="3">
        <f t="shared" si="27"/>
        <v>3.5919956965918855E-2</v>
      </c>
      <c r="S38" s="3">
        <f t="shared" si="27"/>
        <v>3.5919956849032056E-2</v>
      </c>
      <c r="T38" s="3">
        <f t="shared" si="27"/>
        <v>3.5919955680164123E-2</v>
      </c>
      <c r="U38" s="3">
        <f t="shared" si="27"/>
        <v>3.5919943991486812E-2</v>
      </c>
      <c r="V38" s="3">
        <f t="shared" si="27"/>
        <v>3.5919827104922926E-2</v>
      </c>
      <c r="W38" s="3">
        <f t="shared" si="27"/>
        <v>3.5918658260203594E-2</v>
      </c>
      <c r="X38" s="3">
        <f t="shared" si="27"/>
        <v>3.5906971904711683E-2</v>
      </c>
      <c r="Y38" s="3">
        <f t="shared" si="27"/>
        <v>3.5790317268311583E-2</v>
      </c>
      <c r="Z38" s="3">
        <f t="shared" si="27"/>
        <v>3.4644413389936936E-2</v>
      </c>
      <c r="AA38" s="3">
        <f t="shared" si="27"/>
        <v>2.5021298881523782E-2</v>
      </c>
      <c r="AB38" s="3">
        <f t="shared" si="27"/>
        <v>9.6622047341729436E-4</v>
      </c>
      <c r="AC38" s="3">
        <f t="shared" si="27"/>
        <v>7.1242653256007687E-18</v>
      </c>
      <c r="AD38" s="3">
        <f t="shared" si="27"/>
        <v>3.383596620676093E-159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8.1258070667654281E-2</v>
      </c>
      <c r="C39" s="18">
        <f t="shared" si="3"/>
        <v>6.619073120792586E-2</v>
      </c>
      <c r="D39" s="17"/>
      <c r="F39" s="3">
        <f t="shared" si="28"/>
        <v>6.619073120792586E-2</v>
      </c>
      <c r="G39" s="3">
        <f t="shared" si="28"/>
        <v>6.619073120792586E-2</v>
      </c>
      <c r="H39" s="3">
        <f t="shared" si="28"/>
        <v>6.619073120792586E-2</v>
      </c>
      <c r="I39" s="3">
        <f t="shared" si="28"/>
        <v>6.619073120792586E-2</v>
      </c>
      <c r="J39" s="3">
        <f t="shared" si="28"/>
        <v>6.619073120792586E-2</v>
      </c>
      <c r="K39" s="3">
        <f t="shared" si="28"/>
        <v>6.619073120792586E-2</v>
      </c>
      <c r="L39" s="3">
        <f t="shared" si="28"/>
        <v>6.6190731207925846E-2</v>
      </c>
      <c r="M39" s="3">
        <f t="shared" si="28"/>
        <v>6.619073120792579E-2</v>
      </c>
      <c r="N39" s="3">
        <f t="shared" si="28"/>
        <v>6.6190731207925194E-2</v>
      </c>
      <c r="O39" s="3">
        <f t="shared" si="28"/>
        <v>6.619073120791924E-2</v>
      </c>
      <c r="P39" s="3">
        <f t="shared" si="27"/>
        <v>6.6190731207859677E-2</v>
      </c>
      <c r="Q39" s="3">
        <f t="shared" si="27"/>
        <v>6.6190731207263959E-2</v>
      </c>
      <c r="R39" s="3">
        <f t="shared" si="27"/>
        <v>6.6190731201306779E-2</v>
      </c>
      <c r="S39" s="3">
        <f t="shared" si="27"/>
        <v>6.6190731141735126E-2</v>
      </c>
      <c r="T39" s="3">
        <f t="shared" si="27"/>
        <v>6.6190730546018553E-2</v>
      </c>
      <c r="U39" s="3">
        <f t="shared" si="27"/>
        <v>6.619072458885307E-2</v>
      </c>
      <c r="V39" s="3">
        <f t="shared" si="27"/>
        <v>6.6190665017227743E-2</v>
      </c>
      <c r="W39" s="3">
        <f t="shared" si="27"/>
        <v>6.6190069303923307E-2</v>
      </c>
      <c r="X39" s="3">
        <f t="shared" si="27"/>
        <v>6.6184112465747694E-2</v>
      </c>
      <c r="Y39" s="3">
        <f t="shared" si="27"/>
        <v>6.6124573561054514E-2</v>
      </c>
      <c r="Z39" s="3">
        <f t="shared" si="27"/>
        <v>6.5532122428142867E-2</v>
      </c>
      <c r="AA39" s="3">
        <f t="shared" si="27"/>
        <v>5.989185032409184E-2</v>
      </c>
      <c r="AB39" s="3">
        <f t="shared" si="27"/>
        <v>2.4350209207500913E-2</v>
      </c>
      <c r="AC39" s="3">
        <f t="shared" si="27"/>
        <v>3.0050545477673481E-6</v>
      </c>
      <c r="AD39" s="3">
        <f t="shared" si="27"/>
        <v>2.462345490018576E-45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9.545658842081714E-2</v>
      </c>
      <c r="C40" s="18">
        <f t="shared" si="3"/>
        <v>7.7756478024563841E-2</v>
      </c>
      <c r="D40" s="17"/>
      <c r="F40" s="3">
        <f t="shared" si="28"/>
        <v>7.7756478024563841E-2</v>
      </c>
      <c r="G40" s="3">
        <f t="shared" si="28"/>
        <v>7.7756478024563841E-2</v>
      </c>
      <c r="H40" s="3">
        <f t="shared" si="28"/>
        <v>7.7756478024563841E-2</v>
      </c>
      <c r="I40" s="3">
        <f t="shared" si="28"/>
        <v>7.7756478024563841E-2</v>
      </c>
      <c r="J40" s="3">
        <f t="shared" si="28"/>
        <v>7.7756478024563841E-2</v>
      </c>
      <c r="K40" s="3">
        <f t="shared" si="28"/>
        <v>7.7756478024563841E-2</v>
      </c>
      <c r="L40" s="3">
        <f t="shared" si="28"/>
        <v>7.7756478024563841E-2</v>
      </c>
      <c r="M40" s="3">
        <f t="shared" si="28"/>
        <v>7.7756478024563827E-2</v>
      </c>
      <c r="N40" s="3">
        <f t="shared" si="28"/>
        <v>7.7756478024563758E-2</v>
      </c>
      <c r="O40" s="3">
        <f t="shared" si="28"/>
        <v>7.7756478024563064E-2</v>
      </c>
      <c r="P40" s="3">
        <f t="shared" si="27"/>
        <v>7.7756478024556069E-2</v>
      </c>
      <c r="Q40" s="3">
        <f t="shared" si="27"/>
        <v>7.7756478024486084E-2</v>
      </c>
      <c r="R40" s="3">
        <f t="shared" si="27"/>
        <v>7.7756478023786282E-2</v>
      </c>
      <c r="S40" s="3">
        <f t="shared" si="27"/>
        <v>7.7756478016788186E-2</v>
      </c>
      <c r="T40" s="3">
        <f t="shared" si="27"/>
        <v>7.7756477946807359E-2</v>
      </c>
      <c r="U40" s="3">
        <f t="shared" si="27"/>
        <v>7.7756477246999064E-2</v>
      </c>
      <c r="V40" s="3">
        <f t="shared" si="27"/>
        <v>7.7756470248916437E-2</v>
      </c>
      <c r="W40" s="3">
        <f t="shared" si="27"/>
        <v>7.7756400268124692E-2</v>
      </c>
      <c r="X40" s="3">
        <f t="shared" si="27"/>
        <v>7.7755700463671404E-2</v>
      </c>
      <c r="Y40" s="3">
        <f t="shared" si="27"/>
        <v>7.7748702765530822E-2</v>
      </c>
      <c r="Z40" s="3">
        <f t="shared" si="27"/>
        <v>7.7678760411822118E-2</v>
      </c>
      <c r="AA40" s="3">
        <f t="shared" si="27"/>
        <v>7.6982788141140276E-2</v>
      </c>
      <c r="AB40" s="3">
        <f t="shared" si="27"/>
        <v>7.0356970811316172E-2</v>
      </c>
      <c r="AC40" s="3">
        <f t="shared" si="27"/>
        <v>2.8605009683136083E-2</v>
      </c>
      <c r="AD40" s="3">
        <f t="shared" si="27"/>
        <v>3.5301386408933956E-6</v>
      </c>
      <c r="AE40" s="3">
        <f t="shared" si="27"/>
        <v>2.8926000587917201E-45</v>
      </c>
      <c r="AF40" s="3">
        <f t="shared" si="29"/>
        <v>0</v>
      </c>
      <c r="AG40" s="3">
        <f t="shared" si="29"/>
        <v>0</v>
      </c>
      <c r="AH40" s="3">
        <f t="shared" si="29"/>
        <v>0</v>
      </c>
      <c r="AI40" s="3">
        <f t="shared" si="29"/>
        <v>0</v>
      </c>
      <c r="AJ40" s="3">
        <f t="shared" si="29"/>
        <v>0</v>
      </c>
    </row>
    <row r="41" spans="1:36" x14ac:dyDescent="0.25">
      <c r="A41" s="3">
        <f t="shared" si="30"/>
        <v>1000000000</v>
      </c>
      <c r="B41" s="106">
        <v>0.10358758254240094</v>
      </c>
      <c r="C41" s="18">
        <f t="shared" si="3"/>
        <v>8.4379776386596134E-2</v>
      </c>
      <c r="D41" s="17"/>
      <c r="F41" s="3">
        <f t="shared" si="28"/>
        <v>8.4379776386596134E-2</v>
      </c>
      <c r="G41" s="3">
        <f t="shared" si="28"/>
        <v>8.4379776386596134E-2</v>
      </c>
      <c r="H41" s="3">
        <f t="shared" si="28"/>
        <v>8.4379776386596134E-2</v>
      </c>
      <c r="I41" s="3">
        <f t="shared" si="28"/>
        <v>8.4379776386596134E-2</v>
      </c>
      <c r="J41" s="3">
        <f t="shared" si="28"/>
        <v>8.4379776386596134E-2</v>
      </c>
      <c r="K41" s="3">
        <f t="shared" si="28"/>
        <v>8.4379776386596134E-2</v>
      </c>
      <c r="L41" s="3">
        <f t="shared" si="28"/>
        <v>8.4379776386596134E-2</v>
      </c>
      <c r="M41" s="3">
        <f t="shared" si="28"/>
        <v>8.4379776386596134E-2</v>
      </c>
      <c r="N41" s="3">
        <f t="shared" si="28"/>
        <v>8.437977638659612E-2</v>
      </c>
      <c r="O41" s="3">
        <f t="shared" si="28"/>
        <v>8.437977638659605E-2</v>
      </c>
      <c r="P41" s="3">
        <f t="shared" si="27"/>
        <v>8.4379776386595287E-2</v>
      </c>
      <c r="Q41" s="3">
        <f t="shared" si="27"/>
        <v>8.4379776386587696E-2</v>
      </c>
      <c r="R41" s="3">
        <f t="shared" si="27"/>
        <v>8.4379776386511757E-2</v>
      </c>
      <c r="S41" s="3">
        <f t="shared" si="27"/>
        <v>8.4379776385752336E-2</v>
      </c>
      <c r="T41" s="3">
        <f t="shared" si="27"/>
        <v>8.4379776378158161E-2</v>
      </c>
      <c r="U41" s="3">
        <f t="shared" si="27"/>
        <v>8.4379776302216353E-2</v>
      </c>
      <c r="V41" s="3">
        <f t="shared" si="27"/>
        <v>8.437977554279838E-2</v>
      </c>
      <c r="W41" s="3">
        <f t="shared" si="27"/>
        <v>8.4379767948618928E-2</v>
      </c>
      <c r="X41" s="3">
        <f t="shared" si="27"/>
        <v>8.4379692006861934E-2</v>
      </c>
      <c r="Y41" s="3">
        <f t="shared" si="27"/>
        <v>8.4378932593051237E-2</v>
      </c>
      <c r="Z41" s="3">
        <f t="shared" si="27"/>
        <v>8.4371338830842288E-2</v>
      </c>
      <c r="AA41" s="3">
        <f t="shared" si="27"/>
        <v>8.4295438786037957E-2</v>
      </c>
      <c r="AB41" s="3">
        <f t="shared" si="27"/>
        <v>8.3540183583341476E-2</v>
      </c>
      <c r="AC41" s="3">
        <f t="shared" si="27"/>
        <v>7.6349979000099266E-2</v>
      </c>
      <c r="AD41" s="3">
        <f t="shared" si="27"/>
        <v>3.1041584983272252E-2</v>
      </c>
      <c r="AE41" s="3">
        <f t="shared" si="27"/>
        <v>3.8308359213256427E-6</v>
      </c>
      <c r="AF41" s="3">
        <f t="shared" si="29"/>
        <v>3.1389917899778653E-45</v>
      </c>
      <c r="AG41" s="3">
        <f t="shared" si="29"/>
        <v>0</v>
      </c>
      <c r="AH41" s="3">
        <f t="shared" si="29"/>
        <v>0</v>
      </c>
      <c r="AI41" s="3">
        <f t="shared" si="29"/>
        <v>0</v>
      </c>
      <c r="AJ41" s="3">
        <f t="shared" si="29"/>
        <v>0</v>
      </c>
    </row>
    <row r="42" spans="1:36" x14ac:dyDescent="0.25">
      <c r="A42" s="3">
        <f t="shared" si="30"/>
        <v>10000000000</v>
      </c>
      <c r="B42" s="106">
        <v>0.12082171191376664</v>
      </c>
      <c r="C42" s="18">
        <f t="shared" si="3"/>
        <v>9.8418254231933067E-2</v>
      </c>
      <c r="D42" s="17"/>
      <c r="F42" s="3">
        <f t="shared" si="28"/>
        <v>9.8418254231933067E-2</v>
      </c>
      <c r="G42" s="3">
        <f t="shared" si="28"/>
        <v>9.8418254231933067E-2</v>
      </c>
      <c r="H42" s="3">
        <f t="shared" si="28"/>
        <v>9.8418254231933067E-2</v>
      </c>
      <c r="I42" s="3">
        <f t="shared" si="28"/>
        <v>9.8418254231933067E-2</v>
      </c>
      <c r="J42" s="3">
        <f t="shared" si="28"/>
        <v>9.8418254231933067E-2</v>
      </c>
      <c r="K42" s="3">
        <f t="shared" si="28"/>
        <v>9.8418254231933067E-2</v>
      </c>
      <c r="L42" s="3">
        <f t="shared" si="28"/>
        <v>9.8418254231933067E-2</v>
      </c>
      <c r="M42" s="3">
        <f t="shared" si="28"/>
        <v>9.8418254231933067E-2</v>
      </c>
      <c r="N42" s="3">
        <f t="shared" si="28"/>
        <v>9.8418254231933067E-2</v>
      </c>
      <c r="O42" s="3">
        <f t="shared" si="28"/>
        <v>9.8418254231933053E-2</v>
      </c>
      <c r="P42" s="3">
        <f t="shared" si="27"/>
        <v>9.841825423193297E-2</v>
      </c>
      <c r="Q42" s="3">
        <f t="shared" si="27"/>
        <v>9.8418254231932081E-2</v>
      </c>
      <c r="R42" s="3">
        <f t="shared" si="27"/>
        <v>9.8418254231923227E-2</v>
      </c>
      <c r="S42" s="3">
        <f t="shared" si="27"/>
        <v>9.8418254231834645E-2</v>
      </c>
      <c r="T42" s="3">
        <f t="shared" si="27"/>
        <v>9.8418254230948882E-2</v>
      </c>
      <c r="U42" s="3">
        <f t="shared" si="27"/>
        <v>9.8418254222091245E-2</v>
      </c>
      <c r="V42" s="3">
        <f t="shared" si="27"/>
        <v>9.8418254133514821E-2</v>
      </c>
      <c r="W42" s="3">
        <f t="shared" si="27"/>
        <v>9.8418253247750526E-2</v>
      </c>
      <c r="X42" s="3">
        <f t="shared" si="27"/>
        <v>9.8418244390108142E-2</v>
      </c>
      <c r="Y42" s="3">
        <f t="shared" si="27"/>
        <v>9.841815581372805E-2</v>
      </c>
      <c r="Z42" s="3">
        <f t="shared" si="27"/>
        <v>9.841727005431164E-2</v>
      </c>
      <c r="AA42" s="3">
        <f t="shared" si="27"/>
        <v>9.8408412898584735E-2</v>
      </c>
      <c r="AB42" s="3">
        <f t="shared" si="27"/>
        <v>9.8319885170429305E-2</v>
      </c>
      <c r="AC42" s="3">
        <f t="shared" si="27"/>
        <v>9.7438976240208697E-2</v>
      </c>
      <c r="AD42" s="3">
        <f t="shared" si="27"/>
        <v>8.9052519046828968E-2</v>
      </c>
      <c r="AE42" s="3">
        <f t="shared" si="27"/>
        <v>3.6206052367912474E-2</v>
      </c>
      <c r="AF42" s="3">
        <f t="shared" si="29"/>
        <v>4.4681818294761391E-6</v>
      </c>
      <c r="AG42" s="3">
        <f t="shared" si="29"/>
        <v>3.661233831701252E-45</v>
      </c>
      <c r="AH42" s="3">
        <f t="shared" si="29"/>
        <v>0</v>
      </c>
      <c r="AI42" s="3">
        <f t="shared" si="29"/>
        <v>0</v>
      </c>
      <c r="AJ42" s="3">
        <f t="shared" si="29"/>
        <v>0</v>
      </c>
    </row>
    <row r="43" spans="1:36" x14ac:dyDescent="0.25">
      <c r="A43" s="3">
        <f t="shared" si="30"/>
        <v>100000000000</v>
      </c>
      <c r="B43" s="106">
        <v>7.2356981747547788E-2</v>
      </c>
      <c r="C43" s="18">
        <f t="shared" si="3"/>
        <v>5.8940133460185569E-2</v>
      </c>
      <c r="D43" s="17"/>
      <c r="F43" s="3">
        <f t="shared" si="28"/>
        <v>5.8940133460185569E-2</v>
      </c>
      <c r="G43" s="3">
        <f t="shared" si="28"/>
        <v>5.8940133460185569E-2</v>
      </c>
      <c r="H43" s="3">
        <f t="shared" si="28"/>
        <v>5.8940133460185569E-2</v>
      </c>
      <c r="I43" s="3">
        <f t="shared" si="28"/>
        <v>5.8940133460185569E-2</v>
      </c>
      <c r="J43" s="3">
        <f t="shared" si="28"/>
        <v>5.8940133460185569E-2</v>
      </c>
      <c r="K43" s="3">
        <f t="shared" si="28"/>
        <v>5.8940133460185569E-2</v>
      </c>
      <c r="L43" s="3">
        <f t="shared" si="28"/>
        <v>5.8940133460185569E-2</v>
      </c>
      <c r="M43" s="3">
        <f t="shared" si="28"/>
        <v>5.8940133460185569E-2</v>
      </c>
      <c r="N43" s="3">
        <f t="shared" si="28"/>
        <v>5.8940133460185569E-2</v>
      </c>
      <c r="O43" s="3">
        <f t="shared" si="28"/>
        <v>5.8940133460185569E-2</v>
      </c>
      <c r="P43" s="3">
        <f t="shared" si="27"/>
        <v>5.8940133460185562E-2</v>
      </c>
      <c r="Q43" s="3">
        <f t="shared" si="27"/>
        <v>5.8940133460185513E-2</v>
      </c>
      <c r="R43" s="3">
        <f t="shared" si="27"/>
        <v>5.8940133460184979E-2</v>
      </c>
      <c r="S43" s="3">
        <f t="shared" si="27"/>
        <v>5.8940133460179671E-2</v>
      </c>
      <c r="T43" s="3">
        <f t="shared" si="27"/>
        <v>5.894013346012663E-2</v>
      </c>
      <c r="U43" s="3">
        <f t="shared" si="27"/>
        <v>5.8940133459596165E-2</v>
      </c>
      <c r="V43" s="3">
        <f t="shared" si="27"/>
        <v>5.8940133454291554E-2</v>
      </c>
      <c r="W43" s="3">
        <f t="shared" si="27"/>
        <v>5.8940133401245438E-2</v>
      </c>
      <c r="X43" s="3">
        <f t="shared" si="27"/>
        <v>5.8940132870784236E-2</v>
      </c>
      <c r="Y43" s="3">
        <f t="shared" si="27"/>
        <v>5.894012756617252E-2</v>
      </c>
      <c r="Z43" s="3">
        <f t="shared" si="27"/>
        <v>5.8940074520081577E-2</v>
      </c>
      <c r="AA43" s="3">
        <f t="shared" si="27"/>
        <v>5.8939544061797966E-2</v>
      </c>
      <c r="AB43" s="3">
        <f t="shared" si="27"/>
        <v>5.8934239741530392E-2</v>
      </c>
      <c r="AC43" s="3">
        <f t="shared" si="27"/>
        <v>5.8881222786971214E-2</v>
      </c>
      <c r="AD43" s="3">
        <f t="shared" si="27"/>
        <v>5.8353669333410504E-2</v>
      </c>
      <c r="AE43" s="3">
        <f t="shared" si="27"/>
        <v>5.3331238178809172E-2</v>
      </c>
      <c r="AF43" s="3">
        <f t="shared" si="29"/>
        <v>2.1682863359903298E-2</v>
      </c>
      <c r="AG43" s="3">
        <f t="shared" si="29"/>
        <v>2.6758779192839082E-6</v>
      </c>
      <c r="AH43" s="3">
        <f t="shared" si="29"/>
        <v>2.1926177450869816E-45</v>
      </c>
      <c r="AI43" s="3">
        <f t="shared" si="29"/>
        <v>0</v>
      </c>
      <c r="AJ43" s="3">
        <f t="shared" si="29"/>
        <v>0</v>
      </c>
    </row>
    <row r="44" spans="1:36" x14ac:dyDescent="0.25">
      <c r="A44" s="3">
        <f t="shared" si="30"/>
        <v>1000000000000</v>
      </c>
      <c r="B44" s="106">
        <v>5.1890668064946702E-2</v>
      </c>
      <c r="C44" s="18">
        <f t="shared" si="3"/>
        <v>4.2268801533997091E-2</v>
      </c>
      <c r="D44" s="17"/>
      <c r="F44" s="3">
        <f t="shared" si="28"/>
        <v>4.2268801533997091E-2</v>
      </c>
      <c r="G44" s="3">
        <f t="shared" si="28"/>
        <v>4.2268801533997091E-2</v>
      </c>
      <c r="H44" s="3">
        <f t="shared" si="28"/>
        <v>4.2268801533997091E-2</v>
      </c>
      <c r="I44" s="3">
        <f t="shared" si="28"/>
        <v>4.2268801533997091E-2</v>
      </c>
      <c r="J44" s="3">
        <f t="shared" si="28"/>
        <v>4.2268801533997091E-2</v>
      </c>
      <c r="K44" s="3">
        <f t="shared" si="28"/>
        <v>4.2268801533997091E-2</v>
      </c>
      <c r="L44" s="3">
        <f t="shared" si="28"/>
        <v>4.2268801533997091E-2</v>
      </c>
      <c r="M44" s="3">
        <f t="shared" si="28"/>
        <v>4.2268801533997091E-2</v>
      </c>
      <c r="N44" s="3">
        <f t="shared" si="28"/>
        <v>4.2268801533997091E-2</v>
      </c>
      <c r="O44" s="3">
        <f t="shared" si="28"/>
        <v>4.2268801533997091E-2</v>
      </c>
      <c r="P44" s="3">
        <f t="shared" si="27"/>
        <v>4.2268801533997091E-2</v>
      </c>
      <c r="Q44" s="3">
        <f t="shared" si="27"/>
        <v>4.2268801533997084E-2</v>
      </c>
      <c r="R44" s="3">
        <f t="shared" si="27"/>
        <v>4.226880153399705E-2</v>
      </c>
      <c r="S44" s="3">
        <f t="shared" si="27"/>
        <v>4.2268801533996668E-2</v>
      </c>
      <c r="T44" s="3">
        <f t="shared" si="27"/>
        <v>4.2268801533992865E-2</v>
      </c>
      <c r="U44" s="3">
        <f t="shared" si="27"/>
        <v>4.2268801533954826E-2</v>
      </c>
      <c r="V44" s="3">
        <f t="shared" si="27"/>
        <v>4.2268801533574402E-2</v>
      </c>
      <c r="W44" s="3">
        <f t="shared" si="27"/>
        <v>4.2268801529770209E-2</v>
      </c>
      <c r="X44" s="3">
        <f t="shared" si="27"/>
        <v>4.2268801491728292E-2</v>
      </c>
      <c r="Y44" s="3">
        <f t="shared" si="27"/>
        <v>4.2268801111309082E-2</v>
      </c>
      <c r="Z44" s="3">
        <f t="shared" si="27"/>
        <v>4.2268797307117148E-2</v>
      </c>
      <c r="AA44" s="3">
        <f t="shared" si="27"/>
        <v>4.2268759265216692E-2</v>
      </c>
      <c r="AB44" s="3">
        <f t="shared" si="27"/>
        <v>4.2268378848095187E-2</v>
      </c>
      <c r="AC44" s="3">
        <f t="shared" si="27"/>
        <v>4.2264574865180655E-2</v>
      </c>
      <c r="AD44" s="3">
        <f t="shared" si="27"/>
        <v>4.2226553859820826E-2</v>
      </c>
      <c r="AE44" s="3">
        <f t="shared" si="27"/>
        <v>4.1848219931510403E-2</v>
      </c>
      <c r="AF44" s="3">
        <f t="shared" si="29"/>
        <v>3.8246393243496331E-2</v>
      </c>
      <c r="AG44" s="3">
        <f t="shared" si="29"/>
        <v>1.5549823087313454E-2</v>
      </c>
      <c r="AH44" s="3">
        <f t="shared" si="29"/>
        <v>1.9190006207878799E-6</v>
      </c>
      <c r="AI44" s="3">
        <f t="shared" si="29"/>
        <v>1.5724315312181526E-45</v>
      </c>
      <c r="AJ44" s="3">
        <f t="shared" si="29"/>
        <v>0</v>
      </c>
    </row>
    <row r="45" spans="1:36" x14ac:dyDescent="0.25">
      <c r="A45" s="3">
        <f t="shared" si="30"/>
        <v>10000000000000</v>
      </c>
      <c r="B45" s="106">
        <v>2.4972884677152037E-2</v>
      </c>
      <c r="C45" s="18">
        <f t="shared" si="3"/>
        <v>2.0342268571851365E-2</v>
      </c>
      <c r="D45" s="17"/>
      <c r="F45" s="3">
        <f t="shared" si="28"/>
        <v>2.0342268571851365E-2</v>
      </c>
      <c r="G45" s="3">
        <f t="shared" si="28"/>
        <v>2.0342268571851365E-2</v>
      </c>
      <c r="H45" s="3">
        <f t="shared" si="28"/>
        <v>2.0342268571851365E-2</v>
      </c>
      <c r="I45" s="3">
        <f t="shared" si="28"/>
        <v>2.0342268571851365E-2</v>
      </c>
      <c r="J45" s="3">
        <f t="shared" si="28"/>
        <v>2.0342268571851365E-2</v>
      </c>
      <c r="K45" s="3">
        <f t="shared" si="28"/>
        <v>2.0342268571851365E-2</v>
      </c>
      <c r="L45" s="3">
        <f t="shared" si="28"/>
        <v>2.0342268571851365E-2</v>
      </c>
      <c r="M45" s="3">
        <f t="shared" si="28"/>
        <v>2.0342268571851365E-2</v>
      </c>
      <c r="N45" s="3">
        <f t="shared" si="28"/>
        <v>2.0342268571851365E-2</v>
      </c>
      <c r="O45" s="3">
        <f t="shared" si="28"/>
        <v>2.0342268571851365E-2</v>
      </c>
      <c r="P45" s="3">
        <f t="shared" si="27"/>
        <v>2.0342268571851365E-2</v>
      </c>
      <c r="Q45" s="3">
        <f t="shared" si="27"/>
        <v>2.0342268571851365E-2</v>
      </c>
      <c r="R45" s="3">
        <f t="shared" si="27"/>
        <v>2.0342268571851362E-2</v>
      </c>
      <c r="S45" s="3">
        <f t="shared" si="27"/>
        <v>2.0342268571851344E-2</v>
      </c>
      <c r="T45" s="3">
        <f t="shared" si="27"/>
        <v>2.034226857185116E-2</v>
      </c>
      <c r="U45" s="3">
        <f t="shared" si="27"/>
        <v>2.0342268571849328E-2</v>
      </c>
      <c r="V45" s="3">
        <f t="shared" si="27"/>
        <v>2.0342268571831024E-2</v>
      </c>
      <c r="W45" s="3">
        <f t="shared" si="27"/>
        <v>2.0342268571647941E-2</v>
      </c>
      <c r="X45" s="3">
        <f t="shared" si="27"/>
        <v>2.0342268569817138E-2</v>
      </c>
      <c r="Y45" s="3">
        <f t="shared" si="27"/>
        <v>2.0342268551509095E-2</v>
      </c>
      <c r="Z45" s="3">
        <f t="shared" si="27"/>
        <v>2.034226836842868E-2</v>
      </c>
      <c r="AA45" s="3">
        <f t="shared" si="27"/>
        <v>2.0342266537624609E-2</v>
      </c>
      <c r="AB45" s="3">
        <f t="shared" si="27"/>
        <v>2.0342248229592963E-2</v>
      </c>
      <c r="AC45" s="3">
        <f t="shared" si="27"/>
        <v>2.0342065150182758E-2</v>
      </c>
      <c r="AD45" s="3">
        <f t="shared" si="27"/>
        <v>2.0340234446702132E-2</v>
      </c>
      <c r="AE45" s="3">
        <f t="shared" si="27"/>
        <v>2.032193647102427E-2</v>
      </c>
      <c r="AF45" s="3">
        <f t="shared" si="29"/>
        <v>2.0139859617642371E-2</v>
      </c>
      <c r="AG45" s="3">
        <f t="shared" si="29"/>
        <v>1.8406445771548034E-2</v>
      </c>
      <c r="AH45" s="3">
        <f t="shared" si="29"/>
        <v>7.4835023943720744E-3</v>
      </c>
      <c r="AI45" s="3">
        <f t="shared" si="29"/>
        <v>9.2353756437165511E-7</v>
      </c>
      <c r="AJ45" s="3">
        <f t="shared" si="29"/>
        <v>7.5674784611907954E-46</v>
      </c>
    </row>
    <row r="46" spans="1:36" x14ac:dyDescent="0.25">
      <c r="A46" s="3">
        <f t="shared" si="30"/>
        <v>100000000000000</v>
      </c>
      <c r="B46" s="106">
        <v>7.2640275674213019E-3</v>
      </c>
      <c r="C46" s="18">
        <f t="shared" si="3"/>
        <v>5.9170897395369676E-3</v>
      </c>
      <c r="D46" s="17"/>
      <c r="F46" s="3">
        <f t="shared" si="28"/>
        <v>5.9170897395369676E-3</v>
      </c>
      <c r="G46" s="3">
        <f t="shared" si="28"/>
        <v>5.9170897395369676E-3</v>
      </c>
      <c r="H46" s="3">
        <f t="shared" si="28"/>
        <v>5.9170897395369676E-3</v>
      </c>
      <c r="I46" s="3">
        <f t="shared" si="28"/>
        <v>5.9170897395369676E-3</v>
      </c>
      <c r="J46" s="3">
        <f t="shared" si="28"/>
        <v>5.9170897395369676E-3</v>
      </c>
      <c r="K46" s="3">
        <f t="shared" si="28"/>
        <v>5.9170897395369676E-3</v>
      </c>
      <c r="L46" s="3">
        <f t="shared" si="28"/>
        <v>5.9170897395369676E-3</v>
      </c>
      <c r="M46" s="3">
        <f t="shared" si="28"/>
        <v>5.9170897395369676E-3</v>
      </c>
      <c r="N46" s="3">
        <f t="shared" si="28"/>
        <v>5.9170897395369676E-3</v>
      </c>
      <c r="O46" s="3">
        <f t="shared" si="28"/>
        <v>5.9170897395369676E-3</v>
      </c>
      <c r="P46" s="3">
        <f t="shared" si="27"/>
        <v>5.9170897395369676E-3</v>
      </c>
      <c r="Q46" s="3">
        <f t="shared" si="27"/>
        <v>5.9170897395369676E-3</v>
      </c>
      <c r="R46" s="3">
        <f t="shared" si="27"/>
        <v>5.9170897395369676E-3</v>
      </c>
      <c r="S46" s="3">
        <f t="shared" si="27"/>
        <v>5.9170897395369668E-3</v>
      </c>
      <c r="T46" s="3">
        <f t="shared" si="27"/>
        <v>5.9170897395369616E-3</v>
      </c>
      <c r="U46" s="3">
        <f t="shared" si="27"/>
        <v>5.9170897395369087E-3</v>
      </c>
      <c r="V46" s="3">
        <f t="shared" si="27"/>
        <v>5.9170897395363761E-3</v>
      </c>
      <c r="W46" s="3">
        <f t="shared" si="27"/>
        <v>5.9170897395310505E-3</v>
      </c>
      <c r="X46" s="3">
        <f t="shared" si="27"/>
        <v>5.9170897394777971E-3</v>
      </c>
      <c r="Y46" s="3">
        <f t="shared" si="27"/>
        <v>5.9170897389452587E-3</v>
      </c>
      <c r="Z46" s="3">
        <f t="shared" si="27"/>
        <v>5.9170897336198779E-3</v>
      </c>
      <c r="AA46" s="3">
        <f t="shared" si="27"/>
        <v>5.9170896803660703E-3</v>
      </c>
      <c r="AB46" s="3">
        <f t="shared" si="27"/>
        <v>5.9170891478280236E-3</v>
      </c>
      <c r="AC46" s="3">
        <f t="shared" si="27"/>
        <v>5.917083822450187E-3</v>
      </c>
      <c r="AD46" s="3">
        <f t="shared" si="27"/>
        <v>5.9170305689354259E-3</v>
      </c>
      <c r="AE46" s="3">
        <f t="shared" si="27"/>
        <v>5.9164980601474765E-3</v>
      </c>
      <c r="AF46" s="3">
        <f t="shared" si="29"/>
        <v>5.9111756073563651E-3</v>
      </c>
      <c r="AG46" s="3">
        <f t="shared" si="29"/>
        <v>5.8582137129074832E-3</v>
      </c>
      <c r="AH46" s="3">
        <f t="shared" si="29"/>
        <v>5.3540042022096977E-3</v>
      </c>
      <c r="AI46" s="3">
        <f t="shared" si="29"/>
        <v>2.1767756667421347E-3</v>
      </c>
      <c r="AJ46" s="3">
        <f t="shared" si="29"/>
        <v>2.6863545857329815E-7</v>
      </c>
    </row>
    <row r="47" spans="1:36" x14ac:dyDescent="0.25">
      <c r="A47" s="3">
        <f t="shared" si="30"/>
        <v>1000000000000000</v>
      </c>
      <c r="B47" s="106">
        <v>2.6409268116502837E-5</v>
      </c>
      <c r="C47" s="18">
        <f t="shared" si="3"/>
        <v>2.1512309521192175E-5</v>
      </c>
      <c r="D47" s="17"/>
      <c r="F47" s="3">
        <f t="shared" si="28"/>
        <v>2.1512309521192175E-5</v>
      </c>
      <c r="G47" s="3">
        <f t="shared" si="28"/>
        <v>2.1512309521192175E-5</v>
      </c>
      <c r="H47" s="3">
        <f t="shared" si="28"/>
        <v>2.1512309521192175E-5</v>
      </c>
      <c r="I47" s="3">
        <f t="shared" si="28"/>
        <v>2.1512309521192175E-5</v>
      </c>
      <c r="J47" s="3">
        <f t="shared" si="28"/>
        <v>2.1512309521192175E-5</v>
      </c>
      <c r="K47" s="3">
        <f t="shared" si="28"/>
        <v>2.1512309521192175E-5</v>
      </c>
      <c r="L47" s="3">
        <f t="shared" si="28"/>
        <v>2.1512309521192175E-5</v>
      </c>
      <c r="M47" s="3">
        <f t="shared" si="28"/>
        <v>2.1512309521192175E-5</v>
      </c>
      <c r="N47" s="3">
        <f t="shared" si="28"/>
        <v>2.1512309521192175E-5</v>
      </c>
      <c r="O47" s="3">
        <f t="shared" si="28"/>
        <v>2.1512309521192175E-5</v>
      </c>
      <c r="P47" s="3">
        <f t="shared" si="27"/>
        <v>2.1512309521192175E-5</v>
      </c>
      <c r="Q47" s="3">
        <f t="shared" si="27"/>
        <v>2.1512309521192175E-5</v>
      </c>
      <c r="R47" s="3">
        <f t="shared" si="27"/>
        <v>2.1512309521192175E-5</v>
      </c>
      <c r="S47" s="3">
        <f t="shared" si="27"/>
        <v>2.1512309521192175E-5</v>
      </c>
      <c r="T47" s="3">
        <f t="shared" si="27"/>
        <v>2.1512309521192171E-5</v>
      </c>
      <c r="U47" s="3">
        <f t="shared" si="27"/>
        <v>2.1512309521192154E-5</v>
      </c>
      <c r="V47" s="3">
        <f t="shared" si="27"/>
        <v>2.1512309521191961E-5</v>
      </c>
      <c r="W47" s="3">
        <f t="shared" si="27"/>
        <v>2.1512309521190023E-5</v>
      </c>
      <c r="X47" s="3">
        <f t="shared" si="27"/>
        <v>2.1512309521170664E-5</v>
      </c>
      <c r="Y47" s="3">
        <f t="shared" si="27"/>
        <v>2.1512309520977052E-5</v>
      </c>
      <c r="Z47" s="3">
        <f t="shared" si="27"/>
        <v>2.1512309519040945E-5</v>
      </c>
      <c r="AA47" s="3">
        <f t="shared" si="27"/>
        <v>2.1512309499679866E-5</v>
      </c>
      <c r="AB47" s="3">
        <f t="shared" si="27"/>
        <v>2.1512309306069079E-5</v>
      </c>
      <c r="AC47" s="3">
        <f t="shared" si="27"/>
        <v>2.1512307369961331E-5</v>
      </c>
      <c r="AD47" s="3">
        <f t="shared" si="27"/>
        <v>2.151228800889341E-5</v>
      </c>
      <c r="AE47" s="3">
        <f t="shared" si="27"/>
        <v>2.1512094399172574E-5</v>
      </c>
      <c r="AF47" s="3">
        <f t="shared" si="29"/>
        <v>2.1510158397798017E-5</v>
      </c>
      <c r="AG47" s="3">
        <f t="shared" si="29"/>
        <v>2.1490807964241257E-5</v>
      </c>
      <c r="AH47" s="3">
        <f t="shared" si="29"/>
        <v>2.1298258465016959E-5</v>
      </c>
      <c r="AI47" s="3">
        <f t="shared" si="29"/>
        <v>1.9465142603145917E-5</v>
      </c>
      <c r="AJ47" s="3">
        <f t="shared" si="29"/>
        <v>7.9139364049632747E-6</v>
      </c>
    </row>
    <row r="48" spans="1:36" x14ac:dyDescent="0.25">
      <c r="A48" s="3">
        <f t="shared" si="30"/>
        <v>1E+16</v>
      </c>
      <c r="B48" s="106">
        <v>1.2723345352803886E-2</v>
      </c>
      <c r="C48" s="18">
        <f t="shared" si="3"/>
        <v>1.0364109378839697E-2</v>
      </c>
      <c r="D48" s="17"/>
      <c r="F48" s="3">
        <f t="shared" si="28"/>
        <v>1.0364109378839697E-2</v>
      </c>
      <c r="G48" s="3">
        <f t="shared" si="28"/>
        <v>1.0364109378839697E-2</v>
      </c>
      <c r="H48" s="3">
        <f t="shared" si="28"/>
        <v>1.0364109378839697E-2</v>
      </c>
      <c r="I48" s="3">
        <f t="shared" si="28"/>
        <v>1.0364109378839697E-2</v>
      </c>
      <c r="J48" s="3">
        <f t="shared" si="28"/>
        <v>1.0364109378839697E-2</v>
      </c>
      <c r="K48" s="3">
        <f t="shared" si="28"/>
        <v>1.0364109378839697E-2</v>
      </c>
      <c r="L48" s="3">
        <f t="shared" si="28"/>
        <v>1.0364109378839697E-2</v>
      </c>
      <c r="M48" s="3">
        <f t="shared" si="28"/>
        <v>1.0364109378839697E-2</v>
      </c>
      <c r="N48" s="3">
        <f t="shared" si="28"/>
        <v>1.0364109378839697E-2</v>
      </c>
      <c r="O48" s="3">
        <f t="shared" si="28"/>
        <v>1.0364109378839697E-2</v>
      </c>
      <c r="P48" s="3">
        <f t="shared" si="27"/>
        <v>1.0364109378839697E-2</v>
      </c>
      <c r="Q48" s="3">
        <f t="shared" si="27"/>
        <v>1.0364109378839697E-2</v>
      </c>
      <c r="R48" s="3">
        <f t="shared" si="27"/>
        <v>1.0364109378839697E-2</v>
      </c>
      <c r="S48" s="3">
        <f t="shared" si="27"/>
        <v>1.0364109378839697E-2</v>
      </c>
      <c r="T48" s="3">
        <f t="shared" si="27"/>
        <v>1.0364109378839697E-2</v>
      </c>
      <c r="U48" s="3">
        <f t="shared" si="27"/>
        <v>1.0364109378839696E-2</v>
      </c>
      <c r="V48" s="3">
        <f t="shared" si="27"/>
        <v>1.0364109378839687E-2</v>
      </c>
      <c r="W48" s="3">
        <f t="shared" si="27"/>
        <v>1.0364109378839593E-2</v>
      </c>
      <c r="X48" s="3">
        <f t="shared" si="27"/>
        <v>1.036410937883866E-2</v>
      </c>
      <c r="Y48" s="3">
        <f t="shared" si="27"/>
        <v>1.0364109378829334E-2</v>
      </c>
      <c r="Z48" s="3">
        <f t="shared" si="27"/>
        <v>1.0364109378736056E-2</v>
      </c>
      <c r="AA48" s="3">
        <f t="shared" si="27"/>
        <v>1.0364109377803287E-2</v>
      </c>
      <c r="AB48" s="3">
        <f t="shared" si="27"/>
        <v>1.0364109368475588E-2</v>
      </c>
      <c r="AC48" s="3">
        <f t="shared" si="27"/>
        <v>1.0364109275198603E-2</v>
      </c>
      <c r="AD48" s="3">
        <f t="shared" si="27"/>
        <v>1.0364108342428811E-2</v>
      </c>
      <c r="AE48" s="3">
        <f t="shared" si="27"/>
        <v>1.0364099014735501E-2</v>
      </c>
      <c r="AF48" s="3">
        <f t="shared" si="29"/>
        <v>1.0364005738264112E-2</v>
      </c>
      <c r="AG48" s="3">
        <f t="shared" si="29"/>
        <v>1.0363073019720634E-2</v>
      </c>
      <c r="AH48" s="3">
        <f t="shared" si="29"/>
        <v>1.0353750449788628E-2</v>
      </c>
      <c r="AI48" s="3">
        <f t="shared" si="29"/>
        <v>1.0260984767478436E-2</v>
      </c>
      <c r="AJ48" s="3">
        <f t="shared" si="29"/>
        <v>9.3778339705915831E-3</v>
      </c>
    </row>
    <row r="49" spans="1:36" x14ac:dyDescent="0.25">
      <c r="B49" s="16">
        <f>SUM(B17:B48)</f>
        <v>1.2276351867514075</v>
      </c>
      <c r="C49" s="18">
        <f>SUM(C17:C48)</f>
        <v>1</v>
      </c>
      <c r="F49" s="3">
        <f t="shared" ref="F49:AJ49" si="31">F16-F17</f>
        <v>-3.6683643966171076E-2</v>
      </c>
      <c r="G49" s="3">
        <f t="shared" si="31"/>
        <v>1.6664898156705021E-2</v>
      </c>
      <c r="H49" s="3">
        <f t="shared" si="31"/>
        <v>-1.6330315245795646E-2</v>
      </c>
      <c r="I49" s="3">
        <f t="shared" si="31"/>
        <v>-2.6141926588024944E-2</v>
      </c>
      <c r="J49" s="3">
        <f t="shared" si="31"/>
        <v>-2.9212428628852649E-2</v>
      </c>
      <c r="K49" s="3">
        <f t="shared" si="31"/>
        <v>-3.0088851507571235E-2</v>
      </c>
      <c r="L49" s="3">
        <f t="shared" si="31"/>
        <v>-3.039282166173507E-2</v>
      </c>
      <c r="M49" s="3">
        <f t="shared" si="31"/>
        <v>-2.8843358964877552E-2</v>
      </c>
      <c r="N49" s="3">
        <f t="shared" si="31"/>
        <v>-1.3027441807025752E-2</v>
      </c>
      <c r="O49" s="3">
        <f t="shared" si="31"/>
        <v>0.12667466101902392</v>
      </c>
      <c r="P49" s="3">
        <f t="shared" si="31"/>
        <v>0.24868165338557446</v>
      </c>
      <c r="Q49" s="3">
        <f t="shared" si="31"/>
        <v>-0.42926248354069685</v>
      </c>
      <c r="R49" s="3">
        <f t="shared" si="31"/>
        <v>0.533532887241563</v>
      </c>
      <c r="S49" s="3">
        <f t="shared" si="31"/>
        <v>-0.56223354314897733</v>
      </c>
      <c r="T49" s="3">
        <f t="shared" si="31"/>
        <v>0.5083574201535157</v>
      </c>
      <c r="U49" s="3">
        <f t="shared" si="31"/>
        <v>-0.39243014594649139</v>
      </c>
      <c r="V49" s="3">
        <f t="shared" si="31"/>
        <v>0.25965477774661849</v>
      </c>
      <c r="W49" s="3">
        <f t="shared" si="31"/>
        <v>-0.14778138903238869</v>
      </c>
      <c r="X49" s="3">
        <f t="shared" si="31"/>
        <v>7.2516474859185109E-2</v>
      </c>
      <c r="Y49" s="3">
        <f t="shared" si="31"/>
        <v>-3.2142657483291259E-2</v>
      </c>
      <c r="Z49" s="3">
        <f t="shared" si="31"/>
        <v>1.3368467461987166E-2</v>
      </c>
      <c r="AA49" s="3">
        <f t="shared" si="31"/>
        <v>-5.2336208573251497E-3</v>
      </c>
      <c r="AB49" s="3">
        <f t="shared" si="31"/>
        <v>4.7247367092495551E-5</v>
      </c>
      <c r="AC49" s="3">
        <f t="shared" si="31"/>
        <v>2.4349404225176841E-3</v>
      </c>
      <c r="AD49" s="3">
        <f t="shared" si="31"/>
        <v>-5.2335030768517754E-3</v>
      </c>
      <c r="AE49" s="3">
        <f t="shared" si="31"/>
        <v>4.9793534180935239E-3</v>
      </c>
      <c r="AF49" s="3">
        <f t="shared" si="31"/>
        <v>-2.4528154286826975E-3</v>
      </c>
      <c r="AG49" s="3">
        <f t="shared" si="31"/>
        <v>9.7029165141293561E-4</v>
      </c>
      <c r="AH49" s="3">
        <f t="shared" si="31"/>
        <v>1.4226794543219512E-3</v>
      </c>
      <c r="AI49" s="3">
        <f t="shared" si="31"/>
        <v>-3.7454011314252966E-4</v>
      </c>
      <c r="AJ49" s="3">
        <f t="shared" si="31"/>
        <v>-3.8014268704955612E-4</v>
      </c>
    </row>
    <row r="50" spans="1:36" x14ac:dyDescent="0.25">
      <c r="F50" s="57">
        <f t="shared" ref="F50:AJ50" si="32">F49/F17</f>
        <v>-5.6401773680848505E-6</v>
      </c>
      <c r="G50" s="57">
        <f t="shared" si="32"/>
        <v>2.5622585780165505E-6</v>
      </c>
      <c r="H50" s="57">
        <f t="shared" si="32"/>
        <v>-2.510815843476028E-6</v>
      </c>
      <c r="I50" s="57">
        <f t="shared" si="32"/>
        <v>-4.0193690380144806E-6</v>
      </c>
      <c r="J50" s="57">
        <f t="shared" si="32"/>
        <v>-4.491464360356348E-6</v>
      </c>
      <c r="K50" s="57">
        <f t="shared" si="32"/>
        <v>-4.62621614932059E-6</v>
      </c>
      <c r="L50" s="57">
        <f t="shared" si="32"/>
        <v>-4.6729538104732847E-6</v>
      </c>
      <c r="M50" s="57">
        <f t="shared" si="32"/>
        <v>-4.4347370453426457E-6</v>
      </c>
      <c r="N50" s="57">
        <f t="shared" si="32"/>
        <v>-2.0030734719478959E-6</v>
      </c>
      <c r="O50" s="57">
        <f t="shared" si="32"/>
        <v>1.9484180572565803E-5</v>
      </c>
      <c r="P50" s="57">
        <f t="shared" si="32"/>
        <v>3.8370968860935511E-5</v>
      </c>
      <c r="Q50" s="57">
        <f t="shared" si="32"/>
        <v>-6.7439704425157802E-5</v>
      </c>
      <c r="R50" s="57">
        <f t="shared" si="32"/>
        <v>8.5790509600812913E-5</v>
      </c>
      <c r="S50" s="57">
        <f t="shared" si="32"/>
        <v>-9.2769533796394584E-5</v>
      </c>
      <c r="T50" s="57">
        <f t="shared" si="32"/>
        <v>8.6600806861481482E-5</v>
      </c>
      <c r="U50" s="57">
        <f t="shared" si="32"/>
        <v>-6.9217464949735815E-5</v>
      </c>
      <c r="V50" s="57">
        <f t="shared" si="32"/>
        <v>4.7878758194308753E-5</v>
      </c>
      <c r="W50" s="57">
        <f t="shared" si="32"/>
        <v>-2.9176696496087753E-5</v>
      </c>
      <c r="X50" s="57">
        <f t="shared" si="32"/>
        <v>1.5832902333728285E-5</v>
      </c>
      <c r="Y50" s="57">
        <f t="shared" si="32"/>
        <v>-7.8667293706236551E-6</v>
      </c>
      <c r="Z50" s="57">
        <f t="shared" si="32"/>
        <v>3.6709526257219356E-6</v>
      </c>
      <c r="AA50" s="57">
        <f t="shared" si="32"/>
        <v>-1.6194815686710758E-6</v>
      </c>
      <c r="AB50" s="57">
        <f t="shared" si="32"/>
        <v>1.6960556933420285E-8</v>
      </c>
      <c r="AC50" s="57">
        <f t="shared" si="32"/>
        <v>1.0609064764251981E-6</v>
      </c>
      <c r="AD50" s="57">
        <f t="shared" si="32"/>
        <v>-2.9828684379201404E-6</v>
      </c>
      <c r="AE50" s="57">
        <f t="shared" si="32"/>
        <v>4.2490634212869755E-6</v>
      </c>
      <c r="AF50" s="57">
        <f t="shared" si="32"/>
        <v>-3.4818152881108642E-6</v>
      </c>
      <c r="AG50" s="57">
        <f t="shared" si="32"/>
        <v>2.4061392959494444E-6</v>
      </c>
      <c r="AH50" s="57">
        <f t="shared" si="32"/>
        <v>6.26208705192711E-6</v>
      </c>
      <c r="AI50" s="57">
        <f t="shared" si="32"/>
        <v>-2.3853917929031141E-6</v>
      </c>
      <c r="AJ50" s="57">
        <f t="shared" si="32"/>
        <v>-2.7753473676858925E-6</v>
      </c>
    </row>
    <row r="51" spans="1:36" x14ac:dyDescent="0.25">
      <c r="A51" s="13" t="s">
        <v>21</v>
      </c>
      <c r="B51" s="3">
        <f>STUTT!D8</f>
        <v>6524.0923000000003</v>
      </c>
      <c r="E51" s="11" t="s">
        <v>24</v>
      </c>
      <c r="F51" s="20">
        <f t="shared" ref="F51:AJ51" si="33">(F16-F17)^2</f>
        <v>1.3456897346367995E-3</v>
      </c>
      <c r="G51" s="20">
        <f t="shared" si="33"/>
        <v>2.7771883057335043E-4</v>
      </c>
      <c r="H51" s="20">
        <f t="shared" si="33"/>
        <v>2.666791960270657E-4</v>
      </c>
      <c r="I51" s="20">
        <f t="shared" si="33"/>
        <v>6.8340032573368549E-4</v>
      </c>
      <c r="J51" s="20">
        <f t="shared" si="33"/>
        <v>8.5336598639580989E-4</v>
      </c>
      <c r="K51" s="20">
        <f t="shared" si="33"/>
        <v>9.0533898504467181E-4</v>
      </c>
      <c r="L51" s="20">
        <f t="shared" si="33"/>
        <v>9.2372360856203246E-4</v>
      </c>
      <c r="M51" s="20">
        <f t="shared" si="33"/>
        <v>8.3193935637678222E-4</v>
      </c>
      <c r="N51" s="20">
        <f t="shared" si="33"/>
        <v>1.697142400354424E-4</v>
      </c>
      <c r="O51" s="20">
        <f t="shared" si="33"/>
        <v>1.6046469744284617E-2</v>
      </c>
      <c r="P51" s="20">
        <f t="shared" si="33"/>
        <v>6.1842564730583E-2</v>
      </c>
      <c r="Q51" s="20">
        <f t="shared" si="33"/>
        <v>0.18426627977552704</v>
      </c>
      <c r="R51" s="20">
        <f t="shared" si="33"/>
        <v>0.28465734176831836</v>
      </c>
      <c r="S51" s="20">
        <f t="shared" si="33"/>
        <v>0.31610655704185298</v>
      </c>
      <c r="T51" s="20">
        <f t="shared" si="33"/>
        <v>0.2584272666251381</v>
      </c>
      <c r="U51" s="20">
        <f t="shared" si="33"/>
        <v>0.15400141944758453</v>
      </c>
      <c r="V51" s="20">
        <f t="shared" si="33"/>
        <v>6.742060360664584E-2</v>
      </c>
      <c r="W51" s="20">
        <f t="shared" si="33"/>
        <v>2.1839338944342212E-2</v>
      </c>
      <c r="X51" s="20">
        <f t="shared" si="33"/>
        <v>5.2586391260028261E-3</v>
      </c>
      <c r="Y51" s="20">
        <f t="shared" si="33"/>
        <v>1.0331504300881795E-3</v>
      </c>
      <c r="Z51" s="20">
        <f t="shared" si="33"/>
        <v>1.7871592228220956E-4</v>
      </c>
      <c r="AA51" s="20">
        <f t="shared" si="33"/>
        <v>2.7390787278228835E-5</v>
      </c>
      <c r="AB51" s="20">
        <f t="shared" si="33"/>
        <v>2.2323136971730313E-9</v>
      </c>
      <c r="AC51" s="20">
        <f t="shared" si="33"/>
        <v>5.9289348612105981E-6</v>
      </c>
      <c r="AD51" s="20">
        <f t="shared" si="33"/>
        <v>2.7389554455416999E-5</v>
      </c>
      <c r="AE51" s="20">
        <f t="shared" si="33"/>
        <v>2.479396046227966E-5</v>
      </c>
      <c r="AF51" s="20">
        <f t="shared" si="33"/>
        <v>6.016303527183885E-6</v>
      </c>
      <c r="AG51" s="20">
        <f t="shared" si="33"/>
        <v>9.4146588880164176E-7</v>
      </c>
      <c r="AH51" s="20">
        <f t="shared" si="33"/>
        <v>2.024016829749805E-6</v>
      </c>
      <c r="AI51" s="20">
        <f t="shared" si="33"/>
        <v>1.4028029635281892E-7</v>
      </c>
      <c r="AJ51" s="20">
        <f t="shared" si="33"/>
        <v>1.4450846251725676E-7</v>
      </c>
    </row>
    <row r="52" spans="1:36" x14ac:dyDescent="0.25">
      <c r="A52" s="13"/>
    </row>
    <row r="53" spans="1:36" x14ac:dyDescent="0.25">
      <c r="E53" s="118" t="s">
        <v>25</v>
      </c>
      <c r="F53" s="118"/>
      <c r="G53" s="104">
        <f>SUM(F51:AJ51)</f>
        <v>1.3774306894704109</v>
      </c>
      <c r="I53" s="3">
        <f>G53+C123</f>
        <v>1.3774306894704109</v>
      </c>
      <c r="K53" s="3">
        <f>SUM(Z51:AJ51)</f>
        <v>2.7348796665764823E-4</v>
      </c>
    </row>
    <row r="55" spans="1:36" x14ac:dyDescent="0.25">
      <c r="E55" s="30" t="s">
        <v>30</v>
      </c>
      <c r="F55" s="31">
        <f t="shared" ref="F55:AJ55" si="34">ABS(F17-F16)/F16</f>
        <v>5.6402091798650182E-6</v>
      </c>
      <c r="G55" s="31">
        <f t="shared" si="34"/>
        <v>2.5622520128643514E-6</v>
      </c>
      <c r="H55" s="31">
        <f t="shared" si="34"/>
        <v>2.5108221476880564E-6</v>
      </c>
      <c r="I55" s="31">
        <f t="shared" si="34"/>
        <v>4.019385193406879E-6</v>
      </c>
      <c r="J55" s="31">
        <f t="shared" si="34"/>
        <v>4.4914845336990561E-6</v>
      </c>
      <c r="K55" s="31">
        <f t="shared" si="34"/>
        <v>4.6262375512954597E-6</v>
      </c>
      <c r="L55" s="31">
        <f t="shared" si="34"/>
        <v>4.672975647072641E-6</v>
      </c>
      <c r="M55" s="31">
        <f t="shared" si="34"/>
        <v>4.4347567123225247E-6</v>
      </c>
      <c r="N55" s="31">
        <f t="shared" si="34"/>
        <v>2.003077484259267E-6</v>
      </c>
      <c r="O55" s="31">
        <f t="shared" si="34"/>
        <v>1.9483800946669915E-5</v>
      </c>
      <c r="P55" s="31">
        <f t="shared" si="34"/>
        <v>3.8369496586176793E-5</v>
      </c>
      <c r="Q55" s="31">
        <f t="shared" si="34"/>
        <v>6.7444252845634892E-5</v>
      </c>
      <c r="R55" s="31">
        <f t="shared" si="34"/>
        <v>8.5783150220640318E-5</v>
      </c>
      <c r="S55" s="31">
        <f t="shared" si="34"/>
        <v>9.2778140781261349E-5</v>
      </c>
      <c r="T55" s="31">
        <f t="shared" si="34"/>
        <v>8.6593307811156232E-5</v>
      </c>
      <c r="U55" s="31">
        <f t="shared" si="34"/>
        <v>6.9222256338837698E-5</v>
      </c>
      <c r="V55" s="31">
        <f t="shared" si="34"/>
        <v>4.7876465928573366E-5</v>
      </c>
      <c r="W55" s="31">
        <f t="shared" si="34"/>
        <v>2.917754780054443E-5</v>
      </c>
      <c r="X55" s="31">
        <f t="shared" si="34"/>
        <v>1.583265165690092E-5</v>
      </c>
      <c r="Y55" s="31">
        <f t="shared" si="34"/>
        <v>7.8667912565414864E-6</v>
      </c>
      <c r="Z55" s="31">
        <f t="shared" si="34"/>
        <v>3.6709391498782244E-6</v>
      </c>
      <c r="AA55" s="31">
        <f t="shared" si="34"/>
        <v>1.6194841913958745E-6</v>
      </c>
      <c r="AB55" s="31">
        <f t="shared" si="34"/>
        <v>1.69605566457598E-8</v>
      </c>
      <c r="AC55" s="31">
        <f t="shared" si="34"/>
        <v>1.0609053509038403E-6</v>
      </c>
      <c r="AD55" s="31">
        <f t="shared" si="34"/>
        <v>2.9828773354507985E-6</v>
      </c>
      <c r="AE55" s="31">
        <f t="shared" si="34"/>
        <v>4.2490453668237327E-6</v>
      </c>
      <c r="AF55" s="31">
        <f t="shared" si="34"/>
        <v>3.481827411190775E-6</v>
      </c>
      <c r="AG55" s="31">
        <f t="shared" si="34"/>
        <v>2.4061335064570636E-6</v>
      </c>
      <c r="AH55" s="31">
        <f t="shared" si="34"/>
        <v>6.2620478384384222E-6</v>
      </c>
      <c r="AI55" s="31">
        <f t="shared" si="34"/>
        <v>2.3853974830106929E-6</v>
      </c>
      <c r="AJ55" s="31">
        <f t="shared" si="34"/>
        <v>2.7753550702602814E-6</v>
      </c>
    </row>
    <row r="56" spans="1:36" x14ac:dyDescent="0.25">
      <c r="E56" s="13" t="s">
        <v>31</v>
      </c>
      <c r="F56" s="32">
        <f>AVERAGE(F55:AJ55)</f>
        <v>2.020322696438277E-5</v>
      </c>
    </row>
    <row r="57" spans="1:36" x14ac:dyDescent="0.25">
      <c r="A57" s="42"/>
      <c r="B57" s="15"/>
      <c r="C57" s="15"/>
      <c r="D57" s="15"/>
      <c r="F57" s="60">
        <f>AVERAGE(S55:X55)</f>
        <v>5.6913395052878996E-5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-13.421164302671253</v>
      </c>
    </row>
    <row r="119" spans="1:14" x14ac:dyDescent="0.25">
      <c r="L119" s="11">
        <f>L118+1</f>
        <v>2</v>
      </c>
      <c r="M119" s="11">
        <f t="shared" ref="M119:M124" si="35">INDEX($B$125:$K$126,1,L119)</f>
        <v>0</v>
      </c>
      <c r="N119" s="11">
        <f t="shared" ref="N119:N124" si="36">IF(L119=$B$3,0,INDEX($B$125:$K$126,2,L119))</f>
        <v>-9.9402669067399305</v>
      </c>
    </row>
    <row r="120" spans="1:14" x14ac:dyDescent="0.25">
      <c r="L120" s="11">
        <f t="shared" ref="L120:L124" si="37">L119+1</f>
        <v>3</v>
      </c>
      <c r="M120" s="11">
        <f t="shared" si="35"/>
        <v>25</v>
      </c>
      <c r="N120" s="11">
        <f t="shared" si="36"/>
        <v>-5.8835691205197316</v>
      </c>
    </row>
    <row r="121" spans="1:14" x14ac:dyDescent="0.25">
      <c r="A121" s="103">
        <f>(A165+A204+A243+A282+A321+A360+A399)*10^9</f>
        <v>4023342074992634.5</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11.126115554525432</v>
      </c>
    </row>
    <row r="123" spans="1:14" x14ac:dyDescent="0.25">
      <c r="A123" s="118"/>
      <c r="B123" s="118"/>
      <c r="C123" s="3"/>
      <c r="D123" s="3"/>
      <c r="E123" s="3"/>
      <c r="F123" s="3"/>
      <c r="G123" s="3"/>
      <c r="H123" s="3"/>
      <c r="I123" s="3"/>
      <c r="J123" s="3"/>
      <c r="K123" s="3"/>
      <c r="L123" s="11">
        <f t="shared" si="37"/>
        <v>6</v>
      </c>
      <c r="M123" s="11">
        <f t="shared" si="35"/>
        <v>125</v>
      </c>
      <c r="N123" s="11">
        <f t="shared" si="36"/>
        <v>30.587971776598696</v>
      </c>
    </row>
    <row r="124" spans="1:14" x14ac:dyDescent="0.25">
      <c r="B124" s="3"/>
      <c r="C124" s="3"/>
      <c r="D124" s="3"/>
      <c r="E124" s="3"/>
      <c r="F124" s="3"/>
      <c r="G124" s="3"/>
      <c r="H124" s="3"/>
      <c r="I124" s="3"/>
      <c r="J124" s="3"/>
      <c r="K124" s="3"/>
      <c r="L124" s="11">
        <f t="shared" si="37"/>
        <v>7</v>
      </c>
      <c r="M124" s="11">
        <f t="shared" si="35"/>
        <v>160</v>
      </c>
      <c r="N124" s="11">
        <f t="shared" si="36"/>
        <v>34.754586084620072</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-13.421164302671253</v>
      </c>
      <c r="C126" s="107">
        <v>-9.9402669067399305</v>
      </c>
      <c r="D126" s="107">
        <v>-5.8835691205197316</v>
      </c>
      <c r="E126" s="107">
        <v>7.908092285666272E-5</v>
      </c>
      <c r="F126" s="107">
        <v>11.126115554525432</v>
      </c>
      <c r="G126" s="107">
        <v>30.587971776598696</v>
      </c>
      <c r="H126" s="107">
        <v>34.754586084620072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6574.1423129756067</v>
      </c>
      <c r="C130" s="26">
        <f>INDEX(Comparison!$AM$3:$AS$33,G14,$B$122)</f>
        <v>6574.1983504239388</v>
      </c>
      <c r="D130" s="26">
        <f>INDEX(Comparison!$AM$3:$AS$33,H14,$B$122)</f>
        <v>6574.1641202956771</v>
      </c>
      <c r="E130" s="26">
        <f>INDEX(Comparison!$AM$3:$AS$33,I14,$B$122)</f>
        <v>6574.1538463873376</v>
      </c>
      <c r="F130" s="26">
        <f>INDEX(Comparison!$AM$3:$AS$33,J14,$B$122)</f>
        <v>6574.1506604943988</v>
      </c>
      <c r="G130" s="26">
        <f>INDEX(Comparison!$AM$3:$AS$33,K14,$B$122)</f>
        <v>6574.149598530772</v>
      </c>
      <c r="H130" s="26">
        <f>INDEX(Comparison!$AM$3:$AS$33,L14,$B$122)</f>
        <v>6574.1492527752453</v>
      </c>
      <c r="I130" s="26">
        <f>INDEX(Comparison!$AM$3:$AS$33,M14,$B$122)</f>
        <v>6574.149203381603</v>
      </c>
      <c r="J130" s="26">
        <f>INDEX(Comparison!$AM$3:$AS$33,N14,$B$122)</f>
        <v>6574.149203381603</v>
      </c>
      <c r="K130" s="26">
        <f>INDEX(Comparison!$AM$3:$AS$33,O14,$B$122)</f>
        <v>6574.149203381603</v>
      </c>
      <c r="L130" s="26">
        <f>INDEX(Comparison!$AM$3:$AS$33,P14,$B$122)</f>
        <v>6574.1491786847801</v>
      </c>
      <c r="M130" s="26">
        <f>INDEX(Comparison!$AM$3:$AS$33,Q14,$B$122)</f>
        <v>6574.1489070197567</v>
      </c>
      <c r="N130" s="26">
        <f>INDEX(Comparison!$AM$3:$AS$33,R14,$B$122)</f>
        <v>6574.1483883865922</v>
      </c>
      <c r="O130" s="26">
        <f>INDEX(Comparison!$AM$3:$AS$33,S14,$B$122)</f>
        <v>6574.141102834109</v>
      </c>
      <c r="P130" s="26">
        <f>INDEX(Comparison!$AM$3:$AS$33,T14,$B$122)</f>
        <v>6574.0681741087647</v>
      </c>
      <c r="Q130" s="26">
        <f>INDEX(Comparison!$AM$3:$AS$33,U14,$B$122)</f>
        <v>6573.3425313051102</v>
      </c>
      <c r="R130" s="26">
        <f>INDEX(Comparison!$AM$3:$AS$33,V14,$B$122)</f>
        <v>6566.2492544539882</v>
      </c>
      <c r="S130" s="26">
        <f>INDEX(Comparison!$AM$3:$AS$33,W14,$B$122)</f>
        <v>6509.2168204054406</v>
      </c>
      <c r="T130" s="26">
        <f>INDEX(Comparison!$AM$3:$AS$33,X14,$B$122)</f>
        <v>6358.877795711509</v>
      </c>
      <c r="U130" s="26">
        <f>INDEX(Comparison!$AM$3:$AS$33,Y14,$B$122)</f>
        <v>6198.1657141301985</v>
      </c>
      <c r="V130" s="26">
        <f>INDEX(Comparison!$AM$3:$AS$33,Z14,$B$122)</f>
        <v>5965.2165970487267</v>
      </c>
      <c r="W130" s="26">
        <f>INDEX(Comparison!$AM$3:$AS$33,AA14,$B$122)</f>
        <v>5562.9083959530062</v>
      </c>
      <c r="X130" s="26">
        <f>INDEX(Comparison!$AM$3:$AS$33,AB14,$B$122)</f>
        <v>5068.6144859756578</v>
      </c>
      <c r="Y130" s="26">
        <f>INDEX(Comparison!$AM$3:$AS$33,AC14,$B$122)</f>
        <v>4583.1082918040429</v>
      </c>
      <c r="Z130" s="26">
        <f>INDEX(Comparison!$AM$3:$AS$33,AD14,$B$122)</f>
        <v>4165.9762057055259</v>
      </c>
      <c r="AA130" s="26">
        <f>INDEX(Comparison!$AM$3:$AS$33,AE14,$B$122)</f>
        <v>3823.5689905233821</v>
      </c>
      <c r="AB130" s="26">
        <f>INDEX(Comparison!$AM$3:$AS$33,AF14,$B$122)</f>
        <v>3510.558848270296</v>
      </c>
      <c r="AC130" s="26">
        <f>INDEX(Comparison!$AM$3:$AS$33,AG14,$B$122)</f>
        <v>3215.4703591878829</v>
      </c>
      <c r="AD130" s="26">
        <f>INDEX(Comparison!$AM$3:$AS$33,AH14,$B$122)</f>
        <v>2870.194204228324</v>
      </c>
      <c r="AE130" s="26">
        <f>INDEX(Comparison!$AM$3:$AS$33,AI14,$B$122)</f>
        <v>2458.5183678646754</v>
      </c>
      <c r="AF130" s="26">
        <f>INDEX(Comparison!$AM$3:$AS$33,AJ14,$B$122)</f>
        <v>1982.6966326072995</v>
      </c>
    </row>
    <row r="131" spans="1:33" x14ac:dyDescent="0.25">
      <c r="A131" s="68" t="s">
        <v>22</v>
      </c>
      <c r="B131" s="27">
        <f>($C$17+SUM(B132:B162))*$B$51</f>
        <v>6521.3206075577855</v>
      </c>
      <c r="C131" s="27">
        <f t="shared" ref="C131:AF131" si="40">($C$17+SUM(C132:C162))*$B$51</f>
        <v>6508.5486305966269</v>
      </c>
      <c r="D131" s="27">
        <f t="shared" si="40"/>
        <v>6503.9876608680488</v>
      </c>
      <c r="E131" s="27">
        <f t="shared" si="40"/>
        <v>6503.9876536084757</v>
      </c>
      <c r="F131" s="27">
        <f t="shared" si="40"/>
        <v>6503.9876536084412</v>
      </c>
      <c r="G131" s="27">
        <f t="shared" si="40"/>
        <v>6503.9876536080919</v>
      </c>
      <c r="H131" s="27">
        <f t="shared" si="40"/>
        <v>6503.9876536045986</v>
      </c>
      <c r="I131" s="27">
        <f t="shared" si="40"/>
        <v>6503.9876535696631</v>
      </c>
      <c r="J131" s="27">
        <f t="shared" si="40"/>
        <v>6503.9876532203161</v>
      </c>
      <c r="K131" s="27">
        <f t="shared" si="40"/>
        <v>6503.9876497268497</v>
      </c>
      <c r="L131" s="27">
        <f t="shared" si="40"/>
        <v>6503.987614792185</v>
      </c>
      <c r="M131" s="27">
        <f t="shared" si="40"/>
        <v>6503.9872654463497</v>
      </c>
      <c r="N131" s="27">
        <f t="shared" si="40"/>
        <v>6503.9837720682781</v>
      </c>
      <c r="O131" s="27">
        <f t="shared" si="40"/>
        <v>6503.9488463121916</v>
      </c>
      <c r="P131" s="27">
        <f t="shared" si="40"/>
        <v>6503.6003877523881</v>
      </c>
      <c r="Q131" s="27">
        <f t="shared" si="40"/>
        <v>6500.1923755523876</v>
      </c>
      <c r="R131" s="27">
        <f t="shared" si="40"/>
        <v>6471.4510861269418</v>
      </c>
      <c r="S131" s="27">
        <f t="shared" si="40"/>
        <v>6332.6914105553942</v>
      </c>
      <c r="T131" s="27">
        <f t="shared" si="40"/>
        <v>6193.9350722573572</v>
      </c>
      <c r="U131" s="27">
        <f t="shared" si="40"/>
        <v>6024.4825189170606</v>
      </c>
      <c r="V131" s="27">
        <f t="shared" si="40"/>
        <v>5834.7185959605695</v>
      </c>
      <c r="W131" s="27">
        <f t="shared" si="40"/>
        <v>5630.1561004500854</v>
      </c>
      <c r="X131" s="27">
        <f t="shared" si="40"/>
        <v>5370.3722970571635</v>
      </c>
      <c r="Y131" s="27">
        <f t="shared" si="40"/>
        <v>4985.8611448723486</v>
      </c>
      <c r="Z131" s="27">
        <f t="shared" si="40"/>
        <v>4497.5723511943252</v>
      </c>
      <c r="AA131" s="27">
        <f t="shared" si="40"/>
        <v>4015.2057194822023</v>
      </c>
      <c r="AB131" s="27">
        <f t="shared" si="40"/>
        <v>3576.2882174914489</v>
      </c>
      <c r="AC131" s="27">
        <f t="shared" si="40"/>
        <v>3177.1702017086823</v>
      </c>
      <c r="AD131" s="27">
        <f t="shared" si="40"/>
        <v>2694.998045130636</v>
      </c>
      <c r="AE131" s="27">
        <f t="shared" si="40"/>
        <v>2196.8224445318028</v>
      </c>
      <c r="AF131" s="27">
        <f t="shared" si="40"/>
        <v>1647.4736385227407</v>
      </c>
    </row>
    <row r="132" spans="1:33" x14ac:dyDescent="0.25">
      <c r="B132" s="3">
        <f t="shared" ref="B132:Z133" si="41">$C18*EXP(-B$129/$A18/EXP(-$B$126))</f>
        <v>2.6567609948291238E-3</v>
      </c>
      <c r="C132" s="3">
        <f t="shared" ref="C132:AF132" si="42">$C18*EXP(-C$129/$A18/EXP(-$B$126))</f>
        <v>6.9909755693494931E-4</v>
      </c>
      <c r="D132" s="3">
        <f t="shared" si="42"/>
        <v>1.1127324757749122E-9</v>
      </c>
      <c r="E132" s="3">
        <f t="shared" si="42"/>
        <v>1.1612361647280562E-67</v>
      </c>
      <c r="F132" s="3">
        <f t="shared" si="42"/>
        <v>0</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0</v>
      </c>
      <c r="C136" s="3">
        <f t="shared" si="49"/>
        <v>0</v>
      </c>
      <c r="D136" s="3">
        <f t="shared" si="49"/>
        <v>0</v>
      </c>
      <c r="E136" s="3">
        <f t="shared" si="49"/>
        <v>0</v>
      </c>
      <c r="F136" s="3">
        <f t="shared" si="49"/>
        <v>0</v>
      </c>
      <c r="G136" s="3">
        <f t="shared" si="49"/>
        <v>0</v>
      </c>
      <c r="H136" s="3">
        <f t="shared" si="49"/>
        <v>0</v>
      </c>
      <c r="I136" s="3">
        <f t="shared" si="49"/>
        <v>0</v>
      </c>
      <c r="J136" s="3">
        <f t="shared" si="49"/>
        <v>0</v>
      </c>
      <c r="K136" s="3">
        <f t="shared" si="49"/>
        <v>0</v>
      </c>
      <c r="L136" s="3">
        <f t="shared" si="49"/>
        <v>0</v>
      </c>
      <c r="M136" s="3">
        <f t="shared" si="49"/>
        <v>0</v>
      </c>
      <c r="N136" s="3">
        <f t="shared" si="49"/>
        <v>0</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0</v>
      </c>
      <c r="C137" s="3">
        <f t="shared" si="51"/>
        <v>0</v>
      </c>
      <c r="D137" s="3">
        <f t="shared" si="51"/>
        <v>0</v>
      </c>
      <c r="E137" s="3">
        <f t="shared" si="51"/>
        <v>0</v>
      </c>
      <c r="F137" s="3">
        <f t="shared" si="51"/>
        <v>0</v>
      </c>
      <c r="G137" s="3">
        <f t="shared" si="51"/>
        <v>0</v>
      </c>
      <c r="H137" s="3">
        <f t="shared" si="51"/>
        <v>0</v>
      </c>
      <c r="I137" s="3">
        <f t="shared" si="51"/>
        <v>0</v>
      </c>
      <c r="J137" s="3">
        <f t="shared" si="51"/>
        <v>0</v>
      </c>
      <c r="K137" s="3">
        <f t="shared" si="51"/>
        <v>0</v>
      </c>
      <c r="L137" s="3">
        <f t="shared" si="51"/>
        <v>0</v>
      </c>
      <c r="M137" s="3">
        <f t="shared" si="51"/>
        <v>0</v>
      </c>
      <c r="N137" s="3">
        <f t="shared" si="51"/>
        <v>0</v>
      </c>
      <c r="O137" s="3">
        <f t="shared" si="51"/>
        <v>0</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0</v>
      </c>
      <c r="C138" s="3">
        <f t="shared" si="53"/>
        <v>0</v>
      </c>
      <c r="D138" s="3">
        <f t="shared" si="53"/>
        <v>0</v>
      </c>
      <c r="E138" s="3">
        <f t="shared" si="53"/>
        <v>0</v>
      </c>
      <c r="F138" s="3">
        <f t="shared" si="53"/>
        <v>0</v>
      </c>
      <c r="G138" s="3">
        <f t="shared" si="53"/>
        <v>0</v>
      </c>
      <c r="H138" s="3">
        <f t="shared" si="53"/>
        <v>0</v>
      </c>
      <c r="I138" s="3">
        <f t="shared" si="53"/>
        <v>0</v>
      </c>
      <c r="J138" s="3">
        <f t="shared" si="53"/>
        <v>0</v>
      </c>
      <c r="K138" s="3">
        <f t="shared" si="53"/>
        <v>0</v>
      </c>
      <c r="L138" s="3">
        <f t="shared" si="53"/>
        <v>0</v>
      </c>
      <c r="M138" s="3">
        <f t="shared" si="53"/>
        <v>0</v>
      </c>
      <c r="N138" s="3">
        <f t="shared" si="53"/>
        <v>0</v>
      </c>
      <c r="O138" s="3">
        <f t="shared" si="53"/>
        <v>0</v>
      </c>
      <c r="P138" s="3">
        <f t="shared" si="53"/>
        <v>0</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0</v>
      </c>
      <c r="C139" s="3">
        <f t="shared" si="55"/>
        <v>0</v>
      </c>
      <c r="D139" s="3">
        <f t="shared" si="55"/>
        <v>0</v>
      </c>
      <c r="E139" s="3">
        <f t="shared" si="55"/>
        <v>0</v>
      </c>
      <c r="F139" s="3">
        <f t="shared" si="55"/>
        <v>0</v>
      </c>
      <c r="G139" s="3">
        <f t="shared" si="55"/>
        <v>0</v>
      </c>
      <c r="H139" s="3">
        <f t="shared" si="55"/>
        <v>0</v>
      </c>
      <c r="I139" s="3">
        <f t="shared" si="55"/>
        <v>0</v>
      </c>
      <c r="J139" s="3">
        <f t="shared" si="55"/>
        <v>0</v>
      </c>
      <c r="K139" s="3">
        <f t="shared" si="55"/>
        <v>0</v>
      </c>
      <c r="L139" s="3">
        <f t="shared" si="55"/>
        <v>0</v>
      </c>
      <c r="M139" s="3">
        <f t="shared" si="55"/>
        <v>0</v>
      </c>
      <c r="N139" s="3">
        <f t="shared" si="55"/>
        <v>0</v>
      </c>
      <c r="O139" s="3">
        <f t="shared" si="55"/>
        <v>0</v>
      </c>
      <c r="P139" s="3">
        <f t="shared" si="55"/>
        <v>0</v>
      </c>
      <c r="Q139" s="3">
        <f t="shared" si="55"/>
        <v>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0</v>
      </c>
      <c r="C140" s="3">
        <f t="shared" si="57"/>
        <v>0</v>
      </c>
      <c r="D140" s="3">
        <f t="shared" si="57"/>
        <v>0</v>
      </c>
      <c r="E140" s="3">
        <f t="shared" si="57"/>
        <v>0</v>
      </c>
      <c r="F140" s="3">
        <f t="shared" si="57"/>
        <v>0</v>
      </c>
      <c r="G140" s="3">
        <f t="shared" si="57"/>
        <v>0</v>
      </c>
      <c r="H140" s="3">
        <f t="shared" si="57"/>
        <v>0</v>
      </c>
      <c r="I140" s="3">
        <f t="shared" si="57"/>
        <v>0</v>
      </c>
      <c r="J140" s="3">
        <f t="shared" si="57"/>
        <v>0</v>
      </c>
      <c r="K140" s="3">
        <f t="shared" si="57"/>
        <v>0</v>
      </c>
      <c r="L140" s="3">
        <f t="shared" si="57"/>
        <v>0</v>
      </c>
      <c r="M140" s="3">
        <f t="shared" si="57"/>
        <v>0</v>
      </c>
      <c r="N140" s="3">
        <f t="shared" si="57"/>
        <v>0</v>
      </c>
      <c r="O140" s="3">
        <f t="shared" si="57"/>
        <v>0</v>
      </c>
      <c r="P140" s="3">
        <f t="shared" si="57"/>
        <v>0</v>
      </c>
      <c r="Q140" s="3">
        <f t="shared" si="57"/>
        <v>0</v>
      </c>
      <c r="R140" s="3">
        <f t="shared" si="57"/>
        <v>0</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7.5540247309915888E-4</v>
      </c>
      <c r="C141" s="3">
        <f t="shared" si="59"/>
        <v>7.5540247309915779E-4</v>
      </c>
      <c r="D141" s="3">
        <f t="shared" si="59"/>
        <v>7.5540247309914652E-4</v>
      </c>
      <c r="E141" s="3">
        <f t="shared" si="59"/>
        <v>7.5540247309903322E-4</v>
      </c>
      <c r="F141" s="3">
        <f t="shared" si="59"/>
        <v>7.5540247309790044E-4</v>
      </c>
      <c r="G141" s="3">
        <f t="shared" si="59"/>
        <v>7.5540247308657237E-4</v>
      </c>
      <c r="H141" s="3">
        <f t="shared" si="59"/>
        <v>7.5540247297329103E-4</v>
      </c>
      <c r="I141" s="3">
        <f t="shared" si="59"/>
        <v>7.5540247184047876E-4</v>
      </c>
      <c r="J141" s="3">
        <f t="shared" si="59"/>
        <v>7.5540246051235597E-4</v>
      </c>
      <c r="K141" s="3">
        <f t="shared" si="59"/>
        <v>7.5540234723113725E-4</v>
      </c>
      <c r="L141" s="3">
        <f t="shared" si="59"/>
        <v>7.5540121441988446E-4</v>
      </c>
      <c r="M141" s="3">
        <f t="shared" si="59"/>
        <v>7.5538988640078966E-4</v>
      </c>
      <c r="N141" s="3">
        <f t="shared" si="59"/>
        <v>7.5527661555256219E-4</v>
      </c>
      <c r="O141" s="3">
        <f t="shared" si="59"/>
        <v>7.5414484082428996E-4</v>
      </c>
      <c r="P141" s="3">
        <f t="shared" si="59"/>
        <v>7.429199529132574E-4</v>
      </c>
      <c r="Q141" s="3">
        <f t="shared" si="59"/>
        <v>6.3946179796588176E-4</v>
      </c>
      <c r="R141" s="3">
        <f t="shared" si="59"/>
        <v>1.4273826826354194E-4</v>
      </c>
      <c r="S141" s="3">
        <f t="shared" si="59"/>
        <v>4.3832739447147308E-11</v>
      </c>
      <c r="T141" s="3">
        <f t="shared" si="59"/>
        <v>3.2687410594814498E-76</v>
      </c>
      <c r="U141" s="3">
        <f t="shared" si="59"/>
        <v>0</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2.9283931569142382E-2</v>
      </c>
      <c r="C142" s="3">
        <f t="shared" si="61"/>
        <v>2.9283931569142378E-2</v>
      </c>
      <c r="D142" s="3">
        <f t="shared" si="61"/>
        <v>2.9283931569142337E-2</v>
      </c>
      <c r="E142" s="3">
        <f t="shared" si="61"/>
        <v>2.9283931569141941E-2</v>
      </c>
      <c r="F142" s="3">
        <f t="shared" si="61"/>
        <v>2.9283931569137979E-2</v>
      </c>
      <c r="G142" s="3">
        <f t="shared" si="61"/>
        <v>2.9283931569098365E-2</v>
      </c>
      <c r="H142" s="3">
        <f t="shared" si="61"/>
        <v>2.928393156870222E-2</v>
      </c>
      <c r="I142" s="3">
        <f t="shared" si="61"/>
        <v>2.9283931564740757E-2</v>
      </c>
      <c r="J142" s="3">
        <f t="shared" si="61"/>
        <v>2.9283931525126133E-2</v>
      </c>
      <c r="K142" s="3">
        <f t="shared" si="61"/>
        <v>2.9283931128979909E-2</v>
      </c>
      <c r="L142" s="3">
        <f t="shared" si="61"/>
        <v>2.9283927167517966E-2</v>
      </c>
      <c r="M142" s="3">
        <f t="shared" si="61"/>
        <v>2.9283887552927979E-2</v>
      </c>
      <c r="N142" s="3">
        <f t="shared" si="61"/>
        <v>2.9283491409975531E-2</v>
      </c>
      <c r="O142" s="3">
        <f t="shared" si="61"/>
        <v>2.9279530275178274E-2</v>
      </c>
      <c r="P142" s="3">
        <f t="shared" si="61"/>
        <v>2.923994838517803E-2</v>
      </c>
      <c r="Q142" s="3">
        <f t="shared" si="61"/>
        <v>2.8847060591089577E-2</v>
      </c>
      <c r="R142" s="3">
        <f t="shared" si="61"/>
        <v>2.5197138174381854E-2</v>
      </c>
      <c r="S142" s="3">
        <f t="shared" si="61"/>
        <v>6.5139995694948162E-3</v>
      </c>
      <c r="T142" s="3">
        <f t="shared" si="61"/>
        <v>8.6858596064225569E-9</v>
      </c>
      <c r="U142" s="3">
        <f t="shared" si="61"/>
        <v>1.543347077561222E-67</v>
      </c>
      <c r="V142" s="3">
        <f t="shared" si="61"/>
        <v>0</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1.8302599821955524E-2</v>
      </c>
      <c r="C143" s="3">
        <f t="shared" si="63"/>
        <v>1.8302599821955524E-2</v>
      </c>
      <c r="D143" s="3">
        <f t="shared" si="63"/>
        <v>1.830259982195552E-2</v>
      </c>
      <c r="E143" s="3">
        <f t="shared" si="63"/>
        <v>1.8302599821955499E-2</v>
      </c>
      <c r="F143" s="3">
        <f t="shared" si="63"/>
        <v>1.8302599821955277E-2</v>
      </c>
      <c r="G143" s="3">
        <f t="shared" si="63"/>
        <v>1.8302599821953043E-2</v>
      </c>
      <c r="H143" s="3">
        <f t="shared" si="63"/>
        <v>1.8302599821930707E-2</v>
      </c>
      <c r="I143" s="3">
        <f t="shared" si="63"/>
        <v>1.8302599821707358E-2</v>
      </c>
      <c r="J143" s="3">
        <f t="shared" si="63"/>
        <v>1.830259981947386E-2</v>
      </c>
      <c r="K143" s="3">
        <f t="shared" si="63"/>
        <v>1.8302599797138882E-2</v>
      </c>
      <c r="L143" s="3">
        <f t="shared" si="63"/>
        <v>1.8302599573789113E-2</v>
      </c>
      <c r="M143" s="3">
        <f t="shared" si="63"/>
        <v>1.8302597340291545E-2</v>
      </c>
      <c r="N143" s="3">
        <f t="shared" si="63"/>
        <v>1.8302575005330866E-2</v>
      </c>
      <c r="O143" s="3">
        <f t="shared" si="63"/>
        <v>1.8302351657223128E-2</v>
      </c>
      <c r="P143" s="3">
        <f t="shared" si="63"/>
        <v>1.8300118326044914E-2</v>
      </c>
      <c r="Q143" s="3">
        <f t="shared" si="63"/>
        <v>1.8277799997411089E-2</v>
      </c>
      <c r="R143" s="3">
        <f t="shared" si="63"/>
        <v>1.8056108282777431E-2</v>
      </c>
      <c r="S143" s="3">
        <f t="shared" si="63"/>
        <v>1.5981827839155544E-2</v>
      </c>
      <c r="T143" s="3">
        <f t="shared" si="63"/>
        <v>4.7168212958416632E-3</v>
      </c>
      <c r="U143" s="3">
        <f t="shared" si="63"/>
        <v>2.3652615333155061E-8</v>
      </c>
      <c r="V143" s="3">
        <f t="shared" si="63"/>
        <v>2.3778071622992618E-61</v>
      </c>
      <c r="W143" s="3">
        <f t="shared" si="63"/>
        <v>0</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3.0692844757975957E-2</v>
      </c>
      <c r="C144" s="3">
        <f t="shared" si="65"/>
        <v>3.0692844757975957E-2</v>
      </c>
      <c r="D144" s="3">
        <f t="shared" si="65"/>
        <v>3.0692844757975957E-2</v>
      </c>
      <c r="E144" s="3">
        <f t="shared" si="65"/>
        <v>3.0692844757975953E-2</v>
      </c>
      <c r="F144" s="3">
        <f t="shared" si="65"/>
        <v>3.0692844757975919E-2</v>
      </c>
      <c r="G144" s="3">
        <f t="shared" si="65"/>
        <v>3.0692844757975582E-2</v>
      </c>
      <c r="H144" s="3">
        <f t="shared" si="65"/>
        <v>3.0692844757972203E-2</v>
      </c>
      <c r="I144" s="3">
        <f t="shared" si="65"/>
        <v>3.0692844757938414E-2</v>
      </c>
      <c r="J144" s="3">
        <f t="shared" si="65"/>
        <v>3.0692844757600538E-2</v>
      </c>
      <c r="K144" s="3">
        <f t="shared" si="65"/>
        <v>3.0692844754221786E-2</v>
      </c>
      <c r="L144" s="3">
        <f t="shared" si="65"/>
        <v>3.0692844720434254E-2</v>
      </c>
      <c r="M144" s="3">
        <f t="shared" si="65"/>
        <v>3.069284438255894E-2</v>
      </c>
      <c r="N144" s="3">
        <f t="shared" si="65"/>
        <v>3.0692841003806003E-2</v>
      </c>
      <c r="O144" s="3">
        <f t="shared" si="65"/>
        <v>3.0692807216297073E-2</v>
      </c>
      <c r="P144" s="3">
        <f t="shared" si="65"/>
        <v>3.0692469343253457E-2</v>
      </c>
      <c r="Q144" s="3">
        <f t="shared" si="65"/>
        <v>3.0689090817376415E-2</v>
      </c>
      <c r="R144" s="3">
        <f t="shared" si="65"/>
        <v>3.0655326006187551E-2</v>
      </c>
      <c r="S144" s="3">
        <f t="shared" si="65"/>
        <v>3.0319714348493537E-2</v>
      </c>
      <c r="T144" s="3">
        <f t="shared" si="65"/>
        <v>2.7159187207621602E-2</v>
      </c>
      <c r="U144" s="3">
        <f t="shared" si="65"/>
        <v>9.0330289466915153E-3</v>
      </c>
      <c r="V144" s="3">
        <f t="shared" si="65"/>
        <v>1.4962347417746972E-7</v>
      </c>
      <c r="W144" s="3">
        <f t="shared" si="65"/>
        <v>2.3262857547209752E-55</v>
      </c>
      <c r="X144" s="3">
        <f t="shared" si="65"/>
        <v>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2.9931520210616631E-2</v>
      </c>
      <c r="C145" s="3">
        <f t="shared" si="68"/>
        <v>2.9931520210616631E-2</v>
      </c>
      <c r="D145" s="3">
        <f t="shared" si="68"/>
        <v>2.9931520210616631E-2</v>
      </c>
      <c r="E145" s="3">
        <f t="shared" si="68"/>
        <v>2.9931520210616631E-2</v>
      </c>
      <c r="F145" s="3">
        <f t="shared" si="68"/>
        <v>2.9931520210616628E-2</v>
      </c>
      <c r="G145" s="3">
        <f t="shared" si="68"/>
        <v>2.9931520210616597E-2</v>
      </c>
      <c r="H145" s="3">
        <f t="shared" si="68"/>
        <v>2.9931520210616302E-2</v>
      </c>
      <c r="I145" s="3">
        <f t="shared" si="68"/>
        <v>2.9931520210613329E-2</v>
      </c>
      <c r="J145" s="3">
        <f t="shared" si="68"/>
        <v>2.9931520210583606E-2</v>
      </c>
      <c r="K145" s="3">
        <f t="shared" si="68"/>
        <v>2.9931520210286375E-2</v>
      </c>
      <c r="L145" s="3">
        <f t="shared" si="68"/>
        <v>2.9931520207314061E-2</v>
      </c>
      <c r="M145" s="3">
        <f t="shared" si="68"/>
        <v>2.9931520177590917E-2</v>
      </c>
      <c r="N145" s="3">
        <f t="shared" si="68"/>
        <v>2.9931519880359522E-2</v>
      </c>
      <c r="O145" s="3">
        <f t="shared" si="68"/>
        <v>2.9931516908045689E-2</v>
      </c>
      <c r="P145" s="3">
        <f t="shared" si="68"/>
        <v>2.9931487184923604E-2</v>
      </c>
      <c r="Q145" s="3">
        <f t="shared" si="68"/>
        <v>2.9931189955326148E-2</v>
      </c>
      <c r="R145" s="3">
        <f t="shared" si="68"/>
        <v>2.9928217821684099E-2</v>
      </c>
      <c r="S145" s="3">
        <f t="shared" si="68"/>
        <v>2.9898512712553928E-2</v>
      </c>
      <c r="T145" s="3">
        <f t="shared" si="68"/>
        <v>2.9603078403787311E-2</v>
      </c>
      <c r="U145" s="3">
        <f t="shared" si="68"/>
        <v>2.6804627633690861E-2</v>
      </c>
      <c r="V145" s="3">
        <f t="shared" si="68"/>
        <v>9.9297613059646031E-3</v>
      </c>
      <c r="W145" s="3">
        <f t="shared" si="68"/>
        <v>4.8331370906130683E-7</v>
      </c>
      <c r="X145" s="3">
        <f t="shared" si="68"/>
        <v>3.6068839068338371E-50</v>
      </c>
      <c r="Y145" s="3">
        <f t="shared" si="68"/>
        <v>0</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3.2651774642810168E-2</v>
      </c>
      <c r="C146" s="3">
        <f t="shared" si="70"/>
        <v>3.2651774642810168E-2</v>
      </c>
      <c r="D146" s="3">
        <f t="shared" si="70"/>
        <v>3.2651774642810168E-2</v>
      </c>
      <c r="E146" s="3">
        <f t="shared" si="70"/>
        <v>3.2651774642810168E-2</v>
      </c>
      <c r="F146" s="3">
        <f t="shared" si="70"/>
        <v>3.2651774642810168E-2</v>
      </c>
      <c r="G146" s="3">
        <f t="shared" si="70"/>
        <v>3.2651774642810161E-2</v>
      </c>
      <c r="H146" s="3">
        <f t="shared" si="70"/>
        <v>3.2651774642810133E-2</v>
      </c>
      <c r="I146" s="3">
        <f t="shared" si="70"/>
        <v>3.2651774642809842E-2</v>
      </c>
      <c r="J146" s="3">
        <f t="shared" si="70"/>
        <v>3.2651774642806913E-2</v>
      </c>
      <c r="K146" s="3">
        <f t="shared" si="70"/>
        <v>3.2651774642777666E-2</v>
      </c>
      <c r="L146" s="3">
        <f t="shared" si="70"/>
        <v>3.2651774642485171E-2</v>
      </c>
      <c r="M146" s="3">
        <f t="shared" si="70"/>
        <v>3.2651774639560212E-2</v>
      </c>
      <c r="N146" s="3">
        <f t="shared" si="70"/>
        <v>3.2651774610310658E-2</v>
      </c>
      <c r="O146" s="3">
        <f t="shared" si="70"/>
        <v>3.2651774317815088E-2</v>
      </c>
      <c r="P146" s="3">
        <f t="shared" si="70"/>
        <v>3.265177139285954E-2</v>
      </c>
      <c r="Q146" s="3">
        <f t="shared" si="70"/>
        <v>3.2651742143318396E-2</v>
      </c>
      <c r="R146" s="3">
        <f t="shared" si="70"/>
        <v>3.2651449649348067E-2</v>
      </c>
      <c r="S146" s="3">
        <f t="shared" si="70"/>
        <v>3.2648524853749632E-2</v>
      </c>
      <c r="T146" s="3">
        <f t="shared" si="70"/>
        <v>3.2619291303471701E-2</v>
      </c>
      <c r="U146" s="3">
        <f t="shared" si="70"/>
        <v>3.2328391608026544E-2</v>
      </c>
      <c r="V146" s="3">
        <f t="shared" si="70"/>
        <v>2.9558328335277453E-2</v>
      </c>
      <c r="W146" s="3">
        <f t="shared" si="70"/>
        <v>1.2068063208883302E-2</v>
      </c>
      <c r="X146" s="3">
        <f t="shared" si="70"/>
        <v>1.5531544611686043E-6</v>
      </c>
      <c r="Y146" s="3">
        <f t="shared" si="70"/>
        <v>1.9363567368496815E-45</v>
      </c>
      <c r="Z146" s="3">
        <f t="shared" si="70"/>
        <v>0</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4.3350627386052817E-2</v>
      </c>
      <c r="C147" s="3">
        <f t="shared" si="72"/>
        <v>4.3350627386052817E-2</v>
      </c>
      <c r="D147" s="3">
        <f t="shared" si="72"/>
        <v>4.3350627386052817E-2</v>
      </c>
      <c r="E147" s="3">
        <f t="shared" si="72"/>
        <v>4.3350627386052817E-2</v>
      </c>
      <c r="F147" s="3">
        <f t="shared" si="72"/>
        <v>4.3350627386052817E-2</v>
      </c>
      <c r="G147" s="3">
        <f t="shared" si="72"/>
        <v>4.3350627386052817E-2</v>
      </c>
      <c r="H147" s="3">
        <f t="shared" si="72"/>
        <v>4.335062738605281E-2</v>
      </c>
      <c r="I147" s="3">
        <f t="shared" si="72"/>
        <v>4.3350627386052776E-2</v>
      </c>
      <c r="J147" s="3">
        <f t="shared" si="72"/>
        <v>4.3350627386052429E-2</v>
      </c>
      <c r="K147" s="3">
        <f t="shared" si="72"/>
        <v>4.3350627386048925E-2</v>
      </c>
      <c r="L147" s="3">
        <f t="shared" si="72"/>
        <v>4.3350627386013897E-2</v>
      </c>
      <c r="M147" s="3">
        <f t="shared" si="72"/>
        <v>4.335062738566358E-2</v>
      </c>
      <c r="N147" s="3">
        <f t="shared" si="72"/>
        <v>4.3350627382160466E-2</v>
      </c>
      <c r="O147" s="3">
        <f t="shared" si="72"/>
        <v>4.3350627347129307E-2</v>
      </c>
      <c r="P147" s="3">
        <f t="shared" si="72"/>
        <v>4.3350626996817736E-2</v>
      </c>
      <c r="Q147" s="3">
        <f t="shared" si="72"/>
        <v>4.3350623493702202E-2</v>
      </c>
      <c r="R147" s="3">
        <f t="shared" si="72"/>
        <v>4.335058846256238E-2</v>
      </c>
      <c r="S147" s="3">
        <f t="shared" si="72"/>
        <v>4.3350238152721141E-2</v>
      </c>
      <c r="T147" s="3">
        <f t="shared" si="72"/>
        <v>4.3346735209999182E-2</v>
      </c>
      <c r="U147" s="3">
        <f t="shared" si="72"/>
        <v>4.3311721347165759E-2</v>
      </c>
      <c r="V147" s="3">
        <f t="shared" si="72"/>
        <v>4.2963134513851191E-2</v>
      </c>
      <c r="W147" s="3">
        <f t="shared" si="72"/>
        <v>3.962790451495344E-2</v>
      </c>
      <c r="X147" s="3">
        <f t="shared" si="72"/>
        <v>1.7662517070171777E-2</v>
      </c>
      <c r="Y147" s="3">
        <f t="shared" si="72"/>
        <v>5.4647143018588699E-6</v>
      </c>
      <c r="Z147" s="3">
        <f t="shared" si="72"/>
        <v>4.3925441286050132E-41</v>
      </c>
      <c r="AA147" s="3">
        <f t="shared" ref="AA147" si="73">$C33*EXP(-AA$129/$A33/EXP(-$B$126))</f>
        <v>0</v>
      </c>
      <c r="AB147" s="3">
        <f t="shared" si="67"/>
        <v>0</v>
      </c>
      <c r="AC147" s="3">
        <f t="shared" si="67"/>
        <v>0</v>
      </c>
      <c r="AD147" s="3">
        <f t="shared" si="67"/>
        <v>0</v>
      </c>
      <c r="AE147" s="3">
        <f t="shared" si="67"/>
        <v>0</v>
      </c>
      <c r="AF147" s="3">
        <f t="shared" si="67"/>
        <v>0</v>
      </c>
    </row>
    <row r="148" spans="1:32" x14ac:dyDescent="0.25">
      <c r="B148" s="3">
        <f t="shared" ref="B148:Z148" si="74">$C34*EXP(-B$129/$A34/EXP(-$B$126))</f>
        <v>7.4512934998130873E-2</v>
      </c>
      <c r="C148" s="3">
        <f t="shared" si="74"/>
        <v>7.4512934998130873E-2</v>
      </c>
      <c r="D148" s="3">
        <f t="shared" si="74"/>
        <v>7.4512934998130873E-2</v>
      </c>
      <c r="E148" s="3">
        <f t="shared" si="74"/>
        <v>7.4512934998130873E-2</v>
      </c>
      <c r="F148" s="3">
        <f t="shared" si="74"/>
        <v>7.4512934998130873E-2</v>
      </c>
      <c r="G148" s="3">
        <f t="shared" si="74"/>
        <v>7.4512934998130873E-2</v>
      </c>
      <c r="H148" s="3">
        <f t="shared" si="74"/>
        <v>7.4512934998130873E-2</v>
      </c>
      <c r="I148" s="3">
        <f t="shared" si="74"/>
        <v>7.4512934998130859E-2</v>
      </c>
      <c r="J148" s="3">
        <f t="shared" si="74"/>
        <v>7.4512934998130817E-2</v>
      </c>
      <c r="K148" s="3">
        <f t="shared" si="74"/>
        <v>7.4512934998130262E-2</v>
      </c>
      <c r="L148" s="3">
        <f t="shared" si="74"/>
        <v>7.4512934998124836E-2</v>
      </c>
      <c r="M148" s="3">
        <f t="shared" si="74"/>
        <v>7.4512934998070518E-2</v>
      </c>
      <c r="N148" s="3">
        <f t="shared" si="74"/>
        <v>7.4512934997527341E-2</v>
      </c>
      <c r="O148" s="3">
        <f t="shared" si="74"/>
        <v>7.4512934992095631E-2</v>
      </c>
      <c r="P148" s="3">
        <f t="shared" si="74"/>
        <v>7.4512934937778441E-2</v>
      </c>
      <c r="Q148" s="3">
        <f t="shared" si="74"/>
        <v>7.4512934394606448E-2</v>
      </c>
      <c r="R148" s="3">
        <f t="shared" si="74"/>
        <v>7.4512928962886915E-2</v>
      </c>
      <c r="S148" s="3">
        <f t="shared" si="74"/>
        <v>7.4512874645713309E-2</v>
      </c>
      <c r="T148" s="3">
        <f t="shared" si="74"/>
        <v>7.4512331476155019E-2</v>
      </c>
      <c r="U148" s="3">
        <f t="shared" si="74"/>
        <v>7.4506899998339315E-2</v>
      </c>
      <c r="V148" s="3">
        <f t="shared" si="74"/>
        <v>7.4452606991042544E-2</v>
      </c>
      <c r="W148" s="3">
        <f t="shared" si="74"/>
        <v>7.3911848143565759E-2</v>
      </c>
      <c r="X148" s="3">
        <f t="shared" si="74"/>
        <v>6.8715638504741272E-2</v>
      </c>
      <c r="Y148" s="3">
        <f t="shared" si="74"/>
        <v>3.3149030498384857E-2</v>
      </c>
      <c r="Z148" s="3">
        <f t="shared" si="74"/>
        <v>2.2626807410899041E-5</v>
      </c>
      <c r="AA148" s="3">
        <f>$C34*EXP(-AA$129/$A34/EXP(-$B$126))</f>
        <v>4.9676131911234028E-37</v>
      </c>
      <c r="AB148" s="3">
        <f t="shared" si="67"/>
        <v>0</v>
      </c>
      <c r="AC148" s="3">
        <f t="shared" si="67"/>
        <v>0</v>
      </c>
      <c r="AD148" s="3">
        <f t="shared" si="67"/>
        <v>0</v>
      </c>
      <c r="AE148" s="3">
        <f t="shared" si="67"/>
        <v>0</v>
      </c>
      <c r="AF148" s="3">
        <f t="shared" si="67"/>
        <v>0</v>
      </c>
    </row>
    <row r="149" spans="1:32" x14ac:dyDescent="0.25">
      <c r="B149" s="3">
        <f t="shared" ref="B149:Z149" si="75">$C35*EXP(-B$129/$A35/EXP(-$B$126))</f>
        <v>8.3057229561504284E-2</v>
      </c>
      <c r="C149" s="3">
        <f t="shared" si="75"/>
        <v>8.3057229561504284E-2</v>
      </c>
      <c r="D149" s="3">
        <f t="shared" si="75"/>
        <v>8.3057229561504284E-2</v>
      </c>
      <c r="E149" s="3">
        <f t="shared" si="75"/>
        <v>8.3057229561504284E-2</v>
      </c>
      <c r="F149" s="3">
        <f t="shared" si="75"/>
        <v>8.3057229561504284E-2</v>
      </c>
      <c r="G149" s="3">
        <f t="shared" si="75"/>
        <v>8.3057229561504284E-2</v>
      </c>
      <c r="H149" s="3">
        <f t="shared" si="75"/>
        <v>8.3057229561504284E-2</v>
      </c>
      <c r="I149" s="3">
        <f t="shared" si="75"/>
        <v>8.3057229561504284E-2</v>
      </c>
      <c r="J149" s="3">
        <f t="shared" si="75"/>
        <v>8.305722956150427E-2</v>
      </c>
      <c r="K149" s="3">
        <f t="shared" si="75"/>
        <v>8.3057229561504214E-2</v>
      </c>
      <c r="L149" s="3">
        <f t="shared" si="75"/>
        <v>8.3057229561503673E-2</v>
      </c>
      <c r="M149" s="3">
        <f t="shared" si="75"/>
        <v>8.3057229561498219E-2</v>
      </c>
      <c r="N149" s="3">
        <f t="shared" si="75"/>
        <v>8.3057229561443596E-2</v>
      </c>
      <c r="O149" s="3">
        <f t="shared" si="75"/>
        <v>8.3057229560897422E-2</v>
      </c>
      <c r="P149" s="3">
        <f t="shared" si="75"/>
        <v>8.3057229555435694E-2</v>
      </c>
      <c r="Q149" s="3">
        <f t="shared" si="75"/>
        <v>8.3057229500818466E-2</v>
      </c>
      <c r="R149" s="3">
        <f t="shared" si="75"/>
        <v>8.3057228954646109E-2</v>
      </c>
      <c r="S149" s="3">
        <f t="shared" si="75"/>
        <v>8.3057223492922716E-2</v>
      </c>
      <c r="T149" s="3">
        <f t="shared" si="75"/>
        <v>8.3057168875708659E-2</v>
      </c>
      <c r="U149" s="3">
        <f t="shared" si="75"/>
        <v>8.3056622705543273E-2</v>
      </c>
      <c r="V149" s="3">
        <f t="shared" si="75"/>
        <v>8.3051161201419421E-2</v>
      </c>
      <c r="W149" s="3">
        <f t="shared" si="75"/>
        <v>8.2996565908370262E-2</v>
      </c>
      <c r="X149" s="3">
        <f t="shared" si="75"/>
        <v>8.2452583000392002E-2</v>
      </c>
      <c r="Y149" s="3">
        <f t="shared" si="75"/>
        <v>7.7205046119978818E-2</v>
      </c>
      <c r="Z149" s="3">
        <f t="shared" si="75"/>
        <v>3.999999161946001E-2</v>
      </c>
      <c r="AA149" s="3">
        <f t="shared" ref="AA149" si="76">$C35*EXP(-AA$129/$A35/EXP(-$B$126))</f>
        <v>5.5744501526929605E-5</v>
      </c>
      <c r="AB149" s="3">
        <f t="shared" si="67"/>
        <v>1.5403641272398267E-33</v>
      </c>
      <c r="AC149" s="3">
        <f t="shared" si="67"/>
        <v>0</v>
      </c>
      <c r="AD149" s="3">
        <f t="shared" si="67"/>
        <v>0</v>
      </c>
      <c r="AE149" s="3">
        <f t="shared" si="67"/>
        <v>0</v>
      </c>
      <c r="AF149" s="3">
        <f t="shared" si="67"/>
        <v>0</v>
      </c>
    </row>
    <row r="150" spans="1:32" x14ac:dyDescent="0.25">
      <c r="B150" s="3">
        <f t="shared" ref="B150:Z150" si="77">$C36*EXP(-B$129/$A36/EXP(-$B$126))</f>
        <v>7.1718979370641908E-2</v>
      </c>
      <c r="C150" s="3">
        <f t="shared" si="77"/>
        <v>7.1718979370641908E-2</v>
      </c>
      <c r="D150" s="3">
        <f t="shared" si="77"/>
        <v>7.1718979370641908E-2</v>
      </c>
      <c r="E150" s="3">
        <f t="shared" si="77"/>
        <v>7.1718979370641908E-2</v>
      </c>
      <c r="F150" s="3">
        <f t="shared" si="77"/>
        <v>7.1718979370641908E-2</v>
      </c>
      <c r="G150" s="3">
        <f t="shared" si="77"/>
        <v>7.1718979370641908E-2</v>
      </c>
      <c r="H150" s="3">
        <f t="shared" si="77"/>
        <v>7.1718979370641908E-2</v>
      </c>
      <c r="I150" s="3">
        <f t="shared" si="77"/>
        <v>7.1718979370641908E-2</v>
      </c>
      <c r="J150" s="3">
        <f t="shared" si="77"/>
        <v>7.1718979370641908E-2</v>
      </c>
      <c r="K150" s="3">
        <f t="shared" si="77"/>
        <v>7.1718979370641894E-2</v>
      </c>
      <c r="L150" s="3">
        <f t="shared" si="77"/>
        <v>7.1718979370641867E-2</v>
      </c>
      <c r="M150" s="3">
        <f t="shared" si="77"/>
        <v>7.1718979370641436E-2</v>
      </c>
      <c r="N150" s="3">
        <f t="shared" si="77"/>
        <v>7.1718979370637176E-2</v>
      </c>
      <c r="O150" s="3">
        <f t="shared" si="77"/>
        <v>7.171897937059464E-2</v>
      </c>
      <c r="P150" s="3">
        <f t="shared" si="77"/>
        <v>7.1718979370169203E-2</v>
      </c>
      <c r="Q150" s="3">
        <f t="shared" si="77"/>
        <v>7.1718979365914856E-2</v>
      </c>
      <c r="R150" s="3">
        <f t="shared" si="77"/>
        <v>7.1718979323371373E-2</v>
      </c>
      <c r="S150" s="3">
        <f t="shared" si="77"/>
        <v>7.1718978897936617E-2</v>
      </c>
      <c r="T150" s="3">
        <f t="shared" si="77"/>
        <v>7.1718974643589201E-2</v>
      </c>
      <c r="U150" s="3">
        <f t="shared" si="77"/>
        <v>7.1718932100128807E-2</v>
      </c>
      <c r="V150" s="3">
        <f t="shared" si="77"/>
        <v>7.1718506666912943E-2</v>
      </c>
      <c r="W150" s="3">
        <f t="shared" si="77"/>
        <v>7.1714252473552578E-2</v>
      </c>
      <c r="X150" s="3">
        <f t="shared" si="77"/>
        <v>7.1671724416726146E-2</v>
      </c>
      <c r="Y150" s="3">
        <f t="shared" si="77"/>
        <v>7.1247828485309389E-2</v>
      </c>
      <c r="Z150" s="3">
        <f t="shared" si="77"/>
        <v>6.7144341434546131E-2</v>
      </c>
      <c r="AA150" s="3">
        <f t="shared" ref="AA150" si="78">$C36*EXP(-AA$129/$A36/EXP(-$B$126))</f>
        <v>3.7101142258900197E-2</v>
      </c>
      <c r="AB150" s="3">
        <f t="shared" si="67"/>
        <v>9.8438707528151622E-5</v>
      </c>
      <c r="AC150" s="3">
        <f t="shared" si="67"/>
        <v>1.7019708770978397E-30</v>
      </c>
      <c r="AD150" s="3">
        <f t="shared" si="67"/>
        <v>4.0626961277884786E-288</v>
      </c>
      <c r="AE150" s="3">
        <f t="shared" si="67"/>
        <v>0</v>
      </c>
      <c r="AF150" s="3">
        <f t="shared" si="67"/>
        <v>0</v>
      </c>
    </row>
    <row r="151" spans="1:32" x14ac:dyDescent="0.25">
      <c r="B151" s="3">
        <f t="shared" ref="B151:Z151" si="79">$C37*EXP(-B$129/$A37/EXP(-$B$126))</f>
        <v>7.0532782470365804E-2</v>
      </c>
      <c r="C151" s="3">
        <f t="shared" si="79"/>
        <v>7.0532782470365804E-2</v>
      </c>
      <c r="D151" s="3">
        <f t="shared" si="79"/>
        <v>7.0532782470365804E-2</v>
      </c>
      <c r="E151" s="3">
        <f t="shared" si="79"/>
        <v>7.0532782470365804E-2</v>
      </c>
      <c r="F151" s="3">
        <f t="shared" si="79"/>
        <v>7.0532782470365804E-2</v>
      </c>
      <c r="G151" s="3">
        <f t="shared" si="79"/>
        <v>7.0532782470365804E-2</v>
      </c>
      <c r="H151" s="3">
        <f t="shared" si="79"/>
        <v>7.0532782470365804E-2</v>
      </c>
      <c r="I151" s="3">
        <f t="shared" si="79"/>
        <v>7.0532782470365804E-2</v>
      </c>
      <c r="J151" s="3">
        <f t="shared" si="79"/>
        <v>7.0532782470365804E-2</v>
      </c>
      <c r="K151" s="3">
        <f t="shared" si="79"/>
        <v>7.0532782470365804E-2</v>
      </c>
      <c r="L151" s="3">
        <f t="shared" si="79"/>
        <v>7.053278247036579E-2</v>
      </c>
      <c r="M151" s="3">
        <f t="shared" si="79"/>
        <v>7.0532782470365762E-2</v>
      </c>
      <c r="N151" s="3">
        <f t="shared" si="79"/>
        <v>7.0532782470365388E-2</v>
      </c>
      <c r="O151" s="3">
        <f t="shared" si="79"/>
        <v>7.0532782470361613E-2</v>
      </c>
      <c r="P151" s="3">
        <f t="shared" si="79"/>
        <v>7.0532782470323865E-2</v>
      </c>
      <c r="Q151" s="3">
        <f t="shared" si="79"/>
        <v>7.0532782469946431E-2</v>
      </c>
      <c r="R151" s="3">
        <f t="shared" si="79"/>
        <v>7.0532782466172131E-2</v>
      </c>
      <c r="S151" s="3">
        <f t="shared" si="79"/>
        <v>7.0532782428429128E-2</v>
      </c>
      <c r="T151" s="3">
        <f t="shared" si="79"/>
        <v>7.0532782050999082E-2</v>
      </c>
      <c r="U151" s="3">
        <f t="shared" si="79"/>
        <v>7.0532778276698696E-2</v>
      </c>
      <c r="V151" s="3">
        <f t="shared" si="79"/>
        <v>7.0532740533705895E-2</v>
      </c>
      <c r="W151" s="3">
        <f t="shared" si="79"/>
        <v>7.0532363104888779E-2</v>
      </c>
      <c r="X151" s="3">
        <f t="shared" si="79"/>
        <v>7.0528588927797328E-2</v>
      </c>
      <c r="Y151" s="3">
        <f t="shared" si="79"/>
        <v>7.0490858262663492E-2</v>
      </c>
      <c r="Z151" s="3">
        <f t="shared" si="79"/>
        <v>7.0114659993671877E-2</v>
      </c>
      <c r="AA151" s="3">
        <f t="shared" ref="AA151" si="80">$C37*EXP(-AA$129/$A37/EXP(-$B$126))</f>
        <v>6.6461352089574308E-2</v>
      </c>
      <c r="AB151" s="3">
        <f t="shared" si="67"/>
        <v>3.8919976730455906E-2</v>
      </c>
      <c r="AC151" s="3">
        <f t="shared" si="67"/>
        <v>1.8458931924296689E-4</v>
      </c>
      <c r="AD151" s="3">
        <f t="shared" si="67"/>
        <v>1.0630324703954459E-27</v>
      </c>
      <c r="AE151" s="3">
        <f t="shared" si="67"/>
        <v>4.2652663020857584E-260</v>
      </c>
      <c r="AF151" s="3">
        <f t="shared" si="67"/>
        <v>0</v>
      </c>
    </row>
    <row r="152" spans="1:32" x14ac:dyDescent="0.25">
      <c r="B152" s="3">
        <f t="shared" ref="B152:Z152" si="81">$C38*EXP(-B$129/$A38/EXP(-$B$126))</f>
        <v>3.5919956978906278E-2</v>
      </c>
      <c r="C152" s="3">
        <f t="shared" si="81"/>
        <v>3.5919956978906278E-2</v>
      </c>
      <c r="D152" s="3">
        <f t="shared" si="81"/>
        <v>3.5919956978906278E-2</v>
      </c>
      <c r="E152" s="3">
        <f t="shared" si="81"/>
        <v>3.5919956978906278E-2</v>
      </c>
      <c r="F152" s="3">
        <f t="shared" si="81"/>
        <v>3.5919956978906278E-2</v>
      </c>
      <c r="G152" s="3">
        <f t="shared" si="81"/>
        <v>3.5919956978906278E-2</v>
      </c>
      <c r="H152" s="3">
        <f t="shared" si="81"/>
        <v>3.5919956978906278E-2</v>
      </c>
      <c r="I152" s="3">
        <f t="shared" si="81"/>
        <v>3.5919956978906278E-2</v>
      </c>
      <c r="J152" s="3">
        <f t="shared" si="81"/>
        <v>3.5919956978906278E-2</v>
      </c>
      <c r="K152" s="3">
        <f t="shared" si="81"/>
        <v>3.5919956978906278E-2</v>
      </c>
      <c r="L152" s="3">
        <f t="shared" si="81"/>
        <v>3.5919956978906278E-2</v>
      </c>
      <c r="M152" s="3">
        <f t="shared" si="81"/>
        <v>3.5919956978906278E-2</v>
      </c>
      <c r="N152" s="3">
        <f t="shared" si="81"/>
        <v>3.5919956978906258E-2</v>
      </c>
      <c r="O152" s="3">
        <f t="shared" si="81"/>
        <v>3.5919956978906084E-2</v>
      </c>
      <c r="P152" s="3">
        <f t="shared" si="81"/>
        <v>3.5919956978904349E-2</v>
      </c>
      <c r="Q152" s="3">
        <f t="shared" si="81"/>
        <v>3.5919956978887016E-2</v>
      </c>
      <c r="R152" s="3">
        <f t="shared" si="81"/>
        <v>3.591995697871362E-2</v>
      </c>
      <c r="S152" s="3">
        <f t="shared" si="81"/>
        <v>3.5919956976979701E-2</v>
      </c>
      <c r="T152" s="3">
        <f t="shared" si="81"/>
        <v>3.5919956959640557E-2</v>
      </c>
      <c r="U152" s="3">
        <f t="shared" si="81"/>
        <v>3.5919956786249034E-2</v>
      </c>
      <c r="V152" s="3">
        <f t="shared" si="81"/>
        <v>3.591995505233387E-2</v>
      </c>
      <c r="W152" s="3">
        <f t="shared" si="81"/>
        <v>3.5919937713186807E-2</v>
      </c>
      <c r="X152" s="3">
        <f t="shared" si="81"/>
        <v>3.5919764322176549E-2</v>
      </c>
      <c r="Y152" s="3">
        <f t="shared" si="81"/>
        <v>3.5918030458107493E-2</v>
      </c>
      <c r="Z152" s="3">
        <f t="shared" si="81"/>
        <v>3.5900696419944679E-2</v>
      </c>
      <c r="AA152" s="3">
        <f t="shared" ref="AA152" si="82">$C38*EXP(-AA$129/$A38/EXP(-$B$126))</f>
        <v>3.5727815470116726E-2</v>
      </c>
      <c r="AB152" s="3">
        <f t="shared" si="67"/>
        <v>3.404413907082008E-2</v>
      </c>
      <c r="AC152" s="3">
        <f t="shared" si="67"/>
        <v>2.1008802040840397E-2</v>
      </c>
      <c r="AD152" s="3">
        <f t="shared" si="67"/>
        <v>1.6826377113152033E-4</v>
      </c>
      <c r="AE152" s="3">
        <f t="shared" si="67"/>
        <v>1.8276116192548299E-25</v>
      </c>
      <c r="AF152" s="3">
        <f t="shared" si="67"/>
        <v>4.1765418173532581E-235</v>
      </c>
    </row>
    <row r="153" spans="1:32" x14ac:dyDescent="0.25">
      <c r="B153" s="3">
        <f t="shared" ref="B153:Z153" si="83">$C39*EXP(-B$129/$A39/EXP(-$B$126))</f>
        <v>6.619073120792586E-2</v>
      </c>
      <c r="C153" s="3">
        <f t="shared" si="83"/>
        <v>6.619073120792586E-2</v>
      </c>
      <c r="D153" s="3">
        <f t="shared" si="83"/>
        <v>6.619073120792586E-2</v>
      </c>
      <c r="E153" s="3">
        <f t="shared" si="83"/>
        <v>6.619073120792586E-2</v>
      </c>
      <c r="F153" s="3">
        <f t="shared" si="83"/>
        <v>6.619073120792586E-2</v>
      </c>
      <c r="G153" s="3">
        <f t="shared" si="83"/>
        <v>6.619073120792586E-2</v>
      </c>
      <c r="H153" s="3">
        <f t="shared" si="83"/>
        <v>6.619073120792586E-2</v>
      </c>
      <c r="I153" s="3">
        <f t="shared" si="83"/>
        <v>6.619073120792586E-2</v>
      </c>
      <c r="J153" s="3">
        <f t="shared" si="83"/>
        <v>6.619073120792586E-2</v>
      </c>
      <c r="K153" s="3">
        <f t="shared" si="83"/>
        <v>6.619073120792586E-2</v>
      </c>
      <c r="L153" s="3">
        <f t="shared" si="83"/>
        <v>6.619073120792586E-2</v>
      </c>
      <c r="M153" s="3">
        <f t="shared" si="83"/>
        <v>6.619073120792586E-2</v>
      </c>
      <c r="N153" s="3">
        <f t="shared" si="83"/>
        <v>6.6190731207925846E-2</v>
      </c>
      <c r="O153" s="3">
        <f t="shared" si="83"/>
        <v>6.6190731207925763E-2</v>
      </c>
      <c r="P153" s="3">
        <f t="shared" si="83"/>
        <v>6.6190731207924874E-2</v>
      </c>
      <c r="Q153" s="3">
        <f t="shared" si="83"/>
        <v>6.6190731207916048E-2</v>
      </c>
      <c r="R153" s="3">
        <f t="shared" si="83"/>
        <v>6.6190731207827674E-2</v>
      </c>
      <c r="S153" s="3">
        <f t="shared" si="83"/>
        <v>6.6190731206943978E-2</v>
      </c>
      <c r="T153" s="3">
        <f t="shared" si="83"/>
        <v>6.6190731198107033E-2</v>
      </c>
      <c r="U153" s="3">
        <f t="shared" si="83"/>
        <v>6.6190731109737597E-2</v>
      </c>
      <c r="V153" s="3">
        <f t="shared" si="83"/>
        <v>6.6190730226043229E-2</v>
      </c>
      <c r="W153" s="3">
        <f t="shared" si="83"/>
        <v>6.6190721389100191E-2</v>
      </c>
      <c r="X153" s="3">
        <f t="shared" si="83"/>
        <v>6.619063301973474E-2</v>
      </c>
      <c r="Y153" s="3">
        <f t="shared" si="83"/>
        <v>6.6189749332569048E-2</v>
      </c>
      <c r="Z153" s="3">
        <f t="shared" si="83"/>
        <v>6.6180913109764511E-2</v>
      </c>
      <c r="AA153" s="3">
        <f t="shared" ref="AA153" si="84">$C39*EXP(-AA$129/$A39/EXP(-$B$126))</f>
        <v>6.6092615734909793E-2</v>
      </c>
      <c r="AB153" s="3">
        <f t="shared" si="67"/>
        <v>6.5216095383544309E-2</v>
      </c>
      <c r="AC153" s="3">
        <f t="shared" si="67"/>
        <v>5.7065460071046022E-2</v>
      </c>
      <c r="AD153" s="3">
        <f t="shared" si="67"/>
        <v>1.5016150793648288E-2</v>
      </c>
      <c r="AE153" s="3">
        <f t="shared" si="67"/>
        <v>2.3900753884025428E-8</v>
      </c>
      <c r="AF153" s="3">
        <f t="shared" si="67"/>
        <v>2.4942580879619397E-66</v>
      </c>
    </row>
    <row r="154" spans="1:32" x14ac:dyDescent="0.25">
      <c r="B154" s="3">
        <f t="shared" ref="B154:Z154" si="85">$C40*EXP(-B$129/$A40/EXP(-$B$126))</f>
        <v>7.7756478024563841E-2</v>
      </c>
      <c r="C154" s="3">
        <f t="shared" si="85"/>
        <v>7.7756478024563841E-2</v>
      </c>
      <c r="D154" s="3">
        <f t="shared" si="85"/>
        <v>7.7756478024563841E-2</v>
      </c>
      <c r="E154" s="3">
        <f t="shared" si="85"/>
        <v>7.7756478024563841E-2</v>
      </c>
      <c r="F154" s="3">
        <f t="shared" si="85"/>
        <v>7.7756478024563841E-2</v>
      </c>
      <c r="G154" s="3">
        <f t="shared" si="85"/>
        <v>7.7756478024563841E-2</v>
      </c>
      <c r="H154" s="3">
        <f t="shared" si="85"/>
        <v>7.7756478024563841E-2</v>
      </c>
      <c r="I154" s="3">
        <f t="shared" si="85"/>
        <v>7.7756478024563841E-2</v>
      </c>
      <c r="J154" s="3">
        <f t="shared" si="85"/>
        <v>7.7756478024563841E-2</v>
      </c>
      <c r="K154" s="3">
        <f t="shared" si="85"/>
        <v>7.7756478024563841E-2</v>
      </c>
      <c r="L154" s="3">
        <f t="shared" si="85"/>
        <v>7.7756478024563841E-2</v>
      </c>
      <c r="M154" s="3">
        <f t="shared" si="85"/>
        <v>7.7756478024563841E-2</v>
      </c>
      <c r="N154" s="3">
        <f t="shared" si="85"/>
        <v>7.7756478024563841E-2</v>
      </c>
      <c r="O154" s="3">
        <f t="shared" si="85"/>
        <v>7.7756478024563827E-2</v>
      </c>
      <c r="P154" s="3">
        <f t="shared" si="85"/>
        <v>7.775647802456373E-2</v>
      </c>
      <c r="Q154" s="3">
        <f t="shared" si="85"/>
        <v>7.7756478024562689E-2</v>
      </c>
      <c r="R154" s="3">
        <f t="shared" si="85"/>
        <v>7.7756478024552309E-2</v>
      </c>
      <c r="S154" s="3">
        <f t="shared" si="85"/>
        <v>7.7756478024448503E-2</v>
      </c>
      <c r="T154" s="3">
        <f t="shared" si="85"/>
        <v>7.7756478023410389E-2</v>
      </c>
      <c r="U154" s="3">
        <f t="shared" si="85"/>
        <v>7.7756478013029331E-2</v>
      </c>
      <c r="V154" s="3">
        <f t="shared" si="85"/>
        <v>7.7756477909218788E-2</v>
      </c>
      <c r="W154" s="3">
        <f t="shared" si="85"/>
        <v>7.7756476871113284E-2</v>
      </c>
      <c r="X154" s="3">
        <f t="shared" si="85"/>
        <v>7.7756466490059115E-2</v>
      </c>
      <c r="Y154" s="3">
        <f t="shared" si="85"/>
        <v>7.7756362679593544E-2</v>
      </c>
      <c r="Z154" s="3">
        <f t="shared" si="85"/>
        <v>7.7755324582560542E-2</v>
      </c>
      <c r="AA154" s="3">
        <f t="shared" ref="AA154:AF154" si="86">$C40*EXP(-AA$129/$A40/EXP(-$B$126))</f>
        <v>7.7744944374459155E-2</v>
      </c>
      <c r="AB154" s="3">
        <f t="shared" si="86"/>
        <v>7.7641218478669449E-2</v>
      </c>
      <c r="AC154" s="3">
        <f t="shared" si="86"/>
        <v>7.6611540543477324E-2</v>
      </c>
      <c r="AD154" s="3">
        <f t="shared" si="86"/>
        <v>6.7036715126129201E-2</v>
      </c>
      <c r="AE154" s="3">
        <f t="shared" si="86"/>
        <v>1.7639977348672016E-2</v>
      </c>
      <c r="AF154" s="3">
        <f t="shared" si="86"/>
        <v>2.8077019398921482E-8</v>
      </c>
    </row>
    <row r="155" spans="1:32" x14ac:dyDescent="0.25">
      <c r="B155" s="3">
        <f t="shared" ref="B155:Z155" si="87">$C41*EXP(-B$129/$A41/EXP(-$B$126))</f>
        <v>8.4379776386596134E-2</v>
      </c>
      <c r="C155" s="3">
        <f t="shared" si="87"/>
        <v>8.4379776386596134E-2</v>
      </c>
      <c r="D155" s="3">
        <f t="shared" si="87"/>
        <v>8.4379776386596134E-2</v>
      </c>
      <c r="E155" s="3">
        <f t="shared" si="87"/>
        <v>8.4379776386596134E-2</v>
      </c>
      <c r="F155" s="3">
        <f t="shared" si="87"/>
        <v>8.4379776386596134E-2</v>
      </c>
      <c r="G155" s="3">
        <f t="shared" si="87"/>
        <v>8.4379776386596134E-2</v>
      </c>
      <c r="H155" s="3">
        <f t="shared" si="87"/>
        <v>8.4379776386596134E-2</v>
      </c>
      <c r="I155" s="3">
        <f t="shared" si="87"/>
        <v>8.4379776386596134E-2</v>
      </c>
      <c r="J155" s="3">
        <f t="shared" si="87"/>
        <v>8.4379776386596134E-2</v>
      </c>
      <c r="K155" s="3">
        <f t="shared" si="87"/>
        <v>8.4379776386596134E-2</v>
      </c>
      <c r="L155" s="3">
        <f t="shared" si="87"/>
        <v>8.4379776386596134E-2</v>
      </c>
      <c r="M155" s="3">
        <f t="shared" si="87"/>
        <v>8.4379776386596134E-2</v>
      </c>
      <c r="N155" s="3">
        <f t="shared" si="87"/>
        <v>8.4379776386596134E-2</v>
      </c>
      <c r="O155" s="3">
        <f t="shared" si="87"/>
        <v>8.4379776386596134E-2</v>
      </c>
      <c r="P155" s="3">
        <f t="shared" si="87"/>
        <v>8.437977638659612E-2</v>
      </c>
      <c r="Q155" s="3">
        <f t="shared" si="87"/>
        <v>8.4379776386596009E-2</v>
      </c>
      <c r="R155" s="3">
        <f t="shared" si="87"/>
        <v>8.4379776386594885E-2</v>
      </c>
      <c r="S155" s="3">
        <f t="shared" si="87"/>
        <v>8.4379776386583616E-2</v>
      </c>
      <c r="T155" s="3">
        <f t="shared" si="87"/>
        <v>8.437977638647097E-2</v>
      </c>
      <c r="U155" s="3">
        <f t="shared" si="87"/>
        <v>8.4379776385344427E-2</v>
      </c>
      <c r="V155" s="3">
        <f t="shared" si="87"/>
        <v>8.4379776374079118E-2</v>
      </c>
      <c r="W155" s="3">
        <f t="shared" si="87"/>
        <v>8.4379776261425982E-2</v>
      </c>
      <c r="X155" s="3">
        <f t="shared" si="87"/>
        <v>8.4379775134894641E-2</v>
      </c>
      <c r="Y155" s="3">
        <f t="shared" si="87"/>
        <v>8.4379763869582056E-2</v>
      </c>
      <c r="Z155" s="3">
        <f t="shared" si="87"/>
        <v>8.4379651216538953E-2</v>
      </c>
      <c r="AA155" s="3">
        <f t="shared" ref="AA155:AF155" si="88">$C41*EXP(-AA$129/$A41/EXP(-$B$126))</f>
        <v>8.43785246943798E-2</v>
      </c>
      <c r="AB155" s="3">
        <f t="shared" si="88"/>
        <v>8.4367260299943556E-2</v>
      </c>
      <c r="AC155" s="3">
        <f t="shared" si="88"/>
        <v>8.4254699030264266E-2</v>
      </c>
      <c r="AD155" s="3">
        <f t="shared" si="88"/>
        <v>8.3137313107842781E-2</v>
      </c>
      <c r="AE155" s="3">
        <f t="shared" si="88"/>
        <v>7.2746903868868451E-2</v>
      </c>
      <c r="AF155" s="3">
        <f t="shared" si="88"/>
        <v>1.9142550974021112E-2</v>
      </c>
    </row>
    <row r="156" spans="1:32" x14ac:dyDescent="0.25">
      <c r="B156" s="3">
        <f t="shared" ref="B156:Z156" si="89">$C42*EXP(-B$129/$A42/EXP(-$B$126))</f>
        <v>9.8418254231933067E-2</v>
      </c>
      <c r="C156" s="3">
        <f t="shared" si="89"/>
        <v>9.8418254231933067E-2</v>
      </c>
      <c r="D156" s="3">
        <f t="shared" si="89"/>
        <v>9.8418254231933067E-2</v>
      </c>
      <c r="E156" s="3">
        <f t="shared" si="89"/>
        <v>9.8418254231933067E-2</v>
      </c>
      <c r="F156" s="3">
        <f t="shared" si="89"/>
        <v>9.8418254231933067E-2</v>
      </c>
      <c r="G156" s="3">
        <f t="shared" si="89"/>
        <v>9.8418254231933067E-2</v>
      </c>
      <c r="H156" s="3">
        <f t="shared" si="89"/>
        <v>9.8418254231933067E-2</v>
      </c>
      <c r="I156" s="3">
        <f t="shared" si="89"/>
        <v>9.8418254231933067E-2</v>
      </c>
      <c r="J156" s="3">
        <f t="shared" si="89"/>
        <v>9.8418254231933067E-2</v>
      </c>
      <c r="K156" s="3">
        <f t="shared" si="89"/>
        <v>9.8418254231933067E-2</v>
      </c>
      <c r="L156" s="3">
        <f t="shared" si="89"/>
        <v>9.8418254231933067E-2</v>
      </c>
      <c r="M156" s="3">
        <f t="shared" si="89"/>
        <v>9.8418254231933067E-2</v>
      </c>
      <c r="N156" s="3">
        <f t="shared" si="89"/>
        <v>9.8418254231933067E-2</v>
      </c>
      <c r="O156" s="3">
        <f t="shared" si="89"/>
        <v>9.8418254231933067E-2</v>
      </c>
      <c r="P156" s="3">
        <f t="shared" si="89"/>
        <v>9.8418254231933067E-2</v>
      </c>
      <c r="Q156" s="3">
        <f t="shared" si="89"/>
        <v>9.8418254231933053E-2</v>
      </c>
      <c r="R156" s="3">
        <f t="shared" si="89"/>
        <v>9.8418254231932928E-2</v>
      </c>
      <c r="S156" s="3">
        <f t="shared" si="89"/>
        <v>9.8418254231931596E-2</v>
      </c>
      <c r="T156" s="3">
        <f t="shared" si="89"/>
        <v>9.8418254231918467E-2</v>
      </c>
      <c r="U156" s="3">
        <f t="shared" si="89"/>
        <v>9.8418254231787072E-2</v>
      </c>
      <c r="V156" s="3">
        <f t="shared" si="89"/>
        <v>9.8418254230473123E-2</v>
      </c>
      <c r="W156" s="3">
        <f t="shared" si="89"/>
        <v>9.8418254217333564E-2</v>
      </c>
      <c r="X156" s="3">
        <f t="shared" si="89"/>
        <v>9.8418254085938045E-2</v>
      </c>
      <c r="Y156" s="3">
        <f t="shared" si="89"/>
        <v>9.8418252771982809E-2</v>
      </c>
      <c r="Z156" s="3">
        <f t="shared" si="89"/>
        <v>9.8418239632431556E-2</v>
      </c>
      <c r="AA156" s="3">
        <f t="shared" ref="AA156:AF156" si="90">$C42*EXP(-AA$129/$A42/EXP(-$B$126))</f>
        <v>9.8418108237015356E-2</v>
      </c>
      <c r="AB156" s="3">
        <f t="shared" si="90"/>
        <v>9.8416794292501567E-2</v>
      </c>
      <c r="AC156" s="3">
        <f t="shared" si="90"/>
        <v>9.8403655812134949E-2</v>
      </c>
      <c r="AD156" s="3">
        <f t="shared" si="90"/>
        <v>9.8272367437949065E-2</v>
      </c>
      <c r="AE156" s="3">
        <f t="shared" si="90"/>
        <v>9.6969079179821727E-2</v>
      </c>
      <c r="AF156" s="3">
        <f t="shared" si="90"/>
        <v>8.4849991148940859E-2</v>
      </c>
    </row>
    <row r="157" spans="1:32" x14ac:dyDescent="0.25">
      <c r="B157" s="3">
        <f t="shared" ref="B157:Z157" si="91">$C43*EXP(-B$129/$A43/EXP(-$B$126))</f>
        <v>5.8940133460185569E-2</v>
      </c>
      <c r="C157" s="3">
        <f t="shared" si="91"/>
        <v>5.8940133460185569E-2</v>
      </c>
      <c r="D157" s="3">
        <f t="shared" si="91"/>
        <v>5.8940133460185569E-2</v>
      </c>
      <c r="E157" s="3">
        <f t="shared" si="91"/>
        <v>5.8940133460185569E-2</v>
      </c>
      <c r="F157" s="3">
        <f t="shared" si="91"/>
        <v>5.8940133460185569E-2</v>
      </c>
      <c r="G157" s="3">
        <f t="shared" si="91"/>
        <v>5.8940133460185569E-2</v>
      </c>
      <c r="H157" s="3">
        <f t="shared" si="91"/>
        <v>5.8940133460185569E-2</v>
      </c>
      <c r="I157" s="3">
        <f t="shared" si="91"/>
        <v>5.8940133460185569E-2</v>
      </c>
      <c r="J157" s="3">
        <f t="shared" si="91"/>
        <v>5.8940133460185569E-2</v>
      </c>
      <c r="K157" s="3">
        <f t="shared" si="91"/>
        <v>5.8940133460185569E-2</v>
      </c>
      <c r="L157" s="3">
        <f t="shared" si="91"/>
        <v>5.8940133460185569E-2</v>
      </c>
      <c r="M157" s="3">
        <f t="shared" si="91"/>
        <v>5.8940133460185569E-2</v>
      </c>
      <c r="N157" s="3">
        <f t="shared" si="91"/>
        <v>5.8940133460185569E-2</v>
      </c>
      <c r="O157" s="3">
        <f t="shared" si="91"/>
        <v>5.8940133460185569E-2</v>
      </c>
      <c r="P157" s="3">
        <f t="shared" si="91"/>
        <v>5.8940133460185569E-2</v>
      </c>
      <c r="Q157" s="3">
        <f t="shared" si="91"/>
        <v>5.8940133460185569E-2</v>
      </c>
      <c r="R157" s="3">
        <f t="shared" si="91"/>
        <v>5.8940133460185562E-2</v>
      </c>
      <c r="S157" s="3">
        <f t="shared" si="91"/>
        <v>5.8940133460185486E-2</v>
      </c>
      <c r="T157" s="3">
        <f t="shared" si="91"/>
        <v>5.8940133460184695E-2</v>
      </c>
      <c r="U157" s="3">
        <f t="shared" si="91"/>
        <v>5.8940133460176826E-2</v>
      </c>
      <c r="V157" s="3">
        <f t="shared" si="91"/>
        <v>5.8940133460098139E-2</v>
      </c>
      <c r="W157" s="3">
        <f t="shared" si="91"/>
        <v>5.8940133459311241E-2</v>
      </c>
      <c r="X157" s="3">
        <f t="shared" si="91"/>
        <v>5.8940133451442306E-2</v>
      </c>
      <c r="Y157" s="3">
        <f t="shared" si="91"/>
        <v>5.8940133372752945E-2</v>
      </c>
      <c r="Z157" s="3">
        <f t="shared" si="91"/>
        <v>5.8940132585859326E-2</v>
      </c>
      <c r="AA157" s="3">
        <f t="shared" ref="AA157:AF157" si="92">$C43*EXP(-AA$129/$A43/EXP(-$B$126))</f>
        <v>5.8940124716923718E-2</v>
      </c>
      <c r="AB157" s="3">
        <f t="shared" si="92"/>
        <v>5.8940046027625405E-2</v>
      </c>
      <c r="AC157" s="3">
        <f t="shared" si="92"/>
        <v>5.8939259140420322E-2</v>
      </c>
      <c r="AD157" s="3">
        <f t="shared" si="92"/>
        <v>5.893139084614589E-2</v>
      </c>
      <c r="AE157" s="3">
        <f t="shared" si="92"/>
        <v>5.8852765652510047E-2</v>
      </c>
      <c r="AF157" s="3">
        <f t="shared" si="92"/>
        <v>5.8072260201863742E-2</v>
      </c>
    </row>
    <row r="158" spans="1:32" x14ac:dyDescent="0.25">
      <c r="B158" s="3">
        <f t="shared" ref="B158:Z158" si="93">$C44*EXP(-B$129/$A44/EXP(-$B$126))</f>
        <v>4.2268801533997091E-2</v>
      </c>
      <c r="C158" s="3">
        <f t="shared" si="93"/>
        <v>4.2268801533997091E-2</v>
      </c>
      <c r="D158" s="3">
        <f t="shared" si="93"/>
        <v>4.2268801533997091E-2</v>
      </c>
      <c r="E158" s="3">
        <f t="shared" si="93"/>
        <v>4.2268801533997091E-2</v>
      </c>
      <c r="F158" s="3">
        <f t="shared" si="93"/>
        <v>4.2268801533997091E-2</v>
      </c>
      <c r="G158" s="3">
        <f t="shared" si="93"/>
        <v>4.2268801533997091E-2</v>
      </c>
      <c r="H158" s="3">
        <f t="shared" si="93"/>
        <v>4.2268801533997091E-2</v>
      </c>
      <c r="I158" s="3">
        <f t="shared" si="93"/>
        <v>4.2268801533997091E-2</v>
      </c>
      <c r="J158" s="3">
        <f t="shared" si="93"/>
        <v>4.2268801533997091E-2</v>
      </c>
      <c r="K158" s="3">
        <f t="shared" si="93"/>
        <v>4.2268801533997091E-2</v>
      </c>
      <c r="L158" s="3">
        <f t="shared" si="93"/>
        <v>4.2268801533997091E-2</v>
      </c>
      <c r="M158" s="3">
        <f t="shared" si="93"/>
        <v>4.2268801533997091E-2</v>
      </c>
      <c r="N158" s="3">
        <f t="shared" si="93"/>
        <v>4.2268801533997091E-2</v>
      </c>
      <c r="O158" s="3">
        <f t="shared" si="93"/>
        <v>4.2268801533997091E-2</v>
      </c>
      <c r="P158" s="3">
        <f t="shared" si="93"/>
        <v>4.2268801533997091E-2</v>
      </c>
      <c r="Q158" s="3">
        <f t="shared" si="93"/>
        <v>4.2268801533997091E-2</v>
      </c>
      <c r="R158" s="3">
        <f t="shared" si="93"/>
        <v>4.2268801533997091E-2</v>
      </c>
      <c r="S158" s="3">
        <f t="shared" si="93"/>
        <v>4.2268801533997084E-2</v>
      </c>
      <c r="T158" s="3">
        <f t="shared" si="93"/>
        <v>4.2268801533997029E-2</v>
      </c>
      <c r="U158" s="3">
        <f t="shared" si="93"/>
        <v>4.226880153399646E-2</v>
      </c>
      <c r="V158" s="3">
        <f t="shared" si="93"/>
        <v>4.2268801533990819E-2</v>
      </c>
      <c r="W158" s="3">
        <f t="shared" si="93"/>
        <v>4.2268801533934391E-2</v>
      </c>
      <c r="X158" s="3">
        <f t="shared" si="93"/>
        <v>4.2268801533370072E-2</v>
      </c>
      <c r="Y158" s="3">
        <f t="shared" si="93"/>
        <v>4.2268801527726878E-2</v>
      </c>
      <c r="Z158" s="3">
        <f t="shared" si="93"/>
        <v>4.2268801471294956E-2</v>
      </c>
      <c r="AA158" s="3">
        <f t="shared" ref="AA158:AF158" si="94">$C44*EXP(-AA$129/$A44/EXP(-$B$126))</f>
        <v>4.2268800906975733E-2</v>
      </c>
      <c r="AB158" s="3">
        <f t="shared" si="94"/>
        <v>4.2268795263783937E-2</v>
      </c>
      <c r="AC158" s="3">
        <f t="shared" si="94"/>
        <v>4.2268738831907425E-2</v>
      </c>
      <c r="AD158" s="3">
        <f t="shared" si="94"/>
        <v>4.2268174517285984E-2</v>
      </c>
      <c r="AE158" s="3">
        <f t="shared" si="94"/>
        <v>4.2262531785422781E-2</v>
      </c>
      <c r="AF158" s="3">
        <f t="shared" si="94"/>
        <v>4.2206145881451079E-2</v>
      </c>
    </row>
    <row r="159" spans="1:32" x14ac:dyDescent="0.25">
      <c r="A159" s="11" t="s">
        <v>75</v>
      </c>
      <c r="B159" s="3">
        <f t="shared" ref="B159:Z159" si="95">$C45*EXP(-B$129/$A45/EXP(-$B$126))</f>
        <v>2.0342268571851365E-2</v>
      </c>
      <c r="C159" s="3">
        <f t="shared" si="95"/>
        <v>2.0342268571851365E-2</v>
      </c>
      <c r="D159" s="3">
        <f t="shared" si="95"/>
        <v>2.0342268571851365E-2</v>
      </c>
      <c r="E159" s="3">
        <f t="shared" si="95"/>
        <v>2.0342268571851365E-2</v>
      </c>
      <c r="F159" s="3">
        <f t="shared" si="95"/>
        <v>2.0342268571851365E-2</v>
      </c>
      <c r="G159" s="3">
        <f t="shared" si="95"/>
        <v>2.0342268571851365E-2</v>
      </c>
      <c r="H159" s="3">
        <f t="shared" si="95"/>
        <v>2.0342268571851365E-2</v>
      </c>
      <c r="I159" s="3">
        <f t="shared" si="95"/>
        <v>2.0342268571851365E-2</v>
      </c>
      <c r="J159" s="3">
        <f t="shared" si="95"/>
        <v>2.0342268571851365E-2</v>
      </c>
      <c r="K159" s="3">
        <f t="shared" si="95"/>
        <v>2.0342268571851365E-2</v>
      </c>
      <c r="L159" s="3">
        <f t="shared" si="95"/>
        <v>2.0342268571851365E-2</v>
      </c>
      <c r="M159" s="3">
        <f t="shared" si="95"/>
        <v>2.0342268571851365E-2</v>
      </c>
      <c r="N159" s="3">
        <f t="shared" si="95"/>
        <v>2.0342268571851365E-2</v>
      </c>
      <c r="O159" s="3">
        <f t="shared" si="95"/>
        <v>2.0342268571851365E-2</v>
      </c>
      <c r="P159" s="3">
        <f t="shared" si="95"/>
        <v>2.0342268571851365E-2</v>
      </c>
      <c r="Q159" s="3">
        <f t="shared" si="95"/>
        <v>2.0342268571851365E-2</v>
      </c>
      <c r="R159" s="3">
        <f t="shared" si="95"/>
        <v>2.0342268571851365E-2</v>
      </c>
      <c r="S159" s="3">
        <f t="shared" si="95"/>
        <v>2.0342268571851365E-2</v>
      </c>
      <c r="T159" s="3">
        <f t="shared" si="95"/>
        <v>2.0342268571851362E-2</v>
      </c>
      <c r="U159" s="3">
        <f t="shared" si="95"/>
        <v>2.0342268571851337E-2</v>
      </c>
      <c r="V159" s="3">
        <f t="shared" si="95"/>
        <v>2.0342268571851063E-2</v>
      </c>
      <c r="W159" s="3">
        <f t="shared" si="95"/>
        <v>2.0342268571848347E-2</v>
      </c>
      <c r="X159" s="3">
        <f t="shared" si="95"/>
        <v>2.0342268571821191E-2</v>
      </c>
      <c r="Y159" s="3">
        <f t="shared" si="95"/>
        <v>2.0342268571549606E-2</v>
      </c>
      <c r="Z159" s="3">
        <f t="shared" si="95"/>
        <v>2.0342268568833765E-2</v>
      </c>
      <c r="AA159" s="3">
        <f t="shared" ref="AA159:AF159" si="96">$C45*EXP(-AA$129/$A45/EXP(-$B$126))</f>
        <v>2.0342268541675358E-2</v>
      </c>
      <c r="AB159" s="3">
        <f t="shared" si="96"/>
        <v>2.0342268270091286E-2</v>
      </c>
      <c r="AC159" s="3">
        <f t="shared" si="96"/>
        <v>2.0342265554250786E-2</v>
      </c>
      <c r="AD159" s="3">
        <f t="shared" si="96"/>
        <v>2.0342238395865728E-2</v>
      </c>
      <c r="AE159" s="3">
        <f t="shared" si="96"/>
        <v>2.0341966814009328E-2</v>
      </c>
      <c r="AF159" s="3">
        <f t="shared" si="96"/>
        <v>2.0339251194855853E-2</v>
      </c>
    </row>
    <row r="160" spans="1:32" x14ac:dyDescent="0.25">
      <c r="B160" s="3">
        <f t="shared" ref="B160:Z160" si="97">$C46*EXP(-B$129/$A46/EXP(-$B$126))</f>
        <v>5.9170897395369676E-3</v>
      </c>
      <c r="C160" s="3">
        <f t="shared" si="97"/>
        <v>5.9170897395369676E-3</v>
      </c>
      <c r="D160" s="3">
        <f t="shared" si="97"/>
        <v>5.9170897395369676E-3</v>
      </c>
      <c r="E160" s="3">
        <f t="shared" si="97"/>
        <v>5.9170897395369676E-3</v>
      </c>
      <c r="F160" s="3">
        <f t="shared" si="97"/>
        <v>5.9170897395369676E-3</v>
      </c>
      <c r="G160" s="3">
        <f t="shared" si="97"/>
        <v>5.9170897395369676E-3</v>
      </c>
      <c r="H160" s="3">
        <f t="shared" si="97"/>
        <v>5.9170897395369676E-3</v>
      </c>
      <c r="I160" s="3">
        <f t="shared" si="97"/>
        <v>5.9170897395369676E-3</v>
      </c>
      <c r="J160" s="3">
        <f t="shared" si="97"/>
        <v>5.9170897395369676E-3</v>
      </c>
      <c r="K160" s="3">
        <f t="shared" si="97"/>
        <v>5.9170897395369676E-3</v>
      </c>
      <c r="L160" s="3">
        <f t="shared" si="97"/>
        <v>5.9170897395369676E-3</v>
      </c>
      <c r="M160" s="3">
        <f t="shared" si="97"/>
        <v>5.9170897395369676E-3</v>
      </c>
      <c r="N160" s="3">
        <f t="shared" si="97"/>
        <v>5.9170897395369676E-3</v>
      </c>
      <c r="O160" s="3">
        <f t="shared" si="97"/>
        <v>5.9170897395369676E-3</v>
      </c>
      <c r="P160" s="3">
        <f t="shared" si="97"/>
        <v>5.9170897395369676E-3</v>
      </c>
      <c r="Q160" s="3">
        <f t="shared" si="97"/>
        <v>5.9170897395369676E-3</v>
      </c>
      <c r="R160" s="3">
        <f t="shared" si="97"/>
        <v>5.9170897395369676E-3</v>
      </c>
      <c r="S160" s="3">
        <f t="shared" si="97"/>
        <v>5.9170897395369676E-3</v>
      </c>
      <c r="T160" s="3">
        <f t="shared" si="97"/>
        <v>5.9170897395369676E-3</v>
      </c>
      <c r="U160" s="3">
        <f t="shared" si="97"/>
        <v>5.9170897395369668E-3</v>
      </c>
      <c r="V160" s="3">
        <f t="shared" si="97"/>
        <v>5.917089739536959E-3</v>
      </c>
      <c r="W160" s="3">
        <f t="shared" si="97"/>
        <v>5.91708973953688E-3</v>
      </c>
      <c r="X160" s="3">
        <f t="shared" si="97"/>
        <v>5.9170897395360899E-3</v>
      </c>
      <c r="Y160" s="3">
        <f t="shared" si="97"/>
        <v>5.9170897395281908E-3</v>
      </c>
      <c r="Z160" s="3">
        <f t="shared" si="97"/>
        <v>5.9170897394491924E-3</v>
      </c>
      <c r="AA160" s="3">
        <f t="shared" ref="AA160:AF160" si="98">$C46*EXP(-AA$129/$A46/EXP(-$B$126))</f>
        <v>5.9170897386592184E-3</v>
      </c>
      <c r="AB160" s="3">
        <f t="shared" si="98"/>
        <v>5.9170897307594733E-3</v>
      </c>
      <c r="AC160" s="3">
        <f t="shared" si="98"/>
        <v>5.9170896517620249E-3</v>
      </c>
      <c r="AD160" s="3">
        <f t="shared" si="98"/>
        <v>5.9170888617875979E-3</v>
      </c>
      <c r="AE160" s="3">
        <f t="shared" si="98"/>
        <v>5.9170809620491295E-3</v>
      </c>
      <c r="AF160" s="3">
        <f t="shared" si="98"/>
        <v>5.9170019652445066E-3</v>
      </c>
    </row>
    <row r="161" spans="1:34" x14ac:dyDescent="0.25">
      <c r="A161" s="11" t="s">
        <v>75</v>
      </c>
      <c r="B161" s="3">
        <f t="shared" ref="B161:Z161" si="99">$C47*EXP(-B$129/$A47/EXP(-$B$126))</f>
        <v>2.1512309521192175E-5</v>
      </c>
      <c r="C161" s="3">
        <f t="shared" si="99"/>
        <v>2.1512309521192175E-5</v>
      </c>
      <c r="D161" s="3">
        <f t="shared" si="99"/>
        <v>2.1512309521192175E-5</v>
      </c>
      <c r="E161" s="3">
        <f t="shared" si="99"/>
        <v>2.1512309521192175E-5</v>
      </c>
      <c r="F161" s="3">
        <f t="shared" si="99"/>
        <v>2.1512309521192175E-5</v>
      </c>
      <c r="G161" s="3">
        <f t="shared" si="99"/>
        <v>2.1512309521192175E-5</v>
      </c>
      <c r="H161" s="3">
        <f t="shared" si="99"/>
        <v>2.1512309521192175E-5</v>
      </c>
      <c r="I161" s="3">
        <f t="shared" si="99"/>
        <v>2.1512309521192175E-5</v>
      </c>
      <c r="J161" s="3">
        <f t="shared" si="99"/>
        <v>2.1512309521192175E-5</v>
      </c>
      <c r="K161" s="3">
        <f t="shared" si="99"/>
        <v>2.1512309521192175E-5</v>
      </c>
      <c r="L161" s="3">
        <f t="shared" si="99"/>
        <v>2.1512309521192175E-5</v>
      </c>
      <c r="M161" s="3">
        <f t="shared" si="99"/>
        <v>2.1512309521192175E-5</v>
      </c>
      <c r="N161" s="3">
        <f t="shared" si="99"/>
        <v>2.1512309521192175E-5</v>
      </c>
      <c r="O161" s="3">
        <f t="shared" si="99"/>
        <v>2.1512309521192175E-5</v>
      </c>
      <c r="P161" s="3">
        <f t="shared" si="99"/>
        <v>2.1512309521192175E-5</v>
      </c>
      <c r="Q161" s="3">
        <f t="shared" si="99"/>
        <v>2.1512309521192175E-5</v>
      </c>
      <c r="R161" s="3">
        <f t="shared" si="99"/>
        <v>2.1512309521192175E-5</v>
      </c>
      <c r="S161" s="3">
        <f t="shared" si="99"/>
        <v>2.1512309521192175E-5</v>
      </c>
      <c r="T161" s="3">
        <f t="shared" si="99"/>
        <v>2.1512309521192175E-5</v>
      </c>
      <c r="U161" s="3">
        <f t="shared" si="99"/>
        <v>2.1512309521192175E-5</v>
      </c>
      <c r="V161" s="3">
        <f t="shared" si="99"/>
        <v>2.1512309521192171E-5</v>
      </c>
      <c r="W161" s="3">
        <f t="shared" si="99"/>
        <v>2.1512309521192144E-5</v>
      </c>
      <c r="X161" s="3">
        <f t="shared" si="99"/>
        <v>2.1512309521191856E-5</v>
      </c>
      <c r="Y161" s="3">
        <f t="shared" si="99"/>
        <v>2.1512309521188983E-5</v>
      </c>
      <c r="Z161" s="3">
        <f t="shared" si="99"/>
        <v>2.1512309521160265E-5</v>
      </c>
      <c r="AA161" s="3">
        <f t="shared" ref="AA161:AF161" si="100">$C47*EXP(-AA$129/$A47/EXP(-$B$126))</f>
        <v>2.1512309520873057E-5</v>
      </c>
      <c r="AB161" s="3">
        <f t="shared" si="100"/>
        <v>2.1512309518001009E-5</v>
      </c>
      <c r="AC161" s="3">
        <f t="shared" si="100"/>
        <v>2.1512309489280513E-5</v>
      </c>
      <c r="AD161" s="3">
        <f t="shared" si="100"/>
        <v>2.1512309202075544E-5</v>
      </c>
      <c r="AE161" s="3">
        <f t="shared" si="100"/>
        <v>2.1512306330026087E-5</v>
      </c>
      <c r="AF161" s="3">
        <f t="shared" si="100"/>
        <v>2.1512277609552584E-5</v>
      </c>
    </row>
    <row r="162" spans="1:34" x14ac:dyDescent="0.25">
      <c r="B162" s="3">
        <f t="shared" ref="B162:Z162" si="101">$C48*EXP(-B$129/$A48/EXP(-$B$126))</f>
        <v>1.0364109378839697E-2</v>
      </c>
      <c r="C162" s="3">
        <f t="shared" si="101"/>
        <v>1.0364109378839697E-2</v>
      </c>
      <c r="D162" s="3">
        <f t="shared" si="101"/>
        <v>1.0364109378839697E-2</v>
      </c>
      <c r="E162" s="3">
        <f t="shared" si="101"/>
        <v>1.0364109378839697E-2</v>
      </c>
      <c r="F162" s="3">
        <f t="shared" si="101"/>
        <v>1.0364109378839697E-2</v>
      </c>
      <c r="G162" s="3">
        <f t="shared" si="101"/>
        <v>1.0364109378839697E-2</v>
      </c>
      <c r="H162" s="3">
        <f t="shared" si="101"/>
        <v>1.0364109378839697E-2</v>
      </c>
      <c r="I162" s="3">
        <f t="shared" si="101"/>
        <v>1.0364109378839697E-2</v>
      </c>
      <c r="J162" s="3">
        <f t="shared" si="101"/>
        <v>1.0364109378839697E-2</v>
      </c>
      <c r="K162" s="3">
        <f t="shared" si="101"/>
        <v>1.0364109378839697E-2</v>
      </c>
      <c r="L162" s="3">
        <f t="shared" si="101"/>
        <v>1.0364109378839697E-2</v>
      </c>
      <c r="M162" s="3">
        <f t="shared" si="101"/>
        <v>1.0364109378839697E-2</v>
      </c>
      <c r="N162" s="3">
        <f t="shared" si="101"/>
        <v>1.0364109378839697E-2</v>
      </c>
      <c r="O162" s="3">
        <f t="shared" si="101"/>
        <v>1.0364109378839697E-2</v>
      </c>
      <c r="P162" s="3">
        <f t="shared" si="101"/>
        <v>1.0364109378839697E-2</v>
      </c>
      <c r="Q162" s="3">
        <f t="shared" si="101"/>
        <v>1.0364109378839697E-2</v>
      </c>
      <c r="R162" s="3">
        <f t="shared" si="101"/>
        <v>1.0364109378839697E-2</v>
      </c>
      <c r="S162" s="3">
        <f t="shared" si="101"/>
        <v>1.0364109378839697E-2</v>
      </c>
      <c r="T162" s="3">
        <f t="shared" si="101"/>
        <v>1.0364109378839697E-2</v>
      </c>
      <c r="U162" s="3">
        <f t="shared" si="101"/>
        <v>1.0364109378839697E-2</v>
      </c>
      <c r="V162" s="3">
        <f t="shared" si="101"/>
        <v>1.0364109378839697E-2</v>
      </c>
      <c r="W162" s="3">
        <f t="shared" si="101"/>
        <v>1.0364109378839696E-2</v>
      </c>
      <c r="X162" s="3">
        <f t="shared" si="101"/>
        <v>1.0364109378839682E-2</v>
      </c>
      <c r="Y162" s="3">
        <f t="shared" si="101"/>
        <v>1.0364109378839543E-2</v>
      </c>
      <c r="Z162" s="3">
        <f t="shared" si="101"/>
        <v>1.036410937883816E-2</v>
      </c>
      <c r="AA162" s="3">
        <f t="shared" ref="AA162:AF162" si="102">$C48*EXP(-AA$129/$A48/EXP(-$B$126))</f>
        <v>1.0364109378824324E-2</v>
      </c>
      <c r="AB162" s="3">
        <f t="shared" si="102"/>
        <v>1.0364109378685954E-2</v>
      </c>
      <c r="AC162" s="3">
        <f t="shared" si="102"/>
        <v>1.0364109377302271E-2</v>
      </c>
      <c r="AD162" s="3">
        <f t="shared" si="102"/>
        <v>1.0364109363465431E-2</v>
      </c>
      <c r="AE162" s="3">
        <f t="shared" si="102"/>
        <v>1.0364109225097038E-2</v>
      </c>
      <c r="AF162" s="3">
        <f t="shared" si="102"/>
        <v>1.0364107841413213E-2</v>
      </c>
    </row>
    <row r="163" spans="1:34" x14ac:dyDescent="0.25">
      <c r="A163" s="79">
        <f>AVERAGE(B163:AF163)</f>
        <v>3.037897997039676E-2</v>
      </c>
      <c r="B163" s="80">
        <f>IF($A$64&lt;=B129,IF($B$64&gt;=B129,ABS((B131-B130)/B130),0),0)</f>
        <v>8.0347675640615908E-3</v>
      </c>
      <c r="C163" s="80">
        <f t="shared" ref="C163:AF163" si="103">IF($A$64&lt;=C129,IF($B$64&gt;=C129,ABS((C131-C130)/C130),0),0)</f>
        <v>9.9859657905025656E-3</v>
      </c>
      <c r="D163" s="80">
        <f t="shared" si="103"/>
        <v>1.0674582828101355E-2</v>
      </c>
      <c r="E163" s="80">
        <f t="shared" si="103"/>
        <v>1.0673037841580163E-2</v>
      </c>
      <c r="F163" s="80">
        <f t="shared" si="103"/>
        <v>1.0672558404781244E-2</v>
      </c>
      <c r="G163" s="80">
        <f t="shared" si="103"/>
        <v>1.0672398592566289E-2</v>
      </c>
      <c r="H163" s="80">
        <f t="shared" si="103"/>
        <v>1.0672346561196236E-2</v>
      </c>
      <c r="I163" s="80">
        <f t="shared" si="103"/>
        <v>1.0672339133381751E-2</v>
      </c>
      <c r="J163" s="80">
        <f t="shared" si="103"/>
        <v>1.0672339186521239E-2</v>
      </c>
      <c r="K163" s="80">
        <f t="shared" si="103"/>
        <v>1.0672339717915699E-2</v>
      </c>
      <c r="L163" s="80">
        <f t="shared" si="103"/>
        <v>1.0672341315295725E-2</v>
      </c>
      <c r="M163" s="80">
        <f t="shared" si="103"/>
        <v>1.0672353572412951E-2</v>
      </c>
      <c r="N163" s="80">
        <f t="shared" si="103"/>
        <v>1.067280690564602E-2</v>
      </c>
      <c r="O163" s="80">
        <f t="shared" si="103"/>
        <v>1.0677023115864914E-2</v>
      </c>
      <c r="P163" s="80">
        <f t="shared" si="103"/>
        <v>1.0719053178350977E-2</v>
      </c>
      <c r="Q163" s="80">
        <f t="shared" si="103"/>
        <v>1.1128304269000109E-2</v>
      </c>
      <c r="R163" s="80">
        <f t="shared" si="103"/>
        <v>1.4437186992672157E-2</v>
      </c>
      <c r="S163" s="80">
        <f t="shared" si="103"/>
        <v>2.7119300942114122E-2</v>
      </c>
      <c r="T163" s="80">
        <f t="shared" si="103"/>
        <v>2.5938967338763889E-2</v>
      </c>
      <c r="U163" s="80">
        <f t="shared" si="103"/>
        <v>2.802170887706109E-2</v>
      </c>
      <c r="V163" s="80">
        <f t="shared" si="103"/>
        <v>2.1876489975690194E-2</v>
      </c>
      <c r="W163" s="80">
        <f t="shared" si="103"/>
        <v>1.2088587427756613E-2</v>
      </c>
      <c r="X163" s="80">
        <f t="shared" si="103"/>
        <v>5.9534575359092498E-2</v>
      </c>
      <c r="Y163" s="80">
        <f t="shared" si="103"/>
        <v>8.7877664551053114E-2</v>
      </c>
      <c r="Z163" s="80">
        <f t="shared" si="103"/>
        <v>7.9596264864561811E-2</v>
      </c>
      <c r="AA163" s="80">
        <f t="shared" si="103"/>
        <v>5.0119856457092028E-2</v>
      </c>
      <c r="AB163" s="80">
        <f t="shared" si="103"/>
        <v>1.8723334962334755E-2</v>
      </c>
      <c r="AC163" s="80">
        <f t="shared" si="103"/>
        <v>1.1911214597193149E-2</v>
      </c>
      <c r="AD163" s="80">
        <f t="shared" si="103"/>
        <v>6.103982749306365E-2</v>
      </c>
      <c r="AE163" s="80">
        <f t="shared" si="103"/>
        <v>0.10644456708296479</v>
      </c>
      <c r="AF163" s="80">
        <f t="shared" si="103"/>
        <v>0.16907427418370685</v>
      </c>
    </row>
    <row r="164" spans="1:34" x14ac:dyDescent="0.25">
      <c r="B164" s="21">
        <f>(B131-B130)^2</f>
        <v>2790.1325632470866</v>
      </c>
      <c r="C164" s="21">
        <f t="shared" ref="C164:AF164" si="104">(C131-C130)^2</f>
        <v>4309.8857134045438</v>
      </c>
      <c r="D164" s="21">
        <f t="shared" si="104"/>
        <v>4924.7354577975593</v>
      </c>
      <c r="E164" s="21">
        <f t="shared" si="104"/>
        <v>4923.2946090804035</v>
      </c>
      <c r="F164" s="21">
        <f t="shared" si="104"/>
        <v>4922.8475352789419</v>
      </c>
      <c r="G164" s="21">
        <f t="shared" si="104"/>
        <v>4922.6985153331889</v>
      </c>
      <c r="H164" s="21">
        <f t="shared" si="104"/>
        <v>4922.6499981824909</v>
      </c>
      <c r="I164" s="21">
        <f t="shared" si="104"/>
        <v>4922.6430720133303</v>
      </c>
      <c r="J164" s="21">
        <f t="shared" si="104"/>
        <v>4922.6431210347737</v>
      </c>
      <c r="K164" s="21">
        <f t="shared" si="104"/>
        <v>4922.6436112488309</v>
      </c>
      <c r="L164" s="21">
        <f t="shared" si="104"/>
        <v>4922.6450478546958</v>
      </c>
      <c r="M164" s="21">
        <f t="shared" si="104"/>
        <v>4922.6559482752327</v>
      </c>
      <c r="N164" s="21">
        <f t="shared" si="104"/>
        <v>4923.0733830962254</v>
      </c>
      <c r="O164" s="21">
        <f t="shared" si="104"/>
        <v>4926.9528756386617</v>
      </c>
      <c r="P164" s="21">
        <f t="shared" si="104"/>
        <v>4965.708913967931</v>
      </c>
      <c r="Q164" s="21">
        <f t="shared" si="104"/>
        <v>5350.9452866475813</v>
      </c>
      <c r="R164" s="21">
        <f t="shared" si="104"/>
        <v>8986.6927181630181</v>
      </c>
      <c r="S164" s="21">
        <f t="shared" si="104"/>
        <v>31161.22032272684</v>
      </c>
      <c r="T164" s="21">
        <f t="shared" si="104"/>
        <v>27206.102020472779</v>
      </c>
      <c r="U164" s="21">
        <f t="shared" si="104"/>
        <v>30165.852299444959</v>
      </c>
      <c r="V164" s="21">
        <f t="shared" si="104"/>
        <v>17029.728288004691</v>
      </c>
      <c r="W164" s="21">
        <f t="shared" si="104"/>
        <v>4522.2537601264876</v>
      </c>
      <c r="X164" s="21">
        <f t="shared" si="104"/>
        <v>91057.776548701673</v>
      </c>
      <c r="Y164" s="21">
        <f t="shared" si="104"/>
        <v>162209.86065466027</v>
      </c>
      <c r="Z164" s="21">
        <f t="shared" si="104"/>
        <v>109956.00370302892</v>
      </c>
      <c r="AA164" s="21">
        <f t="shared" si="104"/>
        <v>36724.635886036311</v>
      </c>
      <c r="AB164" s="21">
        <f t="shared" si="104"/>
        <v>4320.3499782106373</v>
      </c>
      <c r="AC164" s="21">
        <f t="shared" si="104"/>
        <v>1466.9020629315662</v>
      </c>
      <c r="AD164" s="21">
        <f t="shared" si="104"/>
        <v>30693.694162582404</v>
      </c>
      <c r="AE164" s="21">
        <f t="shared" si="104"/>
        <v>68484.756289044715</v>
      </c>
      <c r="AF164" s="21">
        <f t="shared" si="104"/>
        <v>112374.4557630162</v>
      </c>
    </row>
    <row r="165" spans="1:34" x14ac:dyDescent="0.25">
      <c r="A165" s="71">
        <f>SUM(B165:AF165)</f>
        <v>812856.44010925305</v>
      </c>
      <c r="B165" s="60">
        <f>IF($A$64&lt;=B129,IF($B$64&gt;=B129,ABS(B164),0),0)</f>
        <v>2790.1325632470866</v>
      </c>
      <c r="C165" s="60">
        <f t="shared" ref="C165:AF165" si="105">IF($A$64&lt;=C129,IF($B$64&gt;=C129,ABS(C164),0),0)</f>
        <v>4309.8857134045438</v>
      </c>
      <c r="D165" s="60">
        <f t="shared" si="105"/>
        <v>4924.7354577975593</v>
      </c>
      <c r="E165" s="60">
        <f t="shared" si="105"/>
        <v>4923.2946090804035</v>
      </c>
      <c r="F165" s="60">
        <f t="shared" si="105"/>
        <v>4922.8475352789419</v>
      </c>
      <c r="G165" s="60">
        <f t="shared" si="105"/>
        <v>4922.6985153331889</v>
      </c>
      <c r="H165" s="60">
        <f t="shared" si="105"/>
        <v>4922.6499981824909</v>
      </c>
      <c r="I165" s="60">
        <f t="shared" si="105"/>
        <v>4922.6430720133303</v>
      </c>
      <c r="J165" s="60">
        <f t="shared" si="105"/>
        <v>4922.6431210347737</v>
      </c>
      <c r="K165" s="60">
        <f t="shared" si="105"/>
        <v>4922.6436112488309</v>
      </c>
      <c r="L165" s="60">
        <f t="shared" si="105"/>
        <v>4922.6450478546958</v>
      </c>
      <c r="M165" s="60">
        <f t="shared" si="105"/>
        <v>4922.6559482752327</v>
      </c>
      <c r="N165" s="60">
        <f t="shared" si="105"/>
        <v>4923.0733830962254</v>
      </c>
      <c r="O165" s="60">
        <f t="shared" si="105"/>
        <v>4926.9528756386617</v>
      </c>
      <c r="P165" s="60">
        <f t="shared" si="105"/>
        <v>4965.708913967931</v>
      </c>
      <c r="Q165" s="60">
        <f t="shared" si="105"/>
        <v>5350.9452866475813</v>
      </c>
      <c r="R165" s="60">
        <f t="shared" si="105"/>
        <v>8986.6927181630181</v>
      </c>
      <c r="S165" s="60">
        <f t="shared" si="105"/>
        <v>31161.22032272684</v>
      </c>
      <c r="T165" s="60">
        <f t="shared" si="105"/>
        <v>27206.102020472779</v>
      </c>
      <c r="U165" s="60">
        <f t="shared" si="105"/>
        <v>30165.852299444959</v>
      </c>
      <c r="V165" s="60">
        <f t="shared" si="105"/>
        <v>17029.728288004691</v>
      </c>
      <c r="W165" s="60">
        <f t="shared" si="105"/>
        <v>4522.2537601264876</v>
      </c>
      <c r="X165" s="60">
        <f t="shared" si="105"/>
        <v>91057.776548701673</v>
      </c>
      <c r="Y165" s="60">
        <f t="shared" si="105"/>
        <v>162209.86065466027</v>
      </c>
      <c r="Z165" s="60">
        <f t="shared" si="105"/>
        <v>109956.00370302892</v>
      </c>
      <c r="AA165" s="60">
        <f t="shared" si="105"/>
        <v>36724.635886036311</v>
      </c>
      <c r="AB165" s="60">
        <f t="shared" si="105"/>
        <v>4320.3499782106373</v>
      </c>
      <c r="AC165" s="60">
        <f t="shared" si="105"/>
        <v>1466.9020629315662</v>
      </c>
      <c r="AD165" s="60">
        <f t="shared" si="105"/>
        <v>30693.694162582404</v>
      </c>
      <c r="AE165" s="60">
        <f t="shared" si="105"/>
        <v>68484.756289044715</v>
      </c>
      <c r="AF165" s="60">
        <f t="shared" si="105"/>
        <v>112374.4557630162</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6543.7252261807771</v>
      </c>
      <c r="C169" s="26">
        <f>INDEX(Comparison!$AM$3:$AS$33,G$14,$C$122)</f>
        <v>6543.7799387981568</v>
      </c>
      <c r="D169" s="26">
        <f>INDEX(Comparison!$AM$3:$AS$33,H$14,$C$122)</f>
        <v>6543.7462938558028</v>
      </c>
      <c r="E169" s="26">
        <f>INDEX(Comparison!$AM$3:$AS$33,I$14,$C$122)</f>
        <v>6543.7363350192272</v>
      </c>
      <c r="F169" s="26">
        <f>INDEX(Comparison!$AM$3:$AS$33,J$14,$C$122)</f>
        <v>6543.7332030080934</v>
      </c>
      <c r="G169" s="26">
        <f>INDEX(Comparison!$AM$3:$AS$33,K$14,$C$122)</f>
        <v>6543.7321508487757</v>
      </c>
      <c r="H169" s="26">
        <f>INDEX(Comparison!$AM$3:$AS$33,L$14,$C$122)</f>
        <v>6543.7318082853499</v>
      </c>
      <c r="I169" s="26">
        <f>INDEX(Comparison!$AM$3:$AS$33,M$14,$C$122)</f>
        <v>6543.7317593477201</v>
      </c>
      <c r="J169" s="26">
        <f>INDEX(Comparison!$AM$3:$AS$33,N$14,$C$122)</f>
        <v>6543.7315146595847</v>
      </c>
      <c r="K169" s="26">
        <f>INDEX(Comparison!$AM$3:$AS$33,O$14,$C$122)</f>
        <v>6543.731490190773</v>
      </c>
      <c r="L169" s="26">
        <f>INDEX(Comparison!$AM$3:$AS$33,P$14,$C$122)</f>
        <v>6543.7313923155243</v>
      </c>
      <c r="M169" s="26">
        <f>INDEX(Comparison!$AM$3:$AS$33,Q$14,$C$122)</f>
        <v>6543.7286518097571</v>
      </c>
      <c r="N169" s="26">
        <f>INDEX(Comparison!$AM$3:$AS$33,R$14,$C$122)</f>
        <v>6543.7023234963144</v>
      </c>
      <c r="O169" s="26">
        <f>INDEX(Comparison!$AM$3:$AS$33,S$14,$C$122)</f>
        <v>6543.4393456132884</v>
      </c>
      <c r="P169" s="26">
        <f>INDEX(Comparison!$AM$3:$AS$33,T$14,$C$122)</f>
        <v>6540.8297975507394</v>
      </c>
      <c r="Q169" s="26">
        <f>INDEX(Comparison!$AM$3:$AS$33,U$14,$C$122)</f>
        <v>6516.7915822655277</v>
      </c>
      <c r="R169" s="26">
        <f>INDEX(Comparison!$AM$3:$AS$33,V$14,$C$122)</f>
        <v>6390.814079024768</v>
      </c>
      <c r="S169" s="26">
        <f>INDEX(Comparison!$AM$3:$AS$33,W$14,$C$122)</f>
        <v>6240.1474757230608</v>
      </c>
      <c r="T169" s="26">
        <f>INDEX(Comparison!$AM$3:$AS$33,X$14,$C$122)</f>
        <v>6044.4265071962272</v>
      </c>
      <c r="U169" s="26">
        <f>INDEX(Comparison!$AM$3:$AS$33,Y$14,$C$122)</f>
        <v>5697.9764219559002</v>
      </c>
      <c r="V169" s="26">
        <f>INDEX(Comparison!$AM$3:$AS$33,Z$14,$C$122)</f>
        <v>5222.1642197271249</v>
      </c>
      <c r="W169" s="26">
        <f>INDEX(Comparison!$AM$3:$AS$33,AA$14,$C$122)</f>
        <v>4741.2273341563377</v>
      </c>
      <c r="X169" s="26">
        <f>INDEX(Comparison!$AM$3:$AS$33,AB$14,$C$122)</f>
        <v>4311.1706397553053</v>
      </c>
      <c r="Y169" s="26">
        <f>INDEX(Comparison!$AM$3:$AS$33,AC$14,$C$122)</f>
        <v>3952.2593271118144</v>
      </c>
      <c r="Z169" s="26">
        <f>INDEX(Comparison!$AM$3:$AS$33,AD$14,$C$122)</f>
        <v>3639.2172363975619</v>
      </c>
      <c r="AA169" s="26">
        <f>INDEX(Comparison!$AM$3:$AS$33,AE$14,$C$122)</f>
        <v>3344.7021990881808</v>
      </c>
      <c r="AB169" s="26">
        <f>INDEX(Comparison!$AM$3:$AS$33,AF$14,$C$122)</f>
        <v>3034.0126163953428</v>
      </c>
      <c r="AC169" s="26">
        <f>INDEX(Comparison!$AM$3:$AS$33,AG$14,$C$122)</f>
        <v>2653.5608861364908</v>
      </c>
      <c r="AD169" s="26">
        <f>INDEX(Comparison!$AM$3:$AS$33,AH$14,$C$122)</f>
        <v>2203.3378680125074</v>
      </c>
      <c r="AE169" s="26">
        <f>INDEX(Comparison!$AM$3:$AS$33,AI$14,$C$122)</f>
        <v>1683.4592204898881</v>
      </c>
      <c r="AF169" s="26">
        <f>INDEX(Comparison!$AM$3:$AS$33,AJ$14,$C$122)</f>
        <v>1118.1414735463829</v>
      </c>
      <c r="AG169" s="26"/>
      <c r="AH169" s="26"/>
    </row>
    <row r="170" spans="1:34" x14ac:dyDescent="0.25">
      <c r="A170" s="70" t="s">
        <v>22</v>
      </c>
      <c r="B170" s="27">
        <f>($C$17+SUM(B171:B201))*$B$51</f>
        <v>6504.1499237167236</v>
      </c>
      <c r="C170" s="27">
        <f t="shared" ref="C170:AF170" si="106">($C$17+SUM(C171:C201))*$B$51</f>
        <v>6503.9876536084794</v>
      </c>
      <c r="D170" s="27">
        <f t="shared" si="106"/>
        <v>6503.9876536084676</v>
      </c>
      <c r="E170" s="27">
        <f t="shared" si="106"/>
        <v>6503.9876536083548</v>
      </c>
      <c r="F170" s="27">
        <f t="shared" si="106"/>
        <v>6503.9876536072188</v>
      </c>
      <c r="G170" s="27">
        <f t="shared" si="106"/>
        <v>6503.9876535958683</v>
      </c>
      <c r="H170" s="27">
        <f t="shared" si="106"/>
        <v>6503.9876534823707</v>
      </c>
      <c r="I170" s="27">
        <f t="shared" si="106"/>
        <v>6503.9876523473822</v>
      </c>
      <c r="J170" s="27">
        <f t="shared" si="106"/>
        <v>6503.9876409975041</v>
      </c>
      <c r="K170" s="27">
        <f t="shared" si="106"/>
        <v>6503.9875274988135</v>
      </c>
      <c r="L170" s="27">
        <f t="shared" si="106"/>
        <v>6503.9863925203854</v>
      </c>
      <c r="M170" s="27">
        <f t="shared" si="106"/>
        <v>6503.9750435833939</v>
      </c>
      <c r="N170" s="27">
        <f t="shared" si="106"/>
        <v>6503.8616388240707</v>
      </c>
      <c r="O170" s="27">
        <f t="shared" si="106"/>
        <v>6502.7359347314887</v>
      </c>
      <c r="P170" s="27">
        <f t="shared" si="106"/>
        <v>6492.2096921322172</v>
      </c>
      <c r="Q170" s="27">
        <f t="shared" si="106"/>
        <v>6419.2501880961136</v>
      </c>
      <c r="R170" s="27">
        <f t="shared" si="106"/>
        <v>6258.3314433848427</v>
      </c>
      <c r="S170" s="27">
        <f t="shared" si="106"/>
        <v>6116.7336407988196</v>
      </c>
      <c r="T170" s="27">
        <f t="shared" si="106"/>
        <v>5925.549581677571</v>
      </c>
      <c r="U170" s="27">
        <f t="shared" si="106"/>
        <v>5730.0933844435986</v>
      </c>
      <c r="V170" s="27">
        <f t="shared" si="106"/>
        <v>5502.8750246356421</v>
      </c>
      <c r="W170" s="27">
        <f t="shared" si="106"/>
        <v>5186.2489976710995</v>
      </c>
      <c r="X170" s="27">
        <f t="shared" si="106"/>
        <v>4720.7258570710474</v>
      </c>
      <c r="Y170" s="27">
        <f t="shared" si="106"/>
        <v>4220.0543569186157</v>
      </c>
      <c r="Z170" s="27">
        <f t="shared" si="106"/>
        <v>3769.0773843554525</v>
      </c>
      <c r="AA170" s="27">
        <f t="shared" si="106"/>
        <v>3347.316414246533</v>
      </c>
      <c r="AB170" s="27">
        <f t="shared" si="106"/>
        <v>2955.8651905141796</v>
      </c>
      <c r="AC170" s="27">
        <f t="shared" si="106"/>
        <v>2455.2892339842933</v>
      </c>
      <c r="AD170" s="27">
        <f t="shared" si="106"/>
        <v>1929.0718240222443</v>
      </c>
      <c r="AE170" s="27">
        <f t="shared" si="106"/>
        <v>1356.6091466193045</v>
      </c>
      <c r="AF170" s="27">
        <f t="shared" si="106"/>
        <v>819.60616754069747</v>
      </c>
      <c r="AG170" s="27"/>
      <c r="AH170" s="27"/>
    </row>
    <row r="171" spans="1:34" x14ac:dyDescent="0.25">
      <c r="B171" s="3">
        <f t="shared" ref="B171:AF171" si="107">$C18*EXP(-B$168/$A18/EXP(-$C$126))</f>
        <v>2.4872442139243012E-5</v>
      </c>
      <c r="C171" s="3">
        <f t="shared" si="107"/>
        <v>3.6157401461532592E-24</v>
      </c>
      <c r="D171" s="3">
        <f t="shared" si="107"/>
        <v>1.524000228096515E-212</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0</v>
      </c>
      <c r="C175" s="3">
        <f t="shared" si="111"/>
        <v>0</v>
      </c>
      <c r="D175" s="3">
        <f t="shared" si="111"/>
        <v>0</v>
      </c>
      <c r="E175" s="3">
        <f t="shared" si="111"/>
        <v>0</v>
      </c>
      <c r="F175" s="3">
        <f t="shared" si="111"/>
        <v>0</v>
      </c>
      <c r="G175" s="3">
        <f t="shared" si="111"/>
        <v>0</v>
      </c>
      <c r="H175" s="3">
        <f t="shared" si="111"/>
        <v>0</v>
      </c>
      <c r="I175" s="3">
        <f t="shared" si="111"/>
        <v>0</v>
      </c>
      <c r="J175" s="3">
        <f t="shared" si="111"/>
        <v>0</v>
      </c>
      <c r="K175" s="3">
        <f t="shared" si="111"/>
        <v>0</v>
      </c>
      <c r="L175" s="3">
        <f t="shared" si="111"/>
        <v>0</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0</v>
      </c>
      <c r="C176" s="3">
        <f t="shared" si="112"/>
        <v>0</v>
      </c>
      <c r="D176" s="3">
        <f t="shared" si="112"/>
        <v>0</v>
      </c>
      <c r="E176" s="3">
        <f t="shared" si="112"/>
        <v>0</v>
      </c>
      <c r="F176" s="3">
        <f t="shared" si="112"/>
        <v>0</v>
      </c>
      <c r="G176" s="3">
        <f t="shared" si="112"/>
        <v>0</v>
      </c>
      <c r="H176" s="3">
        <f t="shared" si="112"/>
        <v>0</v>
      </c>
      <c r="I176" s="3">
        <f t="shared" si="112"/>
        <v>0</v>
      </c>
      <c r="J176" s="3">
        <f t="shared" si="112"/>
        <v>0</v>
      </c>
      <c r="K176" s="3">
        <f t="shared" si="112"/>
        <v>0</v>
      </c>
      <c r="L176" s="3">
        <f t="shared" si="112"/>
        <v>0</v>
      </c>
      <c r="M176" s="3">
        <f t="shared" si="112"/>
        <v>0</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0</v>
      </c>
      <c r="C177" s="3">
        <f t="shared" si="113"/>
        <v>0</v>
      </c>
      <c r="D177" s="3">
        <f t="shared" si="113"/>
        <v>0</v>
      </c>
      <c r="E177" s="3">
        <f t="shared" si="113"/>
        <v>0</v>
      </c>
      <c r="F177" s="3">
        <f t="shared" si="113"/>
        <v>0</v>
      </c>
      <c r="G177" s="3">
        <f t="shared" si="113"/>
        <v>0</v>
      </c>
      <c r="H177" s="3">
        <f t="shared" si="113"/>
        <v>0</v>
      </c>
      <c r="I177" s="3">
        <f t="shared" si="113"/>
        <v>0</v>
      </c>
      <c r="J177" s="3">
        <f t="shared" si="113"/>
        <v>0</v>
      </c>
      <c r="K177" s="3">
        <f t="shared" si="113"/>
        <v>0</v>
      </c>
      <c r="L177" s="3">
        <f t="shared" si="113"/>
        <v>0</v>
      </c>
      <c r="M177" s="3">
        <f t="shared" si="113"/>
        <v>0</v>
      </c>
      <c r="N177" s="3">
        <f t="shared" si="113"/>
        <v>0</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0</v>
      </c>
      <c r="C178" s="3">
        <f t="shared" si="114"/>
        <v>0</v>
      </c>
      <c r="D178" s="3">
        <f t="shared" si="114"/>
        <v>0</v>
      </c>
      <c r="E178" s="3">
        <f t="shared" si="114"/>
        <v>0</v>
      </c>
      <c r="F178" s="3">
        <f t="shared" si="114"/>
        <v>0</v>
      </c>
      <c r="G178" s="3">
        <f t="shared" si="114"/>
        <v>0</v>
      </c>
      <c r="H178" s="3">
        <f t="shared" si="114"/>
        <v>0</v>
      </c>
      <c r="I178" s="3">
        <f t="shared" si="114"/>
        <v>0</v>
      </c>
      <c r="J178" s="3">
        <f t="shared" si="114"/>
        <v>0</v>
      </c>
      <c r="K178" s="3">
        <f t="shared" si="114"/>
        <v>0</v>
      </c>
      <c r="L178" s="3">
        <f t="shared" si="114"/>
        <v>0</v>
      </c>
      <c r="M178" s="3">
        <f t="shared" si="114"/>
        <v>0</v>
      </c>
      <c r="N178" s="3">
        <f t="shared" si="114"/>
        <v>0</v>
      </c>
      <c r="O178" s="3">
        <f t="shared" si="114"/>
        <v>0</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0</v>
      </c>
      <c r="C179" s="3">
        <f t="shared" si="115"/>
        <v>0</v>
      </c>
      <c r="D179" s="3">
        <f t="shared" si="115"/>
        <v>0</v>
      </c>
      <c r="E179" s="3">
        <f t="shared" si="115"/>
        <v>0</v>
      </c>
      <c r="F179" s="3">
        <f t="shared" si="115"/>
        <v>0</v>
      </c>
      <c r="G179" s="3">
        <f t="shared" si="115"/>
        <v>0</v>
      </c>
      <c r="H179" s="3">
        <f t="shared" si="115"/>
        <v>0</v>
      </c>
      <c r="I179" s="3">
        <f t="shared" si="115"/>
        <v>0</v>
      </c>
      <c r="J179" s="3">
        <f t="shared" si="115"/>
        <v>0</v>
      </c>
      <c r="K179" s="3">
        <f t="shared" si="115"/>
        <v>0</v>
      </c>
      <c r="L179" s="3">
        <f t="shared" si="115"/>
        <v>0</v>
      </c>
      <c r="M179" s="3">
        <f t="shared" si="115"/>
        <v>0</v>
      </c>
      <c r="N179" s="3">
        <f t="shared" si="115"/>
        <v>0</v>
      </c>
      <c r="O179" s="3">
        <f t="shared" si="115"/>
        <v>0</v>
      </c>
      <c r="P179" s="3">
        <f t="shared" si="115"/>
        <v>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7.5540247309915497E-4</v>
      </c>
      <c r="C180" s="3">
        <f t="shared" si="116"/>
        <v>7.5540247309911822E-4</v>
      </c>
      <c r="D180" s="3">
        <f t="shared" si="116"/>
        <v>7.5540247309875013E-4</v>
      </c>
      <c r="E180" s="3">
        <f t="shared" si="116"/>
        <v>7.5540247309506981E-4</v>
      </c>
      <c r="F180" s="3">
        <f t="shared" si="116"/>
        <v>7.5540247305826602E-4</v>
      </c>
      <c r="G180" s="3">
        <f t="shared" si="116"/>
        <v>7.5540247269022807E-4</v>
      </c>
      <c r="H180" s="3">
        <f t="shared" si="116"/>
        <v>7.5540246900984969E-4</v>
      </c>
      <c r="I180" s="3">
        <f t="shared" si="116"/>
        <v>7.5540243220606582E-4</v>
      </c>
      <c r="J180" s="3">
        <f t="shared" si="116"/>
        <v>7.5540206416832665E-4</v>
      </c>
      <c r="K180" s="3">
        <f t="shared" si="116"/>
        <v>7.5539838380079681E-4</v>
      </c>
      <c r="L180" s="3">
        <f t="shared" si="116"/>
        <v>7.5536158111168749E-4</v>
      </c>
      <c r="M180" s="3">
        <f t="shared" si="116"/>
        <v>7.5499365282181107E-4</v>
      </c>
      <c r="N180" s="3">
        <f t="shared" si="116"/>
        <v>7.5132421229323284E-4</v>
      </c>
      <c r="O180" s="3">
        <f t="shared" si="116"/>
        <v>7.1559653034798806E-4</v>
      </c>
      <c r="P180" s="3">
        <f t="shared" si="116"/>
        <v>4.3961918908450959E-4</v>
      </c>
      <c r="Q180" s="3">
        <f t="shared" si="116"/>
        <v>3.3663617799106375E-6</v>
      </c>
      <c r="R180" s="3">
        <f t="shared" si="116"/>
        <v>2.3334701676192845E-27</v>
      </c>
      <c r="S180" s="3">
        <f t="shared" si="116"/>
        <v>5.9760869685576421E-239</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2.9283931569142368E-2</v>
      </c>
      <c r="C181" s="3">
        <f t="shared" si="117"/>
        <v>2.9283931569142239E-2</v>
      </c>
      <c r="D181" s="3">
        <f t="shared" si="117"/>
        <v>2.9283931569140952E-2</v>
      </c>
      <c r="E181" s="3">
        <f t="shared" si="117"/>
        <v>2.9283931569128081E-2</v>
      </c>
      <c r="F181" s="3">
        <f t="shared" si="117"/>
        <v>2.9283931568999378E-2</v>
      </c>
      <c r="G181" s="3">
        <f t="shared" si="117"/>
        <v>2.9283931567712345E-2</v>
      </c>
      <c r="H181" s="3">
        <f t="shared" si="117"/>
        <v>2.9283931554842001E-2</v>
      </c>
      <c r="I181" s="3">
        <f t="shared" si="117"/>
        <v>2.9283931426138592E-2</v>
      </c>
      <c r="J181" s="3">
        <f t="shared" si="117"/>
        <v>2.9283930139104519E-2</v>
      </c>
      <c r="K181" s="3">
        <f t="shared" si="117"/>
        <v>2.9283917268766925E-2</v>
      </c>
      <c r="L181" s="3">
        <f t="shared" si="117"/>
        <v>2.928378856570208E-2</v>
      </c>
      <c r="M181" s="3">
        <f t="shared" si="117"/>
        <v>2.9282501566164017E-2</v>
      </c>
      <c r="N181" s="3">
        <f t="shared" si="117"/>
        <v>2.926963468131737E-2</v>
      </c>
      <c r="O181" s="3">
        <f t="shared" si="117"/>
        <v>2.9141276381021132E-2</v>
      </c>
      <c r="P181" s="3">
        <f t="shared" si="117"/>
        <v>2.788824907692421E-2</v>
      </c>
      <c r="Q181" s="3">
        <f t="shared" si="117"/>
        <v>1.7969998293692384E-2</v>
      </c>
      <c r="R181" s="3">
        <f t="shared" si="117"/>
        <v>2.2172563575522216E-4</v>
      </c>
      <c r="S181" s="3">
        <f t="shared" si="117"/>
        <v>1.8134042881917544E-23</v>
      </c>
      <c r="T181" s="3">
        <f t="shared" si="117"/>
        <v>2.4281859055320994E-214</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1.8302599821955524E-2</v>
      </c>
      <c r="C182" s="3">
        <f t="shared" si="118"/>
        <v>1.8302599821955517E-2</v>
      </c>
      <c r="D182" s="3">
        <f t="shared" si="118"/>
        <v>1.8302599821955444E-2</v>
      </c>
      <c r="E182" s="3">
        <f t="shared" si="118"/>
        <v>1.8302599821954715E-2</v>
      </c>
      <c r="F182" s="3">
        <f t="shared" si="118"/>
        <v>1.8302599821947461E-2</v>
      </c>
      <c r="G182" s="3">
        <f t="shared" si="118"/>
        <v>1.8302599821874897E-2</v>
      </c>
      <c r="H182" s="3">
        <f t="shared" si="118"/>
        <v>1.8302599821149259E-2</v>
      </c>
      <c r="I182" s="3">
        <f t="shared" si="118"/>
        <v>1.8302599813892879E-2</v>
      </c>
      <c r="J182" s="3">
        <f t="shared" si="118"/>
        <v>1.8302599741329074E-2</v>
      </c>
      <c r="K182" s="3">
        <f t="shared" si="118"/>
        <v>1.8302599015691041E-2</v>
      </c>
      <c r="L182" s="3">
        <f t="shared" si="118"/>
        <v>1.8302591759312307E-2</v>
      </c>
      <c r="M182" s="3">
        <f t="shared" si="118"/>
        <v>1.8302519195683174E-2</v>
      </c>
      <c r="N182" s="3">
        <f t="shared" si="118"/>
        <v>1.8301793575214647E-2</v>
      </c>
      <c r="O182" s="3">
        <f t="shared" si="118"/>
        <v>1.8294538952575778E-2</v>
      </c>
      <c r="P182" s="3">
        <f t="shared" si="118"/>
        <v>1.8222150698997529E-2</v>
      </c>
      <c r="Q182" s="3">
        <f t="shared" si="118"/>
        <v>1.7513836146424416E-2</v>
      </c>
      <c r="R182" s="3">
        <f t="shared" si="118"/>
        <v>1.1781423437429262E-2</v>
      </c>
      <c r="S182" s="3">
        <f t="shared" si="118"/>
        <v>2.2354378265173616E-4</v>
      </c>
      <c r="T182" s="3">
        <f t="shared" si="118"/>
        <v>1.3521064900096589E-21</v>
      </c>
      <c r="U182" s="3">
        <f t="shared" si="118"/>
        <v>8.861228105335006E-194</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3.0692844757975957E-2</v>
      </c>
      <c r="C183" s="3">
        <f t="shared" si="119"/>
        <v>3.0692844757975957E-2</v>
      </c>
      <c r="D183" s="3">
        <f t="shared" si="119"/>
        <v>3.0692844757975943E-2</v>
      </c>
      <c r="E183" s="3">
        <f t="shared" si="119"/>
        <v>3.0692844757975835E-2</v>
      </c>
      <c r="F183" s="3">
        <f t="shared" si="119"/>
        <v>3.0692844757974735E-2</v>
      </c>
      <c r="G183" s="3">
        <f t="shared" si="119"/>
        <v>3.0692844757963762E-2</v>
      </c>
      <c r="H183" s="3">
        <f t="shared" si="119"/>
        <v>3.0692844757853988E-2</v>
      </c>
      <c r="I183" s="3">
        <f t="shared" si="119"/>
        <v>3.0692844756756273E-2</v>
      </c>
      <c r="J183" s="3">
        <f t="shared" si="119"/>
        <v>3.0692844745779085E-2</v>
      </c>
      <c r="K183" s="3">
        <f t="shared" si="119"/>
        <v>3.0692844636007233E-2</v>
      </c>
      <c r="L183" s="3">
        <f t="shared" si="119"/>
        <v>3.0692843538288724E-2</v>
      </c>
      <c r="M183" s="3">
        <f t="shared" si="119"/>
        <v>3.0692832561105783E-2</v>
      </c>
      <c r="N183" s="3">
        <f t="shared" si="119"/>
        <v>3.0692722789492352E-2</v>
      </c>
      <c r="O183" s="3">
        <f t="shared" si="119"/>
        <v>3.0691625094950405E-2</v>
      </c>
      <c r="P183" s="3">
        <f t="shared" si="119"/>
        <v>3.0680650308486459E-2</v>
      </c>
      <c r="Q183" s="3">
        <f t="shared" si="119"/>
        <v>3.0571118053975218E-2</v>
      </c>
      <c r="R183" s="3">
        <f t="shared" si="119"/>
        <v>2.9497073915506763E-2</v>
      </c>
      <c r="S183" s="3">
        <f t="shared" si="119"/>
        <v>2.0627902968715802E-2</v>
      </c>
      <c r="T183" s="3">
        <f t="shared" si="119"/>
        <v>5.7705407708296796E-4</v>
      </c>
      <c r="U183" s="3">
        <f t="shared" si="119"/>
        <v>1.6936780270587125E-19</v>
      </c>
      <c r="V183" s="3">
        <f t="shared" si="119"/>
        <v>8.0347847675369435E-175</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2.9931520210616631E-2</v>
      </c>
      <c r="C184" s="3">
        <f t="shared" si="120"/>
        <v>2.9931520210616631E-2</v>
      </c>
      <c r="D184" s="3">
        <f t="shared" si="120"/>
        <v>2.9931520210616631E-2</v>
      </c>
      <c r="E184" s="3">
        <f t="shared" si="120"/>
        <v>2.9931520210616621E-2</v>
      </c>
      <c r="F184" s="3">
        <f t="shared" si="120"/>
        <v>2.9931520210616524E-2</v>
      </c>
      <c r="G184" s="3">
        <f t="shared" si="120"/>
        <v>2.9931520210615559E-2</v>
      </c>
      <c r="H184" s="3">
        <f t="shared" si="120"/>
        <v>2.99315202106059E-2</v>
      </c>
      <c r="I184" s="3">
        <f t="shared" si="120"/>
        <v>2.9931520210509335E-2</v>
      </c>
      <c r="J184" s="3">
        <f t="shared" si="120"/>
        <v>2.9931520209543663E-2</v>
      </c>
      <c r="K184" s="3">
        <f t="shared" si="120"/>
        <v>2.9931520199886954E-2</v>
      </c>
      <c r="L184" s="3">
        <f t="shared" si="120"/>
        <v>2.9931520103319845E-2</v>
      </c>
      <c r="M184" s="3">
        <f t="shared" si="120"/>
        <v>2.9931519137648799E-2</v>
      </c>
      <c r="N184" s="3">
        <f t="shared" si="120"/>
        <v>2.9931509480940019E-2</v>
      </c>
      <c r="O184" s="3">
        <f t="shared" si="120"/>
        <v>2.9931412914023597E-2</v>
      </c>
      <c r="P184" s="3">
        <f t="shared" si="120"/>
        <v>2.9930447261994474E-2</v>
      </c>
      <c r="Q184" s="3">
        <f t="shared" si="120"/>
        <v>2.9920792455008484E-2</v>
      </c>
      <c r="R184" s="3">
        <f t="shared" si="120"/>
        <v>2.9824415511332334E-2</v>
      </c>
      <c r="S184" s="3">
        <f t="shared" si="120"/>
        <v>2.8877556167221711E-2</v>
      </c>
      <c r="T184" s="3">
        <f t="shared" si="120"/>
        <v>2.0914399373072434E-2</v>
      </c>
      <c r="U184" s="3">
        <f t="shared" si="120"/>
        <v>8.3041463277035783E-4</v>
      </c>
      <c r="V184" s="3">
        <f t="shared" si="120"/>
        <v>8.087065440765422E-18</v>
      </c>
      <c r="W184" s="3">
        <f t="shared" si="120"/>
        <v>6.2051259197821185E-158</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3.2651774642810168E-2</v>
      </c>
      <c r="C185" s="3">
        <f t="shared" si="121"/>
        <v>3.2651774642810168E-2</v>
      </c>
      <c r="D185" s="3">
        <f t="shared" si="121"/>
        <v>3.2651774642810168E-2</v>
      </c>
      <c r="E185" s="3">
        <f t="shared" si="121"/>
        <v>3.2651774642810168E-2</v>
      </c>
      <c r="F185" s="3">
        <f t="shared" si="121"/>
        <v>3.2651774642810154E-2</v>
      </c>
      <c r="G185" s="3">
        <f t="shared" si="121"/>
        <v>3.2651774642810064E-2</v>
      </c>
      <c r="H185" s="3">
        <f t="shared" si="121"/>
        <v>3.2651774642809113E-2</v>
      </c>
      <c r="I185" s="3">
        <f t="shared" si="121"/>
        <v>3.2651774642799607E-2</v>
      </c>
      <c r="J185" s="3">
        <f t="shared" si="121"/>
        <v>3.2651774642704579E-2</v>
      </c>
      <c r="K185" s="3">
        <f t="shared" si="121"/>
        <v>3.2651774641754297E-2</v>
      </c>
      <c r="L185" s="3">
        <f t="shared" si="121"/>
        <v>3.2651774632251447E-2</v>
      </c>
      <c r="M185" s="3">
        <f t="shared" si="121"/>
        <v>3.2651774537222955E-2</v>
      </c>
      <c r="N185" s="3">
        <f t="shared" si="121"/>
        <v>3.2651773586938077E-2</v>
      </c>
      <c r="O185" s="3">
        <f t="shared" si="121"/>
        <v>3.2651764084090817E-2</v>
      </c>
      <c r="P185" s="3">
        <f t="shared" si="121"/>
        <v>3.2651669055770292E-2</v>
      </c>
      <c r="Q185" s="3">
        <f t="shared" si="121"/>
        <v>3.2650718787776103E-2</v>
      </c>
      <c r="R185" s="3">
        <f t="shared" si="121"/>
        <v>3.2641217628772465E-2</v>
      </c>
      <c r="S185" s="3">
        <f t="shared" si="121"/>
        <v>3.2546357968911532E-2</v>
      </c>
      <c r="T185" s="3">
        <f t="shared" si="121"/>
        <v>3.1612792050084333E-2</v>
      </c>
      <c r="U185" s="3">
        <f t="shared" si="121"/>
        <v>2.3630201865103895E-2</v>
      </c>
      <c r="V185" s="3">
        <f t="shared" si="121"/>
        <v>1.2868063731679845E-3</v>
      </c>
      <c r="W185" s="3">
        <f t="shared" si="121"/>
        <v>2.9510116090631928E-16</v>
      </c>
      <c r="X185" s="3">
        <f t="shared" si="121"/>
        <v>1.1872660962008156E-142</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4.3350627386052817E-2</v>
      </c>
      <c r="C186" s="3">
        <f t="shared" si="122"/>
        <v>4.3350627386052817E-2</v>
      </c>
      <c r="D186" s="3">
        <f t="shared" si="122"/>
        <v>4.3350627386052817E-2</v>
      </c>
      <c r="E186" s="3">
        <f t="shared" si="122"/>
        <v>4.3350627386052817E-2</v>
      </c>
      <c r="F186" s="3">
        <f t="shared" si="122"/>
        <v>4.3350627386052817E-2</v>
      </c>
      <c r="G186" s="3">
        <f t="shared" si="122"/>
        <v>4.3350627386052804E-2</v>
      </c>
      <c r="H186" s="3">
        <f t="shared" si="122"/>
        <v>4.3350627386052693E-2</v>
      </c>
      <c r="I186" s="3">
        <f t="shared" si="122"/>
        <v>4.3350627386051555E-2</v>
      </c>
      <c r="J186" s="3">
        <f t="shared" si="122"/>
        <v>4.3350627386040175E-2</v>
      </c>
      <c r="K186" s="3">
        <f t="shared" si="122"/>
        <v>4.3350627385926356E-2</v>
      </c>
      <c r="L186" s="3">
        <f t="shared" si="122"/>
        <v>4.3350627384788239E-2</v>
      </c>
      <c r="M186" s="3">
        <f t="shared" si="122"/>
        <v>4.3350627373407009E-2</v>
      </c>
      <c r="N186" s="3">
        <f t="shared" si="122"/>
        <v>4.3350627259594758E-2</v>
      </c>
      <c r="O186" s="3">
        <f t="shared" si="122"/>
        <v>4.3350626121472266E-2</v>
      </c>
      <c r="P186" s="3">
        <f t="shared" si="122"/>
        <v>4.3350614740248969E-2</v>
      </c>
      <c r="Q186" s="3">
        <f t="shared" si="122"/>
        <v>4.3350500928180324E-2</v>
      </c>
      <c r="R186" s="3">
        <f t="shared" si="122"/>
        <v>4.334936282392781E-2</v>
      </c>
      <c r="S186" s="3">
        <f t="shared" si="122"/>
        <v>4.3337983424633006E-2</v>
      </c>
      <c r="T186" s="3">
        <f t="shared" si="122"/>
        <v>4.3224353595213059E-2</v>
      </c>
      <c r="U186" s="3">
        <f t="shared" si="122"/>
        <v>4.2104313300051419E-2</v>
      </c>
      <c r="V186" s="3">
        <f t="shared" si="122"/>
        <v>3.2382278392868974E-2</v>
      </c>
      <c r="W186" s="3">
        <f t="shared" si="122"/>
        <v>2.3448525430834403E-3</v>
      </c>
      <c r="X186" s="3">
        <f t="shared" si="122"/>
        <v>9.2938762891116418E-15</v>
      </c>
      <c r="Y186" s="3">
        <f t="shared" si="122"/>
        <v>8.8922238856935721E-129</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7.4512934998130873E-2</v>
      </c>
      <c r="C187" s="3">
        <f t="shared" si="123"/>
        <v>7.4512934998130873E-2</v>
      </c>
      <c r="D187" s="3">
        <f t="shared" si="123"/>
        <v>7.4512934998130873E-2</v>
      </c>
      <c r="E187" s="3">
        <f t="shared" si="123"/>
        <v>7.4512934998130873E-2</v>
      </c>
      <c r="F187" s="3">
        <f t="shared" si="123"/>
        <v>7.4512934998130873E-2</v>
      </c>
      <c r="G187" s="3">
        <f t="shared" si="123"/>
        <v>7.4512934998130873E-2</v>
      </c>
      <c r="H187" s="3">
        <f t="shared" si="123"/>
        <v>7.4512934998130859E-2</v>
      </c>
      <c r="I187" s="3">
        <f t="shared" si="123"/>
        <v>7.4512934998130678E-2</v>
      </c>
      <c r="J187" s="3">
        <f t="shared" si="123"/>
        <v>7.4512934998128916E-2</v>
      </c>
      <c r="K187" s="3">
        <f t="shared" si="123"/>
        <v>7.4512934998111263E-2</v>
      </c>
      <c r="L187" s="3">
        <f t="shared" si="123"/>
        <v>7.4512934997934793E-2</v>
      </c>
      <c r="M187" s="3">
        <f t="shared" si="123"/>
        <v>7.4512934996170094E-2</v>
      </c>
      <c r="N187" s="3">
        <f t="shared" si="123"/>
        <v>7.4512934978523043E-2</v>
      </c>
      <c r="O187" s="3">
        <f t="shared" si="123"/>
        <v>7.4512934802052636E-2</v>
      </c>
      <c r="P187" s="3">
        <f t="shared" si="123"/>
        <v>7.45129330373486E-2</v>
      </c>
      <c r="Q187" s="3">
        <f t="shared" si="123"/>
        <v>7.4512915390310422E-2</v>
      </c>
      <c r="R187" s="3">
        <f t="shared" si="123"/>
        <v>7.4512738920158583E-2</v>
      </c>
      <c r="S187" s="3">
        <f t="shared" si="123"/>
        <v>7.4510974241626601E-2</v>
      </c>
      <c r="T187" s="3">
        <f t="shared" si="123"/>
        <v>7.4493329754743196E-2</v>
      </c>
      <c r="U187" s="3">
        <f t="shared" si="123"/>
        <v>7.4317114528280409E-2</v>
      </c>
      <c r="V187" s="3">
        <f t="shared" si="123"/>
        <v>7.2577726538634854E-2</v>
      </c>
      <c r="W187" s="3">
        <f t="shared" si="123"/>
        <v>5.7272820115438272E-2</v>
      </c>
      <c r="X187" s="3">
        <f t="shared" si="123"/>
        <v>5.362911760257238E-3</v>
      </c>
      <c r="Y187" s="3">
        <f t="shared" si="123"/>
        <v>2.7792107492416581E-13</v>
      </c>
      <c r="Z187" s="3">
        <f t="shared" si="123"/>
        <v>3.8826637100967369E-116</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8.3057229561504284E-2</v>
      </c>
      <c r="C188" s="3">
        <f t="shared" si="124"/>
        <v>8.3057229561504284E-2</v>
      </c>
      <c r="D188" s="3">
        <f t="shared" si="124"/>
        <v>8.3057229561504284E-2</v>
      </c>
      <c r="E188" s="3">
        <f t="shared" si="124"/>
        <v>8.3057229561504284E-2</v>
      </c>
      <c r="F188" s="3">
        <f t="shared" si="124"/>
        <v>8.3057229561504284E-2</v>
      </c>
      <c r="G188" s="3">
        <f t="shared" si="124"/>
        <v>8.3057229561504284E-2</v>
      </c>
      <c r="H188" s="3">
        <f t="shared" si="124"/>
        <v>8.3057229561504284E-2</v>
      </c>
      <c r="I188" s="3">
        <f t="shared" si="124"/>
        <v>8.305722956150427E-2</v>
      </c>
      <c r="J188" s="3">
        <f t="shared" si="124"/>
        <v>8.305722956150409E-2</v>
      </c>
      <c r="K188" s="3">
        <f t="shared" si="124"/>
        <v>8.3057229561502313E-2</v>
      </c>
      <c r="L188" s="3">
        <f t="shared" si="124"/>
        <v>8.3057229561484563E-2</v>
      </c>
      <c r="M188" s="3">
        <f t="shared" si="124"/>
        <v>8.3057229561307122E-2</v>
      </c>
      <c r="N188" s="3">
        <f t="shared" si="124"/>
        <v>8.3057229559532667E-2</v>
      </c>
      <c r="O188" s="3">
        <f t="shared" si="124"/>
        <v>8.3057229541788152E-2</v>
      </c>
      <c r="P188" s="3">
        <f t="shared" si="124"/>
        <v>8.3057229364342955E-2</v>
      </c>
      <c r="Q188" s="3">
        <f t="shared" si="124"/>
        <v>8.3057227589891008E-2</v>
      </c>
      <c r="R188" s="3">
        <f t="shared" si="124"/>
        <v>8.3057209845373584E-2</v>
      </c>
      <c r="S188" s="3">
        <f t="shared" si="124"/>
        <v>8.3057032400407904E-2</v>
      </c>
      <c r="T188" s="3">
        <f t="shared" si="124"/>
        <v>8.3055257971601307E-2</v>
      </c>
      <c r="U188" s="3">
        <f t="shared" si="124"/>
        <v>8.3037515768389095E-2</v>
      </c>
      <c r="V188" s="3">
        <f t="shared" si="124"/>
        <v>8.286030205693766E-2</v>
      </c>
      <c r="W188" s="3">
        <f t="shared" si="124"/>
        <v>8.1108833273873152E-2</v>
      </c>
      <c r="X188" s="3">
        <f t="shared" si="124"/>
        <v>6.5506527098854711E-2</v>
      </c>
      <c r="Y188" s="3">
        <f t="shared" si="124"/>
        <v>7.7347946350078741E-3</v>
      </c>
      <c r="Z188" s="3">
        <f t="shared" si="124"/>
        <v>4.0746555922548375E-12</v>
      </c>
      <c r="AA188" s="3">
        <f t="shared" si="124"/>
        <v>6.7067496378019617E-105</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7.1718979370641908E-2</v>
      </c>
      <c r="C189" s="3">
        <f t="shared" si="125"/>
        <v>7.1718979370641908E-2</v>
      </c>
      <c r="D189" s="3">
        <f t="shared" si="125"/>
        <v>7.1718979370641908E-2</v>
      </c>
      <c r="E189" s="3">
        <f t="shared" si="125"/>
        <v>7.1718979370641908E-2</v>
      </c>
      <c r="F189" s="3">
        <f t="shared" si="125"/>
        <v>7.1718979370641908E-2</v>
      </c>
      <c r="G189" s="3">
        <f t="shared" si="125"/>
        <v>7.1718979370641908E-2</v>
      </c>
      <c r="H189" s="3">
        <f t="shared" si="125"/>
        <v>7.1718979370641908E-2</v>
      </c>
      <c r="I189" s="3">
        <f t="shared" si="125"/>
        <v>7.1718979370641908E-2</v>
      </c>
      <c r="J189" s="3">
        <f t="shared" si="125"/>
        <v>7.1718979370641894E-2</v>
      </c>
      <c r="K189" s="3">
        <f t="shared" si="125"/>
        <v>7.1718979370641756E-2</v>
      </c>
      <c r="L189" s="3">
        <f t="shared" si="125"/>
        <v>7.1718979370640368E-2</v>
      </c>
      <c r="M189" s="3">
        <f t="shared" si="125"/>
        <v>7.1718979370626545E-2</v>
      </c>
      <c r="N189" s="3">
        <f t="shared" si="125"/>
        <v>7.1718979370488323E-2</v>
      </c>
      <c r="O189" s="3">
        <f t="shared" si="125"/>
        <v>7.1718979369106137E-2</v>
      </c>
      <c r="P189" s="3">
        <f t="shared" si="125"/>
        <v>7.1718979355284249E-2</v>
      </c>
      <c r="Q189" s="3">
        <f t="shared" si="125"/>
        <v>7.1718979217065326E-2</v>
      </c>
      <c r="R189" s="3">
        <f t="shared" si="125"/>
        <v>7.171897783487613E-2</v>
      </c>
      <c r="S189" s="3">
        <f t="shared" si="125"/>
        <v>7.1718964012985609E-2</v>
      </c>
      <c r="T189" s="3">
        <f t="shared" si="125"/>
        <v>7.1718825794226837E-2</v>
      </c>
      <c r="U189" s="3">
        <f t="shared" si="125"/>
        <v>7.1717443621289956E-2</v>
      </c>
      <c r="V189" s="3">
        <f t="shared" si="125"/>
        <v>7.1703623356892607E-2</v>
      </c>
      <c r="W189" s="3">
        <f t="shared" si="125"/>
        <v>7.1565567105661046E-2</v>
      </c>
      <c r="X189" s="3">
        <f t="shared" si="125"/>
        <v>7.0199540014502654E-2</v>
      </c>
      <c r="Y189" s="3">
        <f t="shared" si="125"/>
        <v>5.7894293631122314E-2</v>
      </c>
      <c r="Z189" s="3">
        <f t="shared" si="125"/>
        <v>8.4265672300354137E-3</v>
      </c>
      <c r="AA189" s="3">
        <f t="shared" si="125"/>
        <v>3.5958369950215476E-11</v>
      </c>
      <c r="AB189" s="3">
        <f t="shared" si="125"/>
        <v>7.1993461939632719E-95</v>
      </c>
      <c r="AC189" s="3">
        <f t="shared" si="125"/>
        <v>0</v>
      </c>
      <c r="AD189" s="3">
        <f t="shared" si="125"/>
        <v>0</v>
      </c>
      <c r="AE189" s="3">
        <f t="shared" si="125"/>
        <v>0</v>
      </c>
      <c r="AF189" s="3">
        <f t="shared" si="125"/>
        <v>0</v>
      </c>
      <c r="AG189" s="3"/>
      <c r="AH189" s="3"/>
    </row>
    <row r="190" spans="2:34" x14ac:dyDescent="0.25">
      <c r="B190" s="3">
        <f t="shared" ref="B190:AF190" si="126">$C37*EXP(-B$168/$A37/EXP(-$C$126))</f>
        <v>7.0532782470365804E-2</v>
      </c>
      <c r="C190" s="3">
        <f t="shared" si="126"/>
        <v>7.0532782470365804E-2</v>
      </c>
      <c r="D190" s="3">
        <f t="shared" si="126"/>
        <v>7.0532782470365804E-2</v>
      </c>
      <c r="E190" s="3">
        <f t="shared" si="126"/>
        <v>7.0532782470365804E-2</v>
      </c>
      <c r="F190" s="3">
        <f t="shared" si="126"/>
        <v>7.0532782470365804E-2</v>
      </c>
      <c r="G190" s="3">
        <f t="shared" si="126"/>
        <v>7.0532782470365804E-2</v>
      </c>
      <c r="H190" s="3">
        <f t="shared" si="126"/>
        <v>7.0532782470365804E-2</v>
      </c>
      <c r="I190" s="3">
        <f t="shared" si="126"/>
        <v>7.0532782470365804E-2</v>
      </c>
      <c r="J190" s="3">
        <f t="shared" si="126"/>
        <v>7.0532782470365804E-2</v>
      </c>
      <c r="K190" s="3">
        <f t="shared" si="126"/>
        <v>7.053278247036579E-2</v>
      </c>
      <c r="L190" s="3">
        <f t="shared" si="126"/>
        <v>7.0532782470365665E-2</v>
      </c>
      <c r="M190" s="3">
        <f t="shared" si="126"/>
        <v>7.0532782470364444E-2</v>
      </c>
      <c r="N190" s="3">
        <f t="shared" si="126"/>
        <v>7.0532782470352176E-2</v>
      </c>
      <c r="O190" s="3">
        <f t="shared" si="126"/>
        <v>7.0532782470229552E-2</v>
      </c>
      <c r="P190" s="3">
        <f t="shared" si="126"/>
        <v>7.0532782469003324E-2</v>
      </c>
      <c r="Q190" s="3">
        <f t="shared" si="126"/>
        <v>7.053278245674105E-2</v>
      </c>
      <c r="R190" s="3">
        <f t="shared" si="126"/>
        <v>7.0532782334118319E-2</v>
      </c>
      <c r="S190" s="3">
        <f t="shared" si="126"/>
        <v>7.0532781107890963E-2</v>
      </c>
      <c r="T190" s="3">
        <f t="shared" si="126"/>
        <v>7.0532768845618515E-2</v>
      </c>
      <c r="U190" s="3">
        <f t="shared" si="126"/>
        <v>7.0532646223011294E-2</v>
      </c>
      <c r="V190" s="3">
        <f t="shared" si="126"/>
        <v>7.0531420008664122E-2</v>
      </c>
      <c r="W190" s="3">
        <f t="shared" si="126"/>
        <v>7.0519159037610746E-2</v>
      </c>
      <c r="X190" s="3">
        <f t="shared" si="126"/>
        <v>7.0396666493541829E-2</v>
      </c>
      <c r="Y190" s="3">
        <f t="shared" si="126"/>
        <v>6.918338268087694E-2</v>
      </c>
      <c r="Z190" s="3">
        <f t="shared" si="126"/>
        <v>5.8143179424590068E-2</v>
      </c>
      <c r="AA190" s="3">
        <f t="shared" si="126"/>
        <v>1.0220416947330771E-2</v>
      </c>
      <c r="AB190" s="3">
        <f t="shared" si="126"/>
        <v>2.8785049663798163E-10</v>
      </c>
      <c r="AC190" s="3">
        <f t="shared" si="126"/>
        <v>9.0396305186111343E-86</v>
      </c>
      <c r="AD190" s="3">
        <f t="shared" si="126"/>
        <v>0</v>
      </c>
      <c r="AE190" s="3">
        <f t="shared" si="126"/>
        <v>0</v>
      </c>
      <c r="AF190" s="3">
        <f t="shared" si="126"/>
        <v>0</v>
      </c>
      <c r="AG190" s="3"/>
      <c r="AH190" s="3"/>
    </row>
    <row r="191" spans="2:34" x14ac:dyDescent="0.25">
      <c r="B191" s="3">
        <f t="shared" ref="B191:AF191" si="127">$C38*EXP(-B$168/$A38/EXP(-$C$126))</f>
        <v>3.5919956978906278E-2</v>
      </c>
      <c r="C191" s="3">
        <f t="shared" si="127"/>
        <v>3.5919956978906278E-2</v>
      </c>
      <c r="D191" s="3">
        <f t="shared" si="127"/>
        <v>3.5919956978906278E-2</v>
      </c>
      <c r="E191" s="3">
        <f t="shared" si="127"/>
        <v>3.5919956978906278E-2</v>
      </c>
      <c r="F191" s="3">
        <f t="shared" si="127"/>
        <v>3.5919956978906278E-2</v>
      </c>
      <c r="G191" s="3">
        <f t="shared" si="127"/>
        <v>3.5919956978906278E-2</v>
      </c>
      <c r="H191" s="3">
        <f t="shared" si="127"/>
        <v>3.5919956978906278E-2</v>
      </c>
      <c r="I191" s="3">
        <f t="shared" si="127"/>
        <v>3.5919956978906278E-2</v>
      </c>
      <c r="J191" s="3">
        <f t="shared" si="127"/>
        <v>3.5919956978906278E-2</v>
      </c>
      <c r="K191" s="3">
        <f t="shared" si="127"/>
        <v>3.5919956978906278E-2</v>
      </c>
      <c r="L191" s="3">
        <f t="shared" si="127"/>
        <v>3.5919956978906271E-2</v>
      </c>
      <c r="M191" s="3">
        <f t="shared" si="127"/>
        <v>3.5919956978906216E-2</v>
      </c>
      <c r="N191" s="3">
        <f t="shared" si="127"/>
        <v>3.5919956978905654E-2</v>
      </c>
      <c r="O191" s="3">
        <f t="shared" si="127"/>
        <v>3.5919956978900019E-2</v>
      </c>
      <c r="P191" s="3">
        <f t="shared" si="127"/>
        <v>3.591995697884369E-2</v>
      </c>
      <c r="Q191" s="3">
        <f t="shared" si="127"/>
        <v>3.5919956978280355E-2</v>
      </c>
      <c r="R191" s="3">
        <f t="shared" si="127"/>
        <v>3.5919956972647063E-2</v>
      </c>
      <c r="S191" s="3">
        <f t="shared" si="127"/>
        <v>3.5919956916314125E-2</v>
      </c>
      <c r="T191" s="3">
        <f t="shared" si="127"/>
        <v>3.5919956352984769E-2</v>
      </c>
      <c r="U191" s="3">
        <f t="shared" si="127"/>
        <v>3.5919950719691673E-2</v>
      </c>
      <c r="V191" s="3">
        <f t="shared" si="127"/>
        <v>3.5919894386809328E-2</v>
      </c>
      <c r="W191" s="3">
        <f t="shared" si="127"/>
        <v>3.5919331062844909E-2</v>
      </c>
      <c r="X191" s="3">
        <f t="shared" si="127"/>
        <v>3.5913698309074656E-2</v>
      </c>
      <c r="Y191" s="3">
        <f t="shared" si="127"/>
        <v>3.5857419330590279E-2</v>
      </c>
      <c r="Z191" s="3">
        <f t="shared" si="127"/>
        <v>3.5299457408033218E-2</v>
      </c>
      <c r="AA191" s="3">
        <f t="shared" si="127"/>
        <v>3.017574686411547E-2</v>
      </c>
      <c r="AB191" s="3">
        <f t="shared" si="127"/>
        <v>6.2886584563946182E-3</v>
      </c>
      <c r="AC191" s="3">
        <f t="shared" si="127"/>
        <v>9.7175730318014087E-10</v>
      </c>
      <c r="AD191" s="3">
        <f t="shared" si="127"/>
        <v>7.5432041503963242E-78</v>
      </c>
      <c r="AE191" s="3">
        <f t="shared" si="127"/>
        <v>0</v>
      </c>
      <c r="AF191" s="3">
        <f t="shared" si="127"/>
        <v>0</v>
      </c>
      <c r="AG191" s="3"/>
      <c r="AH191" s="3"/>
    </row>
    <row r="192" spans="2:34" x14ac:dyDescent="0.25">
      <c r="B192" s="3">
        <f t="shared" ref="B192:AF192" si="128">$C39*EXP(-B$168/$A39/EXP(-$C$126))</f>
        <v>6.619073120792586E-2</v>
      </c>
      <c r="C192" s="3">
        <f t="shared" si="128"/>
        <v>6.619073120792586E-2</v>
      </c>
      <c r="D192" s="3">
        <f t="shared" si="128"/>
        <v>6.619073120792586E-2</v>
      </c>
      <c r="E192" s="3">
        <f t="shared" si="128"/>
        <v>6.619073120792586E-2</v>
      </c>
      <c r="F192" s="3">
        <f t="shared" si="128"/>
        <v>6.619073120792586E-2</v>
      </c>
      <c r="G192" s="3">
        <f t="shared" si="128"/>
        <v>6.619073120792586E-2</v>
      </c>
      <c r="H192" s="3">
        <f t="shared" si="128"/>
        <v>6.619073120792586E-2</v>
      </c>
      <c r="I192" s="3">
        <f t="shared" si="128"/>
        <v>6.619073120792586E-2</v>
      </c>
      <c r="J192" s="3">
        <f t="shared" si="128"/>
        <v>6.619073120792586E-2</v>
      </c>
      <c r="K192" s="3">
        <f t="shared" si="128"/>
        <v>6.619073120792586E-2</v>
      </c>
      <c r="L192" s="3">
        <f t="shared" si="128"/>
        <v>6.619073120792586E-2</v>
      </c>
      <c r="M192" s="3">
        <f t="shared" si="128"/>
        <v>6.6190731207925832E-2</v>
      </c>
      <c r="N192" s="3">
        <f t="shared" si="128"/>
        <v>6.6190731207925541E-2</v>
      </c>
      <c r="O192" s="3">
        <f t="shared" si="128"/>
        <v>6.6190731207922668E-2</v>
      </c>
      <c r="P192" s="3">
        <f t="shared" si="128"/>
        <v>6.6190731207893955E-2</v>
      </c>
      <c r="Q192" s="3">
        <f t="shared" si="128"/>
        <v>6.6190731207606851E-2</v>
      </c>
      <c r="R192" s="3">
        <f t="shared" si="128"/>
        <v>6.6190731204735828E-2</v>
      </c>
      <c r="S192" s="3">
        <f t="shared" si="128"/>
        <v>6.6190731176025613E-2</v>
      </c>
      <c r="T192" s="3">
        <f t="shared" si="128"/>
        <v>6.6190730888923341E-2</v>
      </c>
      <c r="U192" s="3">
        <f t="shared" si="128"/>
        <v>6.6190728017900741E-2</v>
      </c>
      <c r="V192" s="3">
        <f t="shared" si="128"/>
        <v>6.619069930768165E-2</v>
      </c>
      <c r="W192" s="3">
        <f t="shared" si="128"/>
        <v>6.6190412206175539E-2</v>
      </c>
      <c r="X192" s="3">
        <f t="shared" si="128"/>
        <v>6.6187541259605048E-2</v>
      </c>
      <c r="Y192" s="3">
        <f t="shared" si="128"/>
        <v>6.6158838641861686E-2</v>
      </c>
      <c r="Z192" s="3">
        <f t="shared" si="128"/>
        <v>6.5872496162846364E-2</v>
      </c>
      <c r="AA192" s="3">
        <f t="shared" si="128"/>
        <v>6.3076356578297174E-2</v>
      </c>
      <c r="AB192" s="3">
        <f t="shared" si="128"/>
        <v>4.0878164542759721E-2</v>
      </c>
      <c r="AC192" s="3">
        <f t="shared" si="128"/>
        <v>5.3424352304512219E-4</v>
      </c>
      <c r="AD192" s="3">
        <f t="shared" si="128"/>
        <v>7.7663694754317314E-23</v>
      </c>
      <c r="AE192" s="3">
        <f t="shared" si="128"/>
        <v>3.2734511811176399E-211</v>
      </c>
      <c r="AF192" s="3">
        <f t="shared" si="128"/>
        <v>0</v>
      </c>
      <c r="AG192" s="3"/>
      <c r="AH192" s="3"/>
    </row>
    <row r="193" spans="1:34" x14ac:dyDescent="0.25">
      <c r="B193" s="3">
        <f t="shared" ref="B193:AF193" si="129">$C40*EXP(-B$168/$A40/EXP(-$C$126))</f>
        <v>7.7756478024563841E-2</v>
      </c>
      <c r="C193" s="3">
        <f t="shared" si="129"/>
        <v>7.7756478024563841E-2</v>
      </c>
      <c r="D193" s="3">
        <f t="shared" si="129"/>
        <v>7.7756478024563841E-2</v>
      </c>
      <c r="E193" s="3">
        <f t="shared" si="129"/>
        <v>7.7756478024563841E-2</v>
      </c>
      <c r="F193" s="3">
        <f t="shared" si="129"/>
        <v>7.7756478024563841E-2</v>
      </c>
      <c r="G193" s="3">
        <f t="shared" si="129"/>
        <v>7.7756478024563841E-2</v>
      </c>
      <c r="H193" s="3">
        <f t="shared" si="129"/>
        <v>7.7756478024563841E-2</v>
      </c>
      <c r="I193" s="3">
        <f t="shared" si="129"/>
        <v>7.7756478024563841E-2</v>
      </c>
      <c r="J193" s="3">
        <f t="shared" si="129"/>
        <v>7.7756478024563841E-2</v>
      </c>
      <c r="K193" s="3">
        <f t="shared" si="129"/>
        <v>7.7756478024563841E-2</v>
      </c>
      <c r="L193" s="3">
        <f t="shared" si="129"/>
        <v>7.7756478024563841E-2</v>
      </c>
      <c r="M193" s="3">
        <f t="shared" si="129"/>
        <v>7.7756478024563841E-2</v>
      </c>
      <c r="N193" s="3">
        <f t="shared" si="129"/>
        <v>7.7756478024563813E-2</v>
      </c>
      <c r="O193" s="3">
        <f t="shared" si="129"/>
        <v>7.7756478024563466E-2</v>
      </c>
      <c r="P193" s="3">
        <f t="shared" si="129"/>
        <v>7.7756478024560094E-2</v>
      </c>
      <c r="Q193" s="3">
        <f t="shared" si="129"/>
        <v>7.7756478024526371E-2</v>
      </c>
      <c r="R193" s="3">
        <f t="shared" si="129"/>
        <v>7.7756478024189099E-2</v>
      </c>
      <c r="S193" s="3">
        <f t="shared" si="129"/>
        <v>7.7756478020816408E-2</v>
      </c>
      <c r="T193" s="3">
        <f t="shared" si="129"/>
        <v>7.775647798708954E-2</v>
      </c>
      <c r="U193" s="3">
        <f t="shared" si="129"/>
        <v>7.7756477649820854E-2</v>
      </c>
      <c r="V193" s="3">
        <f t="shared" si="129"/>
        <v>7.7756474277134058E-2</v>
      </c>
      <c r="W193" s="3">
        <f t="shared" si="129"/>
        <v>7.7756440550274114E-2</v>
      </c>
      <c r="X193" s="3">
        <f t="shared" si="129"/>
        <v>7.7756103282479311E-2</v>
      </c>
      <c r="Y193" s="3">
        <f t="shared" si="129"/>
        <v>7.7752730684989543E-2</v>
      </c>
      <c r="Z193" s="3">
        <f t="shared" si="129"/>
        <v>7.7719012754622563E-2</v>
      </c>
      <c r="AA193" s="3">
        <f t="shared" si="129"/>
        <v>7.7382636614478209E-2</v>
      </c>
      <c r="AB193" s="3">
        <f t="shared" si="129"/>
        <v>7.4097917406940911E-2</v>
      </c>
      <c r="AC193" s="3">
        <f t="shared" si="129"/>
        <v>4.8020954670659297E-2</v>
      </c>
      <c r="AD193" s="3">
        <f t="shared" si="129"/>
        <v>6.2759383377909239E-4</v>
      </c>
      <c r="AE193" s="3">
        <f t="shared" si="129"/>
        <v>9.1234154152196445E-23</v>
      </c>
      <c r="AF193" s="3">
        <f t="shared" si="129"/>
        <v>3.8454331925944637E-211</v>
      </c>
      <c r="AG193" s="3"/>
      <c r="AH193" s="3"/>
    </row>
    <row r="194" spans="1:34" x14ac:dyDescent="0.25">
      <c r="B194" s="3">
        <f t="shared" ref="B194:AF194" si="130">$C41*EXP(-B$168/$A41/EXP(-$C$126))</f>
        <v>8.4379776386596134E-2</v>
      </c>
      <c r="C194" s="3">
        <f t="shared" si="130"/>
        <v>8.4379776386596134E-2</v>
      </c>
      <c r="D194" s="3">
        <f t="shared" si="130"/>
        <v>8.4379776386596134E-2</v>
      </c>
      <c r="E194" s="3">
        <f t="shared" si="130"/>
        <v>8.4379776386596134E-2</v>
      </c>
      <c r="F194" s="3">
        <f t="shared" si="130"/>
        <v>8.4379776386596134E-2</v>
      </c>
      <c r="G194" s="3">
        <f t="shared" si="130"/>
        <v>8.4379776386596134E-2</v>
      </c>
      <c r="H194" s="3">
        <f t="shared" si="130"/>
        <v>8.4379776386596134E-2</v>
      </c>
      <c r="I194" s="3">
        <f t="shared" si="130"/>
        <v>8.4379776386596134E-2</v>
      </c>
      <c r="J194" s="3">
        <f t="shared" si="130"/>
        <v>8.4379776386596134E-2</v>
      </c>
      <c r="K194" s="3">
        <f t="shared" si="130"/>
        <v>8.4379776386596134E-2</v>
      </c>
      <c r="L194" s="3">
        <f t="shared" si="130"/>
        <v>8.4379776386596134E-2</v>
      </c>
      <c r="M194" s="3">
        <f t="shared" si="130"/>
        <v>8.4379776386596134E-2</v>
      </c>
      <c r="N194" s="3">
        <f t="shared" si="130"/>
        <v>8.4379776386596134E-2</v>
      </c>
      <c r="O194" s="3">
        <f t="shared" si="130"/>
        <v>8.4379776386596092E-2</v>
      </c>
      <c r="P194" s="3">
        <f t="shared" si="130"/>
        <v>8.4379776386595731E-2</v>
      </c>
      <c r="Q194" s="3">
        <f t="shared" si="130"/>
        <v>8.4379776386592067E-2</v>
      </c>
      <c r="R194" s="3">
        <f t="shared" si="130"/>
        <v>8.4379776386555472E-2</v>
      </c>
      <c r="S194" s="3">
        <f t="shared" si="130"/>
        <v>8.4379776386189473E-2</v>
      </c>
      <c r="T194" s="3">
        <f t="shared" si="130"/>
        <v>8.4379776382529498E-2</v>
      </c>
      <c r="U194" s="3">
        <f t="shared" si="130"/>
        <v>8.4379776345929774E-2</v>
      </c>
      <c r="V194" s="3">
        <f t="shared" si="130"/>
        <v>8.4379775979932528E-2</v>
      </c>
      <c r="W194" s="3">
        <f t="shared" si="130"/>
        <v>8.4379772319960203E-2</v>
      </c>
      <c r="X194" s="3">
        <f t="shared" si="130"/>
        <v>8.4379735720245652E-2</v>
      </c>
      <c r="Y194" s="3">
        <f t="shared" si="130"/>
        <v>8.4379369723973308E-2</v>
      </c>
      <c r="Z194" s="3">
        <f t="shared" si="130"/>
        <v>8.4375709848561534E-2</v>
      </c>
      <c r="AA194" s="3">
        <f t="shared" si="130"/>
        <v>8.4339119824207734E-2</v>
      </c>
      <c r="AB194" s="3">
        <f t="shared" si="130"/>
        <v>8.3974091157680411E-2</v>
      </c>
      <c r="AC194" s="3">
        <f t="shared" si="130"/>
        <v>8.0409579501980216E-2</v>
      </c>
      <c r="AD194" s="3">
        <f t="shared" si="130"/>
        <v>5.211138055534157E-2</v>
      </c>
      <c r="AE194" s="3">
        <f t="shared" si="130"/>
        <v>6.8105228916306027E-4</v>
      </c>
      <c r="AF194" s="3">
        <f t="shared" si="130"/>
        <v>9.9005481237854189E-23</v>
      </c>
      <c r="AG194" s="3"/>
      <c r="AH194" s="3"/>
    </row>
    <row r="195" spans="1:34" x14ac:dyDescent="0.25">
      <c r="B195" s="3">
        <f t="shared" ref="B195:AF195" si="131">$C42*EXP(-B$168/$A42/EXP(-$C$126))</f>
        <v>9.8418254231933067E-2</v>
      </c>
      <c r="C195" s="3">
        <f t="shared" si="131"/>
        <v>9.8418254231933067E-2</v>
      </c>
      <c r="D195" s="3">
        <f t="shared" si="131"/>
        <v>9.8418254231933067E-2</v>
      </c>
      <c r="E195" s="3">
        <f t="shared" si="131"/>
        <v>9.8418254231933067E-2</v>
      </c>
      <c r="F195" s="3">
        <f t="shared" si="131"/>
        <v>9.8418254231933067E-2</v>
      </c>
      <c r="G195" s="3">
        <f t="shared" si="131"/>
        <v>9.8418254231933067E-2</v>
      </c>
      <c r="H195" s="3">
        <f t="shared" si="131"/>
        <v>9.8418254231933067E-2</v>
      </c>
      <c r="I195" s="3">
        <f t="shared" si="131"/>
        <v>9.8418254231933067E-2</v>
      </c>
      <c r="J195" s="3">
        <f t="shared" si="131"/>
        <v>9.8418254231933067E-2</v>
      </c>
      <c r="K195" s="3">
        <f t="shared" si="131"/>
        <v>9.8418254231933067E-2</v>
      </c>
      <c r="L195" s="3">
        <f t="shared" si="131"/>
        <v>9.8418254231933067E-2</v>
      </c>
      <c r="M195" s="3">
        <f t="shared" si="131"/>
        <v>9.8418254231933067E-2</v>
      </c>
      <c r="N195" s="3">
        <f t="shared" si="131"/>
        <v>9.8418254231933067E-2</v>
      </c>
      <c r="O195" s="3">
        <f t="shared" si="131"/>
        <v>9.8418254231933067E-2</v>
      </c>
      <c r="P195" s="3">
        <f t="shared" si="131"/>
        <v>9.8418254231933025E-2</v>
      </c>
      <c r="Q195" s="3">
        <f t="shared" si="131"/>
        <v>9.8418254231932595E-2</v>
      </c>
      <c r="R195" s="3">
        <f t="shared" si="131"/>
        <v>9.841825423192832E-2</v>
      </c>
      <c r="S195" s="3">
        <f t="shared" si="131"/>
        <v>9.8418254231885632E-2</v>
      </c>
      <c r="T195" s="3">
        <f t="shared" si="131"/>
        <v>9.8418254231458738E-2</v>
      </c>
      <c r="U195" s="3">
        <f t="shared" si="131"/>
        <v>9.8418254227189847E-2</v>
      </c>
      <c r="V195" s="3">
        <f t="shared" si="131"/>
        <v>9.8418254184500939E-2</v>
      </c>
      <c r="W195" s="3">
        <f t="shared" si="131"/>
        <v>9.8418253757611804E-2</v>
      </c>
      <c r="X195" s="3">
        <f t="shared" si="131"/>
        <v>9.8418249488720577E-2</v>
      </c>
      <c r="Y195" s="3">
        <f t="shared" si="131"/>
        <v>9.8418206799818511E-2</v>
      </c>
      <c r="Z195" s="3">
        <f t="shared" si="131"/>
        <v>9.8417779911816175E-2</v>
      </c>
      <c r="AA195" s="3">
        <f t="shared" si="131"/>
        <v>9.8413511133630699E-2</v>
      </c>
      <c r="AB195" s="3">
        <f t="shared" si="131"/>
        <v>9.8370833533933041E-2</v>
      </c>
      <c r="AC195" s="3">
        <f t="shared" si="131"/>
        <v>9.7945074120449505E-2</v>
      </c>
      <c r="AD195" s="3">
        <f t="shared" si="131"/>
        <v>9.3787525601523605E-2</v>
      </c>
      <c r="AE195" s="3">
        <f t="shared" si="131"/>
        <v>6.0781283377367712E-2</v>
      </c>
      <c r="AF195" s="3">
        <f t="shared" si="131"/>
        <v>7.9436068937885416E-4</v>
      </c>
      <c r="AG195" s="3"/>
      <c r="AH195" s="3"/>
    </row>
    <row r="196" spans="1:34" x14ac:dyDescent="0.25">
      <c r="B196" s="3">
        <f t="shared" ref="B196:AF196" si="132">$C43*EXP(-B$168/$A43/EXP(-$C$126))</f>
        <v>5.8940133460185569E-2</v>
      </c>
      <c r="C196" s="3">
        <f t="shared" si="132"/>
        <v>5.8940133460185569E-2</v>
      </c>
      <c r="D196" s="3">
        <f t="shared" si="132"/>
        <v>5.8940133460185569E-2</v>
      </c>
      <c r="E196" s="3">
        <f t="shared" si="132"/>
        <v>5.8940133460185569E-2</v>
      </c>
      <c r="F196" s="3">
        <f t="shared" si="132"/>
        <v>5.8940133460185569E-2</v>
      </c>
      <c r="G196" s="3">
        <f t="shared" si="132"/>
        <v>5.8940133460185569E-2</v>
      </c>
      <c r="H196" s="3">
        <f t="shared" si="132"/>
        <v>5.8940133460185569E-2</v>
      </c>
      <c r="I196" s="3">
        <f t="shared" si="132"/>
        <v>5.8940133460185569E-2</v>
      </c>
      <c r="J196" s="3">
        <f t="shared" si="132"/>
        <v>5.8940133460185569E-2</v>
      </c>
      <c r="K196" s="3">
        <f t="shared" si="132"/>
        <v>5.8940133460185569E-2</v>
      </c>
      <c r="L196" s="3">
        <f t="shared" si="132"/>
        <v>5.8940133460185569E-2</v>
      </c>
      <c r="M196" s="3">
        <f t="shared" si="132"/>
        <v>5.8940133460185569E-2</v>
      </c>
      <c r="N196" s="3">
        <f t="shared" si="132"/>
        <v>5.8940133460185569E-2</v>
      </c>
      <c r="O196" s="3">
        <f t="shared" si="132"/>
        <v>5.8940133460185569E-2</v>
      </c>
      <c r="P196" s="3">
        <f t="shared" si="132"/>
        <v>5.8940133460185569E-2</v>
      </c>
      <c r="Q196" s="3">
        <f t="shared" si="132"/>
        <v>5.8940133460185541E-2</v>
      </c>
      <c r="R196" s="3">
        <f t="shared" si="132"/>
        <v>5.8940133460185284E-2</v>
      </c>
      <c r="S196" s="3">
        <f t="shared" si="132"/>
        <v>5.8940133460182731E-2</v>
      </c>
      <c r="T196" s="3">
        <f t="shared" si="132"/>
        <v>5.8940133460157161E-2</v>
      </c>
      <c r="U196" s="3">
        <f t="shared" si="132"/>
        <v>5.8940133459901511E-2</v>
      </c>
      <c r="V196" s="3">
        <f t="shared" si="132"/>
        <v>5.894013345734498E-2</v>
      </c>
      <c r="W196" s="3">
        <f t="shared" si="132"/>
        <v>5.8940133431779701E-2</v>
      </c>
      <c r="X196" s="3">
        <f t="shared" si="132"/>
        <v>5.8940133176126897E-2</v>
      </c>
      <c r="Y196" s="3">
        <f t="shared" si="132"/>
        <v>5.8940130619598942E-2</v>
      </c>
      <c r="Z196" s="3">
        <f t="shared" si="132"/>
        <v>5.8940105054325453E-2</v>
      </c>
      <c r="AA196" s="3">
        <f t="shared" si="132"/>
        <v>5.8939849402200484E-2</v>
      </c>
      <c r="AB196" s="3">
        <f t="shared" si="132"/>
        <v>5.8937292941938842E-2</v>
      </c>
      <c r="AC196" s="3">
        <f t="shared" si="132"/>
        <v>5.8911734437151586E-2</v>
      </c>
      <c r="AD196" s="3">
        <f t="shared" si="132"/>
        <v>5.8656758194700544E-2</v>
      </c>
      <c r="AE196" s="3">
        <f t="shared" si="132"/>
        <v>5.6166910488245493E-2</v>
      </c>
      <c r="AF196" s="3">
        <f t="shared" si="132"/>
        <v>3.6400330224319682E-2</v>
      </c>
      <c r="AG196" s="3"/>
      <c r="AH196" s="3"/>
    </row>
    <row r="197" spans="1:34" x14ac:dyDescent="0.25">
      <c r="B197" s="3">
        <f t="shared" ref="B197:AF197" si="133">$C44*EXP(-B$168/$A44/EXP(-$C$126))</f>
        <v>4.2268801533997091E-2</v>
      </c>
      <c r="C197" s="3">
        <f t="shared" si="133"/>
        <v>4.2268801533997091E-2</v>
      </c>
      <c r="D197" s="3">
        <f t="shared" si="133"/>
        <v>4.2268801533997091E-2</v>
      </c>
      <c r="E197" s="3">
        <f t="shared" si="133"/>
        <v>4.2268801533997091E-2</v>
      </c>
      <c r="F197" s="3">
        <f t="shared" si="133"/>
        <v>4.2268801533997091E-2</v>
      </c>
      <c r="G197" s="3">
        <f t="shared" si="133"/>
        <v>4.2268801533997091E-2</v>
      </c>
      <c r="H197" s="3">
        <f t="shared" si="133"/>
        <v>4.2268801533997091E-2</v>
      </c>
      <c r="I197" s="3">
        <f t="shared" si="133"/>
        <v>4.2268801533997091E-2</v>
      </c>
      <c r="J197" s="3">
        <f t="shared" si="133"/>
        <v>4.2268801533997091E-2</v>
      </c>
      <c r="K197" s="3">
        <f t="shared" si="133"/>
        <v>4.2268801533997091E-2</v>
      </c>
      <c r="L197" s="3">
        <f t="shared" si="133"/>
        <v>4.2268801533997091E-2</v>
      </c>
      <c r="M197" s="3">
        <f t="shared" si="133"/>
        <v>4.2268801533997091E-2</v>
      </c>
      <c r="N197" s="3">
        <f t="shared" si="133"/>
        <v>4.2268801533997091E-2</v>
      </c>
      <c r="O197" s="3">
        <f t="shared" si="133"/>
        <v>4.2268801533997091E-2</v>
      </c>
      <c r="P197" s="3">
        <f t="shared" si="133"/>
        <v>4.2268801533997091E-2</v>
      </c>
      <c r="Q197" s="3">
        <f t="shared" si="133"/>
        <v>4.2268801533997091E-2</v>
      </c>
      <c r="R197" s="3">
        <f t="shared" si="133"/>
        <v>4.226880153399707E-2</v>
      </c>
      <c r="S197" s="3">
        <f t="shared" si="133"/>
        <v>4.226880153399689E-2</v>
      </c>
      <c r="T197" s="3">
        <f t="shared" si="133"/>
        <v>4.2268801533995051E-2</v>
      </c>
      <c r="U197" s="3">
        <f t="shared" si="133"/>
        <v>4.2268801533976719E-2</v>
      </c>
      <c r="V197" s="3">
        <f t="shared" si="133"/>
        <v>4.2268801533793379E-2</v>
      </c>
      <c r="W197" s="3">
        <f t="shared" si="133"/>
        <v>4.2268801531959971E-2</v>
      </c>
      <c r="X197" s="3">
        <f t="shared" si="133"/>
        <v>4.226880151362588E-2</v>
      </c>
      <c r="Y197" s="3">
        <f t="shared" si="133"/>
        <v>4.2268801330284975E-2</v>
      </c>
      <c r="Z197" s="3">
        <f t="shared" si="133"/>
        <v>4.2268799496875946E-2</v>
      </c>
      <c r="AA197" s="3">
        <f t="shared" si="133"/>
        <v>4.2268781162790023E-2</v>
      </c>
      <c r="AB197" s="3">
        <f t="shared" si="133"/>
        <v>4.2268597822368172E-2</v>
      </c>
      <c r="AC197" s="3">
        <f t="shared" si="133"/>
        <v>4.2266764461887207E-2</v>
      </c>
      <c r="AD197" s="3">
        <f t="shared" si="133"/>
        <v>4.2248435230123796E-2</v>
      </c>
      <c r="AE197" s="3">
        <f t="shared" si="133"/>
        <v>4.2065579516108016E-2</v>
      </c>
      <c r="AF197" s="3">
        <f t="shared" si="133"/>
        <v>4.0279990098922205E-2</v>
      </c>
      <c r="AG197" s="3"/>
      <c r="AH197" s="3"/>
    </row>
    <row r="198" spans="1:34" x14ac:dyDescent="0.25">
      <c r="B198" s="3">
        <f t="shared" ref="B198:AF198" si="134">$C45*EXP(-B$168/$A45/EXP(-$C$126))</f>
        <v>2.0342268571851365E-2</v>
      </c>
      <c r="C198" s="3">
        <f t="shared" si="134"/>
        <v>2.0342268571851365E-2</v>
      </c>
      <c r="D198" s="3">
        <f t="shared" si="134"/>
        <v>2.0342268571851365E-2</v>
      </c>
      <c r="E198" s="3">
        <f t="shared" si="134"/>
        <v>2.0342268571851365E-2</v>
      </c>
      <c r="F198" s="3">
        <f t="shared" si="134"/>
        <v>2.0342268571851365E-2</v>
      </c>
      <c r="G198" s="3">
        <f t="shared" si="134"/>
        <v>2.0342268571851365E-2</v>
      </c>
      <c r="H198" s="3">
        <f t="shared" si="134"/>
        <v>2.0342268571851365E-2</v>
      </c>
      <c r="I198" s="3">
        <f t="shared" si="134"/>
        <v>2.0342268571851365E-2</v>
      </c>
      <c r="J198" s="3">
        <f t="shared" si="134"/>
        <v>2.0342268571851365E-2</v>
      </c>
      <c r="K198" s="3">
        <f t="shared" si="134"/>
        <v>2.0342268571851365E-2</v>
      </c>
      <c r="L198" s="3">
        <f t="shared" si="134"/>
        <v>2.0342268571851365E-2</v>
      </c>
      <c r="M198" s="3">
        <f t="shared" si="134"/>
        <v>2.0342268571851365E-2</v>
      </c>
      <c r="N198" s="3">
        <f t="shared" si="134"/>
        <v>2.0342268571851365E-2</v>
      </c>
      <c r="O198" s="3">
        <f t="shared" si="134"/>
        <v>2.0342268571851365E-2</v>
      </c>
      <c r="P198" s="3">
        <f t="shared" si="134"/>
        <v>2.0342268571851365E-2</v>
      </c>
      <c r="Q198" s="3">
        <f t="shared" si="134"/>
        <v>2.0342268571851365E-2</v>
      </c>
      <c r="R198" s="3">
        <f t="shared" si="134"/>
        <v>2.0342268571851365E-2</v>
      </c>
      <c r="S198" s="3">
        <f t="shared" si="134"/>
        <v>2.0342268571851355E-2</v>
      </c>
      <c r="T198" s="3">
        <f t="shared" si="134"/>
        <v>2.0342268571851268E-2</v>
      </c>
      <c r="U198" s="3">
        <f t="shared" si="134"/>
        <v>2.0342268571850383E-2</v>
      </c>
      <c r="V198" s="3">
        <f t="shared" si="134"/>
        <v>2.034226857184156E-2</v>
      </c>
      <c r="W198" s="3">
        <f t="shared" si="134"/>
        <v>2.0342268571753325E-2</v>
      </c>
      <c r="X198" s="3">
        <f t="shared" si="134"/>
        <v>2.0342268570870979E-2</v>
      </c>
      <c r="Y198" s="3">
        <f t="shared" si="134"/>
        <v>2.0342268562047523E-2</v>
      </c>
      <c r="Z198" s="3">
        <f t="shared" si="134"/>
        <v>2.034226847381294E-2</v>
      </c>
      <c r="AA198" s="3">
        <f t="shared" si="134"/>
        <v>2.0342267591467157E-2</v>
      </c>
      <c r="AB198" s="3">
        <f t="shared" si="134"/>
        <v>2.034225876801141E-2</v>
      </c>
      <c r="AC198" s="3">
        <f t="shared" si="134"/>
        <v>2.0342170533664421E-2</v>
      </c>
      <c r="AD198" s="3">
        <f t="shared" si="134"/>
        <v>2.0341288211243647E-2</v>
      </c>
      <c r="AE198" s="3">
        <f t="shared" si="134"/>
        <v>2.0332467091606573E-2</v>
      </c>
      <c r="AF198" s="3">
        <f t="shared" si="134"/>
        <v>2.0244466014939785E-2</v>
      </c>
      <c r="AG198" s="3"/>
      <c r="AH198" s="3"/>
    </row>
    <row r="199" spans="1:34" x14ac:dyDescent="0.25">
      <c r="B199" s="3">
        <f t="shared" ref="B199:AF199" si="135">$C46*EXP(-B$168/$A46/EXP(-$C$126))</f>
        <v>5.9170897395369676E-3</v>
      </c>
      <c r="C199" s="3">
        <f t="shared" si="135"/>
        <v>5.9170897395369676E-3</v>
      </c>
      <c r="D199" s="3">
        <f t="shared" si="135"/>
        <v>5.9170897395369676E-3</v>
      </c>
      <c r="E199" s="3">
        <f t="shared" si="135"/>
        <v>5.9170897395369676E-3</v>
      </c>
      <c r="F199" s="3">
        <f t="shared" si="135"/>
        <v>5.9170897395369676E-3</v>
      </c>
      <c r="G199" s="3">
        <f t="shared" si="135"/>
        <v>5.9170897395369676E-3</v>
      </c>
      <c r="H199" s="3">
        <f t="shared" si="135"/>
        <v>5.9170897395369676E-3</v>
      </c>
      <c r="I199" s="3">
        <f t="shared" si="135"/>
        <v>5.9170897395369676E-3</v>
      </c>
      <c r="J199" s="3">
        <f t="shared" si="135"/>
        <v>5.9170897395369676E-3</v>
      </c>
      <c r="K199" s="3">
        <f t="shared" si="135"/>
        <v>5.9170897395369676E-3</v>
      </c>
      <c r="L199" s="3">
        <f t="shared" si="135"/>
        <v>5.9170897395369676E-3</v>
      </c>
      <c r="M199" s="3">
        <f t="shared" si="135"/>
        <v>5.9170897395369676E-3</v>
      </c>
      <c r="N199" s="3">
        <f t="shared" si="135"/>
        <v>5.9170897395369676E-3</v>
      </c>
      <c r="O199" s="3">
        <f t="shared" si="135"/>
        <v>5.9170897395369676E-3</v>
      </c>
      <c r="P199" s="3">
        <f t="shared" si="135"/>
        <v>5.9170897395369676E-3</v>
      </c>
      <c r="Q199" s="3">
        <f t="shared" si="135"/>
        <v>5.9170897395369676E-3</v>
      </c>
      <c r="R199" s="3">
        <f t="shared" si="135"/>
        <v>5.9170897395369676E-3</v>
      </c>
      <c r="S199" s="3">
        <f t="shared" si="135"/>
        <v>5.9170897395369676E-3</v>
      </c>
      <c r="T199" s="3">
        <f t="shared" si="135"/>
        <v>5.917089739536965E-3</v>
      </c>
      <c r="U199" s="3">
        <f t="shared" si="135"/>
        <v>5.917089739536939E-3</v>
      </c>
      <c r="V199" s="3">
        <f t="shared" si="135"/>
        <v>5.9170897395366823E-3</v>
      </c>
      <c r="W199" s="3">
        <f t="shared" si="135"/>
        <v>5.9170897395341157E-3</v>
      </c>
      <c r="X199" s="3">
        <f t="shared" si="135"/>
        <v>5.9170897395084505E-3</v>
      </c>
      <c r="Y199" s="3">
        <f t="shared" si="135"/>
        <v>5.9170897392517964E-3</v>
      </c>
      <c r="Z199" s="3">
        <f t="shared" si="135"/>
        <v>5.9170897366852592E-3</v>
      </c>
      <c r="AA199" s="3">
        <f t="shared" si="135"/>
        <v>5.9170897110198848E-3</v>
      </c>
      <c r="AB199" s="3">
        <f t="shared" si="135"/>
        <v>5.917089454366151E-3</v>
      </c>
      <c r="AC199" s="3">
        <f t="shared" si="135"/>
        <v>5.9170868878294204E-3</v>
      </c>
      <c r="AD199" s="3">
        <f t="shared" si="135"/>
        <v>5.9170612225233421E-3</v>
      </c>
      <c r="AE199" s="3">
        <f t="shared" si="135"/>
        <v>5.916804575585243E-3</v>
      </c>
      <c r="AF199" s="3">
        <f t="shared" si="135"/>
        <v>5.9142387183746085E-3</v>
      </c>
      <c r="AG199" s="3"/>
      <c r="AH199" s="3"/>
    </row>
    <row r="200" spans="1:34" x14ac:dyDescent="0.25">
      <c r="B200" s="3">
        <f t="shared" ref="B200:AF200" si="136">$C47*EXP(-B$168/$A47/EXP(-$C$126))</f>
        <v>2.1512309521192175E-5</v>
      </c>
      <c r="C200" s="3">
        <f t="shared" si="136"/>
        <v>2.1512309521192175E-5</v>
      </c>
      <c r="D200" s="3">
        <f t="shared" si="136"/>
        <v>2.1512309521192175E-5</v>
      </c>
      <c r="E200" s="3">
        <f t="shared" si="136"/>
        <v>2.1512309521192175E-5</v>
      </c>
      <c r="F200" s="3">
        <f t="shared" si="136"/>
        <v>2.1512309521192175E-5</v>
      </c>
      <c r="G200" s="3">
        <f t="shared" si="136"/>
        <v>2.1512309521192175E-5</v>
      </c>
      <c r="H200" s="3">
        <f t="shared" si="136"/>
        <v>2.1512309521192175E-5</v>
      </c>
      <c r="I200" s="3">
        <f t="shared" si="136"/>
        <v>2.1512309521192175E-5</v>
      </c>
      <c r="J200" s="3">
        <f t="shared" si="136"/>
        <v>2.1512309521192175E-5</v>
      </c>
      <c r="K200" s="3">
        <f t="shared" si="136"/>
        <v>2.1512309521192175E-5</v>
      </c>
      <c r="L200" s="3">
        <f t="shared" si="136"/>
        <v>2.1512309521192175E-5</v>
      </c>
      <c r="M200" s="3">
        <f t="shared" si="136"/>
        <v>2.1512309521192175E-5</v>
      </c>
      <c r="N200" s="3">
        <f t="shared" si="136"/>
        <v>2.1512309521192175E-5</v>
      </c>
      <c r="O200" s="3">
        <f t="shared" si="136"/>
        <v>2.1512309521192175E-5</v>
      </c>
      <c r="P200" s="3">
        <f t="shared" si="136"/>
        <v>2.1512309521192175E-5</v>
      </c>
      <c r="Q200" s="3">
        <f t="shared" si="136"/>
        <v>2.1512309521192175E-5</v>
      </c>
      <c r="R200" s="3">
        <f t="shared" si="136"/>
        <v>2.1512309521192175E-5</v>
      </c>
      <c r="S200" s="3">
        <f t="shared" si="136"/>
        <v>2.1512309521192175E-5</v>
      </c>
      <c r="T200" s="3">
        <f t="shared" si="136"/>
        <v>2.1512309521192175E-5</v>
      </c>
      <c r="U200" s="3">
        <f t="shared" si="136"/>
        <v>2.1512309521192165E-5</v>
      </c>
      <c r="V200" s="3">
        <f t="shared" si="136"/>
        <v>2.1512309521192073E-5</v>
      </c>
      <c r="W200" s="3">
        <f t="shared" si="136"/>
        <v>2.1512309521191138E-5</v>
      </c>
      <c r="X200" s="3">
        <f t="shared" si="136"/>
        <v>2.1512309521181807E-5</v>
      </c>
      <c r="Y200" s="3">
        <f t="shared" si="136"/>
        <v>2.1512309521088498E-5</v>
      </c>
      <c r="Z200" s="3">
        <f t="shared" si="136"/>
        <v>2.15123095201554E-5</v>
      </c>
      <c r="AA200" s="3">
        <f t="shared" si="136"/>
        <v>2.1512309510824437E-5</v>
      </c>
      <c r="AB200" s="3">
        <f t="shared" si="136"/>
        <v>2.1512309417514803E-5</v>
      </c>
      <c r="AC200" s="3">
        <f t="shared" si="136"/>
        <v>2.1512308484418501E-5</v>
      </c>
      <c r="AD200" s="3">
        <f t="shared" si="136"/>
        <v>2.1512299153457675E-5</v>
      </c>
      <c r="AE200" s="3">
        <f t="shared" si="136"/>
        <v>2.1512205844072046E-5</v>
      </c>
      <c r="AF200" s="3">
        <f t="shared" si="136"/>
        <v>2.1511272772475524E-5</v>
      </c>
      <c r="AG200" s="3"/>
      <c r="AH200" s="3"/>
    </row>
    <row r="201" spans="1:34" x14ac:dyDescent="0.25">
      <c r="B201" s="3">
        <f t="shared" ref="B201:AF201" si="137">$C48*EXP(-B$168/$A48/EXP(-$C$126))</f>
        <v>1.0364109378839697E-2</v>
      </c>
      <c r="C201" s="3">
        <f t="shared" si="137"/>
        <v>1.0364109378839697E-2</v>
      </c>
      <c r="D201" s="3">
        <f t="shared" si="137"/>
        <v>1.0364109378839697E-2</v>
      </c>
      <c r="E201" s="3">
        <f t="shared" si="137"/>
        <v>1.0364109378839697E-2</v>
      </c>
      <c r="F201" s="3">
        <f t="shared" si="137"/>
        <v>1.0364109378839697E-2</v>
      </c>
      <c r="G201" s="3">
        <f t="shared" si="137"/>
        <v>1.0364109378839697E-2</v>
      </c>
      <c r="H201" s="3">
        <f t="shared" si="137"/>
        <v>1.0364109378839697E-2</v>
      </c>
      <c r="I201" s="3">
        <f t="shared" si="137"/>
        <v>1.0364109378839697E-2</v>
      </c>
      <c r="J201" s="3">
        <f t="shared" si="137"/>
        <v>1.0364109378839697E-2</v>
      </c>
      <c r="K201" s="3">
        <f t="shared" si="137"/>
        <v>1.0364109378839697E-2</v>
      </c>
      <c r="L201" s="3">
        <f t="shared" si="137"/>
        <v>1.0364109378839697E-2</v>
      </c>
      <c r="M201" s="3">
        <f t="shared" si="137"/>
        <v>1.0364109378839697E-2</v>
      </c>
      <c r="N201" s="3">
        <f t="shared" si="137"/>
        <v>1.0364109378839697E-2</v>
      </c>
      <c r="O201" s="3">
        <f t="shared" si="137"/>
        <v>1.0364109378839697E-2</v>
      </c>
      <c r="P201" s="3">
        <f t="shared" si="137"/>
        <v>1.0364109378839697E-2</v>
      </c>
      <c r="Q201" s="3">
        <f t="shared" si="137"/>
        <v>1.0364109378839697E-2</v>
      </c>
      <c r="R201" s="3">
        <f t="shared" si="137"/>
        <v>1.0364109378839697E-2</v>
      </c>
      <c r="S201" s="3">
        <f t="shared" si="137"/>
        <v>1.0364109378839697E-2</v>
      </c>
      <c r="T201" s="3">
        <f t="shared" si="137"/>
        <v>1.0364109378839697E-2</v>
      </c>
      <c r="U201" s="3">
        <f t="shared" si="137"/>
        <v>1.0364109378839697E-2</v>
      </c>
      <c r="V201" s="3">
        <f t="shared" si="137"/>
        <v>1.0364109378839692E-2</v>
      </c>
      <c r="W201" s="3">
        <f t="shared" si="137"/>
        <v>1.0364109378839647E-2</v>
      </c>
      <c r="X201" s="3">
        <f t="shared" si="137"/>
        <v>1.0364109378839198E-2</v>
      </c>
      <c r="Y201" s="3">
        <f t="shared" si="137"/>
        <v>1.0364109378834703E-2</v>
      </c>
      <c r="Z201" s="3">
        <f t="shared" si="137"/>
        <v>1.0364109378789748E-2</v>
      </c>
      <c r="AA201" s="3">
        <f t="shared" si="137"/>
        <v>1.0364109378340204E-2</v>
      </c>
      <c r="AB201" s="3">
        <f t="shared" si="137"/>
        <v>1.0364109373844773E-2</v>
      </c>
      <c r="AC201" s="3">
        <f t="shared" si="137"/>
        <v>1.0364109328890453E-2</v>
      </c>
      <c r="AD201" s="3">
        <f t="shared" si="137"/>
        <v>1.0364108879347267E-2</v>
      </c>
      <c r="AE201" s="3">
        <f t="shared" si="137"/>
        <v>1.0364104383916477E-2</v>
      </c>
      <c r="AF201" s="3">
        <f t="shared" si="137"/>
        <v>1.0364059429715824E-2</v>
      </c>
      <c r="AG201" s="3"/>
      <c r="AH201" s="3"/>
    </row>
    <row r="202" spans="1:34" x14ac:dyDescent="0.25">
      <c r="A202" s="79">
        <f>AVERAGE(B202:AF202)</f>
        <v>3.8913803628662952E-2</v>
      </c>
      <c r="B202" s="80">
        <f>IF($A$64&lt;=B168,IF($B$64&gt;=B168,ABS((B170-B169)/B169),0),0)</f>
        <v>6.04782461001216E-3</v>
      </c>
      <c r="C202" s="80">
        <f t="shared" ref="C202:AF202" si="138">IF($A$64&lt;=C168,IF($B$64&gt;=C168,ABS((C170-C169)/C169),0),0)</f>
        <v>6.0809326661106691E-3</v>
      </c>
      <c r="D202" s="80">
        <f t="shared" si="138"/>
        <v>6.0758223900988229E-3</v>
      </c>
      <c r="E202" s="80">
        <f t="shared" si="138"/>
        <v>6.0743097484161788E-3</v>
      </c>
      <c r="F202" s="80">
        <f t="shared" si="138"/>
        <v>6.0738340283500395E-3</v>
      </c>
      <c r="G202" s="80">
        <f t="shared" si="138"/>
        <v>6.0736742178165463E-3</v>
      </c>
      <c r="H202" s="80">
        <f t="shared" si="138"/>
        <v>6.0736222032597856E-3</v>
      </c>
      <c r="I202" s="80">
        <f t="shared" si="138"/>
        <v>6.0736149435776324E-3</v>
      </c>
      <c r="J202" s="80">
        <f t="shared" si="138"/>
        <v>6.0735795123996921E-3</v>
      </c>
      <c r="K202" s="80">
        <f t="shared" si="138"/>
        <v>6.0735931404790602E-3</v>
      </c>
      <c r="L202" s="80">
        <f t="shared" si="138"/>
        <v>6.0737517193649691E-3</v>
      </c>
      <c r="M202" s="80">
        <f t="shared" si="138"/>
        <v>6.0750697869125141E-3</v>
      </c>
      <c r="N202" s="80">
        <f t="shared" si="138"/>
        <v>6.0884011378678866E-3</v>
      </c>
      <c r="O202" s="80">
        <f t="shared" si="138"/>
        <v>6.2204918135425613E-3</v>
      </c>
      <c r="P202" s="80">
        <f t="shared" si="138"/>
        <v>7.4333237407780113E-3</v>
      </c>
      <c r="Q202" s="80">
        <f t="shared" si="138"/>
        <v>1.4967701964699693E-2</v>
      </c>
      <c r="R202" s="80">
        <f t="shared" si="138"/>
        <v>2.0730165828911431E-2</v>
      </c>
      <c r="S202" s="80">
        <f t="shared" si="138"/>
        <v>1.9777390743468116E-2</v>
      </c>
      <c r="T202" s="80">
        <f t="shared" si="138"/>
        <v>1.966719677658858E-2</v>
      </c>
      <c r="U202" s="80">
        <f t="shared" si="138"/>
        <v>5.6365558769149596E-3</v>
      </c>
      <c r="V202" s="80">
        <f t="shared" si="138"/>
        <v>5.3753729890015853E-2</v>
      </c>
      <c r="W202" s="80">
        <f t="shared" si="138"/>
        <v>9.3862123064375191E-2</v>
      </c>
      <c r="X202" s="80">
        <f t="shared" si="138"/>
        <v>9.4998609783394639E-2</v>
      </c>
      <c r="Y202" s="80">
        <f t="shared" si="138"/>
        <v>6.7757454064254777E-2</v>
      </c>
      <c r="Z202" s="80">
        <f t="shared" si="138"/>
        <v>3.5683538388172273E-2</v>
      </c>
      <c r="AA202" s="80">
        <f t="shared" si="138"/>
        <v>7.8159878002437939E-4</v>
      </c>
      <c r="AB202" s="80">
        <f t="shared" si="138"/>
        <v>2.5757119617389308E-2</v>
      </c>
      <c r="AC202" s="80">
        <f t="shared" si="138"/>
        <v>7.471908905051558E-2</v>
      </c>
      <c r="AD202" s="80">
        <f t="shared" si="138"/>
        <v>0.12447752474642543</v>
      </c>
      <c r="AE202" s="80">
        <f t="shared" si="138"/>
        <v>0.1941538410270906</v>
      </c>
      <c r="AF202" s="80">
        <f t="shared" si="138"/>
        <v>0.26699242722732403</v>
      </c>
    </row>
    <row r="203" spans="1:34" x14ac:dyDescent="0.25">
      <c r="B203" s="21">
        <f>(B170-B169)^2</f>
        <v>1566.2045651213184</v>
      </c>
      <c r="C203" s="21">
        <f t="shared" ref="C203:AF203" si="139">(C170-C169)^2</f>
        <v>1583.4259606166183</v>
      </c>
      <c r="D203" s="21">
        <f t="shared" si="139"/>
        <v>1580.7494743170287</v>
      </c>
      <c r="E203" s="21">
        <f t="shared" si="139"/>
        <v>1579.9576739030372</v>
      </c>
      <c r="F203" s="21">
        <f t="shared" si="139"/>
        <v>1579.7086971773595</v>
      </c>
      <c r="G203" s="21">
        <f t="shared" si="139"/>
        <v>1579.6250618863655</v>
      </c>
      <c r="H203" s="21">
        <f t="shared" si="139"/>
        <v>1579.5978410031755</v>
      </c>
      <c r="I203" s="21">
        <f t="shared" si="139"/>
        <v>1579.594041254305</v>
      </c>
      <c r="J203" s="21">
        <f t="shared" si="139"/>
        <v>1579.5754936674286</v>
      </c>
      <c r="K203" s="21">
        <f t="shared" si="139"/>
        <v>1579.5825704598683</v>
      </c>
      <c r="L203" s="21">
        <f t="shared" si="139"/>
        <v>1579.6650087155942</v>
      </c>
      <c r="M203" s="21">
        <f t="shared" si="139"/>
        <v>1580.3493670151729</v>
      </c>
      <c r="N203" s="21">
        <f t="shared" si="139"/>
        <v>1587.2801551531538</v>
      </c>
      <c r="O203" s="21">
        <f t="shared" si="139"/>
        <v>1656.7676574126147</v>
      </c>
      <c r="P203" s="21">
        <f t="shared" si="139"/>
        <v>2363.9146509082061</v>
      </c>
      <c r="Q203" s="21">
        <f t="shared" si="139"/>
        <v>9514.323576513023</v>
      </c>
      <c r="R203" s="21">
        <f t="shared" si="139"/>
        <v>17551.648746101211</v>
      </c>
      <c r="S203" s="21">
        <f t="shared" si="139"/>
        <v>15230.974650707856</v>
      </c>
      <c r="T203" s="21">
        <f t="shared" si="139"/>
        <v>14131.723420768136</v>
      </c>
      <c r="U203" s="21">
        <f t="shared" si="139"/>
        <v>1031.4992794362263</v>
      </c>
      <c r="V203" s="21">
        <f t="shared" si="139"/>
        <v>78798.555992387643</v>
      </c>
      <c r="W203" s="21">
        <f t="shared" si="139"/>
        <v>198044.28099744581</v>
      </c>
      <c r="X203" s="21">
        <f t="shared" si="139"/>
        <v>167735.47603054473</v>
      </c>
      <c r="Y203" s="21">
        <f t="shared" si="139"/>
        <v>71714.177989225573</v>
      </c>
      <c r="Z203" s="21">
        <f t="shared" si="139"/>
        <v>16863.658027645241</v>
      </c>
      <c r="AA203" s="21">
        <f t="shared" si="139"/>
        <v>6.8341208941583185</v>
      </c>
      <c r="AB203" s="21">
        <f t="shared" si="139"/>
        <v>6107.0201718518874</v>
      </c>
      <c r="AC203" s="21">
        <f t="shared" si="139"/>
        <v>39311.648047161994</v>
      </c>
      <c r="AD203" s="21">
        <f t="shared" si="139"/>
        <v>75221.862886068964</v>
      </c>
      <c r="AE203" s="21">
        <f t="shared" si="139"/>
        <v>106830.97078920598</v>
      </c>
      <c r="AF203" s="21">
        <f t="shared" si="139"/>
        <v>89123.328931908269</v>
      </c>
      <c r="AG203" s="3"/>
      <c r="AH203" s="3"/>
    </row>
    <row r="204" spans="1:34" x14ac:dyDescent="0.25">
      <c r="A204" s="71">
        <f>SUM(B204:AF204)</f>
        <v>931773.98187647795</v>
      </c>
      <c r="B204" s="60">
        <f>IF($A$64&lt;=B168,IF($B$64&gt;=B168,ABS(B203),0),0)</f>
        <v>1566.2045651213184</v>
      </c>
      <c r="C204" s="60">
        <f t="shared" ref="C204" si="140">IF($A$64&lt;=C168,IF($B$64&gt;=C168,ABS(C203),0),0)</f>
        <v>1583.4259606166183</v>
      </c>
      <c r="D204" s="60">
        <f t="shared" ref="D204" si="141">IF($A$64&lt;=D168,IF($B$64&gt;=D168,ABS(D203),0),0)</f>
        <v>1580.7494743170287</v>
      </c>
      <c r="E204" s="60">
        <f t="shared" ref="E204" si="142">IF($A$64&lt;=E168,IF($B$64&gt;=E168,ABS(E203),0),0)</f>
        <v>1579.9576739030372</v>
      </c>
      <c r="F204" s="60">
        <f t="shared" ref="F204" si="143">IF($A$64&lt;=F168,IF($B$64&gt;=F168,ABS(F203),0),0)</f>
        <v>1579.7086971773595</v>
      </c>
      <c r="G204" s="60">
        <f t="shared" ref="G204" si="144">IF($A$64&lt;=G168,IF($B$64&gt;=G168,ABS(G203),0),0)</f>
        <v>1579.6250618863655</v>
      </c>
      <c r="H204" s="60">
        <f t="shared" ref="H204" si="145">IF($A$64&lt;=H168,IF($B$64&gt;=H168,ABS(H203),0),0)</f>
        <v>1579.5978410031755</v>
      </c>
      <c r="I204" s="60">
        <f t="shared" ref="I204" si="146">IF($A$64&lt;=I168,IF($B$64&gt;=I168,ABS(I203),0),0)</f>
        <v>1579.594041254305</v>
      </c>
      <c r="J204" s="60">
        <f t="shared" ref="J204" si="147">IF($A$64&lt;=J168,IF($B$64&gt;=J168,ABS(J203),0),0)</f>
        <v>1579.5754936674286</v>
      </c>
      <c r="K204" s="60">
        <f t="shared" ref="K204" si="148">IF($A$64&lt;=K168,IF($B$64&gt;=K168,ABS(K203),0),0)</f>
        <v>1579.5825704598683</v>
      </c>
      <c r="L204" s="60">
        <f t="shared" ref="L204" si="149">IF($A$64&lt;=L168,IF($B$64&gt;=L168,ABS(L203),0),0)</f>
        <v>1579.6650087155942</v>
      </c>
      <c r="M204" s="60">
        <f t="shared" ref="M204" si="150">IF($A$64&lt;=M168,IF($B$64&gt;=M168,ABS(M203),0),0)</f>
        <v>1580.3493670151729</v>
      </c>
      <c r="N204" s="60">
        <f t="shared" ref="N204" si="151">IF($A$64&lt;=N168,IF($B$64&gt;=N168,ABS(N203),0),0)</f>
        <v>1587.2801551531538</v>
      </c>
      <c r="O204" s="60">
        <f t="shared" ref="O204" si="152">IF($A$64&lt;=O168,IF($B$64&gt;=O168,ABS(O203),0),0)</f>
        <v>1656.7676574126147</v>
      </c>
      <c r="P204" s="60">
        <f t="shared" ref="P204" si="153">IF($A$64&lt;=P168,IF($B$64&gt;=P168,ABS(P203),0),0)</f>
        <v>2363.9146509082061</v>
      </c>
      <c r="Q204" s="60">
        <f t="shared" ref="Q204" si="154">IF($A$64&lt;=Q168,IF($B$64&gt;=Q168,ABS(Q203),0),0)</f>
        <v>9514.323576513023</v>
      </c>
      <c r="R204" s="60">
        <f t="shared" ref="R204" si="155">IF($A$64&lt;=R168,IF($B$64&gt;=R168,ABS(R203),0),0)</f>
        <v>17551.648746101211</v>
      </c>
      <c r="S204" s="60">
        <f t="shared" ref="S204" si="156">IF($A$64&lt;=S168,IF($B$64&gt;=S168,ABS(S203),0),0)</f>
        <v>15230.974650707856</v>
      </c>
      <c r="T204" s="60">
        <f t="shared" ref="T204" si="157">IF($A$64&lt;=T168,IF($B$64&gt;=T168,ABS(T203),0),0)</f>
        <v>14131.723420768136</v>
      </c>
      <c r="U204" s="60">
        <f t="shared" ref="U204" si="158">IF($A$64&lt;=U168,IF($B$64&gt;=U168,ABS(U203),0),0)</f>
        <v>1031.4992794362263</v>
      </c>
      <c r="V204" s="60">
        <f t="shared" ref="V204" si="159">IF($A$64&lt;=V168,IF($B$64&gt;=V168,ABS(V203),0),0)</f>
        <v>78798.555992387643</v>
      </c>
      <c r="W204" s="60">
        <f t="shared" ref="W204" si="160">IF($A$64&lt;=W168,IF($B$64&gt;=W168,ABS(W203),0),0)</f>
        <v>198044.28099744581</v>
      </c>
      <c r="X204" s="60">
        <f t="shared" ref="X204" si="161">IF($A$64&lt;=X168,IF($B$64&gt;=X168,ABS(X203),0),0)</f>
        <v>167735.47603054473</v>
      </c>
      <c r="Y204" s="60">
        <f t="shared" ref="Y204" si="162">IF($A$64&lt;=Y168,IF($B$64&gt;=Y168,ABS(Y203),0),0)</f>
        <v>71714.177989225573</v>
      </c>
      <c r="Z204" s="60">
        <f t="shared" ref="Z204" si="163">IF($A$64&lt;=Z168,IF($B$64&gt;=Z168,ABS(Z203),0),0)</f>
        <v>16863.658027645241</v>
      </c>
      <c r="AA204" s="60">
        <f t="shared" ref="AA204" si="164">IF($A$64&lt;=AA168,IF($B$64&gt;=AA168,ABS(AA203),0),0)</f>
        <v>6.8341208941583185</v>
      </c>
      <c r="AB204" s="60">
        <f t="shared" ref="AB204" si="165">IF($A$64&lt;=AB168,IF($B$64&gt;=AB168,ABS(AB203),0),0)</f>
        <v>6107.0201718518874</v>
      </c>
      <c r="AC204" s="60">
        <f t="shared" ref="AC204" si="166">IF($A$64&lt;=AC168,IF($B$64&gt;=AC168,ABS(AC203),0),0)</f>
        <v>39311.648047161994</v>
      </c>
      <c r="AD204" s="60">
        <f t="shared" ref="AD204" si="167">IF($A$64&lt;=AD168,IF($B$64&gt;=AD168,ABS(AD203),0),0)</f>
        <v>75221.862886068964</v>
      </c>
      <c r="AE204" s="60">
        <f t="shared" ref="AE204" si="168">IF($A$64&lt;=AE168,IF($B$64&gt;=AE168,ABS(AE203),0),0)</f>
        <v>106830.97078920598</v>
      </c>
      <c r="AF204" s="60">
        <f t="shared" ref="AF204" si="169">IF($A$64&lt;=AF168,IF($B$64&gt;=AF168,ABS(AF203),0),0)</f>
        <v>89123.328931908269</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6524.0904126194901</v>
      </c>
      <c r="C208" s="26">
        <f>INDEX(Comparison!$AM$3:$AS$33,G$14,$D$122)</f>
        <v>6524.1443595856636</v>
      </c>
      <c r="D208" s="26">
        <f>INDEX(Comparison!$AM$3:$AS$33,H$14,$D$122)</f>
        <v>6524.1111351538066</v>
      </c>
      <c r="E208" s="26">
        <f>INDEX(Comparison!$AM$3:$AS$33,I$14,$D$122)</f>
        <v>6524.1012603146964</v>
      </c>
      <c r="F208" s="26">
        <f>INDEX(Comparison!$AM$3:$AS$33,J$14,$D$122)</f>
        <v>6524.0981470711258</v>
      </c>
      <c r="G208" s="26">
        <f>INDEX(Comparison!$AM$3:$AS$33,K$14,$D$122)</f>
        <v>6524.0971012165301</v>
      </c>
      <c r="H208" s="26">
        <f>INDEX(Comparison!$AM$3:$AS$33,L$14,$D$122)</f>
        <v>6524.0967607058046</v>
      </c>
      <c r="I208" s="26">
        <f>INDEX(Comparison!$AM$3:$AS$33,M$14,$D$122)</f>
        <v>6524.0967120614177</v>
      </c>
      <c r="J208" s="26">
        <f>INDEX(Comparison!$AM$3:$AS$33,N$14,$D$122)</f>
        <v>6524.0963715507314</v>
      </c>
      <c r="K208" s="26">
        <f>INDEX(Comparison!$AM$3:$AS$33,O$14,$D$122)</f>
        <v>6524.0939393325853</v>
      </c>
      <c r="L208" s="26">
        <f>INDEX(Comparison!$AM$3:$AS$33,P$14,$D$122)</f>
        <v>6524.06939835293</v>
      </c>
      <c r="M208" s="26">
        <f>INDEX(Comparison!$AM$3:$AS$33,Q$14,$D$122)</f>
        <v>6523.8242419120506</v>
      </c>
      <c r="N208" s="26">
        <f>INDEX(Comparison!$AM$3:$AS$33,R$14,$D$122)</f>
        <v>6521.3925487999713</v>
      </c>
      <c r="O208" s="26">
        <f>INDEX(Comparison!$AM$3:$AS$33,S$14,$D$122)</f>
        <v>6498.8766153292054</v>
      </c>
      <c r="P208" s="26">
        <f>INDEX(Comparison!$AM$3:$AS$33,T$14,$D$122)</f>
        <v>6376.7108933957061</v>
      </c>
      <c r="Q208" s="26">
        <f>INDEX(Comparison!$AM$3:$AS$33,U$14,$D$122)</f>
        <v>6230.3639399807598</v>
      </c>
      <c r="R208" s="26">
        <f>INDEX(Comparison!$AM$3:$AS$33,V$14,$D$122)</f>
        <v>6066.3152248046426</v>
      </c>
      <c r="S208" s="26">
        <f>INDEX(Comparison!$AM$3:$AS$33,W$14,$D$122)</f>
        <v>5850.8000974148181</v>
      </c>
      <c r="T208" s="26">
        <f>INDEX(Comparison!$AM$3:$AS$33,X$14,$D$122)</f>
        <v>5524.1383776461034</v>
      </c>
      <c r="U208" s="26">
        <f>INDEX(Comparison!$AM$3:$AS$33,Y$14,$D$122)</f>
        <v>5037.8540321693981</v>
      </c>
      <c r="V208" s="26">
        <f>INDEX(Comparison!$AM$3:$AS$33,Z$14,$D$122)</f>
        <v>4531.1485912762591</v>
      </c>
      <c r="W208" s="26">
        <f>INDEX(Comparison!$AM$3:$AS$33,AA$14,$D$122)</f>
        <v>4100.3073895013431</v>
      </c>
      <c r="X208" s="26">
        <f>INDEX(Comparison!$AM$3:$AS$33,AB$14,$D$122)</f>
        <v>3736.9018653482362</v>
      </c>
      <c r="Y208" s="26">
        <f>INDEX(Comparison!$AM$3:$AS$33,AC$14,$D$122)</f>
        <v>3408.8002756648089</v>
      </c>
      <c r="Z208" s="26">
        <f>INDEX(Comparison!$AM$3:$AS$33,AD$14,$D$122)</f>
        <v>3078.2308446927527</v>
      </c>
      <c r="AA208" s="26">
        <f>INDEX(Comparison!$AM$3:$AS$33,AE$14,$D$122)</f>
        <v>2685.2498641877337</v>
      </c>
      <c r="AB208" s="26">
        <f>INDEX(Comparison!$AM$3:$AS$33,AF$14,$D$122)</f>
        <v>2228.0957655931211</v>
      </c>
      <c r="AC208" s="26">
        <f>INDEX(Comparison!$AM$3:$AS$33,AG$14,$D$122)</f>
        <v>1704.9584752004923</v>
      </c>
      <c r="AD208" s="26">
        <f>INDEX(Comparison!$AM$3:$AS$33,AH$14,$D$122)</f>
        <v>1135.4901421385146</v>
      </c>
      <c r="AE208" s="26">
        <f>INDEX(Comparison!$AM$3:$AS$33,AI$14,$D$122)</f>
        <v>680.51042901870051</v>
      </c>
      <c r="AF208" s="26">
        <f>INDEX(Comparison!$AM$3:$AS$33,AJ$14,$D$122)</f>
        <v>389.33964903055204</v>
      </c>
      <c r="AG208" s="26"/>
      <c r="AH208" s="26"/>
    </row>
    <row r="209" spans="1:34" x14ac:dyDescent="0.25">
      <c r="A209" s="70" t="s">
        <v>22</v>
      </c>
      <c r="B209" s="27">
        <f>($C$17+SUM(B210:B240))*$B$51</f>
        <v>6503.987653608473</v>
      </c>
      <c r="C209" s="27">
        <f t="shared" ref="C209:AF209" si="170">($C$17+SUM(C210:C240))*$B$51</f>
        <v>6503.9876536084066</v>
      </c>
      <c r="D209" s="27">
        <f t="shared" si="170"/>
        <v>6503.9876536077518</v>
      </c>
      <c r="E209" s="27">
        <f t="shared" si="170"/>
        <v>6503.9876536011925</v>
      </c>
      <c r="F209" s="27">
        <f t="shared" si="170"/>
        <v>6503.9876535356098</v>
      </c>
      <c r="G209" s="27">
        <f t="shared" si="170"/>
        <v>6503.9876528797768</v>
      </c>
      <c r="H209" s="27">
        <f t="shared" si="170"/>
        <v>6503.9876463214578</v>
      </c>
      <c r="I209" s="27">
        <f t="shared" si="170"/>
        <v>6503.9875807382759</v>
      </c>
      <c r="J209" s="27">
        <f t="shared" si="170"/>
        <v>6503.9869249093153</v>
      </c>
      <c r="K209" s="27">
        <f t="shared" si="170"/>
        <v>6503.9803669026151</v>
      </c>
      <c r="L209" s="27">
        <f t="shared" si="170"/>
        <v>6503.9148151048466</v>
      </c>
      <c r="M209" s="27">
        <f t="shared" si="170"/>
        <v>6503.2621012306263</v>
      </c>
      <c r="N209" s="27">
        <f t="shared" si="170"/>
        <v>6496.9941907718894</v>
      </c>
      <c r="O209" s="27">
        <f t="shared" si="170"/>
        <v>6448.7982422311425</v>
      </c>
      <c r="P209" s="27">
        <f t="shared" si="170"/>
        <v>6287.5462550799994</v>
      </c>
      <c r="Q209" s="27">
        <f t="shared" si="170"/>
        <v>6152.4265779256439</v>
      </c>
      <c r="R209" s="27">
        <f t="shared" si="170"/>
        <v>5967.4732392315909</v>
      </c>
      <c r="S209" s="27">
        <f t="shared" si="170"/>
        <v>5775.8350873945947</v>
      </c>
      <c r="T209" s="27">
        <f t="shared" si="170"/>
        <v>5560.9243541146316</v>
      </c>
      <c r="U209" s="27">
        <f t="shared" si="170"/>
        <v>5273.0635100875688</v>
      </c>
      <c r="V209" s="27">
        <f t="shared" si="170"/>
        <v>4841.6112289056146</v>
      </c>
      <c r="W209" s="27">
        <f t="shared" si="170"/>
        <v>4346.7614195049719</v>
      </c>
      <c r="X209" s="27">
        <f t="shared" si="170"/>
        <v>3884.7871142777594</v>
      </c>
      <c r="Y209" s="27">
        <f t="shared" si="170"/>
        <v>3455.9952210856823</v>
      </c>
      <c r="Z209" s="27">
        <f t="shared" si="170"/>
        <v>3071.8294430577844</v>
      </c>
      <c r="AA209" s="27">
        <f t="shared" si="170"/>
        <v>2561.3343446396307</v>
      </c>
      <c r="AB209" s="27">
        <f t="shared" si="170"/>
        <v>2046.4247698312208</v>
      </c>
      <c r="AC209" s="27">
        <f t="shared" si="170"/>
        <v>1483.7475334558019</v>
      </c>
      <c r="AD209" s="27">
        <f t="shared" si="170"/>
        <v>913.32897304854748</v>
      </c>
      <c r="AE209" s="27">
        <f t="shared" si="170"/>
        <v>543.53343383836011</v>
      </c>
      <c r="AF209" s="27">
        <f t="shared" si="170"/>
        <v>298.49862876058933</v>
      </c>
      <c r="AG209" s="27"/>
      <c r="AH209" s="27"/>
    </row>
    <row r="210" spans="1:34" x14ac:dyDescent="0.25">
      <c r="B210" s="3">
        <f t="shared" ref="B210:AF210" si="171">$C18*EXP(-B$207/$A18/EXP(-$D$126))</f>
        <v>3.5093556528960048E-124</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0</v>
      </c>
      <c r="C214" s="3">
        <f t="shared" si="175"/>
        <v>0</v>
      </c>
      <c r="D214" s="3">
        <f t="shared" si="175"/>
        <v>0</v>
      </c>
      <c r="E214" s="3">
        <f t="shared" si="175"/>
        <v>0</v>
      </c>
      <c r="F214" s="3">
        <f t="shared" si="175"/>
        <v>0</v>
      </c>
      <c r="G214" s="3">
        <f t="shared" si="175"/>
        <v>0</v>
      </c>
      <c r="H214" s="3">
        <f t="shared" si="175"/>
        <v>0</v>
      </c>
      <c r="I214" s="3">
        <f t="shared" si="175"/>
        <v>0</v>
      </c>
      <c r="J214" s="3">
        <f t="shared" si="175"/>
        <v>0</v>
      </c>
      <c r="K214" s="3">
        <f t="shared" si="175"/>
        <v>0</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0</v>
      </c>
      <c r="C215" s="3">
        <f t="shared" si="176"/>
        <v>0</v>
      </c>
      <c r="D215" s="3">
        <f t="shared" si="176"/>
        <v>0</v>
      </c>
      <c r="E215" s="3">
        <f t="shared" si="176"/>
        <v>0</v>
      </c>
      <c r="F215" s="3">
        <f t="shared" si="176"/>
        <v>0</v>
      </c>
      <c r="G215" s="3">
        <f t="shared" si="176"/>
        <v>0</v>
      </c>
      <c r="H215" s="3">
        <f t="shared" si="176"/>
        <v>0</v>
      </c>
      <c r="I215" s="3">
        <f t="shared" si="176"/>
        <v>0</v>
      </c>
      <c r="J215" s="3">
        <f t="shared" si="176"/>
        <v>0</v>
      </c>
      <c r="K215" s="3">
        <f t="shared" si="176"/>
        <v>0</v>
      </c>
      <c r="L215" s="3">
        <f t="shared" si="176"/>
        <v>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0</v>
      </c>
      <c r="C216" s="3">
        <f t="shared" si="177"/>
        <v>0</v>
      </c>
      <c r="D216" s="3">
        <f t="shared" si="177"/>
        <v>0</v>
      </c>
      <c r="E216" s="3">
        <f t="shared" si="177"/>
        <v>0</v>
      </c>
      <c r="F216" s="3">
        <f t="shared" si="177"/>
        <v>0</v>
      </c>
      <c r="G216" s="3">
        <f t="shared" si="177"/>
        <v>0</v>
      </c>
      <c r="H216" s="3">
        <f t="shared" si="177"/>
        <v>0</v>
      </c>
      <c r="I216" s="3">
        <f t="shared" si="177"/>
        <v>0</v>
      </c>
      <c r="J216" s="3">
        <f t="shared" si="177"/>
        <v>0</v>
      </c>
      <c r="K216" s="3">
        <f t="shared" si="177"/>
        <v>0</v>
      </c>
      <c r="L216" s="3">
        <f t="shared" si="177"/>
        <v>0</v>
      </c>
      <c r="M216" s="3">
        <f t="shared" si="177"/>
        <v>0</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0</v>
      </c>
      <c r="C217" s="3">
        <f t="shared" si="178"/>
        <v>0</v>
      </c>
      <c r="D217" s="3">
        <f t="shared" si="178"/>
        <v>0</v>
      </c>
      <c r="E217" s="3">
        <f t="shared" si="178"/>
        <v>0</v>
      </c>
      <c r="F217" s="3">
        <f t="shared" si="178"/>
        <v>0</v>
      </c>
      <c r="G217" s="3">
        <f t="shared" si="178"/>
        <v>0</v>
      </c>
      <c r="H217" s="3">
        <f t="shared" si="178"/>
        <v>0</v>
      </c>
      <c r="I217" s="3">
        <f t="shared" si="178"/>
        <v>0</v>
      </c>
      <c r="J217" s="3">
        <f t="shared" si="178"/>
        <v>0</v>
      </c>
      <c r="K217" s="3">
        <f t="shared" si="178"/>
        <v>0</v>
      </c>
      <c r="L217" s="3">
        <f t="shared" si="178"/>
        <v>0</v>
      </c>
      <c r="M217" s="3">
        <f t="shared" si="178"/>
        <v>0</v>
      </c>
      <c r="N217" s="3">
        <f t="shared" si="178"/>
        <v>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0</v>
      </c>
      <c r="C218" s="3">
        <f t="shared" si="179"/>
        <v>0</v>
      </c>
      <c r="D218" s="3">
        <f t="shared" si="179"/>
        <v>0</v>
      </c>
      <c r="E218" s="3">
        <f t="shared" si="179"/>
        <v>0</v>
      </c>
      <c r="F218" s="3">
        <f t="shared" si="179"/>
        <v>0</v>
      </c>
      <c r="G218" s="3">
        <f t="shared" si="179"/>
        <v>0</v>
      </c>
      <c r="H218" s="3">
        <f t="shared" si="179"/>
        <v>0</v>
      </c>
      <c r="I218" s="3">
        <f t="shared" si="179"/>
        <v>0</v>
      </c>
      <c r="J218" s="3">
        <f t="shared" si="179"/>
        <v>0</v>
      </c>
      <c r="K218" s="3">
        <f t="shared" si="179"/>
        <v>0</v>
      </c>
      <c r="L218" s="3">
        <f t="shared" si="179"/>
        <v>0</v>
      </c>
      <c r="M218" s="3">
        <f t="shared" si="179"/>
        <v>0</v>
      </c>
      <c r="N218" s="3">
        <f t="shared" si="179"/>
        <v>0</v>
      </c>
      <c r="O218" s="3">
        <f t="shared" si="179"/>
        <v>0</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7.5540247309892285E-4</v>
      </c>
      <c r="C219" s="3">
        <f t="shared" si="180"/>
        <v>7.5540247309679618E-4</v>
      </c>
      <c r="D219" s="3">
        <f t="shared" si="180"/>
        <v>7.5540247307552977E-4</v>
      </c>
      <c r="E219" s="3">
        <f t="shared" si="180"/>
        <v>7.554024728628658E-4</v>
      </c>
      <c r="F219" s="3">
        <f t="shared" si="180"/>
        <v>7.55402470736226E-4</v>
      </c>
      <c r="G219" s="3">
        <f t="shared" si="180"/>
        <v>7.5540244946982785E-4</v>
      </c>
      <c r="H219" s="3">
        <f t="shared" si="180"/>
        <v>7.5540223680587977E-4</v>
      </c>
      <c r="I219" s="3">
        <f t="shared" si="180"/>
        <v>7.5540011016969242E-4</v>
      </c>
      <c r="J219" s="3">
        <f t="shared" si="180"/>
        <v>7.5537884413709976E-4</v>
      </c>
      <c r="K219" s="3">
        <f t="shared" si="180"/>
        <v>7.5516621673588091E-4</v>
      </c>
      <c r="L219" s="3">
        <f t="shared" si="180"/>
        <v>7.5304323176739868E-4</v>
      </c>
      <c r="M219" s="3">
        <f t="shared" si="180"/>
        <v>7.3213888610278383E-4</v>
      </c>
      <c r="N219" s="3">
        <f t="shared" si="180"/>
        <v>5.5249597774792566E-4</v>
      </c>
      <c r="O219" s="3">
        <f t="shared" si="180"/>
        <v>3.3089148051984471E-5</v>
      </c>
      <c r="P219" s="3">
        <f t="shared" si="180"/>
        <v>1.9644918621723423E-17</v>
      </c>
      <c r="Q219" s="3">
        <f t="shared" si="180"/>
        <v>1.0688006767861847E-139</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2.9283931569141556E-2</v>
      </c>
      <c r="C220" s="3">
        <f t="shared" si="181"/>
        <v>2.9283931569134117E-2</v>
      </c>
      <c r="D220" s="3">
        <f t="shared" si="181"/>
        <v>2.928393156905975E-2</v>
      </c>
      <c r="E220" s="3">
        <f t="shared" si="181"/>
        <v>2.928393156831606E-2</v>
      </c>
      <c r="F220" s="3">
        <f t="shared" si="181"/>
        <v>2.9283931560879169E-2</v>
      </c>
      <c r="G220" s="3">
        <f t="shared" si="181"/>
        <v>2.9283931486510241E-2</v>
      </c>
      <c r="H220" s="3">
        <f t="shared" si="181"/>
        <v>2.9283930742820975E-2</v>
      </c>
      <c r="I220" s="3">
        <f t="shared" si="181"/>
        <v>2.9283923305929372E-2</v>
      </c>
      <c r="J220" s="3">
        <f t="shared" si="181"/>
        <v>2.9283848937117232E-2</v>
      </c>
      <c r="K220" s="3">
        <f t="shared" si="181"/>
        <v>2.9283105259383338E-2</v>
      </c>
      <c r="L220" s="3">
        <f t="shared" si="181"/>
        <v>2.9275669520698631E-2</v>
      </c>
      <c r="M220" s="3">
        <f t="shared" si="181"/>
        <v>2.9201415901746075E-2</v>
      </c>
      <c r="N220" s="3">
        <f t="shared" si="181"/>
        <v>2.8469159655489826E-2</v>
      </c>
      <c r="O220" s="3">
        <f t="shared" si="181"/>
        <v>2.2084218210031415E-2</v>
      </c>
      <c r="P220" s="3">
        <f t="shared" si="181"/>
        <v>1.7424320339822262E-3</v>
      </c>
      <c r="Q220" s="3">
        <f t="shared" si="181"/>
        <v>1.6288984814682751E-14</v>
      </c>
      <c r="R220" s="3">
        <f t="shared" si="181"/>
        <v>8.303778087243829E-125</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1.8302599821955479E-2</v>
      </c>
      <c r="C221" s="3">
        <f t="shared" si="182"/>
        <v>1.8302599821955059E-2</v>
      </c>
      <c r="D221" s="3">
        <f t="shared" si="182"/>
        <v>1.8302599821950864E-2</v>
      </c>
      <c r="E221" s="3">
        <f t="shared" si="182"/>
        <v>1.8302599821908936E-2</v>
      </c>
      <c r="F221" s="3">
        <f t="shared" si="182"/>
        <v>1.8302599821489636E-2</v>
      </c>
      <c r="G221" s="3">
        <f t="shared" si="182"/>
        <v>1.8302599817296671E-2</v>
      </c>
      <c r="H221" s="3">
        <f t="shared" si="182"/>
        <v>1.8302599775366996E-2</v>
      </c>
      <c r="I221" s="3">
        <f t="shared" si="182"/>
        <v>1.8302599356070235E-2</v>
      </c>
      <c r="J221" s="3">
        <f t="shared" si="182"/>
        <v>1.8302595163103185E-2</v>
      </c>
      <c r="K221" s="3">
        <f t="shared" si="182"/>
        <v>1.8302553233485501E-2</v>
      </c>
      <c r="L221" s="3">
        <f t="shared" si="182"/>
        <v>1.8302133942591739E-2</v>
      </c>
      <c r="M221" s="3">
        <f t="shared" si="182"/>
        <v>1.8297941561919374E-2</v>
      </c>
      <c r="N221" s="3">
        <f t="shared" si="182"/>
        <v>1.825607053696807E-2</v>
      </c>
      <c r="O221" s="3">
        <f t="shared" si="182"/>
        <v>1.7842593997691718E-2</v>
      </c>
      <c r="P221" s="3">
        <f t="shared" si="182"/>
        <v>1.4189427593377789E-2</v>
      </c>
      <c r="Q221" s="3">
        <f t="shared" si="182"/>
        <v>1.4356008429671869E-3</v>
      </c>
      <c r="R221" s="3">
        <f t="shared" si="182"/>
        <v>1.6133254665758371E-13</v>
      </c>
      <c r="S221" s="3">
        <f t="shared" si="182"/>
        <v>5.1832819709107048E-113</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3.069284475797595E-2</v>
      </c>
      <c r="C222" s="3">
        <f t="shared" si="183"/>
        <v>3.0692844757975884E-2</v>
      </c>
      <c r="D222" s="3">
        <f t="shared" si="183"/>
        <v>3.0692844757975252E-2</v>
      </c>
      <c r="E222" s="3">
        <f t="shared" si="183"/>
        <v>3.069284475796891E-2</v>
      </c>
      <c r="F222" s="3">
        <f t="shared" si="183"/>
        <v>3.0692844757905482E-2</v>
      </c>
      <c r="G222" s="3">
        <f t="shared" si="183"/>
        <v>3.069284475727118E-2</v>
      </c>
      <c r="H222" s="3">
        <f t="shared" si="183"/>
        <v>3.0692844750928216E-2</v>
      </c>
      <c r="I222" s="3">
        <f t="shared" si="183"/>
        <v>3.0692844687498545E-2</v>
      </c>
      <c r="J222" s="3">
        <f t="shared" si="183"/>
        <v>3.0692844053201839E-2</v>
      </c>
      <c r="K222" s="3">
        <f t="shared" si="183"/>
        <v>3.0692837710235524E-2</v>
      </c>
      <c r="L222" s="3">
        <f t="shared" si="183"/>
        <v>3.0692774280644444E-2</v>
      </c>
      <c r="M222" s="3">
        <f t="shared" si="183"/>
        <v>3.069213999194316E-2</v>
      </c>
      <c r="N222" s="3">
        <f t="shared" si="183"/>
        <v>3.0685797825827917E-2</v>
      </c>
      <c r="O222" s="3">
        <f t="shared" si="183"/>
        <v>3.0622448199341578E-2</v>
      </c>
      <c r="P222" s="3">
        <f t="shared" si="183"/>
        <v>2.9996100623651909E-2</v>
      </c>
      <c r="Q222" s="3">
        <f t="shared" si="183"/>
        <v>2.439572522189546E-2</v>
      </c>
      <c r="R222" s="3">
        <f t="shared" si="183"/>
        <v>3.0888942913825396E-3</v>
      </c>
      <c r="S222" s="3">
        <f t="shared" si="183"/>
        <v>3.2711177357691882E-12</v>
      </c>
      <c r="T222" s="3">
        <f t="shared" si="183"/>
        <v>5.802664654756381E-102</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2.9931520210616631E-2</v>
      </c>
      <c r="C223" s="3">
        <f t="shared" si="184"/>
        <v>2.9931520210616624E-2</v>
      </c>
      <c r="D223" s="3">
        <f t="shared" si="184"/>
        <v>2.9931520210616569E-2</v>
      </c>
      <c r="E223" s="3">
        <f t="shared" si="184"/>
        <v>2.993152021061601E-2</v>
      </c>
      <c r="F223" s="3">
        <f t="shared" si="184"/>
        <v>2.9931520210610432E-2</v>
      </c>
      <c r="G223" s="3">
        <f t="shared" si="184"/>
        <v>2.9931520210554632E-2</v>
      </c>
      <c r="H223" s="3">
        <f t="shared" si="184"/>
        <v>2.9931520209996638E-2</v>
      </c>
      <c r="I223" s="3">
        <f t="shared" si="184"/>
        <v>2.9931520204416681E-2</v>
      </c>
      <c r="J223" s="3">
        <f t="shared" si="184"/>
        <v>2.9931520148617132E-2</v>
      </c>
      <c r="K223" s="3">
        <f t="shared" si="184"/>
        <v>2.9931519590621656E-2</v>
      </c>
      <c r="L223" s="3">
        <f t="shared" si="184"/>
        <v>2.9931514010667463E-2</v>
      </c>
      <c r="M223" s="3">
        <f t="shared" si="184"/>
        <v>2.9931458211182736E-2</v>
      </c>
      <c r="N223" s="3">
        <f t="shared" si="184"/>
        <v>2.9930900222056741E-2</v>
      </c>
      <c r="O223" s="3">
        <f t="shared" si="184"/>
        <v>2.9925320902883676E-2</v>
      </c>
      <c r="P223" s="3">
        <f t="shared" si="184"/>
        <v>2.9869584880401076E-2</v>
      </c>
      <c r="Q223" s="3">
        <f t="shared" si="184"/>
        <v>2.9317902342677261E-2</v>
      </c>
      <c r="R223" s="3">
        <f t="shared" si="184"/>
        <v>2.4331560506968056E-2</v>
      </c>
      <c r="S223" s="3">
        <f t="shared" si="184"/>
        <v>3.7717305368755723E-3</v>
      </c>
      <c r="T223" s="3">
        <f t="shared" si="184"/>
        <v>3.0216739739593616E-11</v>
      </c>
      <c r="U223" s="3">
        <f t="shared" si="184"/>
        <v>3.2909180233189507E-92</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3.2651774642810168E-2</v>
      </c>
      <c r="C224" s="3">
        <f t="shared" si="185"/>
        <v>3.2651774642810168E-2</v>
      </c>
      <c r="D224" s="3">
        <f t="shared" si="185"/>
        <v>3.2651774642810161E-2</v>
      </c>
      <c r="E224" s="3">
        <f t="shared" si="185"/>
        <v>3.2651774642810105E-2</v>
      </c>
      <c r="F224" s="3">
        <f t="shared" si="185"/>
        <v>3.2651774642809557E-2</v>
      </c>
      <c r="G224" s="3">
        <f t="shared" si="185"/>
        <v>3.2651774642804068E-2</v>
      </c>
      <c r="H224" s="3">
        <f t="shared" si="185"/>
        <v>3.2651774642749161E-2</v>
      </c>
      <c r="I224" s="3">
        <f t="shared" si="185"/>
        <v>3.2651774642200052E-2</v>
      </c>
      <c r="J224" s="3">
        <f t="shared" si="185"/>
        <v>3.2651774636709006E-2</v>
      </c>
      <c r="K224" s="3">
        <f t="shared" si="185"/>
        <v>3.2651774581798521E-2</v>
      </c>
      <c r="L224" s="3">
        <f t="shared" si="185"/>
        <v>3.2651774032693662E-2</v>
      </c>
      <c r="M224" s="3">
        <f t="shared" si="185"/>
        <v>3.2651768541645594E-2</v>
      </c>
      <c r="N224" s="3">
        <f t="shared" si="185"/>
        <v>3.265171363121578E-2</v>
      </c>
      <c r="O224" s="3">
        <f t="shared" si="185"/>
        <v>3.2651164531996388E-2</v>
      </c>
      <c r="P224" s="3">
        <f t="shared" si="185"/>
        <v>3.2645674047653679E-2</v>
      </c>
      <c r="Q224" s="3">
        <f t="shared" si="185"/>
        <v>3.2590819957757346E-2</v>
      </c>
      <c r="R224" s="3">
        <f t="shared" si="185"/>
        <v>3.2047322973107167E-2</v>
      </c>
      <c r="S224" s="3">
        <f t="shared" si="185"/>
        <v>2.7086722494926201E-2</v>
      </c>
      <c r="T224" s="3">
        <f t="shared" si="185"/>
        <v>5.0396859058555775E-3</v>
      </c>
      <c r="U224" s="3">
        <f t="shared" si="185"/>
        <v>2.5053798999638004E-10</v>
      </c>
      <c r="V224" s="3">
        <f t="shared" si="185"/>
        <v>2.309802116588814E-83</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4.3350627386052817E-2</v>
      </c>
      <c r="C225" s="3">
        <f t="shared" si="186"/>
        <v>4.3350627386052817E-2</v>
      </c>
      <c r="D225" s="3">
        <f t="shared" si="186"/>
        <v>4.3350627386052817E-2</v>
      </c>
      <c r="E225" s="3">
        <f t="shared" si="186"/>
        <v>4.335062738605281E-2</v>
      </c>
      <c r="F225" s="3">
        <f t="shared" si="186"/>
        <v>4.3350627386052748E-2</v>
      </c>
      <c r="G225" s="3">
        <f t="shared" si="186"/>
        <v>4.3350627386052089E-2</v>
      </c>
      <c r="H225" s="3">
        <f t="shared" si="186"/>
        <v>4.3350627386045511E-2</v>
      </c>
      <c r="I225" s="3">
        <f t="shared" si="186"/>
        <v>4.3350627385979751E-2</v>
      </c>
      <c r="J225" s="3">
        <f t="shared" si="186"/>
        <v>4.3350627385322103E-2</v>
      </c>
      <c r="K225" s="3">
        <f t="shared" si="186"/>
        <v>4.3350627378745669E-2</v>
      </c>
      <c r="L225" s="3">
        <f t="shared" si="186"/>
        <v>4.3350627312981324E-2</v>
      </c>
      <c r="M225" s="3">
        <f t="shared" si="186"/>
        <v>4.3350626655337919E-2</v>
      </c>
      <c r="N225" s="3">
        <f t="shared" si="186"/>
        <v>4.3350620078904355E-2</v>
      </c>
      <c r="O225" s="3">
        <f t="shared" si="186"/>
        <v>4.3350554314623625E-2</v>
      </c>
      <c r="P225" s="3">
        <f t="shared" si="186"/>
        <v>4.3349896677303407E-2</v>
      </c>
      <c r="Q225" s="3">
        <f t="shared" si="186"/>
        <v>4.3343320852783827E-2</v>
      </c>
      <c r="R225" s="3">
        <f t="shared" si="186"/>
        <v>4.3277617445060777E-2</v>
      </c>
      <c r="S225" s="3">
        <f t="shared" si="186"/>
        <v>4.2626036459210495E-2</v>
      </c>
      <c r="T225" s="3">
        <f t="shared" si="186"/>
        <v>3.6626130340873621E-2</v>
      </c>
      <c r="U225" s="3">
        <f t="shared" si="186"/>
        <v>8.034370993869935E-3</v>
      </c>
      <c r="V225" s="3">
        <f t="shared" si="186"/>
        <v>2.0728140016556732E-9</v>
      </c>
      <c r="W225" s="3">
        <f t="shared" si="186"/>
        <v>2.7079762550853307E-75</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7.4512934998130873E-2</v>
      </c>
      <c r="C226" s="3">
        <f t="shared" si="187"/>
        <v>7.4512934998130873E-2</v>
      </c>
      <c r="D226" s="3">
        <f t="shared" si="187"/>
        <v>7.4512934998130873E-2</v>
      </c>
      <c r="E226" s="3">
        <f t="shared" si="187"/>
        <v>7.4512934998130873E-2</v>
      </c>
      <c r="F226" s="3">
        <f t="shared" si="187"/>
        <v>7.4512934998130859E-2</v>
      </c>
      <c r="G226" s="3">
        <f t="shared" si="187"/>
        <v>7.4512934998130761E-2</v>
      </c>
      <c r="H226" s="3">
        <f t="shared" si="187"/>
        <v>7.4512934998129735E-2</v>
      </c>
      <c r="I226" s="3">
        <f t="shared" si="187"/>
        <v>7.4512934998119534E-2</v>
      </c>
      <c r="J226" s="3">
        <f t="shared" si="187"/>
        <v>7.4512934998017574E-2</v>
      </c>
      <c r="K226" s="3">
        <f t="shared" si="187"/>
        <v>7.4512934996997876E-2</v>
      </c>
      <c r="L226" s="3">
        <f t="shared" si="187"/>
        <v>7.4512934986800852E-2</v>
      </c>
      <c r="M226" s="3">
        <f t="shared" si="187"/>
        <v>7.4512934884830628E-2</v>
      </c>
      <c r="N226" s="3">
        <f t="shared" si="187"/>
        <v>7.4512933865128458E-2</v>
      </c>
      <c r="O226" s="3">
        <f t="shared" si="187"/>
        <v>7.4512923668107425E-2</v>
      </c>
      <c r="P226" s="3">
        <f t="shared" si="187"/>
        <v>7.4512821697973894E-2</v>
      </c>
      <c r="Q226" s="3">
        <f t="shared" si="187"/>
        <v>7.4511802004313496E-2</v>
      </c>
      <c r="R226" s="3">
        <f t="shared" si="187"/>
        <v>7.4501605835165324E-2</v>
      </c>
      <c r="S226" s="3">
        <f t="shared" si="187"/>
        <v>7.4399720850403389E-2</v>
      </c>
      <c r="T226" s="3">
        <f t="shared" si="187"/>
        <v>7.3388502976756767E-2</v>
      </c>
      <c r="U226" s="3">
        <f t="shared" si="187"/>
        <v>6.4002252082096339E-2</v>
      </c>
      <c r="V226" s="3">
        <f t="shared" si="187"/>
        <v>1.6287991282825938E-2</v>
      </c>
      <c r="W226" s="3">
        <f t="shared" si="187"/>
        <v>1.856052474188413E-8</v>
      </c>
      <c r="X226" s="3">
        <f t="shared" si="187"/>
        <v>6.8520018592586504E-68</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8.3057229561504284E-2</v>
      </c>
      <c r="C227" s="3">
        <f t="shared" si="188"/>
        <v>8.3057229561504284E-2</v>
      </c>
      <c r="D227" s="3">
        <f t="shared" si="188"/>
        <v>8.3057229561504284E-2</v>
      </c>
      <c r="E227" s="3">
        <f t="shared" si="188"/>
        <v>8.3057229561504284E-2</v>
      </c>
      <c r="F227" s="3">
        <f t="shared" si="188"/>
        <v>8.3057229561504284E-2</v>
      </c>
      <c r="G227" s="3">
        <f t="shared" si="188"/>
        <v>8.305722956150427E-2</v>
      </c>
      <c r="H227" s="3">
        <f t="shared" si="188"/>
        <v>8.3057229561504173E-2</v>
      </c>
      <c r="I227" s="3">
        <f t="shared" si="188"/>
        <v>8.3057229561503146E-2</v>
      </c>
      <c r="J227" s="3">
        <f t="shared" si="188"/>
        <v>8.305722956149289E-2</v>
      </c>
      <c r="K227" s="3">
        <f t="shared" si="188"/>
        <v>8.3057229561390361E-2</v>
      </c>
      <c r="L227" s="3">
        <f t="shared" si="188"/>
        <v>8.3057229560365028E-2</v>
      </c>
      <c r="M227" s="3">
        <f t="shared" si="188"/>
        <v>8.3057229550111675E-2</v>
      </c>
      <c r="N227" s="3">
        <f t="shared" si="188"/>
        <v>8.3057229447578193E-2</v>
      </c>
      <c r="O227" s="3">
        <f t="shared" si="188"/>
        <v>8.3057228422243362E-2</v>
      </c>
      <c r="P227" s="3">
        <f t="shared" si="188"/>
        <v>8.3057218168895774E-2</v>
      </c>
      <c r="Q227" s="3">
        <f t="shared" si="188"/>
        <v>8.3057115635489565E-2</v>
      </c>
      <c r="R227" s="3">
        <f t="shared" si="188"/>
        <v>8.3056090308389147E-2</v>
      </c>
      <c r="S227" s="3">
        <f t="shared" si="188"/>
        <v>8.3045837733521755E-2</v>
      </c>
      <c r="T227" s="3">
        <f t="shared" si="188"/>
        <v>8.2943381566748062E-2</v>
      </c>
      <c r="U227" s="3">
        <f t="shared" si="188"/>
        <v>8.19257464113336E-2</v>
      </c>
      <c r="V227" s="3">
        <f t="shared" si="188"/>
        <v>7.2411426223650127E-2</v>
      </c>
      <c r="W227" s="3">
        <f t="shared" si="188"/>
        <v>2.1070461489328084E-2</v>
      </c>
      <c r="X227" s="3">
        <f t="shared" si="188"/>
        <v>9.1694547163704416E-8</v>
      </c>
      <c r="Y227" s="3">
        <f t="shared" si="188"/>
        <v>2.2337683525610258E-61</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7.1718979370641908E-2</v>
      </c>
      <c r="C228" s="3">
        <f t="shared" si="189"/>
        <v>7.1718979370641908E-2</v>
      </c>
      <c r="D228" s="3">
        <f t="shared" si="189"/>
        <v>7.1718979370641908E-2</v>
      </c>
      <c r="E228" s="3">
        <f t="shared" si="189"/>
        <v>7.1718979370641908E-2</v>
      </c>
      <c r="F228" s="3">
        <f t="shared" si="189"/>
        <v>7.1718979370641908E-2</v>
      </c>
      <c r="G228" s="3">
        <f t="shared" si="189"/>
        <v>7.1718979370641908E-2</v>
      </c>
      <c r="H228" s="3">
        <f t="shared" si="189"/>
        <v>7.1718979370641894E-2</v>
      </c>
      <c r="I228" s="3">
        <f t="shared" si="189"/>
        <v>7.1718979370641825E-2</v>
      </c>
      <c r="J228" s="3">
        <f t="shared" si="189"/>
        <v>7.171897937064102E-2</v>
      </c>
      <c r="K228" s="3">
        <f t="shared" si="189"/>
        <v>7.1718979370633026E-2</v>
      </c>
      <c r="L228" s="3">
        <f t="shared" si="189"/>
        <v>7.1718979370553174E-2</v>
      </c>
      <c r="M228" s="3">
        <f t="shared" si="189"/>
        <v>7.1718979369754493E-2</v>
      </c>
      <c r="N228" s="3">
        <f t="shared" si="189"/>
        <v>7.1718979361767771E-2</v>
      </c>
      <c r="O228" s="3">
        <f t="shared" si="189"/>
        <v>7.1718979281900463E-2</v>
      </c>
      <c r="P228" s="3">
        <f t="shared" si="189"/>
        <v>7.1718978483227544E-2</v>
      </c>
      <c r="Q228" s="3">
        <f t="shared" si="189"/>
        <v>7.1718970496498821E-2</v>
      </c>
      <c r="R228" s="3">
        <f t="shared" si="189"/>
        <v>7.1718890629260443E-2</v>
      </c>
      <c r="S228" s="3">
        <f t="shared" si="189"/>
        <v>7.1718091961768371E-2</v>
      </c>
      <c r="T228" s="3">
        <f t="shared" si="189"/>
        <v>7.1710105776002842E-2</v>
      </c>
      <c r="U228" s="3">
        <f t="shared" si="189"/>
        <v>7.1630292813713928E-2</v>
      </c>
      <c r="V228" s="3">
        <f t="shared" si="189"/>
        <v>7.083703264061024E-2</v>
      </c>
      <c r="W228" s="3">
        <f t="shared" si="189"/>
        <v>6.3371895688739535E-2</v>
      </c>
      <c r="X228" s="3">
        <f t="shared" si="189"/>
        <v>2.0809425102227129E-2</v>
      </c>
      <c r="Y228" s="3">
        <f t="shared" si="189"/>
        <v>3.0331502045259409E-7</v>
      </c>
      <c r="Z228" s="3">
        <f t="shared" si="189"/>
        <v>1.3129018813539058E-55</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7.0532782470365804E-2</v>
      </c>
      <c r="C229" s="3">
        <f t="shared" si="190"/>
        <v>7.0532782470365804E-2</v>
      </c>
      <c r="D229" s="3">
        <f t="shared" si="190"/>
        <v>7.0532782470365804E-2</v>
      </c>
      <c r="E229" s="3">
        <f t="shared" si="190"/>
        <v>7.0532782470365804E-2</v>
      </c>
      <c r="F229" s="3">
        <f t="shared" si="190"/>
        <v>7.0532782470365804E-2</v>
      </c>
      <c r="G229" s="3">
        <f t="shared" si="190"/>
        <v>7.0532782470365804E-2</v>
      </c>
      <c r="H229" s="3">
        <f t="shared" si="190"/>
        <v>7.0532782470365804E-2</v>
      </c>
      <c r="I229" s="3">
        <f t="shared" si="190"/>
        <v>7.053278247036579E-2</v>
      </c>
      <c r="J229" s="3">
        <f t="shared" si="190"/>
        <v>7.0532782470365721E-2</v>
      </c>
      <c r="K229" s="3">
        <f t="shared" si="190"/>
        <v>7.0532782470365013E-2</v>
      </c>
      <c r="L229" s="3">
        <f t="shared" si="190"/>
        <v>7.0532782470357935E-2</v>
      </c>
      <c r="M229" s="3">
        <f t="shared" si="190"/>
        <v>7.0532782470287075E-2</v>
      </c>
      <c r="N229" s="3">
        <f t="shared" si="190"/>
        <v>7.0532782469578517E-2</v>
      </c>
      <c r="O229" s="3">
        <f t="shared" si="190"/>
        <v>7.0532782462492991E-2</v>
      </c>
      <c r="P229" s="3">
        <f t="shared" si="190"/>
        <v>7.0532782391637669E-2</v>
      </c>
      <c r="Q229" s="3">
        <f t="shared" si="190"/>
        <v>7.0532781683084467E-2</v>
      </c>
      <c r="R229" s="3">
        <f t="shared" si="190"/>
        <v>7.0532774597552791E-2</v>
      </c>
      <c r="S229" s="3">
        <f t="shared" si="190"/>
        <v>7.0532703742275174E-2</v>
      </c>
      <c r="T229" s="3">
        <f t="shared" si="190"/>
        <v>7.0531995193413827E-2</v>
      </c>
      <c r="U229" s="3">
        <f t="shared" si="190"/>
        <v>7.0524910096270543E-2</v>
      </c>
      <c r="V229" s="3">
        <f t="shared" si="190"/>
        <v>7.045409825730839E-2</v>
      </c>
      <c r="W229" s="3">
        <f t="shared" si="190"/>
        <v>6.9749878608524857E-2</v>
      </c>
      <c r="X229" s="3">
        <f t="shared" si="190"/>
        <v>6.3083446106419916E-2</v>
      </c>
      <c r="Y229" s="3">
        <f t="shared" si="190"/>
        <v>2.310122165090928E-2</v>
      </c>
      <c r="Z229" s="3">
        <f t="shared" si="190"/>
        <v>1.0019137104225497E-6</v>
      </c>
      <c r="AA229" s="3">
        <f t="shared" si="190"/>
        <v>2.3593047664337247E-50</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3.5919956978906278E-2</v>
      </c>
      <c r="C230" s="3">
        <f t="shared" si="191"/>
        <v>3.5919956978906278E-2</v>
      </c>
      <c r="D230" s="3">
        <f t="shared" si="191"/>
        <v>3.5919956978906278E-2</v>
      </c>
      <c r="E230" s="3">
        <f t="shared" si="191"/>
        <v>3.5919956978906278E-2</v>
      </c>
      <c r="F230" s="3">
        <f t="shared" si="191"/>
        <v>3.5919956978906278E-2</v>
      </c>
      <c r="G230" s="3">
        <f t="shared" si="191"/>
        <v>3.5919956978906278E-2</v>
      </c>
      <c r="H230" s="3">
        <f t="shared" si="191"/>
        <v>3.5919956978906278E-2</v>
      </c>
      <c r="I230" s="3">
        <f t="shared" si="191"/>
        <v>3.5919956978906278E-2</v>
      </c>
      <c r="J230" s="3">
        <f t="shared" si="191"/>
        <v>3.5919956978906271E-2</v>
      </c>
      <c r="K230" s="3">
        <f t="shared" si="191"/>
        <v>3.5919956978906244E-2</v>
      </c>
      <c r="L230" s="3">
        <f t="shared" si="191"/>
        <v>3.5919956978905918E-2</v>
      </c>
      <c r="M230" s="3">
        <f t="shared" si="191"/>
        <v>3.5919956978902663E-2</v>
      </c>
      <c r="N230" s="3">
        <f t="shared" si="191"/>
        <v>3.5919956978870113E-2</v>
      </c>
      <c r="O230" s="3">
        <f t="shared" si="191"/>
        <v>3.5919956978544602E-2</v>
      </c>
      <c r="P230" s="3">
        <f t="shared" si="191"/>
        <v>3.5919956975289505E-2</v>
      </c>
      <c r="Q230" s="3">
        <f t="shared" si="191"/>
        <v>3.5919956942738543E-2</v>
      </c>
      <c r="R230" s="3">
        <f t="shared" si="191"/>
        <v>3.5919956617228903E-2</v>
      </c>
      <c r="S230" s="3">
        <f t="shared" si="191"/>
        <v>3.5919953362132703E-2</v>
      </c>
      <c r="T230" s="3">
        <f t="shared" si="191"/>
        <v>3.591992081118689E-2</v>
      </c>
      <c r="U230" s="3">
        <f t="shared" si="191"/>
        <v>3.5919595303351183E-2</v>
      </c>
      <c r="V230" s="3">
        <f t="shared" si="191"/>
        <v>3.5916340387226797E-2</v>
      </c>
      <c r="W230" s="3">
        <f t="shared" si="191"/>
        <v>3.5883807443815072E-2</v>
      </c>
      <c r="X230" s="3">
        <f t="shared" si="191"/>
        <v>3.5560094368274058E-2</v>
      </c>
      <c r="Y230" s="3">
        <f t="shared" si="191"/>
        <v>3.2479308742529765E-2</v>
      </c>
      <c r="Z230" s="3">
        <f t="shared" si="191"/>
        <v>1.3123373978123246E-2</v>
      </c>
      <c r="AA230" s="3">
        <f t="shared" si="191"/>
        <v>1.5220635327864176E-6</v>
      </c>
      <c r="AB230" s="3">
        <f t="shared" si="191"/>
        <v>6.7035605629248333E-46</v>
      </c>
      <c r="AC230" s="3">
        <f t="shared" si="191"/>
        <v>0</v>
      </c>
      <c r="AD230" s="3">
        <f t="shared" si="191"/>
        <v>0</v>
      </c>
      <c r="AE230" s="3">
        <f t="shared" si="191"/>
        <v>0</v>
      </c>
      <c r="AF230" s="3">
        <f t="shared" si="191"/>
        <v>0</v>
      </c>
      <c r="AG230" s="3"/>
      <c r="AH230" s="3"/>
    </row>
    <row r="231" spans="2:34" x14ac:dyDescent="0.25">
      <c r="B231" s="3">
        <f t="shared" ref="B231:AF231" si="192">$C39*EXP(-B$207/$A39/EXP(-$D$126))</f>
        <v>6.619073120792586E-2</v>
      </c>
      <c r="C231" s="3">
        <f t="shared" si="192"/>
        <v>6.619073120792586E-2</v>
      </c>
      <c r="D231" s="3">
        <f t="shared" si="192"/>
        <v>6.619073120792586E-2</v>
      </c>
      <c r="E231" s="3">
        <f t="shared" si="192"/>
        <v>6.619073120792586E-2</v>
      </c>
      <c r="F231" s="3">
        <f t="shared" si="192"/>
        <v>6.619073120792586E-2</v>
      </c>
      <c r="G231" s="3">
        <f t="shared" si="192"/>
        <v>6.619073120792586E-2</v>
      </c>
      <c r="H231" s="3">
        <f t="shared" si="192"/>
        <v>6.619073120792586E-2</v>
      </c>
      <c r="I231" s="3">
        <f t="shared" si="192"/>
        <v>6.619073120792586E-2</v>
      </c>
      <c r="J231" s="3">
        <f t="shared" si="192"/>
        <v>6.619073120792586E-2</v>
      </c>
      <c r="K231" s="3">
        <f t="shared" si="192"/>
        <v>6.6190731207925832E-2</v>
      </c>
      <c r="L231" s="3">
        <f t="shared" si="192"/>
        <v>6.6190731207925679E-2</v>
      </c>
      <c r="M231" s="3">
        <f t="shared" si="192"/>
        <v>6.6190731207924014E-2</v>
      </c>
      <c r="N231" s="3">
        <f t="shared" si="192"/>
        <v>6.619073120790743E-2</v>
      </c>
      <c r="O231" s="3">
        <f t="shared" si="192"/>
        <v>6.6190731207741521E-2</v>
      </c>
      <c r="P231" s="3">
        <f t="shared" si="192"/>
        <v>6.6190731206082556E-2</v>
      </c>
      <c r="Q231" s="3">
        <f t="shared" si="192"/>
        <v>6.6190731189492882E-2</v>
      </c>
      <c r="R231" s="3">
        <f t="shared" si="192"/>
        <v>6.6190731023596044E-2</v>
      </c>
      <c r="S231" s="3">
        <f t="shared" si="192"/>
        <v>6.619072936462779E-2</v>
      </c>
      <c r="T231" s="3">
        <f t="shared" si="192"/>
        <v>6.6190712774947411E-2</v>
      </c>
      <c r="U231" s="3">
        <f t="shared" si="192"/>
        <v>6.6190546878372364E-2</v>
      </c>
      <c r="V231" s="3">
        <f t="shared" si="192"/>
        <v>6.6188887935490326E-2</v>
      </c>
      <c r="W231" s="3">
        <f t="shared" si="192"/>
        <v>6.6172300793305411E-2</v>
      </c>
      <c r="X231" s="3">
        <f t="shared" si="192"/>
        <v>6.6006657823093215E-2</v>
      </c>
      <c r="Y231" s="3">
        <f t="shared" si="192"/>
        <v>6.4372862843349449E-2</v>
      </c>
      <c r="Z231" s="3">
        <f t="shared" si="192"/>
        <v>5.0101834703542861E-2</v>
      </c>
      <c r="AA231" s="3">
        <f t="shared" si="192"/>
        <v>4.086595845655158E-3</v>
      </c>
      <c r="AB231" s="3">
        <f t="shared" si="192"/>
        <v>5.3265043114810033E-14</v>
      </c>
      <c r="AC231" s="3">
        <f t="shared" si="192"/>
        <v>7.5378626558885116E-123</v>
      </c>
      <c r="AD231" s="3">
        <f t="shared" si="192"/>
        <v>0</v>
      </c>
      <c r="AE231" s="3">
        <f t="shared" si="192"/>
        <v>0</v>
      </c>
      <c r="AF231" s="3">
        <f t="shared" si="192"/>
        <v>0</v>
      </c>
      <c r="AG231" s="3"/>
      <c r="AH231" s="3"/>
    </row>
    <row r="232" spans="2:34" x14ac:dyDescent="0.25">
      <c r="B232" s="3">
        <f t="shared" ref="B232:AF232" si="193">$C40*EXP(-B$207/$A40/EXP(-$D$126))</f>
        <v>7.7756478024563841E-2</v>
      </c>
      <c r="C232" s="3">
        <f t="shared" si="193"/>
        <v>7.7756478024563841E-2</v>
      </c>
      <c r="D232" s="3">
        <f t="shared" si="193"/>
        <v>7.7756478024563841E-2</v>
      </c>
      <c r="E232" s="3">
        <f t="shared" si="193"/>
        <v>7.7756478024563841E-2</v>
      </c>
      <c r="F232" s="3">
        <f t="shared" si="193"/>
        <v>7.7756478024563841E-2</v>
      </c>
      <c r="G232" s="3">
        <f t="shared" si="193"/>
        <v>7.7756478024563841E-2</v>
      </c>
      <c r="H232" s="3">
        <f t="shared" si="193"/>
        <v>7.7756478024563841E-2</v>
      </c>
      <c r="I232" s="3">
        <f t="shared" si="193"/>
        <v>7.7756478024563841E-2</v>
      </c>
      <c r="J232" s="3">
        <f t="shared" si="193"/>
        <v>7.7756478024563841E-2</v>
      </c>
      <c r="K232" s="3">
        <f t="shared" si="193"/>
        <v>7.7756478024563841E-2</v>
      </c>
      <c r="L232" s="3">
        <f t="shared" si="193"/>
        <v>7.7756478024563813E-2</v>
      </c>
      <c r="M232" s="3">
        <f t="shared" si="193"/>
        <v>7.7756478024563619E-2</v>
      </c>
      <c r="N232" s="3">
        <f t="shared" si="193"/>
        <v>7.7756478024561676E-2</v>
      </c>
      <c r="O232" s="3">
        <f t="shared" si="193"/>
        <v>7.7756478024542192E-2</v>
      </c>
      <c r="P232" s="3">
        <f t="shared" si="193"/>
        <v>7.7756478024347292E-2</v>
      </c>
      <c r="Q232" s="3">
        <f t="shared" si="193"/>
        <v>7.7756478022398462E-2</v>
      </c>
      <c r="R232" s="3">
        <f t="shared" si="193"/>
        <v>7.7756478002909996E-2</v>
      </c>
      <c r="S232" s="3">
        <f t="shared" si="193"/>
        <v>7.7756477808025415E-2</v>
      </c>
      <c r="T232" s="3">
        <f t="shared" si="193"/>
        <v>7.7756475859179594E-2</v>
      </c>
      <c r="U232" s="3">
        <f t="shared" si="193"/>
        <v>7.7756456370724134E-2</v>
      </c>
      <c r="V232" s="3">
        <f t="shared" si="193"/>
        <v>7.7756261486438119E-2</v>
      </c>
      <c r="W232" s="3">
        <f t="shared" si="193"/>
        <v>7.7754312670442319E-2</v>
      </c>
      <c r="X232" s="3">
        <f t="shared" si="193"/>
        <v>7.7734827196671991E-2</v>
      </c>
      <c r="Y232" s="3">
        <f t="shared" si="193"/>
        <v>7.7540240828789617E-2</v>
      </c>
      <c r="Z232" s="3">
        <f t="shared" si="193"/>
        <v>7.5620966919576843E-2</v>
      </c>
      <c r="AA232" s="3">
        <f t="shared" si="193"/>
        <v>5.8856310211751729E-2</v>
      </c>
      <c r="AB232" s="3">
        <f t="shared" si="193"/>
        <v>4.8006615770685096E-3</v>
      </c>
      <c r="AC232" s="3">
        <f t="shared" si="193"/>
        <v>6.2572237515004712E-14</v>
      </c>
      <c r="AD232" s="3">
        <f t="shared" si="193"/>
        <v>8.8549807693405892E-123</v>
      </c>
      <c r="AE232" s="3">
        <f t="shared" si="193"/>
        <v>0</v>
      </c>
      <c r="AF232" s="3">
        <f t="shared" si="193"/>
        <v>0</v>
      </c>
      <c r="AG232" s="3"/>
      <c r="AH232" s="3"/>
    </row>
    <row r="233" spans="2:34" x14ac:dyDescent="0.25">
      <c r="B233" s="3">
        <f t="shared" ref="B233:AF233" si="194">$C41*EXP(-B$207/$A41/EXP(-$D$126))</f>
        <v>8.4379776386596134E-2</v>
      </c>
      <c r="C233" s="3">
        <f t="shared" si="194"/>
        <v>8.4379776386596134E-2</v>
      </c>
      <c r="D233" s="3">
        <f t="shared" si="194"/>
        <v>8.4379776386596134E-2</v>
      </c>
      <c r="E233" s="3">
        <f t="shared" si="194"/>
        <v>8.4379776386596134E-2</v>
      </c>
      <c r="F233" s="3">
        <f t="shared" si="194"/>
        <v>8.4379776386596134E-2</v>
      </c>
      <c r="G233" s="3">
        <f t="shared" si="194"/>
        <v>8.4379776386596134E-2</v>
      </c>
      <c r="H233" s="3">
        <f t="shared" si="194"/>
        <v>8.4379776386596134E-2</v>
      </c>
      <c r="I233" s="3">
        <f t="shared" si="194"/>
        <v>8.4379776386596134E-2</v>
      </c>
      <c r="J233" s="3">
        <f t="shared" si="194"/>
        <v>8.4379776386596134E-2</v>
      </c>
      <c r="K233" s="3">
        <f t="shared" si="194"/>
        <v>8.4379776386596134E-2</v>
      </c>
      <c r="L233" s="3">
        <f t="shared" si="194"/>
        <v>8.4379776386596134E-2</v>
      </c>
      <c r="M233" s="3">
        <f t="shared" si="194"/>
        <v>8.4379776386596106E-2</v>
      </c>
      <c r="N233" s="3">
        <f t="shared" si="194"/>
        <v>8.4379776386595898E-2</v>
      </c>
      <c r="O233" s="3">
        <f t="shared" si="194"/>
        <v>8.4379776386593788E-2</v>
      </c>
      <c r="P233" s="3">
        <f t="shared" si="194"/>
        <v>8.4379776386572639E-2</v>
      </c>
      <c r="Q233" s="3">
        <f t="shared" si="194"/>
        <v>8.4379776386361141E-2</v>
      </c>
      <c r="R233" s="3">
        <f t="shared" si="194"/>
        <v>8.4379776384246305E-2</v>
      </c>
      <c r="S233" s="3">
        <f t="shared" si="194"/>
        <v>8.4379776363097819E-2</v>
      </c>
      <c r="T233" s="3">
        <f t="shared" si="194"/>
        <v>8.4379776151612962E-2</v>
      </c>
      <c r="U233" s="3">
        <f t="shared" si="194"/>
        <v>8.4379774036764416E-2</v>
      </c>
      <c r="V233" s="3">
        <f t="shared" si="194"/>
        <v>8.4379752888281923E-2</v>
      </c>
      <c r="W233" s="3">
        <f t="shared" si="194"/>
        <v>8.4379541403748509E-2</v>
      </c>
      <c r="X233" s="3">
        <f t="shared" si="194"/>
        <v>8.4377426587567E-2</v>
      </c>
      <c r="Y233" s="3">
        <f t="shared" si="194"/>
        <v>8.4356281340749004E-2</v>
      </c>
      <c r="Z233" s="3">
        <f t="shared" si="194"/>
        <v>8.4145120102136733E-2</v>
      </c>
      <c r="AA233" s="3">
        <f t="shared" si="194"/>
        <v>8.2062362402735248E-2</v>
      </c>
      <c r="AB233" s="3">
        <f t="shared" si="194"/>
        <v>6.3869691899353515E-2</v>
      </c>
      <c r="AC233" s="3">
        <f t="shared" si="194"/>
        <v>5.2095820267579179E-3</v>
      </c>
      <c r="AD233" s="3">
        <f t="shared" si="194"/>
        <v>6.7902141965035273E-14</v>
      </c>
      <c r="AE233" s="3">
        <f t="shared" si="194"/>
        <v>9.6092482093714152E-123</v>
      </c>
      <c r="AF233" s="3">
        <f t="shared" si="194"/>
        <v>0</v>
      </c>
      <c r="AG233" s="3"/>
      <c r="AH233" s="3"/>
    </row>
    <row r="234" spans="2:34" x14ac:dyDescent="0.25">
      <c r="B234" s="3">
        <f t="shared" ref="B234:AF234" si="195">$C42*EXP(-B$207/$A42/EXP(-$D$126))</f>
        <v>9.8418254231933067E-2</v>
      </c>
      <c r="C234" s="3">
        <f t="shared" si="195"/>
        <v>9.8418254231933067E-2</v>
      </c>
      <c r="D234" s="3">
        <f t="shared" si="195"/>
        <v>9.8418254231933067E-2</v>
      </c>
      <c r="E234" s="3">
        <f t="shared" si="195"/>
        <v>9.8418254231933067E-2</v>
      </c>
      <c r="F234" s="3">
        <f t="shared" si="195"/>
        <v>9.8418254231933067E-2</v>
      </c>
      <c r="G234" s="3">
        <f t="shared" si="195"/>
        <v>9.8418254231933067E-2</v>
      </c>
      <c r="H234" s="3">
        <f t="shared" si="195"/>
        <v>9.8418254231933067E-2</v>
      </c>
      <c r="I234" s="3">
        <f t="shared" si="195"/>
        <v>9.8418254231933067E-2</v>
      </c>
      <c r="J234" s="3">
        <f t="shared" si="195"/>
        <v>9.8418254231933067E-2</v>
      </c>
      <c r="K234" s="3">
        <f t="shared" si="195"/>
        <v>9.8418254231933067E-2</v>
      </c>
      <c r="L234" s="3">
        <f t="shared" si="195"/>
        <v>9.8418254231933067E-2</v>
      </c>
      <c r="M234" s="3">
        <f t="shared" si="195"/>
        <v>9.8418254231933067E-2</v>
      </c>
      <c r="N234" s="3">
        <f t="shared" si="195"/>
        <v>9.8418254231933039E-2</v>
      </c>
      <c r="O234" s="3">
        <f t="shared" si="195"/>
        <v>9.8418254231932789E-2</v>
      </c>
      <c r="P234" s="3">
        <f t="shared" si="195"/>
        <v>9.8418254231930319E-2</v>
      </c>
      <c r="Q234" s="3">
        <f t="shared" si="195"/>
        <v>9.8418254231905658E-2</v>
      </c>
      <c r="R234" s="3">
        <f t="shared" si="195"/>
        <v>9.841825423165898E-2</v>
      </c>
      <c r="S234" s="3">
        <f t="shared" si="195"/>
        <v>9.8418254229192287E-2</v>
      </c>
      <c r="T234" s="3">
        <f t="shared" si="195"/>
        <v>9.8418254204525282E-2</v>
      </c>
      <c r="U234" s="3">
        <f t="shared" si="195"/>
        <v>9.841825395785514E-2</v>
      </c>
      <c r="V234" s="3">
        <f t="shared" si="195"/>
        <v>9.841825149115388E-2</v>
      </c>
      <c r="W234" s="3">
        <f t="shared" si="195"/>
        <v>9.8418226824144597E-2</v>
      </c>
      <c r="X234" s="3">
        <f t="shared" si="195"/>
        <v>9.8417980154391876E-2</v>
      </c>
      <c r="Y234" s="3">
        <f t="shared" si="195"/>
        <v>9.8415513490867523E-2</v>
      </c>
      <c r="Z234" s="3">
        <f t="shared" si="195"/>
        <v>9.8390850255596601E-2</v>
      </c>
      <c r="AA234" s="3">
        <f t="shared" si="195"/>
        <v>9.8144557585058398E-2</v>
      </c>
      <c r="AB234" s="3">
        <f t="shared" si="195"/>
        <v>9.5715286193960317E-2</v>
      </c>
      <c r="AC234" s="3">
        <f t="shared" si="195"/>
        <v>7.4495854862970973E-2</v>
      </c>
      <c r="AD234" s="3">
        <f t="shared" si="195"/>
        <v>6.0763134284984423E-3</v>
      </c>
      <c r="AE234" s="3">
        <f t="shared" si="195"/>
        <v>7.9199193894394206E-14</v>
      </c>
      <c r="AF234" s="3">
        <f t="shared" si="195"/>
        <v>1.1207963255492741E-122</v>
      </c>
      <c r="AG234" s="3"/>
      <c r="AH234" s="3"/>
    </row>
    <row r="235" spans="2:34" x14ac:dyDescent="0.25">
      <c r="B235" s="3">
        <f t="shared" ref="B235:AF235" si="196">$C43*EXP(-B$207/$A43/EXP(-$D$126))</f>
        <v>5.8940133460185569E-2</v>
      </c>
      <c r="C235" s="3">
        <f t="shared" si="196"/>
        <v>5.8940133460185569E-2</v>
      </c>
      <c r="D235" s="3">
        <f t="shared" si="196"/>
        <v>5.8940133460185569E-2</v>
      </c>
      <c r="E235" s="3">
        <f t="shared" si="196"/>
        <v>5.8940133460185569E-2</v>
      </c>
      <c r="F235" s="3">
        <f t="shared" si="196"/>
        <v>5.8940133460185569E-2</v>
      </c>
      <c r="G235" s="3">
        <f t="shared" si="196"/>
        <v>5.8940133460185569E-2</v>
      </c>
      <c r="H235" s="3">
        <f t="shared" si="196"/>
        <v>5.8940133460185569E-2</v>
      </c>
      <c r="I235" s="3">
        <f t="shared" si="196"/>
        <v>5.8940133460185569E-2</v>
      </c>
      <c r="J235" s="3">
        <f t="shared" si="196"/>
        <v>5.8940133460185569E-2</v>
      </c>
      <c r="K235" s="3">
        <f t="shared" si="196"/>
        <v>5.8940133460185569E-2</v>
      </c>
      <c r="L235" s="3">
        <f t="shared" si="196"/>
        <v>5.8940133460185569E-2</v>
      </c>
      <c r="M235" s="3">
        <f t="shared" si="196"/>
        <v>5.8940133460185569E-2</v>
      </c>
      <c r="N235" s="3">
        <f t="shared" si="196"/>
        <v>5.8940133460185569E-2</v>
      </c>
      <c r="O235" s="3">
        <f t="shared" si="196"/>
        <v>5.8940133460185548E-2</v>
      </c>
      <c r="P235" s="3">
        <f t="shared" si="196"/>
        <v>5.8940133460185402E-2</v>
      </c>
      <c r="Q235" s="3">
        <f t="shared" si="196"/>
        <v>5.8940133460183924E-2</v>
      </c>
      <c r="R235" s="3">
        <f t="shared" si="196"/>
        <v>5.8940133460169158E-2</v>
      </c>
      <c r="S235" s="3">
        <f t="shared" si="196"/>
        <v>5.8940133460021429E-2</v>
      </c>
      <c r="T235" s="3">
        <f t="shared" si="196"/>
        <v>5.8940133458544187E-2</v>
      </c>
      <c r="U235" s="3">
        <f t="shared" si="196"/>
        <v>5.8940133443771754E-2</v>
      </c>
      <c r="V235" s="3">
        <f t="shared" si="196"/>
        <v>5.8940133296047428E-2</v>
      </c>
      <c r="W235" s="3">
        <f t="shared" si="196"/>
        <v>5.8940131818804177E-2</v>
      </c>
      <c r="X235" s="3">
        <f t="shared" si="196"/>
        <v>5.894011704637369E-2</v>
      </c>
      <c r="Y235" s="3">
        <f t="shared" si="196"/>
        <v>5.8939969322272516E-2</v>
      </c>
      <c r="Z235" s="3">
        <f t="shared" si="196"/>
        <v>5.8938492101624156E-2</v>
      </c>
      <c r="AA235" s="3">
        <f t="shared" si="196"/>
        <v>5.8923721931295768E-2</v>
      </c>
      <c r="AB235" s="3">
        <f t="shared" si="196"/>
        <v>5.8776223654831955E-2</v>
      </c>
      <c r="AC235" s="3">
        <f t="shared" si="196"/>
        <v>5.7321396182837693E-2</v>
      </c>
      <c r="AD235" s="3">
        <f t="shared" si="196"/>
        <v>4.461363049081065E-2</v>
      </c>
      <c r="AE235" s="3">
        <f t="shared" si="196"/>
        <v>3.638946120479073E-3</v>
      </c>
      <c r="AF235" s="3">
        <f t="shared" si="196"/>
        <v>4.7430337943955448E-14</v>
      </c>
      <c r="AG235" s="3"/>
      <c r="AH235" s="3"/>
    </row>
    <row r="236" spans="2:34" x14ac:dyDescent="0.25">
      <c r="B236" s="3">
        <f t="shared" ref="B236:AF236" si="197">$C44*EXP(-B$207/$A44/EXP(-$D$126))</f>
        <v>4.2268801533997091E-2</v>
      </c>
      <c r="C236" s="3">
        <f t="shared" si="197"/>
        <v>4.2268801533997091E-2</v>
      </c>
      <c r="D236" s="3">
        <f t="shared" si="197"/>
        <v>4.2268801533997091E-2</v>
      </c>
      <c r="E236" s="3">
        <f t="shared" si="197"/>
        <v>4.2268801533997091E-2</v>
      </c>
      <c r="F236" s="3">
        <f t="shared" si="197"/>
        <v>4.2268801533997091E-2</v>
      </c>
      <c r="G236" s="3">
        <f t="shared" si="197"/>
        <v>4.2268801533997091E-2</v>
      </c>
      <c r="H236" s="3">
        <f t="shared" si="197"/>
        <v>4.2268801533997091E-2</v>
      </c>
      <c r="I236" s="3">
        <f t="shared" si="197"/>
        <v>4.2268801533997091E-2</v>
      </c>
      <c r="J236" s="3">
        <f t="shared" si="197"/>
        <v>4.2268801533997091E-2</v>
      </c>
      <c r="K236" s="3">
        <f t="shared" si="197"/>
        <v>4.2268801533997091E-2</v>
      </c>
      <c r="L236" s="3">
        <f t="shared" si="197"/>
        <v>4.2268801533997091E-2</v>
      </c>
      <c r="M236" s="3">
        <f t="shared" si="197"/>
        <v>4.2268801533997091E-2</v>
      </c>
      <c r="N236" s="3">
        <f t="shared" si="197"/>
        <v>4.2268801533997091E-2</v>
      </c>
      <c r="O236" s="3">
        <f t="shared" si="197"/>
        <v>4.2268801533997091E-2</v>
      </c>
      <c r="P236" s="3">
        <f t="shared" si="197"/>
        <v>4.2268801533997077E-2</v>
      </c>
      <c r="Q236" s="3">
        <f t="shared" si="197"/>
        <v>4.2268801533996973E-2</v>
      </c>
      <c r="R236" s="3">
        <f t="shared" si="197"/>
        <v>4.2268801533995912E-2</v>
      </c>
      <c r="S236" s="3">
        <f t="shared" si="197"/>
        <v>4.2268801533985323E-2</v>
      </c>
      <c r="T236" s="3">
        <f t="shared" si="197"/>
        <v>4.226880153387938E-2</v>
      </c>
      <c r="U236" s="3">
        <f t="shared" si="197"/>
        <v>4.2268801532819977E-2</v>
      </c>
      <c r="V236" s="3">
        <f t="shared" si="197"/>
        <v>4.2268801522225959E-2</v>
      </c>
      <c r="W236" s="3">
        <f t="shared" si="197"/>
        <v>4.2268801416285744E-2</v>
      </c>
      <c r="X236" s="3">
        <f t="shared" si="197"/>
        <v>4.2268800356883636E-2</v>
      </c>
      <c r="Y236" s="3">
        <f t="shared" si="197"/>
        <v>4.2268789762863981E-2</v>
      </c>
      <c r="Z236" s="3">
        <f t="shared" si="197"/>
        <v>4.2268683822813492E-2</v>
      </c>
      <c r="AA236" s="3">
        <f t="shared" si="197"/>
        <v>4.2267624436912211E-2</v>
      </c>
      <c r="AB236" s="3">
        <f t="shared" si="197"/>
        <v>4.2257032038124115E-2</v>
      </c>
      <c r="AC236" s="3">
        <f t="shared" si="197"/>
        <v>4.2151253937389624E-2</v>
      </c>
      <c r="AD236" s="3">
        <f t="shared" si="197"/>
        <v>4.1107927258778161E-2</v>
      </c>
      <c r="AE236" s="3">
        <f t="shared" si="197"/>
        <v>3.199457792543009E-2</v>
      </c>
      <c r="AF236" s="3">
        <f t="shared" si="197"/>
        <v>2.6096630993097574E-3</v>
      </c>
      <c r="AG236" s="3"/>
      <c r="AH236" s="3"/>
    </row>
    <row r="237" spans="2:34" x14ac:dyDescent="0.25">
      <c r="B237" s="3">
        <f t="shared" ref="B237:AF237" si="198">$C45*EXP(-B$207/$A45/EXP(-$D$126))</f>
        <v>2.0342268571851365E-2</v>
      </c>
      <c r="C237" s="3">
        <f t="shared" si="198"/>
        <v>2.0342268571851365E-2</v>
      </c>
      <c r="D237" s="3">
        <f t="shared" si="198"/>
        <v>2.0342268571851365E-2</v>
      </c>
      <c r="E237" s="3">
        <f t="shared" si="198"/>
        <v>2.0342268571851365E-2</v>
      </c>
      <c r="F237" s="3">
        <f t="shared" si="198"/>
        <v>2.0342268571851365E-2</v>
      </c>
      <c r="G237" s="3">
        <f t="shared" si="198"/>
        <v>2.0342268571851365E-2</v>
      </c>
      <c r="H237" s="3">
        <f t="shared" si="198"/>
        <v>2.0342268571851365E-2</v>
      </c>
      <c r="I237" s="3">
        <f t="shared" si="198"/>
        <v>2.0342268571851365E-2</v>
      </c>
      <c r="J237" s="3">
        <f t="shared" si="198"/>
        <v>2.0342268571851365E-2</v>
      </c>
      <c r="K237" s="3">
        <f t="shared" si="198"/>
        <v>2.0342268571851365E-2</v>
      </c>
      <c r="L237" s="3">
        <f t="shared" si="198"/>
        <v>2.0342268571851365E-2</v>
      </c>
      <c r="M237" s="3">
        <f t="shared" si="198"/>
        <v>2.0342268571851365E-2</v>
      </c>
      <c r="N237" s="3">
        <f t="shared" si="198"/>
        <v>2.0342268571851365E-2</v>
      </c>
      <c r="O237" s="3">
        <f t="shared" si="198"/>
        <v>2.0342268571851365E-2</v>
      </c>
      <c r="P237" s="3">
        <f t="shared" si="198"/>
        <v>2.0342268571851365E-2</v>
      </c>
      <c r="Q237" s="3">
        <f t="shared" si="198"/>
        <v>2.0342268571851358E-2</v>
      </c>
      <c r="R237" s="3">
        <f t="shared" si="198"/>
        <v>2.034226857185131E-2</v>
      </c>
      <c r="S237" s="3">
        <f t="shared" si="198"/>
        <v>2.03422685718508E-2</v>
      </c>
      <c r="T237" s="3">
        <f t="shared" si="198"/>
        <v>2.0342268571845699E-2</v>
      </c>
      <c r="U237" s="3">
        <f t="shared" si="198"/>
        <v>2.0342268571794716E-2</v>
      </c>
      <c r="V237" s="3">
        <f t="shared" si="198"/>
        <v>2.0342268571284867E-2</v>
      </c>
      <c r="W237" s="3">
        <f t="shared" si="198"/>
        <v>2.0342268566186393E-2</v>
      </c>
      <c r="X237" s="3">
        <f t="shared" si="198"/>
        <v>2.0342268515201642E-2</v>
      </c>
      <c r="Y237" s="3">
        <f t="shared" si="198"/>
        <v>2.0342268005354155E-2</v>
      </c>
      <c r="Z237" s="3">
        <f t="shared" si="198"/>
        <v>2.0342262906879981E-2</v>
      </c>
      <c r="AA237" s="3">
        <f t="shared" si="198"/>
        <v>2.0342211922208513E-2</v>
      </c>
      <c r="AB237" s="3">
        <f t="shared" si="198"/>
        <v>2.0341702082521961E-2</v>
      </c>
      <c r="AC237" s="3">
        <f t="shared" si="198"/>
        <v>2.0336604388403654E-2</v>
      </c>
      <c r="AD237" s="3">
        <f t="shared" si="198"/>
        <v>2.028569765681746E-2</v>
      </c>
      <c r="AE237" s="3">
        <f t="shared" si="198"/>
        <v>1.9783586626122118E-2</v>
      </c>
      <c r="AF237" s="3">
        <f t="shared" si="198"/>
        <v>1.5397699328632466E-2</v>
      </c>
      <c r="AG237" s="3"/>
      <c r="AH237" s="3"/>
    </row>
    <row r="238" spans="2:34" x14ac:dyDescent="0.25">
      <c r="B238" s="3">
        <f t="shared" ref="B238:AF238" si="199">$C46*EXP(-B$207/$A46/EXP(-$D$126))</f>
        <v>5.9170897395369676E-3</v>
      </c>
      <c r="C238" s="3">
        <f t="shared" si="199"/>
        <v>5.9170897395369676E-3</v>
      </c>
      <c r="D238" s="3">
        <f t="shared" si="199"/>
        <v>5.9170897395369676E-3</v>
      </c>
      <c r="E238" s="3">
        <f t="shared" si="199"/>
        <v>5.9170897395369676E-3</v>
      </c>
      <c r="F238" s="3">
        <f t="shared" si="199"/>
        <v>5.9170897395369676E-3</v>
      </c>
      <c r="G238" s="3">
        <f t="shared" si="199"/>
        <v>5.9170897395369676E-3</v>
      </c>
      <c r="H238" s="3">
        <f t="shared" si="199"/>
        <v>5.9170897395369676E-3</v>
      </c>
      <c r="I238" s="3">
        <f t="shared" si="199"/>
        <v>5.9170897395369676E-3</v>
      </c>
      <c r="J238" s="3">
        <f t="shared" si="199"/>
        <v>5.9170897395369676E-3</v>
      </c>
      <c r="K238" s="3">
        <f t="shared" si="199"/>
        <v>5.9170897395369676E-3</v>
      </c>
      <c r="L238" s="3">
        <f t="shared" si="199"/>
        <v>5.9170897395369676E-3</v>
      </c>
      <c r="M238" s="3">
        <f t="shared" si="199"/>
        <v>5.9170897395369676E-3</v>
      </c>
      <c r="N238" s="3">
        <f t="shared" si="199"/>
        <v>5.9170897395369676E-3</v>
      </c>
      <c r="O238" s="3">
        <f t="shared" si="199"/>
        <v>5.9170897395369676E-3</v>
      </c>
      <c r="P238" s="3">
        <f t="shared" si="199"/>
        <v>5.9170897395369676E-3</v>
      </c>
      <c r="Q238" s="3">
        <f t="shared" si="199"/>
        <v>5.9170897395369676E-3</v>
      </c>
      <c r="R238" s="3">
        <f t="shared" si="199"/>
        <v>5.9170897395369659E-3</v>
      </c>
      <c r="S238" s="3">
        <f t="shared" si="199"/>
        <v>5.9170897395369512E-3</v>
      </c>
      <c r="T238" s="3">
        <f t="shared" si="199"/>
        <v>5.9170897395368028E-3</v>
      </c>
      <c r="U238" s="3">
        <f t="shared" si="199"/>
        <v>5.9170897395353196E-3</v>
      </c>
      <c r="V238" s="3">
        <f t="shared" si="199"/>
        <v>5.9170897395204895E-3</v>
      </c>
      <c r="W238" s="3">
        <f t="shared" si="199"/>
        <v>5.9170897393721871E-3</v>
      </c>
      <c r="X238" s="3">
        <f t="shared" si="199"/>
        <v>5.9170897378891599E-3</v>
      </c>
      <c r="Y238" s="3">
        <f t="shared" si="199"/>
        <v>5.9170897230588892E-3</v>
      </c>
      <c r="Z238" s="3">
        <f t="shared" si="199"/>
        <v>5.9170895747561901E-3</v>
      </c>
      <c r="AA238" s="3">
        <f t="shared" si="199"/>
        <v>5.9170880917294019E-3</v>
      </c>
      <c r="AB238" s="3">
        <f t="shared" si="199"/>
        <v>5.9170732614819621E-3</v>
      </c>
      <c r="AC238" s="3">
        <f t="shared" si="199"/>
        <v>5.9169249610518766E-3</v>
      </c>
      <c r="AD238" s="3">
        <f t="shared" si="199"/>
        <v>5.9154421611637437E-3</v>
      </c>
      <c r="AE238" s="3">
        <f t="shared" si="199"/>
        <v>5.9006345846106135E-3</v>
      </c>
      <c r="AF238" s="3">
        <f t="shared" si="199"/>
        <v>5.7545822395960108E-3</v>
      </c>
      <c r="AG238" s="3"/>
      <c r="AH238" s="3"/>
    </row>
    <row r="239" spans="2:34" x14ac:dyDescent="0.25">
      <c r="B239" s="3">
        <f t="shared" ref="B239:AF239" si="200">$C47*EXP(-B$207/$A47/EXP(-$D$126))</f>
        <v>2.1512309521192175E-5</v>
      </c>
      <c r="C239" s="3">
        <f t="shared" si="200"/>
        <v>2.1512309521192175E-5</v>
      </c>
      <c r="D239" s="3">
        <f t="shared" si="200"/>
        <v>2.1512309521192175E-5</v>
      </c>
      <c r="E239" s="3">
        <f t="shared" si="200"/>
        <v>2.1512309521192175E-5</v>
      </c>
      <c r="F239" s="3">
        <f t="shared" si="200"/>
        <v>2.1512309521192175E-5</v>
      </c>
      <c r="G239" s="3">
        <f t="shared" si="200"/>
        <v>2.1512309521192175E-5</v>
      </c>
      <c r="H239" s="3">
        <f t="shared" si="200"/>
        <v>2.1512309521192175E-5</v>
      </c>
      <c r="I239" s="3">
        <f t="shared" si="200"/>
        <v>2.1512309521192175E-5</v>
      </c>
      <c r="J239" s="3">
        <f t="shared" si="200"/>
        <v>2.1512309521192175E-5</v>
      </c>
      <c r="K239" s="3">
        <f t="shared" si="200"/>
        <v>2.1512309521192175E-5</v>
      </c>
      <c r="L239" s="3">
        <f t="shared" si="200"/>
        <v>2.1512309521192175E-5</v>
      </c>
      <c r="M239" s="3">
        <f t="shared" si="200"/>
        <v>2.1512309521192175E-5</v>
      </c>
      <c r="N239" s="3">
        <f t="shared" si="200"/>
        <v>2.1512309521192175E-5</v>
      </c>
      <c r="O239" s="3">
        <f t="shared" si="200"/>
        <v>2.1512309521192175E-5</v>
      </c>
      <c r="P239" s="3">
        <f t="shared" si="200"/>
        <v>2.1512309521192175E-5</v>
      </c>
      <c r="Q239" s="3">
        <f t="shared" si="200"/>
        <v>2.1512309521192175E-5</v>
      </c>
      <c r="R239" s="3">
        <f t="shared" si="200"/>
        <v>2.1512309521192175E-5</v>
      </c>
      <c r="S239" s="3">
        <f t="shared" si="200"/>
        <v>2.1512309521192168E-5</v>
      </c>
      <c r="T239" s="3">
        <f t="shared" si="200"/>
        <v>2.1512309521192114E-5</v>
      </c>
      <c r="U239" s="3">
        <f t="shared" si="200"/>
        <v>2.1512309521191575E-5</v>
      </c>
      <c r="V239" s="3">
        <f t="shared" si="200"/>
        <v>2.1512309521186185E-5</v>
      </c>
      <c r="W239" s="3">
        <f t="shared" si="200"/>
        <v>2.1512309521132266E-5</v>
      </c>
      <c r="X239" s="3">
        <f t="shared" si="200"/>
        <v>2.1512309520593096E-5</v>
      </c>
      <c r="Y239" s="3">
        <f t="shared" si="200"/>
        <v>2.1512309515201368E-5</v>
      </c>
      <c r="Z239" s="3">
        <f t="shared" si="200"/>
        <v>2.1512309461284089E-5</v>
      </c>
      <c r="AA239" s="3">
        <f t="shared" si="200"/>
        <v>2.1512308922111338E-5</v>
      </c>
      <c r="AB239" s="3">
        <f t="shared" si="200"/>
        <v>2.1512303530384539E-5</v>
      </c>
      <c r="AC239" s="3">
        <f t="shared" si="200"/>
        <v>2.1512249613190913E-5</v>
      </c>
      <c r="AD239" s="3">
        <f t="shared" si="200"/>
        <v>2.1511710448686983E-5</v>
      </c>
      <c r="AE239" s="3">
        <f t="shared" si="200"/>
        <v>2.1506319546815346E-5</v>
      </c>
      <c r="AF239" s="3">
        <f t="shared" si="200"/>
        <v>2.1452484775991909E-5</v>
      </c>
      <c r="AG239" s="3"/>
      <c r="AH239" s="3"/>
    </row>
    <row r="240" spans="2:34" x14ac:dyDescent="0.25">
      <c r="B240" s="3">
        <f t="shared" ref="B240:AF240" si="201">$C48*EXP(-B$207/$A48/EXP(-$D$126))</f>
        <v>1.0364109378839697E-2</v>
      </c>
      <c r="C240" s="3">
        <f t="shared" si="201"/>
        <v>1.0364109378839697E-2</v>
      </c>
      <c r="D240" s="3">
        <f t="shared" si="201"/>
        <v>1.0364109378839697E-2</v>
      </c>
      <c r="E240" s="3">
        <f t="shared" si="201"/>
        <v>1.0364109378839697E-2</v>
      </c>
      <c r="F240" s="3">
        <f t="shared" si="201"/>
        <v>1.0364109378839697E-2</v>
      </c>
      <c r="G240" s="3">
        <f t="shared" si="201"/>
        <v>1.0364109378839697E-2</v>
      </c>
      <c r="H240" s="3">
        <f t="shared" si="201"/>
        <v>1.0364109378839697E-2</v>
      </c>
      <c r="I240" s="3">
        <f t="shared" si="201"/>
        <v>1.0364109378839697E-2</v>
      </c>
      <c r="J240" s="3">
        <f t="shared" si="201"/>
        <v>1.0364109378839697E-2</v>
      </c>
      <c r="K240" s="3">
        <f t="shared" si="201"/>
        <v>1.0364109378839697E-2</v>
      </c>
      <c r="L240" s="3">
        <f t="shared" si="201"/>
        <v>1.0364109378839697E-2</v>
      </c>
      <c r="M240" s="3">
        <f t="shared" si="201"/>
        <v>1.0364109378839697E-2</v>
      </c>
      <c r="N240" s="3">
        <f t="shared" si="201"/>
        <v>1.0364109378839697E-2</v>
      </c>
      <c r="O240" s="3">
        <f t="shared" si="201"/>
        <v>1.0364109378839697E-2</v>
      </c>
      <c r="P240" s="3">
        <f t="shared" si="201"/>
        <v>1.0364109378839697E-2</v>
      </c>
      <c r="Q240" s="3">
        <f t="shared" si="201"/>
        <v>1.0364109378839697E-2</v>
      </c>
      <c r="R240" s="3">
        <f t="shared" si="201"/>
        <v>1.0364109378839697E-2</v>
      </c>
      <c r="S240" s="3">
        <f t="shared" si="201"/>
        <v>1.0364109378839697E-2</v>
      </c>
      <c r="T240" s="3">
        <f t="shared" si="201"/>
        <v>1.0364109378839694E-2</v>
      </c>
      <c r="U240" s="3">
        <f t="shared" si="201"/>
        <v>1.0364109378839668E-2</v>
      </c>
      <c r="V240" s="3">
        <f t="shared" si="201"/>
        <v>1.0364109378839409E-2</v>
      </c>
      <c r="W240" s="3">
        <f t="shared" si="201"/>
        <v>1.0364109378836811E-2</v>
      </c>
      <c r="X240" s="3">
        <f t="shared" si="201"/>
        <v>1.0364109378810835E-2</v>
      </c>
      <c r="Y240" s="3">
        <f t="shared" si="201"/>
        <v>1.0364109378551074E-2</v>
      </c>
      <c r="Z240" s="3">
        <f t="shared" si="201"/>
        <v>1.0364109375953471E-2</v>
      </c>
      <c r="AA240" s="3">
        <f t="shared" si="201"/>
        <v>1.0364109349977434E-2</v>
      </c>
      <c r="AB240" s="3">
        <f t="shared" si="201"/>
        <v>1.0364109090217068E-2</v>
      </c>
      <c r="AC240" s="3">
        <f t="shared" si="201"/>
        <v>1.0364106492613765E-2</v>
      </c>
      <c r="AD240" s="3">
        <f t="shared" si="201"/>
        <v>1.0364080516616553E-2</v>
      </c>
      <c r="AE240" s="3">
        <f t="shared" si="201"/>
        <v>1.0363820760225153E-2</v>
      </c>
      <c r="AF240" s="3">
        <f t="shared" si="201"/>
        <v>1.0361223554351316E-2</v>
      </c>
      <c r="AG240" s="3"/>
      <c r="AH240" s="3"/>
    </row>
    <row r="241" spans="1:34" x14ac:dyDescent="0.25">
      <c r="A241" s="79">
        <f>AVERAGE(B241:AF241)</f>
        <v>3.9654102825715264E-2</v>
      </c>
      <c r="B241" s="80">
        <f>IF($A$64&lt;=B207,IF($B$64&gt;=B207,ABS((B209-B208)/B208),0),0)</f>
        <v>3.0813121430893192E-3</v>
      </c>
      <c r="C241" s="80">
        <f t="shared" ref="C241:AF241" si="202">IF($A$64&lt;=C207,IF($B$64&gt;=C207,ABS((C209-C208)/C208),0),0)</f>
        <v>3.0895554828797578E-3</v>
      </c>
      <c r="D241" s="80">
        <f t="shared" si="202"/>
        <v>3.0844786560461279E-3</v>
      </c>
      <c r="E241" s="80">
        <f t="shared" si="202"/>
        <v>3.0829697319158015E-3</v>
      </c>
      <c r="F241" s="80">
        <f t="shared" si="202"/>
        <v>3.0824940217283989E-3</v>
      </c>
      <c r="G241" s="80">
        <f t="shared" si="202"/>
        <v>3.0823343099849864E-3</v>
      </c>
      <c r="H241" s="80">
        <f t="shared" si="202"/>
        <v>3.0822832833293811E-3</v>
      </c>
      <c r="I241" s="80">
        <f t="shared" si="202"/>
        <v>3.0822859026545502E-3</v>
      </c>
      <c r="J241" s="80">
        <f t="shared" si="202"/>
        <v>3.0823343948606016E-3</v>
      </c>
      <c r="K241" s="80">
        <f t="shared" si="202"/>
        <v>3.0829679365450414E-3</v>
      </c>
      <c r="L241" s="80">
        <f t="shared" si="202"/>
        <v>3.0892656128353822E-3</v>
      </c>
      <c r="M241" s="80">
        <f t="shared" si="202"/>
        <v>3.1518538695944156E-3</v>
      </c>
      <c r="N241" s="80">
        <f t="shared" si="202"/>
        <v>3.7412803853636403E-3</v>
      </c>
      <c r="O241" s="80">
        <f t="shared" si="202"/>
        <v>7.7056968553520008E-3</v>
      </c>
      <c r="P241" s="80">
        <f t="shared" si="202"/>
        <v>1.3982857276476753E-2</v>
      </c>
      <c r="Q241" s="80">
        <f t="shared" si="202"/>
        <v>1.2509279201971729E-2</v>
      </c>
      <c r="R241" s="80">
        <f t="shared" si="202"/>
        <v>1.6293578871222403E-2</v>
      </c>
      <c r="S241" s="80">
        <f t="shared" si="202"/>
        <v>1.2812779239090185E-2</v>
      </c>
      <c r="T241" s="80">
        <f t="shared" si="202"/>
        <v>6.659133778651476E-3</v>
      </c>
      <c r="U241" s="80">
        <f t="shared" si="202"/>
        <v>4.668842654357036E-2</v>
      </c>
      <c r="V241" s="80">
        <f t="shared" si="202"/>
        <v>6.8517425852483341E-2</v>
      </c>
      <c r="W241" s="80">
        <f t="shared" si="202"/>
        <v>6.010623267774106E-2</v>
      </c>
      <c r="X241" s="80">
        <f t="shared" si="202"/>
        <v>3.9574292892420385E-2</v>
      </c>
      <c r="Y241" s="80">
        <f t="shared" si="202"/>
        <v>1.3845030979900724E-2</v>
      </c>
      <c r="Z241" s="80">
        <f t="shared" si="202"/>
        <v>2.0795716624063959E-3</v>
      </c>
      <c r="AA241" s="80">
        <f t="shared" si="202"/>
        <v>4.6146737106562134E-2</v>
      </c>
      <c r="AB241" s="80">
        <f t="shared" si="202"/>
        <v>8.15364395764826E-2</v>
      </c>
      <c r="AC241" s="80">
        <f t="shared" si="202"/>
        <v>0.12974564774586514</v>
      </c>
      <c r="AD241" s="80">
        <f t="shared" si="202"/>
        <v>0.19565222175470581</v>
      </c>
      <c r="AE241" s="80">
        <f t="shared" si="202"/>
        <v>0.20128566637525588</v>
      </c>
      <c r="AF241" s="80">
        <f t="shared" si="202"/>
        <v>0.23332075347618728</v>
      </c>
    </row>
    <row r="242" spans="1:34" x14ac:dyDescent="0.25">
      <c r="B242" s="21">
        <f>(B209-B208)^2</f>
        <v>404.1209198550269</v>
      </c>
      <c r="C242" s="21">
        <f t="shared" ref="C242:AF242" si="203">(C209-C208)^2</f>
        <v>406.2927958535854</v>
      </c>
      <c r="D242" s="21">
        <f t="shared" si="203"/>
        <v>404.95450953440769</v>
      </c>
      <c r="E242" s="21">
        <f t="shared" si="203"/>
        <v>404.55717502551079</v>
      </c>
      <c r="F242" s="21">
        <f t="shared" si="203"/>
        <v>404.43195024203368</v>
      </c>
      <c r="G242" s="21">
        <f t="shared" si="203"/>
        <v>404.38991240855017</v>
      </c>
      <c r="H242" s="21">
        <f t="shared" si="203"/>
        <v>404.37648132274609</v>
      </c>
      <c r="I242" s="21">
        <f t="shared" si="203"/>
        <v>404.3771625713631</v>
      </c>
      <c r="J242" s="21">
        <f t="shared" si="203"/>
        <v>404.3898442239601</v>
      </c>
      <c r="K242" s="21">
        <f t="shared" si="203"/>
        <v>404.55579589565696</v>
      </c>
      <c r="L242" s="21">
        <f t="shared" si="203"/>
        <v>406.20722590392108</v>
      </c>
      <c r="M242" s="21">
        <f t="shared" si="203"/>
        <v>422.80162940268633</v>
      </c>
      <c r="N242" s="21">
        <f t="shared" si="203"/>
        <v>595.27987446646989</v>
      </c>
      <c r="O242" s="21">
        <f t="shared" si="203"/>
        <v>2507.8434521487911</v>
      </c>
      <c r="P242" s="21">
        <f t="shared" si="203"/>
        <v>7950.3327259707958</v>
      </c>
      <c r="Q242" s="21">
        <f t="shared" si="203"/>
        <v>6074.2324041102283</v>
      </c>
      <c r="R242" s="21">
        <f t="shared" si="203"/>
        <v>9769.738112023364</v>
      </c>
      <c r="S242" s="21">
        <f t="shared" si="203"/>
        <v>5619.7527273321975</v>
      </c>
      <c r="T242" s="21">
        <f t="shared" si="203"/>
        <v>1353.2080647431055</v>
      </c>
      <c r="U242" s="21">
        <f t="shared" si="203"/>
        <v>55323.49850253843</v>
      </c>
      <c r="V242" s="21">
        <f t="shared" si="203"/>
        <v>96387.049363776445</v>
      </c>
      <c r="W242" s="21">
        <f t="shared" si="203"/>
        <v>60739.588905029545</v>
      </c>
      <c r="X242" s="21">
        <f t="shared" si="203"/>
        <v>21870.046850947037</v>
      </c>
      <c r="Y242" s="21">
        <f t="shared" si="203"/>
        <v>2227.3628732792199</v>
      </c>
      <c r="Z242" s="21">
        <f t="shared" si="203"/>
        <v>40.977942892175484</v>
      </c>
      <c r="AA242" s="21">
        <f t="shared" si="203"/>
        <v>15355.055984876302</v>
      </c>
      <c r="AB242" s="21">
        <f t="shared" si="203"/>
        <v>33004.350701120384</v>
      </c>
      <c r="AC242" s="21">
        <f t="shared" si="203"/>
        <v>48934.280747572826</v>
      </c>
      <c r="AD242" s="21">
        <f t="shared" si="203"/>
        <v>49355.585051420945</v>
      </c>
      <c r="AE242" s="21">
        <f t="shared" si="203"/>
        <v>18762.697208634996</v>
      </c>
      <c r="AF242" s="21">
        <f t="shared" si="203"/>
        <v>8252.0909636877768</v>
      </c>
      <c r="AG242" s="3"/>
      <c r="AH242" s="3"/>
    </row>
    <row r="243" spans="1:34" x14ac:dyDescent="0.25">
      <c r="A243" s="71">
        <f>SUM(B243:AF243)</f>
        <v>448998.42785881052</v>
      </c>
      <c r="B243" s="60">
        <f>IF($A$64&lt;=B207,IF($B$64&gt;=B207,ABS(B242),0),0)</f>
        <v>404.1209198550269</v>
      </c>
      <c r="C243" s="60">
        <f t="shared" ref="C243" si="204">IF($A$64&lt;=C207,IF($B$64&gt;=C207,ABS(C242),0),0)</f>
        <v>406.2927958535854</v>
      </c>
      <c r="D243" s="60">
        <f t="shared" ref="D243" si="205">IF($A$64&lt;=D207,IF($B$64&gt;=D207,ABS(D242),0),0)</f>
        <v>404.95450953440769</v>
      </c>
      <c r="E243" s="60">
        <f t="shared" ref="E243" si="206">IF($A$64&lt;=E207,IF($B$64&gt;=E207,ABS(E242),0),0)</f>
        <v>404.55717502551079</v>
      </c>
      <c r="F243" s="60">
        <f t="shared" ref="F243" si="207">IF($A$64&lt;=F207,IF($B$64&gt;=F207,ABS(F242),0),0)</f>
        <v>404.43195024203368</v>
      </c>
      <c r="G243" s="60">
        <f t="shared" ref="G243" si="208">IF($A$64&lt;=G207,IF($B$64&gt;=G207,ABS(G242),0),0)</f>
        <v>404.38991240855017</v>
      </c>
      <c r="H243" s="60">
        <f t="shared" ref="H243" si="209">IF($A$64&lt;=H207,IF($B$64&gt;=H207,ABS(H242),0),0)</f>
        <v>404.37648132274609</v>
      </c>
      <c r="I243" s="60">
        <f t="shared" ref="I243" si="210">IF($A$64&lt;=I207,IF($B$64&gt;=I207,ABS(I242),0),0)</f>
        <v>404.3771625713631</v>
      </c>
      <c r="J243" s="60">
        <f t="shared" ref="J243" si="211">IF($A$64&lt;=J207,IF($B$64&gt;=J207,ABS(J242),0),0)</f>
        <v>404.3898442239601</v>
      </c>
      <c r="K243" s="60">
        <f t="shared" ref="K243" si="212">IF($A$64&lt;=K207,IF($B$64&gt;=K207,ABS(K242),0),0)</f>
        <v>404.55579589565696</v>
      </c>
      <c r="L243" s="60">
        <f t="shared" ref="L243" si="213">IF($A$64&lt;=L207,IF($B$64&gt;=L207,ABS(L242),0),0)</f>
        <v>406.20722590392108</v>
      </c>
      <c r="M243" s="60">
        <f t="shared" ref="M243" si="214">IF($A$64&lt;=M207,IF($B$64&gt;=M207,ABS(M242),0),0)</f>
        <v>422.80162940268633</v>
      </c>
      <c r="N243" s="60">
        <f t="shared" ref="N243" si="215">IF($A$64&lt;=N207,IF($B$64&gt;=N207,ABS(N242),0),0)</f>
        <v>595.27987446646989</v>
      </c>
      <c r="O243" s="60">
        <f t="shared" ref="O243" si="216">IF($A$64&lt;=O207,IF($B$64&gt;=O207,ABS(O242),0),0)</f>
        <v>2507.8434521487911</v>
      </c>
      <c r="P243" s="60">
        <f t="shared" ref="P243" si="217">IF($A$64&lt;=P207,IF($B$64&gt;=P207,ABS(P242),0),0)</f>
        <v>7950.3327259707958</v>
      </c>
      <c r="Q243" s="60">
        <f t="shared" ref="Q243" si="218">IF($A$64&lt;=Q207,IF($B$64&gt;=Q207,ABS(Q242),0),0)</f>
        <v>6074.2324041102283</v>
      </c>
      <c r="R243" s="60">
        <f t="shared" ref="R243" si="219">IF($A$64&lt;=R207,IF($B$64&gt;=R207,ABS(R242),0),0)</f>
        <v>9769.738112023364</v>
      </c>
      <c r="S243" s="60">
        <f t="shared" ref="S243" si="220">IF($A$64&lt;=S207,IF($B$64&gt;=S207,ABS(S242),0),0)</f>
        <v>5619.7527273321975</v>
      </c>
      <c r="T243" s="60">
        <f t="shared" ref="T243" si="221">IF($A$64&lt;=T207,IF($B$64&gt;=T207,ABS(T242),0),0)</f>
        <v>1353.2080647431055</v>
      </c>
      <c r="U243" s="60">
        <f t="shared" ref="U243" si="222">IF($A$64&lt;=U207,IF($B$64&gt;=U207,ABS(U242),0),0)</f>
        <v>55323.49850253843</v>
      </c>
      <c r="V243" s="60">
        <f t="shared" ref="V243" si="223">IF($A$64&lt;=V207,IF($B$64&gt;=V207,ABS(V242),0),0)</f>
        <v>96387.049363776445</v>
      </c>
      <c r="W243" s="60">
        <f t="shared" ref="W243" si="224">IF($A$64&lt;=W207,IF($B$64&gt;=W207,ABS(W242),0),0)</f>
        <v>60739.588905029545</v>
      </c>
      <c r="X243" s="60">
        <f t="shared" ref="X243" si="225">IF($A$64&lt;=X207,IF($B$64&gt;=X207,ABS(X242),0),0)</f>
        <v>21870.046850947037</v>
      </c>
      <c r="Y243" s="60">
        <f t="shared" ref="Y243" si="226">IF($A$64&lt;=Y207,IF($B$64&gt;=Y207,ABS(Y242),0),0)</f>
        <v>2227.3628732792199</v>
      </c>
      <c r="Z243" s="60">
        <f t="shared" ref="Z243" si="227">IF($A$64&lt;=Z207,IF($B$64&gt;=Z207,ABS(Z242),0),0)</f>
        <v>40.977942892175484</v>
      </c>
      <c r="AA243" s="60">
        <f t="shared" ref="AA243" si="228">IF($A$64&lt;=AA207,IF($B$64&gt;=AA207,ABS(AA242),0),0)</f>
        <v>15355.055984876302</v>
      </c>
      <c r="AB243" s="60">
        <f t="shared" ref="AB243" si="229">IF($A$64&lt;=AB207,IF($B$64&gt;=AB207,ABS(AB242),0),0)</f>
        <v>33004.350701120384</v>
      </c>
      <c r="AC243" s="60">
        <f t="shared" ref="AC243" si="230">IF($A$64&lt;=AC207,IF($B$64&gt;=AC207,ABS(AC242),0),0)</f>
        <v>48934.280747572826</v>
      </c>
      <c r="AD243" s="60">
        <f t="shared" ref="AD243" si="231">IF($A$64&lt;=AD207,IF($B$64&gt;=AD207,ABS(AD242),0),0)</f>
        <v>49355.585051420945</v>
      </c>
      <c r="AE243" s="60">
        <f t="shared" ref="AE243" si="232">IF($A$64&lt;=AE207,IF($B$64&gt;=AE207,ABS(AE242),0),0)</f>
        <v>18762.697208634996</v>
      </c>
      <c r="AF243" s="60">
        <f t="shared" ref="AF243" si="233">IF($A$64&lt;=AF207,IF($B$64&gt;=AF207,ABS(AF242),0),0)</f>
        <v>8252.0909636877768</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6503.9509699618966</v>
      </c>
      <c r="C247" s="26">
        <f>INDEX(Comparison!$AM$3:$AS$33,G$14,$E$122)</f>
        <v>6504.0043184804708</v>
      </c>
      <c r="D247" s="26">
        <f>INDEX(Comparison!$AM$3:$AS$33,H$14,$E$122)</f>
        <v>6503.9713230315656</v>
      </c>
      <c r="E247" s="26">
        <f>INDEX(Comparison!$AM$3:$AS$33,I$14,$E$122)</f>
        <v>6503.9615090652051</v>
      </c>
      <c r="F247" s="26">
        <f>INDEX(Comparison!$AM$3:$AS$33,J$14,$E$122)</f>
        <v>6503.9584150129849</v>
      </c>
      <c r="G247" s="26">
        <f>INDEX(Comparison!$AM$3:$AS$33,K$14,$E$122)</f>
        <v>6503.9573030886877</v>
      </c>
      <c r="H247" s="26">
        <f>INDEX(Comparison!$AM$3:$AS$33,L$14,$E$122)</f>
        <v>6503.9546441408229</v>
      </c>
      <c r="I247" s="26">
        <f>INDEX(Comparison!$AM$3:$AS$33,M$14,$E$122)</f>
        <v>6503.932647473689</v>
      </c>
      <c r="J247" s="26">
        <f>INDEX(Comparison!$AM$3:$AS$33,N$14,$E$122)</f>
        <v>6503.7133657579243</v>
      </c>
      <c r="K247" s="26">
        <f>INDEX(Comparison!$AM$3:$AS$33,O$14,$E$122)</f>
        <v>6501.5374241274303</v>
      </c>
      <c r="L247" s="26">
        <f>INDEX(Comparison!$AM$3:$AS$33,P$14,$E$122)</f>
        <v>6481.233154233405</v>
      </c>
      <c r="M247" s="26">
        <f>INDEX(Comparison!$AM$3:$AS$33,Q$14,$E$122)</f>
        <v>6364.7007036045688</v>
      </c>
      <c r="N247" s="26">
        <f>INDEX(Comparison!$AM$3:$AS$33,R$14,$E$122)</f>
        <v>6219.55344224686</v>
      </c>
      <c r="O247" s="26">
        <f>INDEX(Comparison!$AM$3:$AS$33,S$14,$E$122)</f>
        <v>6059.9785511387736</v>
      </c>
      <c r="P247" s="26">
        <f>INDEX(Comparison!$AM$3:$AS$33,T$14,$E$122)</f>
        <v>5870.6317266704709</v>
      </c>
      <c r="Q247" s="26">
        <f>INDEX(Comparison!$AM$3:$AS$33,U$14,$E$122)</f>
        <v>5669.1325406322439</v>
      </c>
      <c r="R247" s="26">
        <f>INDEX(Comparison!$AM$3:$AS$33,V$14,$E$122)</f>
        <v>5423.4324257349326</v>
      </c>
      <c r="S247" s="26">
        <f>INDEX(Comparison!$AM$3:$AS$33,W$14,$E$122)</f>
        <v>5064.9009314494624</v>
      </c>
      <c r="T247" s="26">
        <f>INDEX(Comparison!$AM$3:$AS$33,X$14,$E$122)</f>
        <v>4580.1850776889687</v>
      </c>
      <c r="U247" s="26">
        <f>INDEX(Comparison!$AM$3:$AS$33,Y$14,$E$122)</f>
        <v>4085.8663253030418</v>
      </c>
      <c r="V247" s="26">
        <f>INDEX(Comparison!$AM$3:$AS$33,Z$14,$E$122)</f>
        <v>3641.7022773125063</v>
      </c>
      <c r="W247" s="26">
        <f>INDEX(Comparison!$AM$3:$AS$33,AA$14,$E$122)</f>
        <v>3231.6591203117327</v>
      </c>
      <c r="X247" s="26">
        <f>INDEX(Comparison!$AM$3:$AS$33,AB$14,$E$122)</f>
        <v>2785.7203085552951</v>
      </c>
      <c r="Y247" s="26">
        <f>INDEX(Comparison!$AM$3:$AS$33,AC$14,$E$122)</f>
        <v>2295.1533050928924</v>
      </c>
      <c r="Z247" s="26">
        <f>INDEX(Comparison!$AM$3:$AS$33,AD$14,$E$122)</f>
        <v>1754.5150163075152</v>
      </c>
      <c r="AA247" s="26">
        <f>INDEX(Comparison!$AM$3:$AS$33,AE$14,$E$122)</f>
        <v>1171.8757952014325</v>
      </c>
      <c r="AB247" s="26">
        <f>INDEX(Comparison!$AM$3:$AS$33,AF$14,$E$122)</f>
        <v>704.46209389908893</v>
      </c>
      <c r="AC247" s="26">
        <f>INDEX(Comparison!$AM$3:$AS$33,AG$14,$E$122)</f>
        <v>403.25761176970258</v>
      </c>
      <c r="AD247" s="26">
        <f>INDEX(Comparison!$AM$3:$AS$33,AH$14,$E$122)</f>
        <v>227.19076746573165</v>
      </c>
      <c r="AE247" s="26">
        <f>INDEX(Comparison!$AM$3:$AS$33,AI$14,$E$122)</f>
        <v>157.01371189082064</v>
      </c>
      <c r="AF247" s="26">
        <f>INDEX(Comparison!$AM$3:$AS$33,AJ$14,$E$122)</f>
        <v>136.97082983111966</v>
      </c>
      <c r="AG247" s="26"/>
      <c r="AH247" s="26"/>
    </row>
    <row r="248" spans="1:34" x14ac:dyDescent="0.25">
      <c r="A248" s="70" t="s">
        <v>22</v>
      </c>
      <c r="B248" s="27">
        <f>($C$17+SUM(B249:B279))*$B$51</f>
        <v>6503.9876536058628</v>
      </c>
      <c r="C248" s="27">
        <f t="shared" ref="C248:AF248" si="234">($C$17+SUM(C249:C279))*$B$51</f>
        <v>6503.9876535823105</v>
      </c>
      <c r="D248" s="27">
        <f t="shared" si="234"/>
        <v>6503.9876533467914</v>
      </c>
      <c r="E248" s="27">
        <f t="shared" si="234"/>
        <v>6503.9876509915857</v>
      </c>
      <c r="F248" s="27">
        <f t="shared" si="234"/>
        <v>6503.9876274395456</v>
      </c>
      <c r="G248" s="27">
        <f t="shared" si="234"/>
        <v>6503.9873919195015</v>
      </c>
      <c r="H248" s="27">
        <f t="shared" si="234"/>
        <v>6503.9850367555528</v>
      </c>
      <c r="I248" s="27">
        <f t="shared" si="234"/>
        <v>6503.96148876392</v>
      </c>
      <c r="J248" s="27">
        <f t="shared" si="234"/>
        <v>6503.7263725703979</v>
      </c>
      <c r="K248" s="27">
        <f t="shared" si="234"/>
        <v>6501.4105487311508</v>
      </c>
      <c r="L248" s="27">
        <f t="shared" si="234"/>
        <v>6480.9828469387649</v>
      </c>
      <c r="M248" s="27">
        <f t="shared" si="234"/>
        <v>6365.123478386975</v>
      </c>
      <c r="N248" s="27">
        <f t="shared" si="234"/>
        <v>6219.0151137116163</v>
      </c>
      <c r="O248" s="27">
        <f t="shared" si="234"/>
        <v>6060.5338562752304</v>
      </c>
      <c r="P248" s="27">
        <f t="shared" si="234"/>
        <v>5870.1166606235283</v>
      </c>
      <c r="Q248" s="27">
        <f t="shared" si="234"/>
        <v>5669.5176188073183</v>
      </c>
      <c r="R248" s="27">
        <f t="shared" si="234"/>
        <v>5423.1630269785774</v>
      </c>
      <c r="S248" s="27">
        <f t="shared" si="234"/>
        <v>5065.0340468398454</v>
      </c>
      <c r="T248" s="27">
        <f t="shared" si="234"/>
        <v>4580.0970423151348</v>
      </c>
      <c r="U248" s="27">
        <f t="shared" si="234"/>
        <v>4085.8848863057183</v>
      </c>
      <c r="V248" s="27">
        <f t="shared" si="234"/>
        <v>3641.6761772586738</v>
      </c>
      <c r="W248" s="27">
        <f t="shared" si="234"/>
        <v>3231.653500533434</v>
      </c>
      <c r="X248" s="27">
        <f t="shared" si="234"/>
        <v>2785.7017809542426</v>
      </c>
      <c r="Y248" s="27">
        <f t="shared" si="234"/>
        <v>2295.1316217553872</v>
      </c>
      <c r="Z248" s="27">
        <f t="shared" si="234"/>
        <v>1754.4992976754238</v>
      </c>
      <c r="AA248" s="27">
        <f t="shared" si="234"/>
        <v>1171.849137921645</v>
      </c>
      <c r="AB248" s="27">
        <f t="shared" si="234"/>
        <v>704.45125646591794</v>
      </c>
      <c r="AC248" s="27">
        <f t="shared" si="234"/>
        <v>403.24762458663128</v>
      </c>
      <c r="AD248" s="27">
        <f t="shared" si="234"/>
        <v>227.18519222485534</v>
      </c>
      <c r="AE248" s="27">
        <f t="shared" si="234"/>
        <v>157.01290465524116</v>
      </c>
      <c r="AF248" s="27">
        <f t="shared" si="234"/>
        <v>136.97072065630957</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0</v>
      </c>
      <c r="C253" s="3">
        <f t="shared" si="239"/>
        <v>0</v>
      </c>
      <c r="D253" s="3">
        <f t="shared" si="239"/>
        <v>0</v>
      </c>
      <c r="E253" s="3">
        <f t="shared" si="239"/>
        <v>0</v>
      </c>
      <c r="F253" s="3">
        <f t="shared" si="239"/>
        <v>0</v>
      </c>
      <c r="G253" s="3">
        <f t="shared" si="239"/>
        <v>0</v>
      </c>
      <c r="H253" s="3">
        <f t="shared" si="239"/>
        <v>0</v>
      </c>
      <c r="I253" s="3">
        <f t="shared" si="239"/>
        <v>0</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0</v>
      </c>
      <c r="C254" s="3">
        <f t="shared" si="240"/>
        <v>0</v>
      </c>
      <c r="D254" s="3">
        <f t="shared" si="240"/>
        <v>0</v>
      </c>
      <c r="E254" s="3">
        <f t="shared" si="240"/>
        <v>0</v>
      </c>
      <c r="F254" s="3">
        <f t="shared" si="240"/>
        <v>0</v>
      </c>
      <c r="G254" s="3">
        <f t="shared" si="240"/>
        <v>0</v>
      </c>
      <c r="H254" s="3">
        <f t="shared" si="240"/>
        <v>0</v>
      </c>
      <c r="I254" s="3">
        <f t="shared" si="240"/>
        <v>0</v>
      </c>
      <c r="J254" s="3">
        <f t="shared" si="240"/>
        <v>0</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0</v>
      </c>
      <c r="C255" s="3">
        <f t="shared" si="241"/>
        <v>0</v>
      </c>
      <c r="D255" s="3">
        <f t="shared" si="241"/>
        <v>0</v>
      </c>
      <c r="E255" s="3">
        <f t="shared" si="241"/>
        <v>0</v>
      </c>
      <c r="F255" s="3">
        <f t="shared" si="241"/>
        <v>0</v>
      </c>
      <c r="G255" s="3">
        <f t="shared" si="241"/>
        <v>0</v>
      </c>
      <c r="H255" s="3">
        <f t="shared" si="241"/>
        <v>0</v>
      </c>
      <c r="I255" s="3">
        <f t="shared" si="241"/>
        <v>0</v>
      </c>
      <c r="J255" s="3">
        <f t="shared" si="241"/>
        <v>0</v>
      </c>
      <c r="K255" s="3">
        <f t="shared" si="241"/>
        <v>0</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0</v>
      </c>
      <c r="C256" s="3">
        <f t="shared" si="242"/>
        <v>0</v>
      </c>
      <c r="D256" s="3">
        <f t="shared" si="242"/>
        <v>0</v>
      </c>
      <c r="E256" s="3">
        <f t="shared" si="242"/>
        <v>0</v>
      </c>
      <c r="F256" s="3">
        <f t="shared" si="242"/>
        <v>0</v>
      </c>
      <c r="G256" s="3">
        <f t="shared" si="242"/>
        <v>0</v>
      </c>
      <c r="H256" s="3">
        <f t="shared" si="242"/>
        <v>0</v>
      </c>
      <c r="I256" s="3">
        <f t="shared" si="242"/>
        <v>0</v>
      </c>
      <c r="J256" s="3">
        <f t="shared" si="242"/>
        <v>0</v>
      </c>
      <c r="K256" s="3">
        <f t="shared" si="242"/>
        <v>0</v>
      </c>
      <c r="L256" s="3">
        <f t="shared" si="242"/>
        <v>0</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0</v>
      </c>
      <c r="C257" s="3">
        <f t="shared" si="243"/>
        <v>0</v>
      </c>
      <c r="D257" s="3">
        <f t="shared" si="243"/>
        <v>0</v>
      </c>
      <c r="E257" s="3">
        <f t="shared" si="243"/>
        <v>0</v>
      </c>
      <c r="F257" s="3">
        <f t="shared" si="243"/>
        <v>0</v>
      </c>
      <c r="G257" s="3">
        <f t="shared" si="243"/>
        <v>0</v>
      </c>
      <c r="H257" s="3">
        <f t="shared" si="243"/>
        <v>0</v>
      </c>
      <c r="I257" s="3">
        <f t="shared" si="243"/>
        <v>0</v>
      </c>
      <c r="J257" s="3">
        <f t="shared" si="243"/>
        <v>0</v>
      </c>
      <c r="K257" s="3">
        <f t="shared" si="243"/>
        <v>0</v>
      </c>
      <c r="L257" s="3">
        <f t="shared" si="243"/>
        <v>0</v>
      </c>
      <c r="M257" s="3">
        <f t="shared" si="243"/>
        <v>0</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7.5540247301430206E-4</v>
      </c>
      <c r="C258" s="3">
        <f t="shared" si="244"/>
        <v>7.5540247225058962E-4</v>
      </c>
      <c r="D258" s="3">
        <f t="shared" si="244"/>
        <v>7.5540246461346485E-4</v>
      </c>
      <c r="E258" s="3">
        <f t="shared" si="244"/>
        <v>7.5540238824222034E-4</v>
      </c>
      <c r="F258" s="3">
        <f t="shared" si="244"/>
        <v>7.5540162453020061E-4</v>
      </c>
      <c r="G258" s="3">
        <f t="shared" si="244"/>
        <v>7.5539398745246857E-4</v>
      </c>
      <c r="H258" s="3">
        <f t="shared" si="244"/>
        <v>7.5531762092159965E-4</v>
      </c>
      <c r="I258" s="3">
        <f t="shared" si="244"/>
        <v>7.5455438009911543E-4</v>
      </c>
      <c r="J258" s="3">
        <f t="shared" si="244"/>
        <v>7.4696426213567506E-4</v>
      </c>
      <c r="K258" s="3">
        <f t="shared" si="244"/>
        <v>6.7513810088733629E-4</v>
      </c>
      <c r="L258" s="3">
        <f t="shared" si="244"/>
        <v>2.4565214267155042E-4</v>
      </c>
      <c r="M258" s="3">
        <f t="shared" si="244"/>
        <v>9.9907926296391254E-9</v>
      </c>
      <c r="N258" s="3">
        <f t="shared" si="244"/>
        <v>1.2370687236768571E-52</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2.9283931568845633E-2</v>
      </c>
      <c r="C259" s="3">
        <f t="shared" si="245"/>
        <v>2.9283931566174922E-2</v>
      </c>
      <c r="D259" s="3">
        <f t="shared" si="245"/>
        <v>2.9283931539467779E-2</v>
      </c>
      <c r="E259" s="3">
        <f t="shared" si="245"/>
        <v>2.9283931272396327E-2</v>
      </c>
      <c r="F259" s="3">
        <f t="shared" si="245"/>
        <v>2.9283928601681965E-2</v>
      </c>
      <c r="G259" s="3">
        <f t="shared" si="245"/>
        <v>2.9283901894551739E-2</v>
      </c>
      <c r="H259" s="3">
        <f t="shared" si="245"/>
        <v>2.9283634824589119E-2</v>
      </c>
      <c r="I259" s="3">
        <f t="shared" si="245"/>
        <v>2.9280964258921953E-2</v>
      </c>
      <c r="J259" s="3">
        <f t="shared" si="245"/>
        <v>2.9254271993632831E-2</v>
      </c>
      <c r="K259" s="3">
        <f t="shared" si="245"/>
        <v>2.8988683971178084E-2</v>
      </c>
      <c r="L259" s="3">
        <f t="shared" si="245"/>
        <v>2.6461870945095674E-2</v>
      </c>
      <c r="M259" s="3">
        <f t="shared" si="245"/>
        <v>1.063018984284711E-2</v>
      </c>
      <c r="N259" s="3">
        <f t="shared" si="245"/>
        <v>1.1634447279777059E-6</v>
      </c>
      <c r="O259" s="3">
        <f t="shared" si="245"/>
        <v>2.8694133201130699E-46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1.8302599821938791E-2</v>
      </c>
      <c r="C260" s="3">
        <f t="shared" si="246"/>
        <v>1.8302599821788217E-2</v>
      </c>
      <c r="D260" s="3">
        <f t="shared" si="246"/>
        <v>1.8302599820282452E-2</v>
      </c>
      <c r="E260" s="3">
        <f t="shared" si="246"/>
        <v>1.8302599805224792E-2</v>
      </c>
      <c r="F260" s="3">
        <f t="shared" si="246"/>
        <v>1.8302599654648203E-2</v>
      </c>
      <c r="G260" s="3">
        <f t="shared" si="246"/>
        <v>1.8302598148882378E-2</v>
      </c>
      <c r="H260" s="3">
        <f t="shared" si="246"/>
        <v>1.8302583091230944E-2</v>
      </c>
      <c r="I260" s="3">
        <f t="shared" si="246"/>
        <v>1.8302432515397943E-2</v>
      </c>
      <c r="J260" s="3">
        <f t="shared" si="246"/>
        <v>1.8300926825199786E-2</v>
      </c>
      <c r="K260" s="3">
        <f t="shared" si="246"/>
        <v>1.8285876734328951E-2</v>
      </c>
      <c r="L260" s="3">
        <f t="shared" si="246"/>
        <v>1.8136054867939146E-2</v>
      </c>
      <c r="M260" s="3">
        <f t="shared" si="246"/>
        <v>1.670371812469261E-2</v>
      </c>
      <c r="N260" s="3">
        <f t="shared" si="246"/>
        <v>7.3369653685799729E-3</v>
      </c>
      <c r="O260" s="3">
        <f t="shared" si="246"/>
        <v>1.9613253159716287E-6</v>
      </c>
      <c r="P260" s="3">
        <f t="shared" si="246"/>
        <v>3.654948678675807E-42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3.0692844757973424E-2</v>
      </c>
      <c r="C261" s="3">
        <f t="shared" si="247"/>
        <v>3.0692844757950647E-2</v>
      </c>
      <c r="D261" s="3">
        <f t="shared" si="247"/>
        <v>3.0692844757722861E-2</v>
      </c>
      <c r="E261" s="3">
        <f t="shared" si="247"/>
        <v>3.0692844755444992E-2</v>
      </c>
      <c r="F261" s="3">
        <f t="shared" si="247"/>
        <v>3.069284473266632E-2</v>
      </c>
      <c r="G261" s="3">
        <f t="shared" si="247"/>
        <v>3.06928445048796E-2</v>
      </c>
      <c r="H261" s="3">
        <f t="shared" si="247"/>
        <v>3.0692842227012469E-2</v>
      </c>
      <c r="I261" s="3">
        <f t="shared" si="247"/>
        <v>3.0692819448350464E-2</v>
      </c>
      <c r="J261" s="3">
        <f t="shared" si="247"/>
        <v>3.0692591662660217E-2</v>
      </c>
      <c r="K261" s="3">
        <f t="shared" si="247"/>
        <v>3.0690313898733362E-2</v>
      </c>
      <c r="L261" s="3">
        <f t="shared" si="247"/>
        <v>3.0667545554474849E-2</v>
      </c>
      <c r="M261" s="3">
        <f t="shared" si="247"/>
        <v>3.0440789065587236E-2</v>
      </c>
      <c r="N261" s="3">
        <f t="shared" si="247"/>
        <v>2.8263423917413086E-2</v>
      </c>
      <c r="O261" s="3">
        <f t="shared" si="247"/>
        <v>1.3455921340915574E-2</v>
      </c>
      <c r="P261" s="3">
        <f t="shared" si="247"/>
        <v>8.0500784417936922E-6</v>
      </c>
      <c r="Q261" s="3">
        <f t="shared" si="247"/>
        <v>4.7278842742538331E-38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2.9931520210616409E-2</v>
      </c>
      <c r="C262" s="3">
        <f t="shared" si="248"/>
        <v>2.9931520210614404E-2</v>
      </c>
      <c r="D262" s="3">
        <f t="shared" si="248"/>
        <v>2.9931520210594368E-2</v>
      </c>
      <c r="E262" s="3">
        <f t="shared" si="248"/>
        <v>2.993152021039398E-2</v>
      </c>
      <c r="F262" s="3">
        <f t="shared" si="248"/>
        <v>2.9931520208390124E-2</v>
      </c>
      <c r="G262" s="3">
        <f t="shared" si="248"/>
        <v>2.993152018835156E-2</v>
      </c>
      <c r="H262" s="3">
        <f t="shared" si="248"/>
        <v>2.9931519987965904E-2</v>
      </c>
      <c r="I262" s="3">
        <f t="shared" si="248"/>
        <v>2.9931517984109427E-2</v>
      </c>
      <c r="J262" s="3">
        <f t="shared" si="248"/>
        <v>2.9931497945552023E-2</v>
      </c>
      <c r="K262" s="3">
        <f t="shared" si="248"/>
        <v>2.9931297560715862E-2</v>
      </c>
      <c r="L262" s="3">
        <f t="shared" si="248"/>
        <v>2.9929293786137071E-2</v>
      </c>
      <c r="M262" s="3">
        <f t="shared" si="248"/>
        <v>2.9909263416803351E-2</v>
      </c>
      <c r="N262" s="3">
        <f t="shared" si="248"/>
        <v>2.9709695544949337E-2</v>
      </c>
      <c r="O262" s="3">
        <f t="shared" si="248"/>
        <v>2.7785808468570837E-2</v>
      </c>
      <c r="P262" s="3">
        <f t="shared" si="248"/>
        <v>1.4225626498613888E-2</v>
      </c>
      <c r="Q262" s="3">
        <f t="shared" si="248"/>
        <v>1.7601717371894834E-5</v>
      </c>
      <c r="R262" s="3">
        <f t="shared" si="248"/>
        <v>1.4804422050187247E-34</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3.2651774642810147E-2</v>
      </c>
      <c r="C263" s="3">
        <f t="shared" si="249"/>
        <v>3.2651774642809953E-2</v>
      </c>
      <c r="D263" s="3">
        <f t="shared" si="249"/>
        <v>3.2651774642807975E-2</v>
      </c>
      <c r="E263" s="3">
        <f t="shared" si="249"/>
        <v>3.2651774642788255E-2</v>
      </c>
      <c r="F263" s="3">
        <f t="shared" si="249"/>
        <v>3.2651774642591065E-2</v>
      </c>
      <c r="G263" s="3">
        <f t="shared" si="249"/>
        <v>3.2651774640619136E-2</v>
      </c>
      <c r="H263" s="3">
        <f t="shared" si="249"/>
        <v>3.2651774620899847E-2</v>
      </c>
      <c r="I263" s="3">
        <f t="shared" si="249"/>
        <v>3.2651774423706967E-2</v>
      </c>
      <c r="J263" s="3">
        <f t="shared" si="249"/>
        <v>3.2651772451778208E-2</v>
      </c>
      <c r="K263" s="3">
        <f t="shared" si="249"/>
        <v>3.2651752732497166E-2</v>
      </c>
      <c r="L263" s="3">
        <f t="shared" si="249"/>
        <v>3.2651555540341756E-2</v>
      </c>
      <c r="M263" s="3">
        <f t="shared" si="249"/>
        <v>3.2649583684285603E-2</v>
      </c>
      <c r="N263" s="3">
        <f t="shared" si="249"/>
        <v>3.2629871672053973E-2</v>
      </c>
      <c r="O263" s="3">
        <f t="shared" si="249"/>
        <v>3.2433404921844565E-2</v>
      </c>
      <c r="P263" s="3">
        <f t="shared" si="249"/>
        <v>3.0532637936033995E-2</v>
      </c>
      <c r="Q263" s="3">
        <f t="shared" si="249"/>
        <v>1.6690992578003102E-2</v>
      </c>
      <c r="R263" s="3">
        <f t="shared" si="249"/>
        <v>3.9779610508717466E-5</v>
      </c>
      <c r="S263" s="3">
        <f t="shared" si="249"/>
        <v>2.3520370123700693E-31</v>
      </c>
      <c r="T263" s="3">
        <f t="shared" si="249"/>
        <v>1.2282319848060515E-293</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4.335062738605281E-2</v>
      </c>
      <c r="C264" s="3">
        <f t="shared" si="250"/>
        <v>4.3350627386052797E-2</v>
      </c>
      <c r="D264" s="3">
        <f t="shared" si="250"/>
        <v>4.3350627386052554E-2</v>
      </c>
      <c r="E264" s="3">
        <f t="shared" si="250"/>
        <v>4.3350627386050195E-2</v>
      </c>
      <c r="F264" s="3">
        <f t="shared" si="250"/>
        <v>4.3350627386026575E-2</v>
      </c>
      <c r="G264" s="3">
        <f t="shared" si="250"/>
        <v>4.3350627385790402E-2</v>
      </c>
      <c r="H264" s="3">
        <f t="shared" si="250"/>
        <v>4.3350627383428694E-2</v>
      </c>
      <c r="I264" s="3">
        <f t="shared" si="250"/>
        <v>4.33506273598116E-2</v>
      </c>
      <c r="J264" s="3">
        <f t="shared" si="250"/>
        <v>4.3350627123640684E-2</v>
      </c>
      <c r="K264" s="3">
        <f t="shared" si="250"/>
        <v>4.3350624761931543E-2</v>
      </c>
      <c r="L264" s="3">
        <f t="shared" si="250"/>
        <v>4.3350601144847234E-2</v>
      </c>
      <c r="M264" s="3">
        <f t="shared" si="250"/>
        <v>4.3350364974711786E-2</v>
      </c>
      <c r="N264" s="3">
        <f t="shared" si="250"/>
        <v>4.3348003344120992E-2</v>
      </c>
      <c r="O264" s="3">
        <f t="shared" si="250"/>
        <v>4.3324394113155043E-2</v>
      </c>
      <c r="P264" s="3">
        <f t="shared" si="250"/>
        <v>4.3089007873657055E-2</v>
      </c>
      <c r="Q264" s="3">
        <f t="shared" si="250"/>
        <v>4.0804349748997985E-2</v>
      </c>
      <c r="R264" s="3">
        <f t="shared" si="250"/>
        <v>2.3664979354929169E-2</v>
      </c>
      <c r="S264" s="3">
        <f t="shared" si="250"/>
        <v>1.0188325586269471E-4</v>
      </c>
      <c r="T264" s="3">
        <f t="shared" si="250"/>
        <v>2.2287926537439353E-28</v>
      </c>
      <c r="U264" s="3">
        <f t="shared" si="250"/>
        <v>5.594202616578168E-265</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7.4512934998130873E-2</v>
      </c>
      <c r="C265" s="3">
        <f t="shared" si="251"/>
        <v>7.4512934998130873E-2</v>
      </c>
      <c r="D265" s="3">
        <f t="shared" si="251"/>
        <v>7.4512934998130831E-2</v>
      </c>
      <c r="E265" s="3">
        <f t="shared" si="251"/>
        <v>7.451293499813047E-2</v>
      </c>
      <c r="F265" s="3">
        <f t="shared" si="251"/>
        <v>7.4512934998126806E-2</v>
      </c>
      <c r="G265" s="3">
        <f t="shared" si="251"/>
        <v>7.4512934998090183E-2</v>
      </c>
      <c r="H265" s="3">
        <f t="shared" si="251"/>
        <v>7.451293499772399E-2</v>
      </c>
      <c r="I265" s="3">
        <f t="shared" si="251"/>
        <v>7.4512934994062072E-2</v>
      </c>
      <c r="J265" s="3">
        <f t="shared" si="251"/>
        <v>7.4512934957442822E-2</v>
      </c>
      <c r="K265" s="3">
        <f t="shared" si="251"/>
        <v>7.4512934591250454E-2</v>
      </c>
      <c r="L265" s="3">
        <f t="shared" si="251"/>
        <v>7.4512930929326801E-2</v>
      </c>
      <c r="M265" s="3">
        <f t="shared" si="251"/>
        <v>7.4512894310100164E-2</v>
      </c>
      <c r="N265" s="3">
        <f t="shared" si="251"/>
        <v>7.451252811882364E-2</v>
      </c>
      <c r="O265" s="3">
        <f t="shared" si="251"/>
        <v>7.4508866305036794E-2</v>
      </c>
      <c r="P265" s="3">
        <f t="shared" si="251"/>
        <v>7.4472258063218194E-2</v>
      </c>
      <c r="Q265" s="3">
        <f t="shared" si="251"/>
        <v>7.4107163452925701E-2</v>
      </c>
      <c r="R265" s="3">
        <f t="shared" si="251"/>
        <v>7.0553225318584656E-2</v>
      </c>
      <c r="S265" s="3">
        <f t="shared" si="251"/>
        <v>4.3160223994883021E-2</v>
      </c>
      <c r="T265" s="3">
        <f t="shared" si="251"/>
        <v>3.1677570600622922E-4</v>
      </c>
      <c r="U265" s="3">
        <f t="shared" si="251"/>
        <v>1.4369234861403674E-25</v>
      </c>
      <c r="V265" s="3">
        <f t="shared" si="251"/>
        <v>5.2997013987510412E-239</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8.3057229561504284E-2</v>
      </c>
      <c r="C266" s="3">
        <f t="shared" si="252"/>
        <v>8.3057229561504284E-2</v>
      </c>
      <c r="D266" s="3">
        <f t="shared" si="252"/>
        <v>8.3057229561504284E-2</v>
      </c>
      <c r="E266" s="3">
        <f t="shared" si="252"/>
        <v>8.3057229561504242E-2</v>
      </c>
      <c r="F266" s="3">
        <f t="shared" si="252"/>
        <v>8.3057229561503881E-2</v>
      </c>
      <c r="G266" s="3">
        <f t="shared" si="252"/>
        <v>8.305722956150019E-2</v>
      </c>
      <c r="H266" s="3">
        <f t="shared" si="252"/>
        <v>8.3057229561463372E-2</v>
      </c>
      <c r="I266" s="3">
        <f t="shared" si="252"/>
        <v>8.3057229561095153E-2</v>
      </c>
      <c r="J266" s="3">
        <f t="shared" si="252"/>
        <v>8.3057229557413001E-2</v>
      </c>
      <c r="K266" s="3">
        <f t="shared" si="252"/>
        <v>8.3057229520591483E-2</v>
      </c>
      <c r="L266" s="3">
        <f t="shared" si="252"/>
        <v>8.305722915237633E-2</v>
      </c>
      <c r="M266" s="3">
        <f t="shared" si="252"/>
        <v>8.3057225470224871E-2</v>
      </c>
      <c r="N266" s="3">
        <f t="shared" si="252"/>
        <v>8.3057188648719277E-2</v>
      </c>
      <c r="O266" s="3">
        <f t="shared" si="252"/>
        <v>8.3056820434561127E-2</v>
      </c>
      <c r="P266" s="3">
        <f t="shared" si="252"/>
        <v>8.3053138382759906E-2</v>
      </c>
      <c r="Q266" s="3">
        <f t="shared" si="252"/>
        <v>8.3016326841296853E-2</v>
      </c>
      <c r="R266" s="3">
        <f t="shared" si="252"/>
        <v>8.2649107610904368E-2</v>
      </c>
      <c r="S266" s="3">
        <f t="shared" si="252"/>
        <v>7.906508098000084E-2</v>
      </c>
      <c r="T266" s="3">
        <f t="shared" si="252"/>
        <v>5.0751657887572743E-2</v>
      </c>
      <c r="U266" s="3">
        <f t="shared" si="252"/>
        <v>6.0270579975024935E-4</v>
      </c>
      <c r="V266" s="3">
        <f t="shared" si="252"/>
        <v>3.3624570012987844E-23</v>
      </c>
      <c r="W266" s="3">
        <f t="shared" si="252"/>
        <v>9.8213327725531829E-216</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7.1718979370641908E-2</v>
      </c>
      <c r="C267" s="3">
        <f t="shared" si="253"/>
        <v>7.1718979370641908E-2</v>
      </c>
      <c r="D267" s="3">
        <f t="shared" si="253"/>
        <v>7.1718979370641908E-2</v>
      </c>
      <c r="E267" s="3">
        <f t="shared" si="253"/>
        <v>7.1718979370641908E-2</v>
      </c>
      <c r="F267" s="3">
        <f t="shared" si="253"/>
        <v>7.171897937064188E-2</v>
      </c>
      <c r="G267" s="3">
        <f t="shared" si="253"/>
        <v>7.1718979370641589E-2</v>
      </c>
      <c r="H267" s="3">
        <f t="shared" si="253"/>
        <v>7.1718979370638716E-2</v>
      </c>
      <c r="I267" s="3">
        <f t="shared" si="253"/>
        <v>7.1718979370610045E-2</v>
      </c>
      <c r="J267" s="3">
        <f t="shared" si="253"/>
        <v>7.1718979370323219E-2</v>
      </c>
      <c r="K267" s="3">
        <f t="shared" si="253"/>
        <v>7.1718979367455055E-2</v>
      </c>
      <c r="L267" s="3">
        <f t="shared" si="253"/>
        <v>7.1718979338773345E-2</v>
      </c>
      <c r="M267" s="3">
        <f t="shared" si="253"/>
        <v>7.1718979051956344E-2</v>
      </c>
      <c r="N267" s="3">
        <f t="shared" si="253"/>
        <v>7.1718976183786268E-2</v>
      </c>
      <c r="O267" s="3">
        <f t="shared" si="253"/>
        <v>7.1718947502091832E-2</v>
      </c>
      <c r="P267" s="3">
        <f t="shared" si="253"/>
        <v>7.171866068577841E-2</v>
      </c>
      <c r="Q267" s="3">
        <f t="shared" si="253"/>
        <v>7.1715792585729826E-2</v>
      </c>
      <c r="R267" s="3">
        <f t="shared" si="253"/>
        <v>7.1687117892885663E-2</v>
      </c>
      <c r="S267" s="3">
        <f t="shared" si="253"/>
        <v>7.1401000796264075E-2</v>
      </c>
      <c r="T267" s="3">
        <f t="shared" si="253"/>
        <v>6.860189093773586E-2</v>
      </c>
      <c r="U267" s="3">
        <f t="shared" si="253"/>
        <v>4.5988999631468748E-2</v>
      </c>
      <c r="V267" s="3">
        <f t="shared" si="253"/>
        <v>8.4300999336165187E-4</v>
      </c>
      <c r="W267" s="3">
        <f t="shared" si="253"/>
        <v>3.6109404382461449E-21</v>
      </c>
      <c r="X267" s="3">
        <f t="shared" si="253"/>
        <v>7.5075173450050686E-195</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7.0532782470365804E-2</v>
      </c>
      <c r="C268" s="3">
        <f t="shared" si="254"/>
        <v>7.0532782470365804E-2</v>
      </c>
      <c r="D268" s="3">
        <f t="shared" si="254"/>
        <v>7.0532782470365804E-2</v>
      </c>
      <c r="E268" s="3">
        <f t="shared" si="254"/>
        <v>7.0532782470365804E-2</v>
      </c>
      <c r="F268" s="3">
        <f t="shared" si="254"/>
        <v>7.0532782470365804E-2</v>
      </c>
      <c r="G268" s="3">
        <f t="shared" si="254"/>
        <v>7.0532782470365776E-2</v>
      </c>
      <c r="H268" s="3">
        <f t="shared" si="254"/>
        <v>7.0532782470365527E-2</v>
      </c>
      <c r="I268" s="3">
        <f t="shared" si="254"/>
        <v>7.0532782470362973E-2</v>
      </c>
      <c r="J268" s="3">
        <f t="shared" si="254"/>
        <v>7.0532782470337535E-2</v>
      </c>
      <c r="K268" s="3">
        <f t="shared" si="254"/>
        <v>7.0532782470083072E-2</v>
      </c>
      <c r="L268" s="3">
        <f t="shared" si="254"/>
        <v>7.0532782467538538E-2</v>
      </c>
      <c r="M268" s="3">
        <f t="shared" si="254"/>
        <v>7.0532782442093198E-2</v>
      </c>
      <c r="N268" s="3">
        <f t="shared" si="254"/>
        <v>7.0532782187639698E-2</v>
      </c>
      <c r="O268" s="3">
        <f t="shared" si="254"/>
        <v>7.0532779643104823E-2</v>
      </c>
      <c r="P268" s="3">
        <f t="shared" si="254"/>
        <v>7.0532754197761074E-2</v>
      </c>
      <c r="Q268" s="3">
        <f t="shared" si="254"/>
        <v>7.0532499744828503E-2</v>
      </c>
      <c r="R268" s="3">
        <f t="shared" si="254"/>
        <v>7.0529955265990041E-2</v>
      </c>
      <c r="S268" s="3">
        <f t="shared" si="254"/>
        <v>7.0504515525660658E-2</v>
      </c>
      <c r="T268" s="3">
        <f t="shared" si="254"/>
        <v>7.0250622254722339E-2</v>
      </c>
      <c r="U268" s="3">
        <f t="shared" si="254"/>
        <v>6.7761436304659847E-2</v>
      </c>
      <c r="V268" s="3">
        <f t="shared" si="254"/>
        <v>4.7239672504705323E-2</v>
      </c>
      <c r="W268" s="3">
        <f t="shared" si="254"/>
        <v>1.2810014762500948E-3</v>
      </c>
      <c r="X268" s="3">
        <f t="shared" si="254"/>
        <v>2.7540838029241133E-19</v>
      </c>
      <c r="Y268" s="3">
        <f t="shared" si="254"/>
        <v>5.8110198602152986E-176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3.5919956978906278E-2</v>
      </c>
      <c r="C269" s="3">
        <f t="shared" si="255"/>
        <v>3.5919956978906278E-2</v>
      </c>
      <c r="D269" s="3">
        <f t="shared" si="255"/>
        <v>3.5919956978906278E-2</v>
      </c>
      <c r="E269" s="3">
        <f t="shared" si="255"/>
        <v>3.5919956978906278E-2</v>
      </c>
      <c r="F269" s="3">
        <f t="shared" si="255"/>
        <v>3.5919956978906278E-2</v>
      </c>
      <c r="G269" s="3">
        <f t="shared" si="255"/>
        <v>3.5919956978906278E-2</v>
      </c>
      <c r="H269" s="3">
        <f t="shared" si="255"/>
        <v>3.5919956978906264E-2</v>
      </c>
      <c r="I269" s="3">
        <f t="shared" si="255"/>
        <v>3.5919956978906147E-2</v>
      </c>
      <c r="J269" s="3">
        <f t="shared" si="255"/>
        <v>3.5919956978904981E-2</v>
      </c>
      <c r="K269" s="3">
        <f t="shared" si="255"/>
        <v>3.5919956978893289E-2</v>
      </c>
      <c r="L269" s="3">
        <f t="shared" si="255"/>
        <v>3.5919956978776389E-2</v>
      </c>
      <c r="M269" s="3">
        <f t="shared" si="255"/>
        <v>3.5919956977607435E-2</v>
      </c>
      <c r="N269" s="3">
        <f t="shared" si="255"/>
        <v>3.5919956965917828E-2</v>
      </c>
      <c r="O269" s="3">
        <f t="shared" si="255"/>
        <v>3.5919956849021786E-2</v>
      </c>
      <c r="P269" s="3">
        <f t="shared" si="255"/>
        <v>3.5919955680061413E-2</v>
      </c>
      <c r="Q269" s="3">
        <f t="shared" si="255"/>
        <v>3.591994399045971E-2</v>
      </c>
      <c r="R269" s="3">
        <f t="shared" si="255"/>
        <v>3.5919827094651982E-2</v>
      </c>
      <c r="S269" s="3">
        <f t="shared" si="255"/>
        <v>3.5918658157497514E-2</v>
      </c>
      <c r="T269" s="3">
        <f t="shared" si="255"/>
        <v>3.5906970877985084E-2</v>
      </c>
      <c r="U269" s="3">
        <f t="shared" si="255"/>
        <v>3.5790307034403175E-2</v>
      </c>
      <c r="V269" s="3">
        <f t="shared" si="255"/>
        <v>3.4644314327585968E-2</v>
      </c>
      <c r="W269" s="3">
        <f t="shared" si="255"/>
        <v>2.5020583430876639E-2</v>
      </c>
      <c r="X269" s="3">
        <f t="shared" si="255"/>
        <v>9.6594423111483782E-4</v>
      </c>
      <c r="Y269" s="3">
        <f t="shared" si="255"/>
        <v>7.1039232454963941E-18</v>
      </c>
      <c r="Z269" s="3">
        <f t="shared" si="255"/>
        <v>3.2882159673655832E-159</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6.619073120792586E-2</v>
      </c>
      <c r="C270" s="3">
        <f t="shared" si="256"/>
        <v>6.619073120792586E-2</v>
      </c>
      <c r="D270" s="3">
        <f t="shared" si="256"/>
        <v>6.619073120792586E-2</v>
      </c>
      <c r="E270" s="3">
        <f t="shared" si="256"/>
        <v>6.619073120792586E-2</v>
      </c>
      <c r="F270" s="3">
        <f t="shared" si="256"/>
        <v>6.619073120792586E-2</v>
      </c>
      <c r="G270" s="3">
        <f t="shared" si="256"/>
        <v>6.619073120792586E-2</v>
      </c>
      <c r="H270" s="3">
        <f t="shared" si="256"/>
        <v>6.6190731207925846E-2</v>
      </c>
      <c r="I270" s="3">
        <f t="shared" si="256"/>
        <v>6.619073120792579E-2</v>
      </c>
      <c r="J270" s="3">
        <f t="shared" si="256"/>
        <v>6.6190731207925194E-2</v>
      </c>
      <c r="K270" s="3">
        <f t="shared" si="256"/>
        <v>6.619073120791924E-2</v>
      </c>
      <c r="L270" s="3">
        <f t="shared" si="256"/>
        <v>6.6190731207859663E-2</v>
      </c>
      <c r="M270" s="3">
        <f t="shared" si="256"/>
        <v>6.6190731207263903E-2</v>
      </c>
      <c r="N270" s="3">
        <f t="shared" si="256"/>
        <v>6.6190731201306266E-2</v>
      </c>
      <c r="O270" s="3">
        <f t="shared" si="256"/>
        <v>6.6190731141729894E-2</v>
      </c>
      <c r="P270" s="3">
        <f t="shared" si="256"/>
        <v>6.6190730545966206E-2</v>
      </c>
      <c r="Q270" s="3">
        <f t="shared" si="256"/>
        <v>6.6190724588329614E-2</v>
      </c>
      <c r="R270" s="3">
        <f t="shared" si="256"/>
        <v>6.6190665011993124E-2</v>
      </c>
      <c r="S270" s="3">
        <f t="shared" si="256"/>
        <v>6.6190069251577513E-2</v>
      </c>
      <c r="T270" s="3">
        <f t="shared" si="256"/>
        <v>6.6184111942336935E-2</v>
      </c>
      <c r="U270" s="3">
        <f t="shared" si="256"/>
        <v>6.6124568331655642E-2</v>
      </c>
      <c r="V270" s="3">
        <f t="shared" si="256"/>
        <v>6.5532070602707007E-2</v>
      </c>
      <c r="W270" s="3">
        <f t="shared" si="256"/>
        <v>5.9891376676957167E-2</v>
      </c>
      <c r="X270" s="3">
        <f t="shared" si="256"/>
        <v>2.4348283570487041E-2</v>
      </c>
      <c r="Y270" s="3">
        <f t="shared" si="256"/>
        <v>3.0026789684072119E-6</v>
      </c>
      <c r="Z270" s="3">
        <f t="shared" si="256"/>
        <v>2.4429490631657903E-45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7.7756478024563841E-2</v>
      </c>
      <c r="C271" s="3">
        <f t="shared" si="257"/>
        <v>7.7756478024563841E-2</v>
      </c>
      <c r="D271" s="3">
        <f t="shared" si="257"/>
        <v>7.7756478024563841E-2</v>
      </c>
      <c r="E271" s="3">
        <f t="shared" si="257"/>
        <v>7.7756478024563841E-2</v>
      </c>
      <c r="F271" s="3">
        <f t="shared" si="257"/>
        <v>7.7756478024563841E-2</v>
      </c>
      <c r="G271" s="3">
        <f t="shared" si="257"/>
        <v>7.7756478024563841E-2</v>
      </c>
      <c r="H271" s="3">
        <f t="shared" si="257"/>
        <v>7.7756478024563841E-2</v>
      </c>
      <c r="I271" s="3">
        <f t="shared" si="257"/>
        <v>7.7756478024563827E-2</v>
      </c>
      <c r="J271" s="3">
        <f t="shared" si="257"/>
        <v>7.7756478024563758E-2</v>
      </c>
      <c r="K271" s="3">
        <f t="shared" si="257"/>
        <v>7.7756478024563064E-2</v>
      </c>
      <c r="L271" s="3">
        <f t="shared" si="257"/>
        <v>7.7756478024556069E-2</v>
      </c>
      <c r="M271" s="3">
        <f t="shared" si="257"/>
        <v>7.7756478024486084E-2</v>
      </c>
      <c r="N271" s="3">
        <f t="shared" si="257"/>
        <v>7.7756478023786213E-2</v>
      </c>
      <c r="O271" s="3">
        <f t="shared" si="257"/>
        <v>7.7756478016787575E-2</v>
      </c>
      <c r="P271" s="3">
        <f t="shared" si="257"/>
        <v>7.7756477946801211E-2</v>
      </c>
      <c r="Q271" s="3">
        <f t="shared" si="257"/>
        <v>7.7756477246937572E-2</v>
      </c>
      <c r="R271" s="3">
        <f t="shared" si="257"/>
        <v>7.7756470248301499E-2</v>
      </c>
      <c r="S271" s="3">
        <f t="shared" si="257"/>
        <v>7.7756400261975403E-2</v>
      </c>
      <c r="T271" s="3">
        <f t="shared" si="257"/>
        <v>7.7755700402179051E-2</v>
      </c>
      <c r="U271" s="3">
        <f t="shared" si="257"/>
        <v>7.7748702150662596E-2</v>
      </c>
      <c r="V271" s="3">
        <f t="shared" si="257"/>
        <v>7.7678754268671393E-2</v>
      </c>
      <c r="W271" s="3">
        <f t="shared" si="257"/>
        <v>7.6982727260057809E-2</v>
      </c>
      <c r="X271" s="3">
        <f t="shared" si="257"/>
        <v>7.0356414402097736E-2</v>
      </c>
      <c r="Y271" s="3">
        <f t="shared" si="257"/>
        <v>2.8602747572574375E-2</v>
      </c>
      <c r="Z271" s="3">
        <f t="shared" si="257"/>
        <v>3.5273479679254264E-6</v>
      </c>
      <c r="AA271" s="3">
        <f t="shared" si="257"/>
        <v>2.8698144238423799E-45</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8.4379776386596134E-2</v>
      </c>
      <c r="C272" s="3">
        <f t="shared" si="258"/>
        <v>8.4379776386596134E-2</v>
      </c>
      <c r="D272" s="3">
        <f t="shared" si="258"/>
        <v>8.4379776386596134E-2</v>
      </c>
      <c r="E272" s="3">
        <f t="shared" si="258"/>
        <v>8.4379776386596134E-2</v>
      </c>
      <c r="F272" s="3">
        <f t="shared" si="258"/>
        <v>8.4379776386596134E-2</v>
      </c>
      <c r="G272" s="3">
        <f t="shared" si="258"/>
        <v>8.4379776386596134E-2</v>
      </c>
      <c r="H272" s="3">
        <f t="shared" si="258"/>
        <v>8.4379776386596134E-2</v>
      </c>
      <c r="I272" s="3">
        <f t="shared" si="258"/>
        <v>8.4379776386596134E-2</v>
      </c>
      <c r="J272" s="3">
        <f t="shared" si="258"/>
        <v>8.437977638659612E-2</v>
      </c>
      <c r="K272" s="3">
        <f t="shared" si="258"/>
        <v>8.437977638659605E-2</v>
      </c>
      <c r="L272" s="3">
        <f t="shared" si="258"/>
        <v>8.4379776386595287E-2</v>
      </c>
      <c r="M272" s="3">
        <f t="shared" si="258"/>
        <v>8.4379776386587696E-2</v>
      </c>
      <c r="N272" s="3">
        <f t="shared" si="258"/>
        <v>8.4379776386511743E-2</v>
      </c>
      <c r="O272" s="3">
        <f t="shared" si="258"/>
        <v>8.4379776385752267E-2</v>
      </c>
      <c r="P272" s="3">
        <f t="shared" si="258"/>
        <v>8.4379776378157495E-2</v>
      </c>
      <c r="Q272" s="3">
        <f t="shared" si="258"/>
        <v>8.4379776302209678E-2</v>
      </c>
      <c r="R272" s="3">
        <f t="shared" si="258"/>
        <v>8.4379775542731641E-2</v>
      </c>
      <c r="S272" s="3">
        <f t="shared" si="258"/>
        <v>8.4379767947951614E-2</v>
      </c>
      <c r="T272" s="3">
        <f t="shared" si="258"/>
        <v>8.4379692000188855E-2</v>
      </c>
      <c r="U272" s="3">
        <f t="shared" si="258"/>
        <v>8.4378932526320963E-2</v>
      </c>
      <c r="V272" s="3">
        <f t="shared" si="258"/>
        <v>8.4371338163599582E-2</v>
      </c>
      <c r="W272" s="3">
        <f t="shared" si="258"/>
        <v>8.4295432119613531E-2</v>
      </c>
      <c r="X272" s="3">
        <f t="shared" si="258"/>
        <v>8.3540117516407192E-2</v>
      </c>
      <c r="Y272" s="3">
        <f t="shared" si="258"/>
        <v>7.634937519593242E-2</v>
      </c>
      <c r="Z272" s="3">
        <f t="shared" si="258"/>
        <v>3.1039130186087401E-2</v>
      </c>
      <c r="AA272" s="3">
        <f t="shared" si="258"/>
        <v>3.8278075387781336E-6</v>
      </c>
      <c r="AB272" s="3">
        <f t="shared" si="258"/>
        <v>3.1142652741852576E-45</v>
      </c>
      <c r="AC272" s="3">
        <f t="shared" si="258"/>
        <v>0</v>
      </c>
      <c r="AD272" s="3">
        <f t="shared" si="258"/>
        <v>0</v>
      </c>
      <c r="AE272" s="3">
        <f t="shared" si="258"/>
        <v>0</v>
      </c>
      <c r="AF272" s="3">
        <f t="shared" si="258"/>
        <v>0</v>
      </c>
      <c r="AG272" s="3"/>
      <c r="AH272" s="3"/>
    </row>
    <row r="273" spans="1:34" x14ac:dyDescent="0.25">
      <c r="B273" s="3">
        <f t="shared" ref="B273:AF273" si="259">$C42*EXP(-B$246/$A42/EXP(-$E$126))</f>
        <v>9.8418254231933067E-2</v>
      </c>
      <c r="C273" s="3">
        <f t="shared" si="259"/>
        <v>9.8418254231933067E-2</v>
      </c>
      <c r="D273" s="3">
        <f t="shared" si="259"/>
        <v>9.8418254231933067E-2</v>
      </c>
      <c r="E273" s="3">
        <f t="shared" si="259"/>
        <v>9.8418254231933067E-2</v>
      </c>
      <c r="F273" s="3">
        <f t="shared" si="259"/>
        <v>9.8418254231933067E-2</v>
      </c>
      <c r="G273" s="3">
        <f t="shared" si="259"/>
        <v>9.8418254231933067E-2</v>
      </c>
      <c r="H273" s="3">
        <f t="shared" si="259"/>
        <v>9.8418254231933067E-2</v>
      </c>
      <c r="I273" s="3">
        <f t="shared" si="259"/>
        <v>9.8418254231933067E-2</v>
      </c>
      <c r="J273" s="3">
        <f t="shared" si="259"/>
        <v>9.8418254231933067E-2</v>
      </c>
      <c r="K273" s="3">
        <f t="shared" si="259"/>
        <v>9.8418254231933053E-2</v>
      </c>
      <c r="L273" s="3">
        <f t="shared" si="259"/>
        <v>9.841825423193297E-2</v>
      </c>
      <c r="M273" s="3">
        <f t="shared" si="259"/>
        <v>9.8418254231932081E-2</v>
      </c>
      <c r="N273" s="3">
        <f t="shared" si="259"/>
        <v>9.8418254231923227E-2</v>
      </c>
      <c r="O273" s="3">
        <f t="shared" si="259"/>
        <v>9.8418254231834645E-2</v>
      </c>
      <c r="P273" s="3">
        <f t="shared" si="259"/>
        <v>9.8418254230948812E-2</v>
      </c>
      <c r="Q273" s="3">
        <f t="shared" si="259"/>
        <v>9.8418254222090468E-2</v>
      </c>
      <c r="R273" s="3">
        <f t="shared" si="259"/>
        <v>9.8418254133507022E-2</v>
      </c>
      <c r="S273" s="3">
        <f t="shared" si="259"/>
        <v>9.8418253247672699E-2</v>
      </c>
      <c r="T273" s="3">
        <f t="shared" si="259"/>
        <v>9.8418244389329806E-2</v>
      </c>
      <c r="U273" s="3">
        <f t="shared" si="259"/>
        <v>9.8418155805944735E-2</v>
      </c>
      <c r="V273" s="3">
        <f t="shared" si="259"/>
        <v>9.8417269976479274E-2</v>
      </c>
      <c r="W273" s="3">
        <f t="shared" si="259"/>
        <v>9.8408412120331162E-2</v>
      </c>
      <c r="X273" s="3">
        <f t="shared" si="259"/>
        <v>9.8319877394894922E-2</v>
      </c>
      <c r="Y273" s="3">
        <f t="shared" si="259"/>
        <v>9.7438899181550631E-2</v>
      </c>
      <c r="Z273" s="3">
        <f t="shared" si="259"/>
        <v>8.9051814786228325E-2</v>
      </c>
      <c r="AA273" s="3">
        <f t="shared" si="259"/>
        <v>3.6203189159881209E-2</v>
      </c>
      <c r="AB273" s="3">
        <f t="shared" si="259"/>
        <v>4.4646496072276855E-6</v>
      </c>
      <c r="AC273" s="3">
        <f t="shared" si="259"/>
        <v>3.6323935026347558E-45</v>
      </c>
      <c r="AD273" s="3">
        <f t="shared" si="259"/>
        <v>0</v>
      </c>
      <c r="AE273" s="3">
        <f t="shared" si="259"/>
        <v>0</v>
      </c>
      <c r="AF273" s="3">
        <f t="shared" si="259"/>
        <v>0</v>
      </c>
      <c r="AG273" s="3"/>
      <c r="AH273" s="3"/>
    </row>
    <row r="274" spans="1:34" x14ac:dyDescent="0.25">
      <c r="B274" s="3">
        <f t="shared" ref="B274:AF274" si="260">$C43*EXP(-B$246/$A43/EXP(-$E$126))</f>
        <v>5.8940133460185569E-2</v>
      </c>
      <c r="C274" s="3">
        <f t="shared" si="260"/>
        <v>5.8940133460185569E-2</v>
      </c>
      <c r="D274" s="3">
        <f t="shared" si="260"/>
        <v>5.8940133460185569E-2</v>
      </c>
      <c r="E274" s="3">
        <f t="shared" si="260"/>
        <v>5.8940133460185569E-2</v>
      </c>
      <c r="F274" s="3">
        <f t="shared" si="260"/>
        <v>5.8940133460185569E-2</v>
      </c>
      <c r="G274" s="3">
        <f t="shared" si="260"/>
        <v>5.8940133460185569E-2</v>
      </c>
      <c r="H274" s="3">
        <f t="shared" si="260"/>
        <v>5.8940133460185569E-2</v>
      </c>
      <c r="I274" s="3">
        <f t="shared" si="260"/>
        <v>5.8940133460185569E-2</v>
      </c>
      <c r="J274" s="3">
        <f t="shared" si="260"/>
        <v>5.8940133460185569E-2</v>
      </c>
      <c r="K274" s="3">
        <f t="shared" si="260"/>
        <v>5.8940133460185569E-2</v>
      </c>
      <c r="L274" s="3">
        <f t="shared" si="260"/>
        <v>5.8940133460185562E-2</v>
      </c>
      <c r="M274" s="3">
        <f t="shared" si="260"/>
        <v>5.8940133460185513E-2</v>
      </c>
      <c r="N274" s="3">
        <f t="shared" si="260"/>
        <v>5.8940133460184979E-2</v>
      </c>
      <c r="O274" s="3">
        <f t="shared" si="260"/>
        <v>5.8940133460179671E-2</v>
      </c>
      <c r="P274" s="3">
        <f t="shared" si="260"/>
        <v>5.8940133460126623E-2</v>
      </c>
      <c r="Q274" s="3">
        <f t="shared" si="260"/>
        <v>5.8940133459596124E-2</v>
      </c>
      <c r="R274" s="3">
        <f t="shared" si="260"/>
        <v>5.894013345429109E-2</v>
      </c>
      <c r="S274" s="3">
        <f t="shared" si="260"/>
        <v>5.8940133401240768E-2</v>
      </c>
      <c r="T274" s="3">
        <f t="shared" si="260"/>
        <v>5.8940132870737627E-2</v>
      </c>
      <c r="U274" s="3">
        <f t="shared" si="260"/>
        <v>5.8940127565706393E-2</v>
      </c>
      <c r="V274" s="3">
        <f t="shared" si="260"/>
        <v>5.8940074515420361E-2</v>
      </c>
      <c r="W274" s="3">
        <f t="shared" si="260"/>
        <v>5.8939544015186182E-2</v>
      </c>
      <c r="X274" s="3">
        <f t="shared" si="260"/>
        <v>5.8934239275454561E-2</v>
      </c>
      <c r="Y274" s="3">
        <f t="shared" si="260"/>
        <v>5.8881218130405838E-2</v>
      </c>
      <c r="Z274" s="3">
        <f t="shared" si="260"/>
        <v>5.8353623184983813E-2</v>
      </c>
      <c r="AA274" s="3">
        <f t="shared" si="260"/>
        <v>5.3330816415447124E-2</v>
      </c>
      <c r="AB274" s="3">
        <f t="shared" si="260"/>
        <v>2.1681148659060408E-2</v>
      </c>
      <c r="AC274" s="3">
        <f t="shared" si="260"/>
        <v>2.6737625632215639E-6</v>
      </c>
      <c r="AD274" s="3">
        <f t="shared" si="260"/>
        <v>2.1753460218941574E-45</v>
      </c>
      <c r="AE274" s="3">
        <f t="shared" si="260"/>
        <v>0</v>
      </c>
      <c r="AF274" s="3">
        <f t="shared" si="260"/>
        <v>0</v>
      </c>
      <c r="AG274" s="3"/>
      <c r="AH274" s="3"/>
    </row>
    <row r="275" spans="1:34" x14ac:dyDescent="0.25">
      <c r="B275" s="3">
        <f t="shared" ref="B275:AF275" si="261">$C44*EXP(-B$246/$A44/EXP(-$E$126))</f>
        <v>4.2268801533997091E-2</v>
      </c>
      <c r="C275" s="3">
        <f t="shared" si="261"/>
        <v>4.2268801533997091E-2</v>
      </c>
      <c r="D275" s="3">
        <f t="shared" si="261"/>
        <v>4.2268801533997091E-2</v>
      </c>
      <c r="E275" s="3">
        <f t="shared" si="261"/>
        <v>4.2268801533997091E-2</v>
      </c>
      <c r="F275" s="3">
        <f t="shared" si="261"/>
        <v>4.2268801533997091E-2</v>
      </c>
      <c r="G275" s="3">
        <f t="shared" si="261"/>
        <v>4.2268801533997091E-2</v>
      </c>
      <c r="H275" s="3">
        <f t="shared" si="261"/>
        <v>4.2268801533997091E-2</v>
      </c>
      <c r="I275" s="3">
        <f t="shared" si="261"/>
        <v>4.2268801533997091E-2</v>
      </c>
      <c r="J275" s="3">
        <f t="shared" si="261"/>
        <v>4.2268801533997091E-2</v>
      </c>
      <c r="K275" s="3">
        <f t="shared" si="261"/>
        <v>4.2268801533997091E-2</v>
      </c>
      <c r="L275" s="3">
        <f t="shared" si="261"/>
        <v>4.2268801533997091E-2</v>
      </c>
      <c r="M275" s="3">
        <f t="shared" si="261"/>
        <v>4.2268801533997084E-2</v>
      </c>
      <c r="N275" s="3">
        <f t="shared" si="261"/>
        <v>4.226880153399705E-2</v>
      </c>
      <c r="O275" s="3">
        <f t="shared" si="261"/>
        <v>4.2268801533996668E-2</v>
      </c>
      <c r="P275" s="3">
        <f t="shared" si="261"/>
        <v>4.2268801533992865E-2</v>
      </c>
      <c r="Q275" s="3">
        <f t="shared" si="261"/>
        <v>4.226880153395482E-2</v>
      </c>
      <c r="R275" s="3">
        <f t="shared" si="261"/>
        <v>4.2268801533574367E-2</v>
      </c>
      <c r="S275" s="3">
        <f t="shared" si="261"/>
        <v>4.2268801529769875E-2</v>
      </c>
      <c r="T275" s="3">
        <f t="shared" si="261"/>
        <v>4.2268801491724947E-2</v>
      </c>
      <c r="U275" s="3">
        <f t="shared" si="261"/>
        <v>4.226880111127565E-2</v>
      </c>
      <c r="V275" s="3">
        <f t="shared" si="261"/>
        <v>4.2268797306782874E-2</v>
      </c>
      <c r="W275" s="3">
        <f t="shared" si="261"/>
        <v>4.2268759261873907E-2</v>
      </c>
      <c r="X275" s="3">
        <f t="shared" si="261"/>
        <v>4.2268378814667634E-2</v>
      </c>
      <c r="Y275" s="3">
        <f t="shared" si="261"/>
        <v>4.2264574530935281E-2</v>
      </c>
      <c r="Z275" s="3">
        <f t="shared" si="261"/>
        <v>4.2226550520374065E-2</v>
      </c>
      <c r="AA275" s="3">
        <f t="shared" si="261"/>
        <v>4.1848186836256379E-2</v>
      </c>
      <c r="AB275" s="3">
        <f t="shared" si="261"/>
        <v>3.8246090776725424E-2</v>
      </c>
      <c r="AC275" s="3">
        <f t="shared" si="261"/>
        <v>1.5548593392954734E-2</v>
      </c>
      <c r="AD275" s="3">
        <f t="shared" si="261"/>
        <v>1.9174835973214608E-6</v>
      </c>
      <c r="AE275" s="3">
        <f t="shared" si="261"/>
        <v>1.5600451486816965E-45</v>
      </c>
      <c r="AF275" s="3">
        <f t="shared" si="261"/>
        <v>0</v>
      </c>
      <c r="AG275" s="3"/>
      <c r="AH275" s="3"/>
    </row>
    <row r="276" spans="1:34" x14ac:dyDescent="0.25">
      <c r="B276" s="3">
        <f t="shared" ref="B276:AF276" si="262">$C45*EXP(-B$246/$A45/EXP(-$E$126))</f>
        <v>2.0342268571851365E-2</v>
      </c>
      <c r="C276" s="3">
        <f t="shared" si="262"/>
        <v>2.0342268571851365E-2</v>
      </c>
      <c r="D276" s="3">
        <f t="shared" si="262"/>
        <v>2.0342268571851365E-2</v>
      </c>
      <c r="E276" s="3">
        <f t="shared" si="262"/>
        <v>2.0342268571851365E-2</v>
      </c>
      <c r="F276" s="3">
        <f t="shared" si="262"/>
        <v>2.0342268571851365E-2</v>
      </c>
      <c r="G276" s="3">
        <f t="shared" si="262"/>
        <v>2.0342268571851365E-2</v>
      </c>
      <c r="H276" s="3">
        <f t="shared" si="262"/>
        <v>2.0342268571851365E-2</v>
      </c>
      <c r="I276" s="3">
        <f t="shared" si="262"/>
        <v>2.0342268571851365E-2</v>
      </c>
      <c r="J276" s="3">
        <f t="shared" si="262"/>
        <v>2.0342268571851365E-2</v>
      </c>
      <c r="K276" s="3">
        <f t="shared" si="262"/>
        <v>2.0342268571851365E-2</v>
      </c>
      <c r="L276" s="3">
        <f t="shared" si="262"/>
        <v>2.0342268571851365E-2</v>
      </c>
      <c r="M276" s="3">
        <f t="shared" si="262"/>
        <v>2.0342268571851365E-2</v>
      </c>
      <c r="N276" s="3">
        <f t="shared" si="262"/>
        <v>2.0342268571851362E-2</v>
      </c>
      <c r="O276" s="3">
        <f t="shared" si="262"/>
        <v>2.0342268571851344E-2</v>
      </c>
      <c r="P276" s="3">
        <f t="shared" si="262"/>
        <v>2.034226857185116E-2</v>
      </c>
      <c r="Q276" s="3">
        <f t="shared" si="262"/>
        <v>2.0342268571849328E-2</v>
      </c>
      <c r="R276" s="3">
        <f t="shared" si="262"/>
        <v>2.034226857183102E-2</v>
      </c>
      <c r="S276" s="3">
        <f t="shared" si="262"/>
        <v>2.0342268571647927E-2</v>
      </c>
      <c r="T276" s="3">
        <f t="shared" si="262"/>
        <v>2.0342268569816978E-2</v>
      </c>
      <c r="U276" s="3">
        <f t="shared" si="262"/>
        <v>2.0342268551507486E-2</v>
      </c>
      <c r="V276" s="3">
        <f t="shared" si="262"/>
        <v>2.0342268368412592E-2</v>
      </c>
      <c r="W276" s="3">
        <f t="shared" si="262"/>
        <v>2.0342266537463734E-2</v>
      </c>
      <c r="X276" s="3">
        <f t="shared" si="262"/>
        <v>2.0342248227984219E-2</v>
      </c>
      <c r="Y276" s="3">
        <f t="shared" si="262"/>
        <v>2.0342065134095425E-2</v>
      </c>
      <c r="Z276" s="3">
        <f t="shared" si="262"/>
        <v>2.0340234285843323E-2</v>
      </c>
      <c r="AA276" s="3">
        <f t="shared" si="262"/>
        <v>2.0321934863883295E-2</v>
      </c>
      <c r="AB276" s="3">
        <f t="shared" si="262"/>
        <v>2.0139843690232053E-2</v>
      </c>
      <c r="AC276" s="3">
        <f t="shared" si="262"/>
        <v>1.8406300206496161E-2</v>
      </c>
      <c r="AD276" s="3">
        <f t="shared" si="262"/>
        <v>7.4829105920971445E-3</v>
      </c>
      <c r="AE276" s="3">
        <f t="shared" si="262"/>
        <v>9.2280748219132919E-7</v>
      </c>
      <c r="AF276" s="3">
        <f t="shared" si="262"/>
        <v>7.5078678001249454E-46</v>
      </c>
      <c r="AG276" s="3"/>
      <c r="AH276" s="3"/>
    </row>
    <row r="277" spans="1:34" x14ac:dyDescent="0.25">
      <c r="B277" s="3">
        <f t="shared" ref="B277:AF277" si="263">$C46*EXP(-B$246/$A46/EXP(-$E$126))</f>
        <v>5.9170897395369676E-3</v>
      </c>
      <c r="C277" s="3">
        <f t="shared" si="263"/>
        <v>5.9170897395369676E-3</v>
      </c>
      <c r="D277" s="3">
        <f t="shared" si="263"/>
        <v>5.9170897395369676E-3</v>
      </c>
      <c r="E277" s="3">
        <f t="shared" si="263"/>
        <v>5.9170897395369676E-3</v>
      </c>
      <c r="F277" s="3">
        <f t="shared" si="263"/>
        <v>5.9170897395369676E-3</v>
      </c>
      <c r="G277" s="3">
        <f t="shared" si="263"/>
        <v>5.9170897395369676E-3</v>
      </c>
      <c r="H277" s="3">
        <f t="shared" si="263"/>
        <v>5.9170897395369676E-3</v>
      </c>
      <c r="I277" s="3">
        <f t="shared" si="263"/>
        <v>5.9170897395369676E-3</v>
      </c>
      <c r="J277" s="3">
        <f t="shared" si="263"/>
        <v>5.9170897395369676E-3</v>
      </c>
      <c r="K277" s="3">
        <f t="shared" si="263"/>
        <v>5.9170897395369676E-3</v>
      </c>
      <c r="L277" s="3">
        <f t="shared" si="263"/>
        <v>5.9170897395369676E-3</v>
      </c>
      <c r="M277" s="3">
        <f t="shared" si="263"/>
        <v>5.9170897395369676E-3</v>
      </c>
      <c r="N277" s="3">
        <f t="shared" si="263"/>
        <v>5.9170897395369676E-3</v>
      </c>
      <c r="O277" s="3">
        <f t="shared" si="263"/>
        <v>5.9170897395369668E-3</v>
      </c>
      <c r="P277" s="3">
        <f t="shared" si="263"/>
        <v>5.9170897395369616E-3</v>
      </c>
      <c r="Q277" s="3">
        <f t="shared" si="263"/>
        <v>5.9170897395369087E-3</v>
      </c>
      <c r="R277" s="3">
        <f t="shared" si="263"/>
        <v>5.9170897395363761E-3</v>
      </c>
      <c r="S277" s="3">
        <f t="shared" si="263"/>
        <v>5.9170897395310496E-3</v>
      </c>
      <c r="T277" s="3">
        <f t="shared" si="263"/>
        <v>5.9170897394777919E-3</v>
      </c>
      <c r="U277" s="3">
        <f t="shared" si="263"/>
        <v>5.9170897389452118E-3</v>
      </c>
      <c r="V277" s="3">
        <f t="shared" si="263"/>
        <v>5.9170897336194095E-3</v>
      </c>
      <c r="W277" s="3">
        <f t="shared" si="263"/>
        <v>5.9170896803613909E-3</v>
      </c>
      <c r="X277" s="3">
        <f t="shared" si="263"/>
        <v>5.9170891477812286E-3</v>
      </c>
      <c r="Y277" s="3">
        <f t="shared" si="263"/>
        <v>5.9170838219822402E-3</v>
      </c>
      <c r="Z277" s="3">
        <f t="shared" si="263"/>
        <v>5.917030564255998E-3</v>
      </c>
      <c r="AA277" s="3">
        <f t="shared" si="263"/>
        <v>5.9164980133574142E-3</v>
      </c>
      <c r="AB277" s="3">
        <f t="shared" si="263"/>
        <v>5.9111751398766774E-3</v>
      </c>
      <c r="AC277" s="3">
        <f t="shared" si="263"/>
        <v>5.8582090799966626E-3</v>
      </c>
      <c r="AD277" s="3">
        <f t="shared" si="263"/>
        <v>5.35396186074361E-3</v>
      </c>
      <c r="AE277" s="3">
        <f t="shared" si="263"/>
        <v>2.1766035253137366E-3</v>
      </c>
      <c r="AF277" s="3">
        <f t="shared" si="263"/>
        <v>2.6842309475738617E-7</v>
      </c>
      <c r="AG277" s="3"/>
      <c r="AH277" s="3"/>
    </row>
    <row r="278" spans="1:34" x14ac:dyDescent="0.25">
      <c r="B278" s="3">
        <f t="shared" ref="B278:AF278" si="264">$C47*EXP(-B$246/$A47/EXP(-$E$126))</f>
        <v>2.1512309521192175E-5</v>
      </c>
      <c r="C278" s="3">
        <f t="shared" si="264"/>
        <v>2.1512309521192175E-5</v>
      </c>
      <c r="D278" s="3">
        <f t="shared" si="264"/>
        <v>2.1512309521192175E-5</v>
      </c>
      <c r="E278" s="3">
        <f t="shared" si="264"/>
        <v>2.1512309521192175E-5</v>
      </c>
      <c r="F278" s="3">
        <f t="shared" si="264"/>
        <v>2.1512309521192175E-5</v>
      </c>
      <c r="G278" s="3">
        <f t="shared" si="264"/>
        <v>2.1512309521192175E-5</v>
      </c>
      <c r="H278" s="3">
        <f t="shared" si="264"/>
        <v>2.1512309521192175E-5</v>
      </c>
      <c r="I278" s="3">
        <f t="shared" si="264"/>
        <v>2.1512309521192175E-5</v>
      </c>
      <c r="J278" s="3">
        <f t="shared" si="264"/>
        <v>2.1512309521192175E-5</v>
      </c>
      <c r="K278" s="3">
        <f t="shared" si="264"/>
        <v>2.1512309521192175E-5</v>
      </c>
      <c r="L278" s="3">
        <f t="shared" si="264"/>
        <v>2.1512309521192175E-5</v>
      </c>
      <c r="M278" s="3">
        <f t="shared" si="264"/>
        <v>2.1512309521192175E-5</v>
      </c>
      <c r="N278" s="3">
        <f t="shared" si="264"/>
        <v>2.1512309521192175E-5</v>
      </c>
      <c r="O278" s="3">
        <f t="shared" si="264"/>
        <v>2.1512309521192175E-5</v>
      </c>
      <c r="P278" s="3">
        <f t="shared" si="264"/>
        <v>2.1512309521192171E-5</v>
      </c>
      <c r="Q278" s="3">
        <f t="shared" si="264"/>
        <v>2.1512309521192154E-5</v>
      </c>
      <c r="R278" s="3">
        <f t="shared" si="264"/>
        <v>2.1512309521191961E-5</v>
      </c>
      <c r="S278" s="3">
        <f t="shared" si="264"/>
        <v>2.1512309521190023E-5</v>
      </c>
      <c r="T278" s="3">
        <f t="shared" si="264"/>
        <v>2.151230952117066E-5</v>
      </c>
      <c r="U278" s="3">
        <f t="shared" si="264"/>
        <v>2.1512309520977035E-5</v>
      </c>
      <c r="V278" s="3">
        <f t="shared" si="264"/>
        <v>2.1512309519040775E-5</v>
      </c>
      <c r="W278" s="3">
        <f t="shared" si="264"/>
        <v>2.1512309499678161E-5</v>
      </c>
      <c r="X278" s="3">
        <f t="shared" si="264"/>
        <v>2.1512309306052067E-5</v>
      </c>
      <c r="Y278" s="3">
        <f t="shared" si="264"/>
        <v>2.1512307369791203E-5</v>
      </c>
      <c r="Z278" s="3">
        <f t="shared" si="264"/>
        <v>2.1512288007192131E-5</v>
      </c>
      <c r="AA278" s="3">
        <f t="shared" si="264"/>
        <v>2.1512094382159938E-5</v>
      </c>
      <c r="AB278" s="3">
        <f t="shared" si="264"/>
        <v>2.1510158227686974E-5</v>
      </c>
      <c r="AC278" s="3">
        <f t="shared" si="264"/>
        <v>2.1490806264661195E-5</v>
      </c>
      <c r="AD278" s="3">
        <f t="shared" si="264"/>
        <v>2.129824162149828E-5</v>
      </c>
      <c r="AE278" s="3">
        <f t="shared" si="264"/>
        <v>1.9464988665523851E-5</v>
      </c>
      <c r="AF278" s="3">
        <f t="shared" si="264"/>
        <v>7.9133105635695953E-6</v>
      </c>
      <c r="AG278" s="3"/>
      <c r="AH278" s="3"/>
    </row>
    <row r="279" spans="1:34" x14ac:dyDescent="0.25">
      <c r="B279" s="3">
        <f t="shared" ref="B279:AF279" si="265">$C48*EXP(-B$246/$A48/EXP(-$E$126))</f>
        <v>1.0364109378839697E-2</v>
      </c>
      <c r="C279" s="3">
        <f t="shared" si="265"/>
        <v>1.0364109378839697E-2</v>
      </c>
      <c r="D279" s="3">
        <f t="shared" si="265"/>
        <v>1.0364109378839697E-2</v>
      </c>
      <c r="E279" s="3">
        <f t="shared" si="265"/>
        <v>1.0364109378839697E-2</v>
      </c>
      <c r="F279" s="3">
        <f t="shared" si="265"/>
        <v>1.0364109378839697E-2</v>
      </c>
      <c r="G279" s="3">
        <f t="shared" si="265"/>
        <v>1.0364109378839697E-2</v>
      </c>
      <c r="H279" s="3">
        <f t="shared" si="265"/>
        <v>1.0364109378839697E-2</v>
      </c>
      <c r="I279" s="3">
        <f t="shared" si="265"/>
        <v>1.0364109378839697E-2</v>
      </c>
      <c r="J279" s="3">
        <f t="shared" si="265"/>
        <v>1.0364109378839697E-2</v>
      </c>
      <c r="K279" s="3">
        <f t="shared" si="265"/>
        <v>1.0364109378839697E-2</v>
      </c>
      <c r="L279" s="3">
        <f t="shared" si="265"/>
        <v>1.0364109378839697E-2</v>
      </c>
      <c r="M279" s="3">
        <f t="shared" si="265"/>
        <v>1.0364109378839697E-2</v>
      </c>
      <c r="N279" s="3">
        <f t="shared" si="265"/>
        <v>1.0364109378839697E-2</v>
      </c>
      <c r="O279" s="3">
        <f t="shared" si="265"/>
        <v>1.0364109378839697E-2</v>
      </c>
      <c r="P279" s="3">
        <f t="shared" si="265"/>
        <v>1.0364109378839697E-2</v>
      </c>
      <c r="Q279" s="3">
        <f t="shared" si="265"/>
        <v>1.0364109378839696E-2</v>
      </c>
      <c r="R279" s="3">
        <f t="shared" si="265"/>
        <v>1.0364109378839687E-2</v>
      </c>
      <c r="S279" s="3">
        <f t="shared" si="265"/>
        <v>1.0364109378839593E-2</v>
      </c>
      <c r="T279" s="3">
        <f t="shared" si="265"/>
        <v>1.036410937883866E-2</v>
      </c>
      <c r="U279" s="3">
        <f t="shared" si="265"/>
        <v>1.0364109378829332E-2</v>
      </c>
      <c r="V279" s="3">
        <f t="shared" si="265"/>
        <v>1.0364109378736048E-2</v>
      </c>
      <c r="W279" s="3">
        <f t="shared" si="265"/>
        <v>1.0364109377803205E-2</v>
      </c>
      <c r="X279" s="3">
        <f t="shared" si="265"/>
        <v>1.0364109368474768E-2</v>
      </c>
      <c r="Y279" s="3">
        <f t="shared" si="265"/>
        <v>1.0364109275190408E-2</v>
      </c>
      <c r="Z279" s="3">
        <f t="shared" si="265"/>
        <v>1.0364108342346847E-2</v>
      </c>
      <c r="AA279" s="3">
        <f t="shared" si="265"/>
        <v>1.0364099013915867E-2</v>
      </c>
      <c r="AB279" s="3">
        <f t="shared" si="265"/>
        <v>1.0364005730067837E-2</v>
      </c>
      <c r="AC279" s="3">
        <f t="shared" si="265"/>
        <v>1.0363072937765255E-2</v>
      </c>
      <c r="AD279" s="3">
        <f t="shared" si="265"/>
        <v>1.0353749630972143E-2</v>
      </c>
      <c r="AE279" s="3">
        <f t="shared" si="265"/>
        <v>1.0260976652679337E-2</v>
      </c>
      <c r="AF279" s="3">
        <f t="shared" si="265"/>
        <v>9.3777598071759331E-3</v>
      </c>
      <c r="AG279" s="3"/>
      <c r="AH279" s="3"/>
    </row>
    <row r="280" spans="1:34" x14ac:dyDescent="0.25">
      <c r="A280" s="79">
        <f>AVERAGE(B280:AF280)</f>
        <v>1.9938423919462408E-5</v>
      </c>
      <c r="B280" s="80">
        <f>IF($D$61&lt;=B246,IF($E$61&gt;=B246,ABS((B248-B247)/B247),0),0)</f>
        <v>5.6402091798650182E-6</v>
      </c>
      <c r="C280" s="80">
        <f t="shared" ref="C280:AF280" si="266">IF($D$61&lt;=C246,IF($E$61&gt;=C246,ABS((C248-C247)/C247),0),0)</f>
        <v>2.5622520134236959E-6</v>
      </c>
      <c r="D280" s="80">
        <f t="shared" si="266"/>
        <v>2.5108221446116463E-6</v>
      </c>
      <c r="E280" s="80">
        <f t="shared" si="266"/>
        <v>4.0193851615240346E-6</v>
      </c>
      <c r="F280" s="80">
        <f t="shared" si="266"/>
        <v>4.4914842157094842E-6</v>
      </c>
      <c r="G280" s="80">
        <f t="shared" si="266"/>
        <v>4.6262343695813148E-6</v>
      </c>
      <c r="H280" s="80">
        <f t="shared" si="266"/>
        <v>4.6729438307572074E-6</v>
      </c>
      <c r="I280" s="80">
        <f t="shared" si="266"/>
        <v>4.4344386380077529E-6</v>
      </c>
      <c r="J280" s="80">
        <f t="shared" si="266"/>
        <v>1.999905552735161E-6</v>
      </c>
      <c r="K280" s="80">
        <f t="shared" si="266"/>
        <v>1.9514675991660485E-5</v>
      </c>
      <c r="L280" s="80">
        <f t="shared" si="266"/>
        <v>3.8620319418173721E-5</v>
      </c>
      <c r="M280" s="80">
        <f t="shared" si="266"/>
        <v>6.6424927438722974E-5</v>
      </c>
      <c r="N280" s="80">
        <f t="shared" si="266"/>
        <v>8.6554210079937955E-5</v>
      </c>
      <c r="O280" s="80">
        <f t="shared" si="266"/>
        <v>9.16348353002764E-5</v>
      </c>
      <c r="P280" s="80">
        <f t="shared" si="266"/>
        <v>8.7736051403570611E-5</v>
      </c>
      <c r="Q280" s="80">
        <f t="shared" si="266"/>
        <v>6.7925414040751186E-5</v>
      </c>
      <c r="R280" s="80">
        <f t="shared" si="266"/>
        <v>4.9673110164869777E-5</v>
      </c>
      <c r="S280" s="80">
        <f t="shared" si="266"/>
        <v>2.6281933681348397E-5</v>
      </c>
      <c r="T280" s="80">
        <f t="shared" si="266"/>
        <v>1.9220920626713686E-5</v>
      </c>
      <c r="U280" s="80">
        <f t="shared" si="266"/>
        <v>4.5427337065731192E-6</v>
      </c>
      <c r="V280" s="80">
        <f t="shared" si="266"/>
        <v>7.1669927536855372E-6</v>
      </c>
      <c r="W280" s="80">
        <f t="shared" si="266"/>
        <v>1.7389762006238294E-6</v>
      </c>
      <c r="X280" s="80">
        <f t="shared" si="266"/>
        <v>6.650919331557623E-6</v>
      </c>
      <c r="Y280" s="80">
        <f t="shared" si="266"/>
        <v>9.4474462586540969E-6</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1.3456897346367995E-3</v>
      </c>
      <c r="C281" s="21">
        <f t="shared" ref="C281:AF281" si="267">(C248-C247)^2</f>
        <v>2.7771883069460353E-4</v>
      </c>
      <c r="D281" s="21">
        <f t="shared" si="267"/>
        <v>2.6667919537356295E-4</v>
      </c>
      <c r="E281" s="21">
        <f t="shared" si="267"/>
        <v>6.8340031489185524E-4</v>
      </c>
      <c r="F281" s="21">
        <f t="shared" si="267"/>
        <v>8.5336586556205305E-4</v>
      </c>
      <c r="G281" s="21">
        <f t="shared" si="267"/>
        <v>9.0533773974378433E-4</v>
      </c>
      <c r="H281" s="21">
        <f t="shared" si="267"/>
        <v>9.2371103011785766E-4</v>
      </c>
      <c r="I281" s="21">
        <f t="shared" si="267"/>
        <v>8.3182002218631782E-4</v>
      </c>
      <c r="J281" s="21">
        <f t="shared" si="267"/>
        <v>1.6917717072280231E-4</v>
      </c>
      <c r="K281" s="21">
        <f t="shared" si="267"/>
        <v>1.60973661810806E-2</v>
      </c>
      <c r="L281" s="21">
        <f t="shared" si="267"/>
        <v>6.2653741750071698E-2</v>
      </c>
      <c r="M281" s="21">
        <f t="shared" si="267"/>
        <v>0.17873851663854426</v>
      </c>
      <c r="N281" s="21">
        <f t="shared" si="267"/>
        <v>0.28979761185755865</v>
      </c>
      <c r="O281" s="21">
        <f t="shared" si="267"/>
        <v>0.30836379457531538</v>
      </c>
      <c r="P281" s="21">
        <f t="shared" si="267"/>
        <v>0.26529303271306937</v>
      </c>
      <c r="Q281" s="21">
        <f t="shared" si="267"/>
        <v>0.14828520091858469</v>
      </c>
      <c r="R281" s="21">
        <f t="shared" si="267"/>
        <v>7.2575689925759787E-2</v>
      </c>
      <c r="S281" s="21">
        <f t="shared" si="267"/>
        <v>1.7719707156806375E-2</v>
      </c>
      <c r="T281" s="21">
        <f t="shared" si="267"/>
        <v>7.7502270460777165E-3</v>
      </c>
      <c r="U281" s="21">
        <f t="shared" si="267"/>
        <v>3.4451082035726949E-4</v>
      </c>
      <c r="V281" s="21">
        <f t="shared" si="267"/>
        <v>6.8121281006351393E-4</v>
      </c>
      <c r="W281" s="21">
        <f t="shared" si="267"/>
        <v>3.1581908127113176E-5</v>
      </c>
      <c r="X281" s="21">
        <f t="shared" si="267"/>
        <v>3.4327200075997204E-4</v>
      </c>
      <c r="Y281" s="21">
        <f t="shared" si="267"/>
        <v>4.7016712536603625E-4</v>
      </c>
      <c r="Z281" s="21">
        <f t="shared" si="267"/>
        <v>2.4707539482543941E-4</v>
      </c>
      <c r="AA281" s="21">
        <f t="shared" si="267"/>
        <v>7.1061056566981305E-4</v>
      </c>
      <c r="AB281" s="21">
        <f t="shared" si="267"/>
        <v>1.1744995773569738E-4</v>
      </c>
      <c r="AC281" s="21">
        <f t="shared" si="267"/>
        <v>9.9743825699716266E-5</v>
      </c>
      <c r="AD281" s="21">
        <f t="shared" si="267"/>
        <v>3.1083310828891577E-5</v>
      </c>
      <c r="AE281" s="21">
        <f t="shared" si="267"/>
        <v>6.5162928078904608E-7</v>
      </c>
      <c r="AF281" s="21">
        <f t="shared" si="267"/>
        <v>1.1919139158596345E-8</v>
      </c>
      <c r="AG281" s="3"/>
      <c r="AH281" s="3"/>
    </row>
    <row r="282" spans="1:34" s="3" customFormat="1" x14ac:dyDescent="0.25">
      <c r="A282" s="71">
        <f>SUM(B282:AF282)</f>
        <v>1.3754025333314717</v>
      </c>
      <c r="B282" s="21">
        <f>IF($D$61&lt;=B246,IF($E$61&gt;=B246,ABS(B281),0),0)</f>
        <v>1.3456897346367995E-3</v>
      </c>
      <c r="C282" s="21">
        <f t="shared" ref="C282:AF282" si="268">IF($D$61&lt;=C246,IF($E$61&gt;=C246,ABS(C281),0),0)</f>
        <v>2.7771883069460353E-4</v>
      </c>
      <c r="D282" s="21">
        <f t="shared" si="268"/>
        <v>2.6667919537356295E-4</v>
      </c>
      <c r="E282" s="21">
        <f t="shared" si="268"/>
        <v>6.8340031489185524E-4</v>
      </c>
      <c r="F282" s="21">
        <f t="shared" si="268"/>
        <v>8.5336586556205305E-4</v>
      </c>
      <c r="G282" s="21">
        <f t="shared" si="268"/>
        <v>9.0533773974378433E-4</v>
      </c>
      <c r="H282" s="21">
        <f t="shared" si="268"/>
        <v>9.2371103011785766E-4</v>
      </c>
      <c r="I282" s="21">
        <f t="shared" si="268"/>
        <v>8.3182002218631782E-4</v>
      </c>
      <c r="J282" s="21">
        <f t="shared" si="268"/>
        <v>1.6917717072280231E-4</v>
      </c>
      <c r="K282" s="21">
        <f t="shared" si="268"/>
        <v>1.60973661810806E-2</v>
      </c>
      <c r="L282" s="21">
        <f t="shared" si="268"/>
        <v>6.2653741750071698E-2</v>
      </c>
      <c r="M282" s="21">
        <f t="shared" si="268"/>
        <v>0.17873851663854426</v>
      </c>
      <c r="N282" s="21">
        <f t="shared" si="268"/>
        <v>0.28979761185755865</v>
      </c>
      <c r="O282" s="21">
        <f t="shared" si="268"/>
        <v>0.30836379457531538</v>
      </c>
      <c r="P282" s="21">
        <f t="shared" si="268"/>
        <v>0.26529303271306937</v>
      </c>
      <c r="Q282" s="21">
        <f t="shared" si="268"/>
        <v>0.14828520091858469</v>
      </c>
      <c r="R282" s="21">
        <f t="shared" si="268"/>
        <v>7.2575689925759787E-2</v>
      </c>
      <c r="S282" s="21">
        <f t="shared" si="268"/>
        <v>1.7719707156806375E-2</v>
      </c>
      <c r="T282" s="21">
        <f t="shared" si="268"/>
        <v>7.7502270460777165E-3</v>
      </c>
      <c r="U282" s="21">
        <f t="shared" si="268"/>
        <v>3.4451082035726949E-4</v>
      </c>
      <c r="V282" s="21">
        <f t="shared" si="268"/>
        <v>6.8121281006351393E-4</v>
      </c>
      <c r="W282" s="21">
        <f t="shared" si="268"/>
        <v>3.1581908127113176E-5</v>
      </c>
      <c r="X282" s="21">
        <f t="shared" si="268"/>
        <v>3.4327200075997204E-4</v>
      </c>
      <c r="Y282" s="21">
        <f t="shared" si="268"/>
        <v>4.7016712536603625E-4</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6479.0859474371819</v>
      </c>
      <c r="C286" s="26">
        <f>INDEX(Comparison!$AM$3:$AS$33,G$14,$F$122)</f>
        <v>6479.1324839978006</v>
      </c>
      <c r="D286" s="26">
        <f>INDEX(Comparison!$AM$3:$AS$33,H$14,$F$122)</f>
        <v>6479.041978197979</v>
      </c>
      <c r="E286" s="26">
        <f>INDEX(Comparison!$AM$3:$AS$33,I$14,$F$122)</f>
        <v>6478.4539559822069</v>
      </c>
      <c r="F286" s="26">
        <f>INDEX(Comparison!$AM$3:$AS$33,J$14,$F$122)</f>
        <v>6472.7726535549082</v>
      </c>
      <c r="G286" s="26">
        <f>INDEX(Comparison!$AM$3:$AS$33,K$14,$F$122)</f>
        <v>6425.3224026678754</v>
      </c>
      <c r="H286" s="26">
        <f>INDEX(Comparison!$AM$3:$AS$33,L$14,$F$122)</f>
        <v>6280.1372572444334</v>
      </c>
      <c r="I286" s="26">
        <f>INDEX(Comparison!$AM$3:$AS$33,M$14,$F$122)</f>
        <v>6130.7451181848783</v>
      </c>
      <c r="J286" s="26">
        <f>INDEX(Comparison!$AM$3:$AS$33,N$14,$F$122)</f>
        <v>5959.459898848826</v>
      </c>
      <c r="K286" s="26">
        <f>INDEX(Comparison!$AM$3:$AS$33,O$14,$F$122)</f>
        <v>5758.6320512376351</v>
      </c>
      <c r="L286" s="26">
        <f>INDEX(Comparison!$AM$3:$AS$33,P$14,$F$122)</f>
        <v>5553.7107715147085</v>
      </c>
      <c r="M286" s="26">
        <f>INDEX(Comparison!$AM$3:$AS$33,Q$14,$F$122)</f>
        <v>5296.2160470219478</v>
      </c>
      <c r="N286" s="26">
        <f>INDEX(Comparison!$AM$3:$AS$33,R$14,$F$122)</f>
        <v>5014.3504980568096</v>
      </c>
      <c r="O286" s="26">
        <f>INDEX(Comparison!$AM$3:$AS$33,S$14,$F$122)</f>
        <v>4737.7084148388376</v>
      </c>
      <c r="P286" s="26">
        <f>INDEX(Comparison!$AM$3:$AS$33,T$14,$F$122)</f>
        <v>4438.626264954587</v>
      </c>
      <c r="Q286" s="26">
        <f>INDEX(Comparison!$AM$3:$AS$33,U$14,$F$122)</f>
        <v>4115.3629839514006</v>
      </c>
      <c r="R286" s="26">
        <f>INDEX(Comparison!$AM$3:$AS$33,V$14,$F$122)</f>
        <v>3662.5886079597385</v>
      </c>
      <c r="S286" s="26">
        <f>INDEX(Comparison!$AM$3:$AS$33,W$14,$F$122)</f>
        <v>3039.7716426269371</v>
      </c>
      <c r="T286" s="26">
        <f>INDEX(Comparison!$AM$3:$AS$33,X$14,$F$122)</f>
        <v>2356.5178874385392</v>
      </c>
      <c r="U286" s="26">
        <f>INDEX(Comparison!$AM$3:$AS$33,Y$14,$F$122)</f>
        <v>1664.6092730189016</v>
      </c>
      <c r="V286" s="26">
        <f>INDEX(Comparison!$AM$3:$AS$33,Z$14,$F$122)</f>
        <v>1039.9214556238178</v>
      </c>
      <c r="W286" s="26">
        <f>INDEX(Comparison!$AM$3:$AS$33,AA$14,$F$122)</f>
        <v>595.89522173414423</v>
      </c>
      <c r="X286" s="26">
        <f>INDEX(Comparison!$AM$3:$AS$33,AB$14,$F$122)</f>
        <v>331.71701217899948</v>
      </c>
      <c r="Y286" s="26">
        <f>INDEX(Comparison!$AM$3:$AS$33,AC$14,$F$122)</f>
        <v>192.72704730170403</v>
      </c>
      <c r="Z286" s="26">
        <f>INDEX(Comparison!$AM$3:$AS$33,AD$14,$F$122)</f>
        <v>148.89299884614732</v>
      </c>
      <c r="AA286" s="26">
        <f>INDEX(Comparison!$AM$3:$AS$33,AE$14,$F$122)</f>
        <v>134.12130031566326</v>
      </c>
      <c r="AB286" s="26">
        <f>INDEX(Comparison!$AM$3:$AS$33,AF$14,$F$122)</f>
        <v>124.90206072555479</v>
      </c>
      <c r="AC286" s="26">
        <f>INDEX(Comparison!$AM$3:$AS$33,AG$14,$F$122)</f>
        <v>124.64007063602084</v>
      </c>
      <c r="AD286" s="26">
        <f>INDEX(Comparison!$AM$3:$AS$33,AH$14,$F$122)</f>
        <v>123.89500698166064</v>
      </c>
      <c r="AE286" s="26">
        <f>INDEX(Comparison!$AM$3:$AS$33,AI$14,$F$122)</f>
        <v>123.88320178471095</v>
      </c>
      <c r="AF286" s="26">
        <f>INDEX(Comparison!$AM$3:$AS$33,AJ$14,$F$122)</f>
        <v>123.47472292148701</v>
      </c>
      <c r="AG286" s="26"/>
      <c r="AH286" s="26"/>
    </row>
    <row r="287" spans="1:34" x14ac:dyDescent="0.25">
      <c r="A287" s="70" t="s">
        <v>22</v>
      </c>
      <c r="B287" s="27">
        <f>($C$17+SUM(B288:B318))*$B$51</f>
        <v>6503.9874758780061</v>
      </c>
      <c r="C287" s="27">
        <f t="shared" ref="C287:AF287" si="269">($C$17+SUM(C288:C318))*$B$51</f>
        <v>6503.9858763207549</v>
      </c>
      <c r="D287" s="27">
        <f t="shared" si="269"/>
        <v>6503.9698824310371</v>
      </c>
      <c r="E287" s="27">
        <f t="shared" si="269"/>
        <v>6503.8101114816909</v>
      </c>
      <c r="F287" s="27">
        <f t="shared" si="269"/>
        <v>6502.2288696466367</v>
      </c>
      <c r="G287" s="27">
        <f t="shared" si="269"/>
        <v>6487.7888860849798</v>
      </c>
      <c r="H287" s="27">
        <f t="shared" si="269"/>
        <v>6395.5914566116435</v>
      </c>
      <c r="I287" s="27">
        <f t="shared" si="269"/>
        <v>6240.9763091492796</v>
      </c>
      <c r="J287" s="27">
        <f t="shared" si="269"/>
        <v>6092.2475684254696</v>
      </c>
      <c r="K287" s="27">
        <f t="shared" si="269"/>
        <v>5900.7963226305119</v>
      </c>
      <c r="L287" s="27">
        <f t="shared" si="269"/>
        <v>5702.9714367812512</v>
      </c>
      <c r="M287" s="27">
        <f t="shared" si="269"/>
        <v>5467.2928255752158</v>
      </c>
      <c r="N287" s="27">
        <f t="shared" si="269"/>
        <v>5131.8651150923788</v>
      </c>
      <c r="O287" s="27">
        <f t="shared" si="269"/>
        <v>4653.694443403283</v>
      </c>
      <c r="P287" s="27">
        <f t="shared" si="269"/>
        <v>4153.1734983673996</v>
      </c>
      <c r="Q287" s="27">
        <f t="shared" si="269"/>
        <v>3705.5491125504027</v>
      </c>
      <c r="R287" s="27">
        <f t="shared" si="269"/>
        <v>3288.1691742279309</v>
      </c>
      <c r="S287" s="27">
        <f t="shared" si="269"/>
        <v>2876.5370488423919</v>
      </c>
      <c r="T287" s="27">
        <f t="shared" si="269"/>
        <v>2384.6092659992901</v>
      </c>
      <c r="U287" s="27">
        <f t="shared" si="269"/>
        <v>1851.9144168910368</v>
      </c>
      <c r="V287" s="27">
        <f t="shared" si="269"/>
        <v>1274.0625755547587</v>
      </c>
      <c r="W287" s="27">
        <f t="shared" si="269"/>
        <v>767.22569662251931</v>
      </c>
      <c r="X287" s="27">
        <f t="shared" si="269"/>
        <v>446.07839987672668</v>
      </c>
      <c r="Y287" s="27">
        <f t="shared" si="269"/>
        <v>247.11212080864638</v>
      </c>
      <c r="Z287" s="27">
        <f t="shared" si="269"/>
        <v>162.74729014217627</v>
      </c>
      <c r="AA287" s="27">
        <f t="shared" si="269"/>
        <v>139.02672438321133</v>
      </c>
      <c r="AB287" s="27">
        <f t="shared" si="269"/>
        <v>110.0184727137563</v>
      </c>
      <c r="AC287" s="27">
        <f t="shared" si="269"/>
        <v>75.811870756832406</v>
      </c>
      <c r="AD287" s="27">
        <f t="shared" si="269"/>
        <v>75.735971721502636</v>
      </c>
      <c r="AE287" s="27">
        <f t="shared" si="269"/>
        <v>75.735971721502636</v>
      </c>
      <c r="AF287" s="27">
        <f t="shared" si="269"/>
        <v>75.735971721502636</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0</v>
      </c>
      <c r="C292" s="3">
        <f t="shared" si="274"/>
        <v>0</v>
      </c>
      <c r="D292" s="3">
        <f t="shared" si="274"/>
        <v>0</v>
      </c>
      <c r="E292" s="3">
        <f t="shared" si="274"/>
        <v>0</v>
      </c>
      <c r="F292" s="3">
        <f t="shared" si="274"/>
        <v>0</v>
      </c>
      <c r="G292" s="3">
        <f t="shared" si="274"/>
        <v>0</v>
      </c>
      <c r="H292" s="3">
        <f t="shared" si="274"/>
        <v>0</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0</v>
      </c>
      <c r="C293" s="3">
        <f t="shared" si="275"/>
        <v>0</v>
      </c>
      <c r="D293" s="3">
        <f t="shared" si="275"/>
        <v>0</v>
      </c>
      <c r="E293" s="3">
        <f t="shared" si="275"/>
        <v>0</v>
      </c>
      <c r="F293" s="3">
        <f t="shared" si="275"/>
        <v>0</v>
      </c>
      <c r="G293" s="3">
        <f t="shared" si="275"/>
        <v>0</v>
      </c>
      <c r="H293" s="3">
        <f t="shared" si="275"/>
        <v>0</v>
      </c>
      <c r="I293" s="3">
        <f t="shared" si="275"/>
        <v>0</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0</v>
      </c>
      <c r="C294" s="3">
        <f t="shared" si="276"/>
        <v>0</v>
      </c>
      <c r="D294" s="3">
        <f t="shared" si="276"/>
        <v>0</v>
      </c>
      <c r="E294" s="3">
        <f t="shared" si="276"/>
        <v>0</v>
      </c>
      <c r="F294" s="3">
        <f t="shared" si="276"/>
        <v>0</v>
      </c>
      <c r="G294" s="3">
        <f t="shared" si="276"/>
        <v>0</v>
      </c>
      <c r="H294" s="3">
        <f t="shared" si="276"/>
        <v>0</v>
      </c>
      <c r="I294" s="3">
        <f t="shared" si="276"/>
        <v>0</v>
      </c>
      <c r="J294" s="3">
        <f t="shared" si="276"/>
        <v>0</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0</v>
      </c>
      <c r="C295" s="3">
        <f t="shared" si="277"/>
        <v>0</v>
      </c>
      <c r="D295" s="3">
        <f t="shared" si="277"/>
        <v>0</v>
      </c>
      <c r="E295" s="3">
        <f t="shared" si="277"/>
        <v>0</v>
      </c>
      <c r="F295" s="3">
        <f t="shared" si="277"/>
        <v>0</v>
      </c>
      <c r="G295" s="3">
        <f t="shared" si="277"/>
        <v>0</v>
      </c>
      <c r="H295" s="3">
        <f t="shared" si="277"/>
        <v>0</v>
      </c>
      <c r="I295" s="3">
        <f t="shared" si="277"/>
        <v>0</v>
      </c>
      <c r="J295" s="3">
        <f t="shared" si="277"/>
        <v>0</v>
      </c>
      <c r="K295" s="3">
        <f t="shared" si="277"/>
        <v>0</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0</v>
      </c>
      <c r="C296" s="3">
        <f t="shared" si="278"/>
        <v>0</v>
      </c>
      <c r="D296" s="3">
        <f t="shared" si="278"/>
        <v>0</v>
      </c>
      <c r="E296" s="3">
        <f t="shared" si="278"/>
        <v>0</v>
      </c>
      <c r="F296" s="3">
        <f t="shared" si="278"/>
        <v>0</v>
      </c>
      <c r="G296" s="3">
        <f t="shared" si="278"/>
        <v>0</v>
      </c>
      <c r="H296" s="3">
        <f t="shared" si="278"/>
        <v>0</v>
      </c>
      <c r="I296" s="3">
        <f t="shared" si="278"/>
        <v>0</v>
      </c>
      <c r="J296" s="3">
        <f t="shared" si="278"/>
        <v>0</v>
      </c>
      <c r="K296" s="3">
        <f t="shared" si="278"/>
        <v>0</v>
      </c>
      <c r="L296" s="3">
        <f t="shared" si="278"/>
        <v>0</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7.5539670992194586E-4</v>
      </c>
      <c r="C297" s="3">
        <f t="shared" si="279"/>
        <v>7.5534484330558652E-4</v>
      </c>
      <c r="D297" s="3">
        <f t="shared" si="279"/>
        <v>7.5482637296962827E-4</v>
      </c>
      <c r="E297" s="3">
        <f t="shared" si="279"/>
        <v>7.4966120271361476E-4</v>
      </c>
      <c r="F297" s="3">
        <f t="shared" si="279"/>
        <v>6.9991408377560488E-4</v>
      </c>
      <c r="G297" s="3">
        <f t="shared" si="279"/>
        <v>3.52242459181006E-4</v>
      </c>
      <c r="H297" s="3">
        <f t="shared" si="279"/>
        <v>3.6712285661718612E-7</v>
      </c>
      <c r="I297" s="3">
        <f t="shared" si="279"/>
        <v>5.552756369341703E-37</v>
      </c>
      <c r="J297" s="3">
        <f t="shared" si="279"/>
        <v>0</v>
      </c>
      <c r="K297" s="3">
        <f t="shared" si="279"/>
        <v>0</v>
      </c>
      <c r="L297" s="3">
        <f t="shared" si="279"/>
        <v>0</v>
      </c>
      <c r="M297" s="3">
        <f t="shared" si="279"/>
        <v>0</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2.9283911415151711E-2</v>
      </c>
      <c r="C298" s="3">
        <f t="shared" si="280"/>
        <v>2.9283730029859855E-2</v>
      </c>
      <c r="D298" s="3">
        <f t="shared" si="280"/>
        <v>2.9281916238732934E-2</v>
      </c>
      <c r="E298" s="3">
        <f t="shared" si="280"/>
        <v>2.9263784505211107E-2</v>
      </c>
      <c r="F298" s="3">
        <f t="shared" si="280"/>
        <v>2.908308353125923E-2</v>
      </c>
      <c r="G298" s="3">
        <f t="shared" si="280"/>
        <v>2.7336320442636713E-2</v>
      </c>
      <c r="H298" s="3">
        <f t="shared" si="280"/>
        <v>1.4714181789271818E-2</v>
      </c>
      <c r="I298" s="3">
        <f t="shared" si="280"/>
        <v>3.0039778308524846E-5</v>
      </c>
      <c r="J298" s="3">
        <f t="shared" si="280"/>
        <v>3.7783551978881803E-32</v>
      </c>
      <c r="K298" s="3">
        <f t="shared" si="280"/>
        <v>3.7442374201961643E-301</v>
      </c>
      <c r="L298" s="3">
        <f t="shared" si="280"/>
        <v>0</v>
      </c>
      <c r="M298" s="3">
        <f t="shared" si="280"/>
        <v>0</v>
      </c>
      <c r="N298" s="3">
        <f t="shared" si="280"/>
        <v>0</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1.8302598685660299E-2</v>
      </c>
      <c r="C299" s="3">
        <f t="shared" si="281"/>
        <v>1.8302588459006466E-2</v>
      </c>
      <c r="D299" s="3">
        <f t="shared" si="281"/>
        <v>1.8302486192782422E-2</v>
      </c>
      <c r="E299" s="3">
        <f t="shared" si="281"/>
        <v>1.8301463561969284E-2</v>
      </c>
      <c r="F299" s="3">
        <f t="shared" si="281"/>
        <v>1.8291240395920196E-2</v>
      </c>
      <c r="G299" s="3">
        <f t="shared" si="281"/>
        <v>1.8189322295037121E-2</v>
      </c>
      <c r="H299" s="3">
        <f t="shared" si="281"/>
        <v>1.7200858571363012E-2</v>
      </c>
      <c r="I299" s="3">
        <f t="shared" si="281"/>
        <v>9.8375327846665743E-3</v>
      </c>
      <c r="J299" s="3">
        <f t="shared" si="281"/>
        <v>3.6833829169190615E-5</v>
      </c>
      <c r="K299" s="3">
        <f t="shared" si="281"/>
        <v>1.994590003739269E-29</v>
      </c>
      <c r="L299" s="3">
        <f t="shared" si="281"/>
        <v>4.3243548485215386E-272</v>
      </c>
      <c r="M299" s="3">
        <f t="shared" si="281"/>
        <v>0</v>
      </c>
      <c r="N299" s="3">
        <f t="shared" si="281"/>
        <v>0</v>
      </c>
      <c r="O299" s="3">
        <f t="shared" si="281"/>
        <v>0</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3.0692844586081392E-2</v>
      </c>
      <c r="C300" s="3">
        <f t="shared" si="282"/>
        <v>3.069284303903036E-2</v>
      </c>
      <c r="D300" s="3">
        <f t="shared" si="282"/>
        <v>3.0692827568524324E-2</v>
      </c>
      <c r="E300" s="3">
        <f t="shared" si="282"/>
        <v>3.0692672863892847E-2</v>
      </c>
      <c r="F300" s="3">
        <f t="shared" si="282"/>
        <v>3.0691125860465063E-2</v>
      </c>
      <c r="G300" s="3">
        <f t="shared" si="282"/>
        <v>3.0675660114089356E-2</v>
      </c>
      <c r="H300" s="3">
        <f t="shared" si="282"/>
        <v>3.0521430641945492E-2</v>
      </c>
      <c r="I300" s="3">
        <f t="shared" si="282"/>
        <v>2.9021147542379472E-2</v>
      </c>
      <c r="J300" s="3">
        <f t="shared" si="282"/>
        <v>1.7531195244348534E-2</v>
      </c>
      <c r="K300" s="3">
        <f t="shared" si="282"/>
        <v>1.1344385603979359E-4</v>
      </c>
      <c r="L300" s="3">
        <f t="shared" si="282"/>
        <v>1.46041241387109E-26</v>
      </c>
      <c r="M300" s="3">
        <f t="shared" si="282"/>
        <v>1.8256640938557841E-245</v>
      </c>
      <c r="N300" s="3">
        <f t="shared" si="282"/>
        <v>0</v>
      </c>
      <c r="O300" s="3">
        <f t="shared" si="282"/>
        <v>0</v>
      </c>
      <c r="P300" s="3">
        <f t="shared" si="282"/>
        <v>0</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2.9931520195494939E-2</v>
      </c>
      <c r="C301" s="3">
        <f t="shared" si="283"/>
        <v>2.9931520059399717E-2</v>
      </c>
      <c r="D301" s="3">
        <f t="shared" si="283"/>
        <v>2.9931518698447544E-2</v>
      </c>
      <c r="E301" s="3">
        <f t="shared" si="283"/>
        <v>2.9931505088929181E-2</v>
      </c>
      <c r="F301" s="3">
        <f t="shared" si="283"/>
        <v>2.9931368994085904E-2</v>
      </c>
      <c r="G301" s="3">
        <f t="shared" si="283"/>
        <v>2.9930008079686998E-2</v>
      </c>
      <c r="H301" s="3">
        <f t="shared" si="283"/>
        <v>2.9916402338514114E-2</v>
      </c>
      <c r="I301" s="3">
        <f t="shared" si="283"/>
        <v>2.9780684636626538E-2</v>
      </c>
      <c r="J301" s="3">
        <f t="shared" si="283"/>
        <v>2.8456913975996898E-2</v>
      </c>
      <c r="K301" s="3">
        <f t="shared" si="283"/>
        <v>1.8060053593566515E-2</v>
      </c>
      <c r="L301" s="3">
        <f t="shared" si="283"/>
        <v>1.9143942099415553E-4</v>
      </c>
      <c r="M301" s="3">
        <f t="shared" si="283"/>
        <v>3.4288994143874969E-24</v>
      </c>
      <c r="N301" s="3">
        <f t="shared" si="283"/>
        <v>1.1651678121731545E-221</v>
      </c>
      <c r="O301" s="3">
        <f t="shared" si="283"/>
        <v>0</v>
      </c>
      <c r="P301" s="3">
        <f t="shared" si="283"/>
        <v>0</v>
      </c>
      <c r="Q301" s="3">
        <f t="shared" si="283"/>
        <v>0</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3.2651774641322094E-2</v>
      </c>
      <c r="C302" s="3">
        <f t="shared" si="284"/>
        <v>3.2651774627929411E-2</v>
      </c>
      <c r="D302" s="3">
        <f t="shared" si="284"/>
        <v>3.2651774494002611E-2</v>
      </c>
      <c r="E302" s="3">
        <f t="shared" si="284"/>
        <v>3.2651773154734678E-2</v>
      </c>
      <c r="F302" s="3">
        <f t="shared" si="284"/>
        <v>3.2651759762058322E-2</v>
      </c>
      <c r="G302" s="3">
        <f t="shared" si="284"/>
        <v>3.2651625835596859E-2</v>
      </c>
      <c r="H302" s="3">
        <f t="shared" si="284"/>
        <v>3.265028660119456E-2</v>
      </c>
      <c r="I302" s="3">
        <f t="shared" si="284"/>
        <v>3.2636897277941362E-2</v>
      </c>
      <c r="J302" s="3">
        <f t="shared" si="284"/>
        <v>3.2503305664457076E-2</v>
      </c>
      <c r="K302" s="3">
        <f t="shared" si="284"/>
        <v>3.11970986706093E-2</v>
      </c>
      <c r="L302" s="3">
        <f t="shared" si="284"/>
        <v>2.0700505528816873E-2</v>
      </c>
      <c r="M302" s="3">
        <f t="shared" si="284"/>
        <v>3.4249039911887189E-4</v>
      </c>
      <c r="N302" s="3">
        <f t="shared" si="284"/>
        <v>5.2640851113863755E-22</v>
      </c>
      <c r="O302" s="3">
        <f t="shared" si="284"/>
        <v>3.8731820551074573E-200</v>
      </c>
      <c r="P302" s="3">
        <f t="shared" si="284"/>
        <v>0</v>
      </c>
      <c r="Q302" s="3">
        <f t="shared" si="284"/>
        <v>0</v>
      </c>
      <c r="R302" s="3">
        <f t="shared" si="284"/>
        <v>0</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4.3350627385874599E-2</v>
      </c>
      <c r="C303" s="3">
        <f t="shared" si="285"/>
        <v>4.3350627384270604E-2</v>
      </c>
      <c r="D303" s="3">
        <f t="shared" si="285"/>
        <v>4.3350627368230664E-2</v>
      </c>
      <c r="E303" s="3">
        <f t="shared" si="285"/>
        <v>4.335062720783129E-2</v>
      </c>
      <c r="F303" s="3">
        <f t="shared" si="285"/>
        <v>4.3350625603837581E-2</v>
      </c>
      <c r="G303" s="3">
        <f t="shared" si="285"/>
        <v>4.3350609563903748E-2</v>
      </c>
      <c r="H303" s="3">
        <f t="shared" si="285"/>
        <v>4.3350449164891884E-2</v>
      </c>
      <c r="I303" s="3">
        <f t="shared" si="285"/>
        <v>4.3348845207414402E-2</v>
      </c>
      <c r="J303" s="3">
        <f t="shared" si="285"/>
        <v>4.3332808896312171E-2</v>
      </c>
      <c r="K303" s="3">
        <f t="shared" si="285"/>
        <v>4.3172771706187697E-2</v>
      </c>
      <c r="L303" s="3">
        <f t="shared" si="285"/>
        <v>4.1604550084877963E-2</v>
      </c>
      <c r="M303" s="3">
        <f t="shared" si="285"/>
        <v>2.8737554943788508E-2</v>
      </c>
      <c r="N303" s="3">
        <f t="shared" si="285"/>
        <v>7.1046004989235327E-4</v>
      </c>
      <c r="O303" s="3">
        <f t="shared" si="285"/>
        <v>6.0595187805902703E-20</v>
      </c>
      <c r="P303" s="3">
        <f t="shared" si="285"/>
        <v>1.2343060971863672E-180</v>
      </c>
      <c r="Q303" s="3">
        <f t="shared" si="285"/>
        <v>0</v>
      </c>
      <c r="R303" s="3">
        <f t="shared" si="285"/>
        <v>0</v>
      </c>
      <c r="S303" s="3">
        <f t="shared" si="285"/>
        <v>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7.4512934998103242E-2</v>
      </c>
      <c r="C304" s="3">
        <f t="shared" si="286"/>
        <v>7.4512934997854538E-2</v>
      </c>
      <c r="D304" s="3">
        <f t="shared" si="286"/>
        <v>7.4512934995367472E-2</v>
      </c>
      <c r="E304" s="3">
        <f t="shared" si="286"/>
        <v>7.4512934970496922E-2</v>
      </c>
      <c r="F304" s="3">
        <f t="shared" si="286"/>
        <v>7.4512934721791324E-2</v>
      </c>
      <c r="G304" s="3">
        <f t="shared" si="286"/>
        <v>7.4512932234735485E-2</v>
      </c>
      <c r="H304" s="3">
        <f t="shared" si="286"/>
        <v>7.4512907364181688E-2</v>
      </c>
      <c r="I304" s="3">
        <f t="shared" si="286"/>
        <v>7.451265865910027E-2</v>
      </c>
      <c r="J304" s="3">
        <f t="shared" si="286"/>
        <v>7.4510171653941817E-2</v>
      </c>
      <c r="K304" s="3">
        <f t="shared" si="286"/>
        <v>7.4485306167375503E-2</v>
      </c>
      <c r="L304" s="3">
        <f t="shared" si="286"/>
        <v>7.4237107240273756E-2</v>
      </c>
      <c r="M304" s="3">
        <f t="shared" si="286"/>
        <v>7.1800153747727913E-2</v>
      </c>
      <c r="N304" s="3">
        <f t="shared" si="286"/>
        <v>5.1424338074889678E-2</v>
      </c>
      <c r="O304" s="3">
        <f t="shared" si="286"/>
        <v>1.8264259563862118E-3</v>
      </c>
      <c r="P304" s="3">
        <f t="shared" si="286"/>
        <v>5.8335869235911212E-18</v>
      </c>
      <c r="Q304" s="3">
        <f t="shared" si="286"/>
        <v>6.4457239612004458E-163</v>
      </c>
      <c r="R304" s="3">
        <f t="shared" si="286"/>
        <v>0</v>
      </c>
      <c r="S304" s="3">
        <f t="shared" si="286"/>
        <v>0</v>
      </c>
      <c r="T304" s="3">
        <f t="shared" si="286"/>
        <v>0</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8.3057229561501508E-2</v>
      </c>
      <c r="C305" s="3">
        <f t="shared" si="287"/>
        <v>8.30572295614765E-2</v>
      </c>
      <c r="D305" s="3">
        <f t="shared" si="287"/>
        <v>8.3057229561226423E-2</v>
      </c>
      <c r="E305" s="3">
        <f t="shared" si="287"/>
        <v>8.3057229558725618E-2</v>
      </c>
      <c r="F305" s="3">
        <f t="shared" si="287"/>
        <v>8.3057229533717691E-2</v>
      </c>
      <c r="G305" s="3">
        <f t="shared" si="287"/>
        <v>8.305722928363829E-2</v>
      </c>
      <c r="H305" s="3">
        <f t="shared" si="287"/>
        <v>8.3057226782844412E-2</v>
      </c>
      <c r="I305" s="3">
        <f t="shared" si="287"/>
        <v>8.3057201774909745E-2</v>
      </c>
      <c r="J305" s="3">
        <f t="shared" si="287"/>
        <v>8.3056951695977196E-2</v>
      </c>
      <c r="K305" s="3">
        <f t="shared" si="287"/>
        <v>8.3054450948064615E-2</v>
      </c>
      <c r="L305" s="3">
        <f t="shared" si="287"/>
        <v>8.3029447609767923E-2</v>
      </c>
      <c r="M305" s="3">
        <f t="shared" si="287"/>
        <v>8.2779827848773177E-2</v>
      </c>
      <c r="N305" s="3">
        <f t="shared" si="287"/>
        <v>8.0324535330729849E-2</v>
      </c>
      <c r="O305" s="3">
        <f t="shared" si="287"/>
        <v>5.9440882926181285E-2</v>
      </c>
      <c r="P305" s="3">
        <f t="shared" si="287"/>
        <v>2.9272212579395432E-3</v>
      </c>
      <c r="Q305" s="3">
        <f t="shared" si="287"/>
        <v>2.4556051581927021E-16</v>
      </c>
      <c r="R305" s="3">
        <f t="shared" si="287"/>
        <v>4.2382678787371144E-147</v>
      </c>
      <c r="S305" s="3">
        <f t="shared" si="287"/>
        <v>0</v>
      </c>
      <c r="T305" s="3">
        <f t="shared" si="287"/>
        <v>0</v>
      </c>
      <c r="U305" s="3">
        <f t="shared" si="287"/>
        <v>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7.17189793706417E-2</v>
      </c>
      <c r="C306" s="3">
        <f t="shared" si="288"/>
        <v>7.1718979370639743E-2</v>
      </c>
      <c r="D306" s="3">
        <f t="shared" si="288"/>
        <v>7.1718979370620273E-2</v>
      </c>
      <c r="E306" s="3">
        <f t="shared" si="288"/>
        <v>7.171897937042547E-2</v>
      </c>
      <c r="F306" s="3">
        <f t="shared" si="288"/>
        <v>7.1718979368477501E-2</v>
      </c>
      <c r="G306" s="3">
        <f t="shared" si="288"/>
        <v>7.1718979348997847E-2</v>
      </c>
      <c r="H306" s="3">
        <f t="shared" si="288"/>
        <v>7.1718979154201348E-2</v>
      </c>
      <c r="I306" s="3">
        <f t="shared" si="288"/>
        <v>7.1718977206236351E-2</v>
      </c>
      <c r="J306" s="3">
        <f t="shared" si="288"/>
        <v>7.1718957726589261E-2</v>
      </c>
      <c r="K306" s="3">
        <f t="shared" si="288"/>
        <v>7.1718762930409352E-2</v>
      </c>
      <c r="L306" s="3">
        <f t="shared" si="288"/>
        <v>7.1716814997709766E-2</v>
      </c>
      <c r="M306" s="3">
        <f t="shared" si="288"/>
        <v>7.1697338580375067E-2</v>
      </c>
      <c r="N306" s="3">
        <f t="shared" si="288"/>
        <v>7.1502865080941877E-2</v>
      </c>
      <c r="O306" s="3">
        <f t="shared" si="288"/>
        <v>6.9586907472470677E-2</v>
      </c>
      <c r="P306" s="3">
        <f t="shared" si="288"/>
        <v>5.3035718748080468E-2</v>
      </c>
      <c r="Q306" s="3">
        <f t="shared" si="288"/>
        <v>3.5073385115264176E-3</v>
      </c>
      <c r="R306" s="3">
        <f t="shared" si="288"/>
        <v>5.6113832919850528E-15</v>
      </c>
      <c r="S306" s="3">
        <f t="shared" si="288"/>
        <v>6.1658427197565848E-133</v>
      </c>
      <c r="T306" s="3">
        <f t="shared" si="288"/>
        <v>0</v>
      </c>
      <c r="U306" s="3">
        <f t="shared" si="288"/>
        <v>0</v>
      </c>
      <c r="V306" s="3">
        <f t="shared" si="288"/>
        <v>0</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7.053278247036579E-2</v>
      </c>
      <c r="C307" s="3">
        <f t="shared" si="289"/>
        <v>7.053278247036561E-2</v>
      </c>
      <c r="D307" s="3">
        <f t="shared" si="289"/>
        <v>7.0532782470363889E-2</v>
      </c>
      <c r="E307" s="3">
        <f t="shared" si="289"/>
        <v>7.0532782470346597E-2</v>
      </c>
      <c r="F307" s="3">
        <f t="shared" si="289"/>
        <v>7.0532782470173791E-2</v>
      </c>
      <c r="G307" s="3">
        <f t="shared" si="289"/>
        <v>7.0532782468445618E-2</v>
      </c>
      <c r="H307" s="3">
        <f t="shared" si="289"/>
        <v>7.0532782451163997E-2</v>
      </c>
      <c r="I307" s="3">
        <f t="shared" si="289"/>
        <v>7.0532782278347708E-2</v>
      </c>
      <c r="J307" s="3">
        <f t="shared" si="289"/>
        <v>7.0532780550184887E-2</v>
      </c>
      <c r="K307" s="3">
        <f t="shared" si="289"/>
        <v>7.0532763268559021E-2</v>
      </c>
      <c r="L307" s="3">
        <f t="shared" si="289"/>
        <v>7.0532590452533211E-2</v>
      </c>
      <c r="M307" s="3">
        <f t="shared" si="289"/>
        <v>7.0530862315563256E-2</v>
      </c>
      <c r="N307" s="3">
        <f t="shared" si="289"/>
        <v>7.0513583274476418E-2</v>
      </c>
      <c r="O307" s="3">
        <f t="shared" si="289"/>
        <v>7.0341025513910888E-2</v>
      </c>
      <c r="P307" s="3">
        <f t="shared" si="289"/>
        <v>6.8638503402790846E-2</v>
      </c>
      <c r="Q307" s="3">
        <f t="shared" si="289"/>
        <v>5.3722832739383247E-2</v>
      </c>
      <c r="R307" s="3">
        <f t="shared" si="289"/>
        <v>4.6352151030794007E-3</v>
      </c>
      <c r="S307" s="3">
        <f t="shared" si="289"/>
        <v>1.0596922987574287E-13</v>
      </c>
      <c r="T307" s="3">
        <f t="shared" si="289"/>
        <v>4.1331258576355936E-120</v>
      </c>
      <c r="U307" s="3">
        <f t="shared" si="289"/>
        <v>0</v>
      </c>
      <c r="V307" s="3">
        <f t="shared" si="289"/>
        <v>0</v>
      </c>
      <c r="W307" s="3">
        <f t="shared" si="289"/>
        <v>0</v>
      </c>
      <c r="X307" s="3">
        <f t="shared" si="289"/>
        <v>0</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3.5919956978906278E-2</v>
      </c>
      <c r="C308" s="3">
        <f t="shared" si="290"/>
        <v>3.5919956978906271E-2</v>
      </c>
      <c r="D308" s="3">
        <f t="shared" si="290"/>
        <v>3.5919956978906188E-2</v>
      </c>
      <c r="E308" s="3">
        <f t="shared" si="290"/>
        <v>3.5919956978905397E-2</v>
      </c>
      <c r="F308" s="3">
        <f t="shared" si="290"/>
        <v>3.5919956978897459E-2</v>
      </c>
      <c r="G308" s="3">
        <f t="shared" si="290"/>
        <v>3.5919956978818064E-2</v>
      </c>
      <c r="H308" s="3">
        <f t="shared" si="290"/>
        <v>3.5919956978024151E-2</v>
      </c>
      <c r="I308" s="3">
        <f t="shared" si="290"/>
        <v>3.591995697008496E-2</v>
      </c>
      <c r="J308" s="3">
        <f t="shared" si="290"/>
        <v>3.5919956890693085E-2</v>
      </c>
      <c r="K308" s="3">
        <f t="shared" si="290"/>
        <v>3.5919956096774369E-2</v>
      </c>
      <c r="L308" s="3">
        <f t="shared" si="290"/>
        <v>3.5919948157588179E-2</v>
      </c>
      <c r="M308" s="3">
        <f t="shared" si="290"/>
        <v>3.5919868765822781E-2</v>
      </c>
      <c r="N308" s="3">
        <f t="shared" si="290"/>
        <v>3.5919074857819859E-2</v>
      </c>
      <c r="O308" s="3">
        <f t="shared" si="290"/>
        <v>3.5911136742817776E-2</v>
      </c>
      <c r="P308" s="3">
        <f t="shared" si="290"/>
        <v>3.5831852016635024E-2</v>
      </c>
      <c r="Q308" s="3">
        <f t="shared" si="290"/>
        <v>3.5048568748168439E-2</v>
      </c>
      <c r="R308" s="3">
        <f t="shared" si="290"/>
        <v>2.8098336324481471E-2</v>
      </c>
      <c r="S308" s="3">
        <f t="shared" si="290"/>
        <v>3.0816534237932272E-3</v>
      </c>
      <c r="T308" s="3">
        <f t="shared" si="290"/>
        <v>7.7591772710083084E-13</v>
      </c>
      <c r="U308" s="3">
        <f t="shared" si="290"/>
        <v>7.9457422110788038E-109</v>
      </c>
      <c r="V308" s="3">
        <f t="shared" si="290"/>
        <v>0</v>
      </c>
      <c r="W308" s="3">
        <f t="shared" si="290"/>
        <v>0</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6.619073120792586E-2</v>
      </c>
      <c r="C309" s="3">
        <f t="shared" si="291"/>
        <v>6.6190731207925846E-2</v>
      </c>
      <c r="D309" s="3">
        <f t="shared" si="291"/>
        <v>6.6190731207925818E-2</v>
      </c>
      <c r="E309" s="3">
        <f t="shared" si="291"/>
        <v>6.6190731207925416E-2</v>
      </c>
      <c r="F309" s="3">
        <f t="shared" si="291"/>
        <v>6.6190731207921363E-2</v>
      </c>
      <c r="G309" s="3">
        <f t="shared" si="291"/>
        <v>6.6190731207880896E-2</v>
      </c>
      <c r="H309" s="3">
        <f t="shared" si="291"/>
        <v>6.6190731207476275E-2</v>
      </c>
      <c r="I309" s="3">
        <f t="shared" si="291"/>
        <v>6.6190731203430053E-2</v>
      </c>
      <c r="J309" s="3">
        <f t="shared" si="291"/>
        <v>6.6190731162967781E-2</v>
      </c>
      <c r="K309" s="3">
        <f t="shared" si="291"/>
        <v>6.6190730758345043E-2</v>
      </c>
      <c r="L309" s="3">
        <f t="shared" si="291"/>
        <v>6.619072671211787E-2</v>
      </c>
      <c r="M309" s="3">
        <f t="shared" si="291"/>
        <v>6.6190686249859756E-2</v>
      </c>
      <c r="N309" s="3">
        <f t="shared" si="291"/>
        <v>6.6190281628638881E-2</v>
      </c>
      <c r="O309" s="3">
        <f t="shared" si="291"/>
        <v>6.6186235552466638E-2</v>
      </c>
      <c r="P309" s="3">
        <f t="shared" si="291"/>
        <v>6.6145788391308552E-2</v>
      </c>
      <c r="Q309" s="3">
        <f t="shared" si="291"/>
        <v>6.5742673765006421E-2</v>
      </c>
      <c r="R309" s="3">
        <f t="shared" si="291"/>
        <v>6.1844206336856521E-2</v>
      </c>
      <c r="S309" s="3">
        <f t="shared" si="291"/>
        <v>3.3559508828017545E-2</v>
      </c>
      <c r="T309" s="3">
        <f t="shared" si="291"/>
        <v>7.4298723182299227E-5</v>
      </c>
      <c r="U309" s="3">
        <f t="shared" si="291"/>
        <v>2.1020299337013361E-31</v>
      </c>
      <c r="V309" s="3">
        <f t="shared" si="291"/>
        <v>6.9058056797265429E-297</v>
      </c>
      <c r="W309" s="3">
        <f t="shared" si="291"/>
        <v>0</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7.7756478024563841E-2</v>
      </c>
      <c r="C310" s="3">
        <f t="shared" si="292"/>
        <v>7.7756478024563841E-2</v>
      </c>
      <c r="D310" s="3">
        <f t="shared" si="292"/>
        <v>7.7756478024563827E-2</v>
      </c>
      <c r="E310" s="3">
        <f t="shared" si="292"/>
        <v>7.7756478024563785E-2</v>
      </c>
      <c r="F310" s="3">
        <f t="shared" si="292"/>
        <v>7.7756478024563314E-2</v>
      </c>
      <c r="G310" s="3">
        <f t="shared" si="292"/>
        <v>7.7756478024558554E-2</v>
      </c>
      <c r="H310" s="3">
        <f t="shared" si="292"/>
        <v>7.7756478024511022E-2</v>
      </c>
      <c r="I310" s="3">
        <f t="shared" si="292"/>
        <v>7.7756478024035694E-2</v>
      </c>
      <c r="J310" s="3">
        <f t="shared" si="292"/>
        <v>7.7756478019282468E-2</v>
      </c>
      <c r="K310" s="3">
        <f t="shared" si="292"/>
        <v>7.7756477971750074E-2</v>
      </c>
      <c r="L310" s="3">
        <f t="shared" si="292"/>
        <v>7.7756477496426141E-2</v>
      </c>
      <c r="M310" s="3">
        <f t="shared" si="292"/>
        <v>7.7756472743187005E-2</v>
      </c>
      <c r="N310" s="3">
        <f t="shared" si="292"/>
        <v>7.7756425210811594E-2</v>
      </c>
      <c r="O310" s="3">
        <f t="shared" si="292"/>
        <v>7.7755949888655543E-2</v>
      </c>
      <c r="P310" s="3">
        <f t="shared" si="292"/>
        <v>7.7751196826901556E-2</v>
      </c>
      <c r="Q310" s="3">
        <f t="shared" si="292"/>
        <v>7.7703682186402043E-2</v>
      </c>
      <c r="R310" s="3">
        <f t="shared" si="292"/>
        <v>7.7230129877650849E-2</v>
      </c>
      <c r="S310" s="3">
        <f t="shared" si="292"/>
        <v>7.2650469079612742E-2</v>
      </c>
      <c r="T310" s="3">
        <f t="shared" si="292"/>
        <v>3.9423483667278741E-2</v>
      </c>
      <c r="U310" s="3">
        <f t="shared" si="292"/>
        <v>8.7281208878469432E-5</v>
      </c>
      <c r="V310" s="3">
        <f t="shared" si="292"/>
        <v>2.4693252569364545E-31</v>
      </c>
      <c r="W310" s="3">
        <f t="shared" si="292"/>
        <v>8.1124821826000118E-297</v>
      </c>
      <c r="X310" s="3">
        <f t="shared" si="292"/>
        <v>0</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8.4379776386596134E-2</v>
      </c>
      <c r="C311" s="3">
        <f t="shared" si="293"/>
        <v>8.4379776386596134E-2</v>
      </c>
      <c r="D311" s="3">
        <f t="shared" si="293"/>
        <v>8.4379776386596134E-2</v>
      </c>
      <c r="E311" s="3">
        <f t="shared" si="293"/>
        <v>8.437977638659612E-2</v>
      </c>
      <c r="F311" s="3">
        <f t="shared" si="293"/>
        <v>8.4379776386596078E-2</v>
      </c>
      <c r="G311" s="3">
        <f t="shared" si="293"/>
        <v>8.4379776386595565E-2</v>
      </c>
      <c r="H311" s="3">
        <f t="shared" si="293"/>
        <v>8.4379776386590402E-2</v>
      </c>
      <c r="I311" s="3">
        <f t="shared" si="293"/>
        <v>8.4379776386538818E-2</v>
      </c>
      <c r="J311" s="3">
        <f t="shared" si="293"/>
        <v>8.4379776386023009E-2</v>
      </c>
      <c r="K311" s="3">
        <f t="shared" si="293"/>
        <v>8.4379776380864885E-2</v>
      </c>
      <c r="L311" s="3">
        <f t="shared" si="293"/>
        <v>8.4379776329283687E-2</v>
      </c>
      <c r="M311" s="3">
        <f t="shared" si="293"/>
        <v>8.4379775813471655E-2</v>
      </c>
      <c r="N311" s="3">
        <f t="shared" si="293"/>
        <v>8.4379770655351502E-2</v>
      </c>
      <c r="O311" s="3">
        <f t="shared" si="293"/>
        <v>8.43797190741674E-2</v>
      </c>
      <c r="P311" s="3">
        <f t="shared" si="293"/>
        <v>8.4379203264060537E-2</v>
      </c>
      <c r="Q311" s="3">
        <f t="shared" si="293"/>
        <v>8.4374045336410755E-2</v>
      </c>
      <c r="R311" s="3">
        <f t="shared" si="293"/>
        <v>8.4322483397877832E-2</v>
      </c>
      <c r="S311" s="3">
        <f t="shared" si="293"/>
        <v>8.3808593893942768E-2</v>
      </c>
      <c r="T311" s="3">
        <f t="shared" si="293"/>
        <v>7.8838837497018005E-2</v>
      </c>
      <c r="U311" s="3">
        <f t="shared" si="293"/>
        <v>4.278157679897391E-2</v>
      </c>
      <c r="V311" s="3">
        <f t="shared" si="293"/>
        <v>9.4715824006206344E-5</v>
      </c>
      <c r="W311" s="3">
        <f t="shared" si="293"/>
        <v>2.6796624319873293E-31</v>
      </c>
      <c r="X311" s="3">
        <f t="shared" si="293"/>
        <v>8.8035035780785558E-297</v>
      </c>
      <c r="Y311" s="3">
        <f t="shared" si="293"/>
        <v>0</v>
      </c>
      <c r="Z311" s="3">
        <f t="shared" si="293"/>
        <v>0</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9.8418254231933067E-2</v>
      </c>
      <c r="C312" s="3">
        <f t="shared" si="294"/>
        <v>9.8418254231933067E-2</v>
      </c>
      <c r="D312" s="3">
        <f t="shared" si="294"/>
        <v>9.8418254231933067E-2</v>
      </c>
      <c r="E312" s="3">
        <f t="shared" si="294"/>
        <v>9.8418254231933067E-2</v>
      </c>
      <c r="F312" s="3">
        <f t="shared" si="294"/>
        <v>9.8418254231933053E-2</v>
      </c>
      <c r="G312" s="3">
        <f t="shared" si="294"/>
        <v>9.8418254231932997E-2</v>
      </c>
      <c r="H312" s="3">
        <f t="shared" si="294"/>
        <v>9.8418254231932401E-2</v>
      </c>
      <c r="I312" s="3">
        <f t="shared" si="294"/>
        <v>9.8418254231926378E-2</v>
      </c>
      <c r="J312" s="3">
        <f t="shared" si="294"/>
        <v>9.8418254231866217E-2</v>
      </c>
      <c r="K312" s="3">
        <f t="shared" si="294"/>
        <v>9.8418254231264587E-2</v>
      </c>
      <c r="L312" s="3">
        <f t="shared" si="294"/>
        <v>9.8418254225248303E-2</v>
      </c>
      <c r="M312" s="3">
        <f t="shared" si="294"/>
        <v>9.84182541650854E-2</v>
      </c>
      <c r="N312" s="3">
        <f t="shared" si="294"/>
        <v>9.8418253563456418E-2</v>
      </c>
      <c r="O312" s="3">
        <f t="shared" si="294"/>
        <v>9.8418247547166701E-2</v>
      </c>
      <c r="P312" s="3">
        <f t="shared" si="294"/>
        <v>9.841818738428991E-2</v>
      </c>
      <c r="Q312" s="3">
        <f t="shared" si="294"/>
        <v>9.8417585757544654E-2</v>
      </c>
      <c r="R312" s="3">
        <f t="shared" si="294"/>
        <v>9.8411569692363102E-2</v>
      </c>
      <c r="S312" s="3">
        <f t="shared" si="294"/>
        <v>9.8351429263073817E-2</v>
      </c>
      <c r="T312" s="3">
        <f t="shared" si="294"/>
        <v>9.7752042656339008E-2</v>
      </c>
      <c r="U312" s="3">
        <f t="shared" si="294"/>
        <v>9.1955455257216517E-2</v>
      </c>
      <c r="V312" s="3">
        <f t="shared" si="294"/>
        <v>4.9899256458722098E-2</v>
      </c>
      <c r="W312" s="3">
        <f t="shared" si="294"/>
        <v>1.1047393636267828E-4</v>
      </c>
      <c r="X312" s="3">
        <f t="shared" si="294"/>
        <v>3.1254846810542461E-31</v>
      </c>
      <c r="Y312" s="3">
        <f t="shared" si="294"/>
        <v>1.0268164842123246E-296</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5.8940133460185569E-2</v>
      </c>
      <c r="C313" s="3">
        <f t="shared" si="295"/>
        <v>5.8940133460185569E-2</v>
      </c>
      <c r="D313" s="3">
        <f t="shared" si="295"/>
        <v>5.8940133460185569E-2</v>
      </c>
      <c r="E313" s="3">
        <f t="shared" si="295"/>
        <v>5.8940133460185569E-2</v>
      </c>
      <c r="F313" s="3">
        <f t="shared" si="295"/>
        <v>5.8940133460185569E-2</v>
      </c>
      <c r="G313" s="3">
        <f t="shared" si="295"/>
        <v>5.8940133460185562E-2</v>
      </c>
      <c r="H313" s="3">
        <f t="shared" si="295"/>
        <v>5.8940133460185527E-2</v>
      </c>
      <c r="I313" s="3">
        <f t="shared" si="295"/>
        <v>5.8940133460185166E-2</v>
      </c>
      <c r="J313" s="3">
        <f t="shared" si="295"/>
        <v>5.8940133460181565E-2</v>
      </c>
      <c r="K313" s="3">
        <f t="shared" si="295"/>
        <v>5.8940133460145532E-2</v>
      </c>
      <c r="L313" s="3">
        <f t="shared" si="295"/>
        <v>5.8940133459785236E-2</v>
      </c>
      <c r="M313" s="3">
        <f t="shared" si="295"/>
        <v>5.8940133456182237E-2</v>
      </c>
      <c r="N313" s="3">
        <f t="shared" si="295"/>
        <v>5.8940133420152238E-2</v>
      </c>
      <c r="O313" s="3">
        <f t="shared" si="295"/>
        <v>5.8940133059852282E-2</v>
      </c>
      <c r="P313" s="3">
        <f t="shared" si="295"/>
        <v>5.8940129456852806E-2</v>
      </c>
      <c r="Q313" s="3">
        <f t="shared" si="295"/>
        <v>5.8940093426870205E-2</v>
      </c>
      <c r="R313" s="3">
        <f t="shared" si="295"/>
        <v>5.8939733128255532E-2</v>
      </c>
      <c r="S313" s="3">
        <f t="shared" si="295"/>
        <v>5.8936130263243618E-2</v>
      </c>
      <c r="T313" s="3">
        <f t="shared" si="295"/>
        <v>5.8900113723869628E-2</v>
      </c>
      <c r="U313" s="3">
        <f t="shared" si="295"/>
        <v>5.8541156669907432E-2</v>
      </c>
      <c r="V313" s="3">
        <f t="shared" si="295"/>
        <v>5.5069731195190402E-2</v>
      </c>
      <c r="W313" s="3">
        <f t="shared" si="295"/>
        <v>2.9883367249231692E-2</v>
      </c>
      <c r="X313" s="3">
        <f t="shared" si="295"/>
        <v>6.6159968025277316E-5</v>
      </c>
      <c r="Y313" s="3">
        <f t="shared" si="295"/>
        <v>1.8717715089212729E-31</v>
      </c>
      <c r="Z313" s="3">
        <f t="shared" si="295"/>
        <v>6.149336938650577E-297</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4.2268801533997091E-2</v>
      </c>
      <c r="C314" s="3">
        <f t="shared" si="296"/>
        <v>4.2268801533997091E-2</v>
      </c>
      <c r="D314" s="3">
        <f t="shared" si="296"/>
        <v>4.2268801533997091E-2</v>
      </c>
      <c r="E314" s="3">
        <f t="shared" si="296"/>
        <v>4.2268801533997091E-2</v>
      </c>
      <c r="F314" s="3">
        <f t="shared" si="296"/>
        <v>4.2268801533997091E-2</v>
      </c>
      <c r="G314" s="3">
        <f t="shared" si="296"/>
        <v>4.2268801533997091E-2</v>
      </c>
      <c r="H314" s="3">
        <f t="shared" si="296"/>
        <v>4.2268801533997084E-2</v>
      </c>
      <c r="I314" s="3">
        <f t="shared" si="296"/>
        <v>4.2268801533997064E-2</v>
      </c>
      <c r="J314" s="3">
        <f t="shared" si="296"/>
        <v>4.2268801533996807E-2</v>
      </c>
      <c r="K314" s="3">
        <f t="shared" si="296"/>
        <v>4.2268801533994219E-2</v>
      </c>
      <c r="L314" s="3">
        <f t="shared" si="296"/>
        <v>4.2268801533968378E-2</v>
      </c>
      <c r="M314" s="3">
        <f t="shared" si="296"/>
        <v>4.2268801533709995E-2</v>
      </c>
      <c r="N314" s="3">
        <f t="shared" si="296"/>
        <v>4.226880153112611E-2</v>
      </c>
      <c r="O314" s="3">
        <f t="shared" si="296"/>
        <v>4.2268801505287265E-2</v>
      </c>
      <c r="P314" s="3">
        <f t="shared" si="296"/>
        <v>4.2268801246898857E-2</v>
      </c>
      <c r="Q314" s="3">
        <f t="shared" si="296"/>
        <v>4.2268798663014827E-2</v>
      </c>
      <c r="R314" s="3">
        <f t="shared" si="296"/>
        <v>4.2268772824183211E-2</v>
      </c>
      <c r="S314" s="3">
        <f t="shared" si="296"/>
        <v>4.2268514436735766E-2</v>
      </c>
      <c r="T314" s="3">
        <f t="shared" si="296"/>
        <v>4.2265930649132956E-2</v>
      </c>
      <c r="U314" s="3">
        <f t="shared" si="296"/>
        <v>4.2240101458302079E-2</v>
      </c>
      <c r="V314" s="3">
        <f t="shared" si="296"/>
        <v>4.1982676108503619E-2</v>
      </c>
      <c r="W314" s="3">
        <f t="shared" si="296"/>
        <v>3.9493150112944159E-2</v>
      </c>
      <c r="X314" s="3">
        <f t="shared" si="296"/>
        <v>2.1430798426654022E-2</v>
      </c>
      <c r="Y314" s="3">
        <f t="shared" si="296"/>
        <v>4.7446491783821551E-5</v>
      </c>
      <c r="Z314" s="3">
        <f t="shared" si="296"/>
        <v>1.3423372799287593E-31</v>
      </c>
      <c r="AA314" s="3">
        <f t="shared" si="296"/>
        <v>4.4099849689190052E-297</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2.0342268571851365E-2</v>
      </c>
      <c r="C315" s="3">
        <f t="shared" si="297"/>
        <v>2.0342268571851365E-2</v>
      </c>
      <c r="D315" s="3">
        <f t="shared" si="297"/>
        <v>2.0342268571851365E-2</v>
      </c>
      <c r="E315" s="3">
        <f t="shared" si="297"/>
        <v>2.0342268571851365E-2</v>
      </c>
      <c r="F315" s="3">
        <f t="shared" si="297"/>
        <v>2.0342268571851365E-2</v>
      </c>
      <c r="G315" s="3">
        <f t="shared" si="297"/>
        <v>2.0342268571851365E-2</v>
      </c>
      <c r="H315" s="3">
        <f t="shared" si="297"/>
        <v>2.0342268571851365E-2</v>
      </c>
      <c r="I315" s="3">
        <f t="shared" si="297"/>
        <v>2.0342268571851362E-2</v>
      </c>
      <c r="J315" s="3">
        <f t="shared" si="297"/>
        <v>2.0342268571851351E-2</v>
      </c>
      <c r="K315" s="3">
        <f t="shared" si="297"/>
        <v>2.0342268571851226E-2</v>
      </c>
      <c r="L315" s="3">
        <f t="shared" si="297"/>
        <v>2.0342268571849984E-2</v>
      </c>
      <c r="M315" s="3">
        <f t="shared" si="297"/>
        <v>2.0342268571837546E-2</v>
      </c>
      <c r="N315" s="3">
        <f t="shared" si="297"/>
        <v>2.0342268571713194E-2</v>
      </c>
      <c r="O315" s="3">
        <f t="shared" si="297"/>
        <v>2.0342268570469679E-2</v>
      </c>
      <c r="P315" s="3">
        <f t="shared" si="297"/>
        <v>2.0342268558034483E-2</v>
      </c>
      <c r="Q315" s="3">
        <f t="shared" si="297"/>
        <v>2.0342268433682569E-2</v>
      </c>
      <c r="R315" s="3">
        <f t="shared" si="297"/>
        <v>2.0342267190163448E-2</v>
      </c>
      <c r="S315" s="3">
        <f t="shared" si="297"/>
        <v>2.0342254754976426E-2</v>
      </c>
      <c r="T315" s="3">
        <f t="shared" si="297"/>
        <v>2.0342130403524273E-2</v>
      </c>
      <c r="U315" s="3">
        <f t="shared" si="297"/>
        <v>2.034088693081056E-2</v>
      </c>
      <c r="V315" s="3">
        <f t="shared" si="297"/>
        <v>2.0328456383508369E-2</v>
      </c>
      <c r="W315" s="3">
        <f t="shared" si="297"/>
        <v>2.0204567950130588E-2</v>
      </c>
      <c r="X315" s="3">
        <f t="shared" si="297"/>
        <v>1.9006459544394411E-2</v>
      </c>
      <c r="Y315" s="3">
        <f t="shared" si="297"/>
        <v>1.0313778519449323E-2</v>
      </c>
      <c r="Z315" s="3">
        <f t="shared" si="297"/>
        <v>2.2834081961901494E-5</v>
      </c>
      <c r="AA315" s="3">
        <f t="shared" si="297"/>
        <v>6.4601276760488917E-32</v>
      </c>
      <c r="AB315" s="3">
        <f t="shared" si="297"/>
        <v>2.1223478163539684E-297</v>
      </c>
      <c r="AC315" s="3">
        <f t="shared" si="297"/>
        <v>0</v>
      </c>
      <c r="AD315" s="3">
        <f t="shared" si="297"/>
        <v>0</v>
      </c>
      <c r="AE315" s="3">
        <f t="shared" si="297"/>
        <v>0</v>
      </c>
      <c r="AF315" s="3">
        <f t="shared" si="297"/>
        <v>0</v>
      </c>
      <c r="AG315" s="3"/>
      <c r="AH315" s="3"/>
    </row>
    <row r="316" spans="1:34" x14ac:dyDescent="0.25">
      <c r="B316" s="3">
        <f t="shared" ref="B316:AF316" si="298">$C46*EXP(-B$285/$A46/EXP(-$F$126))</f>
        <v>5.9170897395369676E-3</v>
      </c>
      <c r="C316" s="3">
        <f t="shared" si="298"/>
        <v>5.9170897395369676E-3</v>
      </c>
      <c r="D316" s="3">
        <f t="shared" si="298"/>
        <v>5.9170897395369676E-3</v>
      </c>
      <c r="E316" s="3">
        <f t="shared" si="298"/>
        <v>5.9170897395369676E-3</v>
      </c>
      <c r="F316" s="3">
        <f t="shared" si="298"/>
        <v>5.9170897395369676E-3</v>
      </c>
      <c r="G316" s="3">
        <f t="shared" si="298"/>
        <v>5.9170897395369676E-3</v>
      </c>
      <c r="H316" s="3">
        <f t="shared" si="298"/>
        <v>5.9170897395369676E-3</v>
      </c>
      <c r="I316" s="3">
        <f t="shared" si="298"/>
        <v>5.9170897395369676E-3</v>
      </c>
      <c r="J316" s="3">
        <f t="shared" si="298"/>
        <v>5.9170897395369668E-3</v>
      </c>
      <c r="K316" s="3">
        <f t="shared" si="298"/>
        <v>5.9170897395369633E-3</v>
      </c>
      <c r="L316" s="3">
        <f t="shared" si="298"/>
        <v>5.9170897395369277E-3</v>
      </c>
      <c r="M316" s="3">
        <f t="shared" si="298"/>
        <v>5.9170897395365652E-3</v>
      </c>
      <c r="N316" s="3">
        <f t="shared" si="298"/>
        <v>5.9170897395329483E-3</v>
      </c>
      <c r="O316" s="3">
        <f t="shared" si="298"/>
        <v>5.9170897394967776E-3</v>
      </c>
      <c r="P316" s="3">
        <f t="shared" si="298"/>
        <v>5.9170897391350669E-3</v>
      </c>
      <c r="Q316" s="3">
        <f t="shared" si="298"/>
        <v>5.9170897355179603E-3</v>
      </c>
      <c r="R316" s="3">
        <f t="shared" si="298"/>
        <v>5.9170896993468993E-3</v>
      </c>
      <c r="S316" s="3">
        <f t="shared" si="298"/>
        <v>5.917089337636296E-3</v>
      </c>
      <c r="T316" s="3">
        <f t="shared" si="298"/>
        <v>5.9170857205314842E-3</v>
      </c>
      <c r="U316" s="3">
        <f t="shared" si="298"/>
        <v>5.9170495496049707E-3</v>
      </c>
      <c r="V316" s="3">
        <f t="shared" si="298"/>
        <v>5.91668785250075E-3</v>
      </c>
      <c r="W316" s="3">
        <f t="shared" si="298"/>
        <v>5.9130720972746884E-3</v>
      </c>
      <c r="X316" s="3">
        <f t="shared" si="298"/>
        <v>5.8770358520841533E-3</v>
      </c>
      <c r="Y316" s="3">
        <f t="shared" si="298"/>
        <v>5.5285341631307197E-3</v>
      </c>
      <c r="Z316" s="3">
        <f t="shared" si="298"/>
        <v>3.0000367381707521E-3</v>
      </c>
      <c r="AA316" s="3">
        <f t="shared" si="298"/>
        <v>6.6418999243513036E-6</v>
      </c>
      <c r="AB316" s="3">
        <f t="shared" si="298"/>
        <v>1.8790999171519047E-32</v>
      </c>
      <c r="AC316" s="3">
        <f t="shared" si="298"/>
        <v>6.1734129817035596E-298</v>
      </c>
      <c r="AD316" s="3">
        <f t="shared" si="298"/>
        <v>0</v>
      </c>
      <c r="AE316" s="3">
        <f t="shared" si="298"/>
        <v>0</v>
      </c>
      <c r="AF316" s="3">
        <f t="shared" si="298"/>
        <v>0</v>
      </c>
      <c r="AG316" s="3"/>
      <c r="AH316" s="3"/>
    </row>
    <row r="317" spans="1:34" x14ac:dyDescent="0.25">
      <c r="B317" s="3">
        <f t="shared" ref="B317:AF317" si="299">$C47*EXP(-B$285/$A47/EXP(-$F$126))</f>
        <v>2.1512309521192175E-5</v>
      </c>
      <c r="C317" s="3">
        <f t="shared" si="299"/>
        <v>2.1512309521192175E-5</v>
      </c>
      <c r="D317" s="3">
        <f t="shared" si="299"/>
        <v>2.1512309521192175E-5</v>
      </c>
      <c r="E317" s="3">
        <f t="shared" si="299"/>
        <v>2.1512309521192175E-5</v>
      </c>
      <c r="F317" s="3">
        <f t="shared" si="299"/>
        <v>2.1512309521192175E-5</v>
      </c>
      <c r="G317" s="3">
        <f t="shared" si="299"/>
        <v>2.1512309521192175E-5</v>
      </c>
      <c r="H317" s="3">
        <f t="shared" si="299"/>
        <v>2.1512309521192175E-5</v>
      </c>
      <c r="I317" s="3">
        <f t="shared" si="299"/>
        <v>2.1512309521192175E-5</v>
      </c>
      <c r="J317" s="3">
        <f t="shared" si="299"/>
        <v>2.1512309521192175E-5</v>
      </c>
      <c r="K317" s="3">
        <f t="shared" si="299"/>
        <v>2.1512309521192171E-5</v>
      </c>
      <c r="L317" s="3">
        <f t="shared" si="299"/>
        <v>2.1512309521192161E-5</v>
      </c>
      <c r="M317" s="3">
        <f t="shared" si="299"/>
        <v>2.1512309521192029E-5</v>
      </c>
      <c r="N317" s="3">
        <f t="shared" si="299"/>
        <v>2.1512309521190715E-5</v>
      </c>
      <c r="O317" s="3">
        <f t="shared" si="299"/>
        <v>2.1512309521177562E-5</v>
      </c>
      <c r="P317" s="3">
        <f t="shared" si="299"/>
        <v>2.1512309521046058E-5</v>
      </c>
      <c r="Q317" s="3">
        <f t="shared" si="299"/>
        <v>2.1512309519731016E-5</v>
      </c>
      <c r="R317" s="3">
        <f t="shared" si="299"/>
        <v>2.1512309506580579E-5</v>
      </c>
      <c r="S317" s="3">
        <f t="shared" si="299"/>
        <v>2.1512309375076223E-5</v>
      </c>
      <c r="T317" s="3">
        <f t="shared" si="299"/>
        <v>2.1512308060032717E-5</v>
      </c>
      <c r="U317" s="3">
        <f t="shared" si="299"/>
        <v>2.1512294909602062E-5</v>
      </c>
      <c r="V317" s="3">
        <f t="shared" si="299"/>
        <v>2.1512163405737651E-5</v>
      </c>
      <c r="W317" s="3">
        <f t="shared" si="299"/>
        <v>2.1510848411306025E-5</v>
      </c>
      <c r="X317" s="3">
        <f t="shared" si="299"/>
        <v>2.1497702887239326E-5</v>
      </c>
      <c r="Y317" s="3">
        <f t="shared" si="299"/>
        <v>2.1366688673386786E-5</v>
      </c>
      <c r="Z317" s="3">
        <f t="shared" si="299"/>
        <v>2.0099667801397922E-5</v>
      </c>
      <c r="AA317" s="3">
        <f t="shared" si="299"/>
        <v>1.0907003565493884E-5</v>
      </c>
      <c r="AB317" s="3">
        <f t="shared" si="299"/>
        <v>2.4147446341182106E-8</v>
      </c>
      <c r="AC317" s="3">
        <f t="shared" si="299"/>
        <v>6.8316995040507268E-35</v>
      </c>
      <c r="AD317" s="3">
        <f t="shared" si="299"/>
        <v>2.2444204281232561E-300</v>
      </c>
      <c r="AE317" s="3">
        <f t="shared" si="299"/>
        <v>0</v>
      </c>
      <c r="AF317" s="3">
        <f t="shared" si="299"/>
        <v>0</v>
      </c>
      <c r="AG317" s="3"/>
      <c r="AH317" s="3"/>
    </row>
    <row r="318" spans="1:34" x14ac:dyDescent="0.25">
      <c r="B318" s="3">
        <f t="shared" ref="B318:AF318" si="300">$C48*EXP(-B$285/$A48/EXP(-$F$126))</f>
        <v>1.0364109378839697E-2</v>
      </c>
      <c r="C318" s="3">
        <f t="shared" si="300"/>
        <v>1.0364109378839697E-2</v>
      </c>
      <c r="D318" s="3">
        <f t="shared" si="300"/>
        <v>1.0364109378839697E-2</v>
      </c>
      <c r="E318" s="3">
        <f t="shared" si="300"/>
        <v>1.0364109378839697E-2</v>
      </c>
      <c r="F318" s="3">
        <f t="shared" si="300"/>
        <v>1.0364109378839697E-2</v>
      </c>
      <c r="G318" s="3">
        <f t="shared" si="300"/>
        <v>1.0364109378839697E-2</v>
      </c>
      <c r="H318" s="3">
        <f t="shared" si="300"/>
        <v>1.0364109378839697E-2</v>
      </c>
      <c r="I318" s="3">
        <f t="shared" si="300"/>
        <v>1.0364109378839697E-2</v>
      </c>
      <c r="J318" s="3">
        <f t="shared" si="300"/>
        <v>1.0364109378839697E-2</v>
      </c>
      <c r="K318" s="3">
        <f t="shared" si="300"/>
        <v>1.0364109378839697E-2</v>
      </c>
      <c r="L318" s="3">
        <f t="shared" si="300"/>
        <v>1.0364109378839696E-2</v>
      </c>
      <c r="M318" s="3">
        <f t="shared" si="300"/>
        <v>1.036410937883969E-2</v>
      </c>
      <c r="N318" s="3">
        <f t="shared" si="300"/>
        <v>1.0364109378839628E-2</v>
      </c>
      <c r="O318" s="3">
        <f t="shared" si="300"/>
        <v>1.0364109378838993E-2</v>
      </c>
      <c r="P318" s="3">
        <f t="shared" si="300"/>
        <v>1.0364109378832658E-2</v>
      </c>
      <c r="Q318" s="3">
        <f t="shared" si="300"/>
        <v>1.0364109378769302E-2</v>
      </c>
      <c r="R318" s="3">
        <f t="shared" si="300"/>
        <v>1.0364109378135746E-2</v>
      </c>
      <c r="S318" s="3">
        <f t="shared" si="300"/>
        <v>1.0364109371800184E-2</v>
      </c>
      <c r="T318" s="3">
        <f t="shared" si="300"/>
        <v>1.0364109308444574E-2</v>
      </c>
      <c r="U318" s="3">
        <f t="shared" si="300"/>
        <v>1.0364108674888482E-2</v>
      </c>
      <c r="V318" s="3">
        <f t="shared" si="300"/>
        <v>1.0364102339329691E-2</v>
      </c>
      <c r="W318" s="3">
        <f t="shared" si="300"/>
        <v>1.03640389839548E-2</v>
      </c>
      <c r="X318" s="3">
        <f t="shared" si="300"/>
        <v>1.0363405451506389E-2</v>
      </c>
      <c r="Y318" s="3">
        <f t="shared" si="300"/>
        <v>1.0357072256591392E-2</v>
      </c>
      <c r="Z318" s="3">
        <f t="shared" si="300"/>
        <v>1.0293952783472397E-2</v>
      </c>
      <c r="AA318" s="3">
        <f t="shared" si="300"/>
        <v>9.6835328334605522E-3</v>
      </c>
      <c r="AB318" s="3">
        <f t="shared" si="300"/>
        <v>5.2547299878153032E-3</v>
      </c>
      <c r="AC318" s="3">
        <f t="shared" si="300"/>
        <v>1.1633654436457944E-5</v>
      </c>
      <c r="AD318" s="3">
        <f t="shared" si="300"/>
        <v>3.2913472555606288E-32</v>
      </c>
      <c r="AE318" s="3">
        <f t="shared" si="300"/>
        <v>1.081307368985947E-297</v>
      </c>
      <c r="AF318" s="3">
        <f t="shared" si="300"/>
        <v>0</v>
      </c>
      <c r="AG318" s="3"/>
      <c r="AH318" s="3"/>
    </row>
    <row r="319" spans="1:34" x14ac:dyDescent="0.25">
      <c r="A319" s="79">
        <f>AVERAGE(B319:AF319)</f>
        <v>0.1161869117771214</v>
      </c>
      <c r="B319" s="80">
        <f>IF($A$64&lt;=B285,IF($B$64&gt;=B285,ABS((B287-B286)/B286),0),0)</f>
        <v>3.8433705993164177E-3</v>
      </c>
      <c r="C319" s="80">
        <f t="shared" ref="C319:AF319" si="301">IF($A$64&lt;=C285,IF($B$64&gt;=C285,ABS((C287-C286)/C286),0),0)</f>
        <v>3.8359135863230659E-3</v>
      </c>
      <c r="D319" s="80">
        <f t="shared" si="301"/>
        <v>3.8474676220559634E-3</v>
      </c>
      <c r="E319" s="80">
        <f t="shared" si="301"/>
        <v>3.9139207705675043E-3</v>
      </c>
      <c r="F319" s="80">
        <f t="shared" si="301"/>
        <v>4.5507879958599905E-3</v>
      </c>
      <c r="G319" s="80">
        <f t="shared" si="301"/>
        <v>9.7219220301175153E-3</v>
      </c>
      <c r="H319" s="80">
        <f t="shared" si="301"/>
        <v>1.838402484500291E-2</v>
      </c>
      <c r="I319" s="80">
        <f t="shared" si="301"/>
        <v>1.7980064223749252E-2</v>
      </c>
      <c r="J319" s="80">
        <f t="shared" si="301"/>
        <v>2.2281829533292746E-2</v>
      </c>
      <c r="K319" s="80">
        <f t="shared" si="301"/>
        <v>2.4687160097739375E-2</v>
      </c>
      <c r="L319" s="80">
        <f t="shared" si="301"/>
        <v>2.6875844171091682E-2</v>
      </c>
      <c r="M319" s="80">
        <f t="shared" si="301"/>
        <v>3.2301699370716599E-2</v>
      </c>
      <c r="N319" s="80">
        <f t="shared" si="301"/>
        <v>2.3435660726371082E-2</v>
      </c>
      <c r="O319" s="80">
        <f t="shared" si="301"/>
        <v>1.7733039705950856E-2</v>
      </c>
      <c r="P319" s="80">
        <f t="shared" si="301"/>
        <v>6.4311061474356404E-2</v>
      </c>
      <c r="Q319" s="80">
        <f t="shared" si="301"/>
        <v>9.9581464137948675E-2</v>
      </c>
      <c r="R319" s="80">
        <f t="shared" si="301"/>
        <v>0.10222808887629334</v>
      </c>
      <c r="S319" s="80">
        <f t="shared" si="301"/>
        <v>5.3699623845256922E-2</v>
      </c>
      <c r="T319" s="80">
        <f t="shared" si="301"/>
        <v>1.1920715183403636E-2</v>
      </c>
      <c r="U319" s="80">
        <f t="shared" si="301"/>
        <v>0.11252198753671629</v>
      </c>
      <c r="V319" s="80">
        <f t="shared" si="301"/>
        <v>0.22515269654715092</v>
      </c>
      <c r="W319" s="80">
        <f t="shared" si="301"/>
        <v>0.28751778607953554</v>
      </c>
      <c r="X319" s="80">
        <f t="shared" si="301"/>
        <v>0.34475587171880129</v>
      </c>
      <c r="Y319" s="80">
        <f t="shared" si="301"/>
        <v>0.28218703222182084</v>
      </c>
      <c r="Z319" s="80">
        <f t="shared" si="301"/>
        <v>9.3048641664775181E-2</v>
      </c>
      <c r="AA319" s="80">
        <f t="shared" si="301"/>
        <v>3.6574534067316915E-2</v>
      </c>
      <c r="AB319" s="80">
        <f t="shared" si="301"/>
        <v>0.11916206926723133</v>
      </c>
      <c r="AC319" s="80">
        <f t="shared" si="301"/>
        <v>0.39175362810711645</v>
      </c>
      <c r="AD319" s="80">
        <f t="shared" si="301"/>
        <v>0.38870844300680069</v>
      </c>
      <c r="AE319" s="80">
        <f t="shared" si="301"/>
        <v>0.38865019122512223</v>
      </c>
      <c r="AF319" s="80">
        <f t="shared" si="301"/>
        <v>0.38662772485296182</v>
      </c>
    </row>
    <row r="320" spans="1:34" x14ac:dyDescent="0.25">
      <c r="B320" s="21">
        <f>(B287-B286)^2</f>
        <v>620.08611868917762</v>
      </c>
      <c r="C320" s="21">
        <f t="shared" ref="C320:AF320" si="302">(C287-C286)^2</f>
        <v>617.69110995868266</v>
      </c>
      <c r="D320" s="21">
        <f t="shared" si="302"/>
        <v>621.40040945251815</v>
      </c>
      <c r="E320" s="21">
        <f t="shared" si="302"/>
        <v>642.93462171401143</v>
      </c>
      <c r="F320" s="21">
        <f t="shared" si="302"/>
        <v>867.6686664426046</v>
      </c>
      <c r="G320" s="21">
        <f t="shared" si="302"/>
        <v>3902.0615504993825</v>
      </c>
      <c r="H320" s="21">
        <f t="shared" si="302"/>
        <v>13329.672151523495</v>
      </c>
      <c r="I320" s="21">
        <f t="shared" si="302"/>
        <v>12150.915461430312</v>
      </c>
      <c r="J320" s="21">
        <f t="shared" si="302"/>
        <v>17632.56519159587</v>
      </c>
      <c r="K320" s="21">
        <f t="shared" si="302"/>
        <v>20210.680060667528</v>
      </c>
      <c r="L320" s="21">
        <f t="shared" si="302"/>
        <v>22278.746195810898</v>
      </c>
      <c r="M320" s="21">
        <f t="shared" si="302"/>
        <v>29267.264160163904</v>
      </c>
      <c r="N320" s="21">
        <f t="shared" si="302"/>
        <v>13809.685217016502</v>
      </c>
      <c r="O320" s="21">
        <f t="shared" si="302"/>
        <v>7058.3473963741835</v>
      </c>
      <c r="P320" s="21">
        <f t="shared" si="302"/>
        <v>81483.281952279285</v>
      </c>
      <c r="Q320" s="21">
        <f t="shared" si="302"/>
        <v>167947.40919267363</v>
      </c>
      <c r="R320" s="21">
        <f t="shared" si="302"/>
        <v>140189.91235604751</v>
      </c>
      <c r="S320" s="21">
        <f t="shared" si="302"/>
        <v>26645.532608005506</v>
      </c>
      <c r="T320" s="21">
        <f t="shared" si="302"/>
        <v>789.12554944341275</v>
      </c>
      <c r="U320" s="21">
        <f t="shared" si="302"/>
        <v>35083.216920961269</v>
      </c>
      <c r="V320" s="21">
        <f t="shared" si="302"/>
        <v>54822.064042515267</v>
      </c>
      <c r="W320" s="21">
        <f t="shared" si="302"/>
        <v>29354.131625476122</v>
      </c>
      <c r="X320" s="21">
        <f t="shared" si="302"/>
        <v>13078.526996149869</v>
      </c>
      <c r="Y320" s="21">
        <f t="shared" si="302"/>
        <v>2957.7362203555226</v>
      </c>
      <c r="Z320" s="21">
        <f t="shared" si="302"/>
        <v>191.94138731522344</v>
      </c>
      <c r="AA320" s="21">
        <f t="shared" si="302"/>
        <v>24.063185282479836</v>
      </c>
      <c r="AB320" s="21">
        <f t="shared" si="302"/>
        <v>221.52119210495187</v>
      </c>
      <c r="AC320" s="21">
        <f t="shared" si="302"/>
        <v>2384.1931034419772</v>
      </c>
      <c r="AD320" s="21">
        <f t="shared" si="302"/>
        <v>2319.2926771891421</v>
      </c>
      <c r="AE320" s="21">
        <f t="shared" si="302"/>
        <v>2318.1557627595103</v>
      </c>
      <c r="AF320" s="21">
        <f t="shared" si="302"/>
        <v>2278.98836613401</v>
      </c>
      <c r="AG320" s="3"/>
      <c r="AH320" s="3"/>
    </row>
    <row r="321" spans="1:34" x14ac:dyDescent="0.25">
      <c r="A321" s="71">
        <f>SUM(B321:AF321)</f>
        <v>705098.81144947372</v>
      </c>
      <c r="B321" s="60">
        <f>IF($A$64&lt;=B285,IF($B$64&gt;=B285,ABS(B320),0),0)</f>
        <v>620.08611868917762</v>
      </c>
      <c r="C321" s="60">
        <f t="shared" ref="C321" si="303">IF($A$64&lt;=C285,IF($B$64&gt;=C285,ABS(C320),0),0)</f>
        <v>617.69110995868266</v>
      </c>
      <c r="D321" s="60">
        <f t="shared" ref="D321" si="304">IF($A$64&lt;=D285,IF($B$64&gt;=D285,ABS(D320),0),0)</f>
        <v>621.40040945251815</v>
      </c>
      <c r="E321" s="60">
        <f t="shared" ref="E321" si="305">IF($A$64&lt;=E285,IF($B$64&gt;=E285,ABS(E320),0),0)</f>
        <v>642.93462171401143</v>
      </c>
      <c r="F321" s="60">
        <f t="shared" ref="F321" si="306">IF($A$64&lt;=F285,IF($B$64&gt;=F285,ABS(F320),0),0)</f>
        <v>867.6686664426046</v>
      </c>
      <c r="G321" s="60">
        <f t="shared" ref="G321" si="307">IF($A$64&lt;=G285,IF($B$64&gt;=G285,ABS(G320),0),0)</f>
        <v>3902.0615504993825</v>
      </c>
      <c r="H321" s="60">
        <f t="shared" ref="H321" si="308">IF($A$64&lt;=H285,IF($B$64&gt;=H285,ABS(H320),0),0)</f>
        <v>13329.672151523495</v>
      </c>
      <c r="I321" s="60">
        <f t="shared" ref="I321" si="309">IF($A$64&lt;=I285,IF($B$64&gt;=I285,ABS(I320),0),0)</f>
        <v>12150.915461430312</v>
      </c>
      <c r="J321" s="60">
        <f t="shared" ref="J321" si="310">IF($A$64&lt;=J285,IF($B$64&gt;=J285,ABS(J320),0),0)</f>
        <v>17632.56519159587</v>
      </c>
      <c r="K321" s="60">
        <f t="shared" ref="K321" si="311">IF($A$64&lt;=K285,IF($B$64&gt;=K285,ABS(K320),0),0)</f>
        <v>20210.680060667528</v>
      </c>
      <c r="L321" s="60">
        <f t="shared" ref="L321" si="312">IF($A$64&lt;=L285,IF($B$64&gt;=L285,ABS(L320),0),0)</f>
        <v>22278.746195810898</v>
      </c>
      <c r="M321" s="60">
        <f t="shared" ref="M321" si="313">IF($A$64&lt;=M285,IF($B$64&gt;=M285,ABS(M320),0),0)</f>
        <v>29267.264160163904</v>
      </c>
      <c r="N321" s="60">
        <f t="shared" ref="N321" si="314">IF($A$64&lt;=N285,IF($B$64&gt;=N285,ABS(N320),0),0)</f>
        <v>13809.685217016502</v>
      </c>
      <c r="O321" s="60">
        <f t="shared" ref="O321" si="315">IF($A$64&lt;=O285,IF($B$64&gt;=O285,ABS(O320),0),0)</f>
        <v>7058.3473963741835</v>
      </c>
      <c r="P321" s="60">
        <f t="shared" ref="P321" si="316">IF($A$64&lt;=P285,IF($B$64&gt;=P285,ABS(P320),0),0)</f>
        <v>81483.281952279285</v>
      </c>
      <c r="Q321" s="60">
        <f t="shared" ref="Q321" si="317">IF($A$64&lt;=Q285,IF($B$64&gt;=Q285,ABS(Q320),0),0)</f>
        <v>167947.40919267363</v>
      </c>
      <c r="R321" s="60">
        <f t="shared" ref="R321" si="318">IF($A$64&lt;=R285,IF($B$64&gt;=R285,ABS(R320),0),0)</f>
        <v>140189.91235604751</v>
      </c>
      <c r="S321" s="60">
        <f t="shared" ref="S321" si="319">IF($A$64&lt;=S285,IF($B$64&gt;=S285,ABS(S320),0),0)</f>
        <v>26645.532608005506</v>
      </c>
      <c r="T321" s="60">
        <f t="shared" ref="T321" si="320">IF($A$64&lt;=T285,IF($B$64&gt;=T285,ABS(T320),0),0)</f>
        <v>789.12554944341275</v>
      </c>
      <c r="U321" s="60">
        <f t="shared" ref="U321" si="321">IF($A$64&lt;=U285,IF($B$64&gt;=U285,ABS(U320),0),0)</f>
        <v>35083.216920961269</v>
      </c>
      <c r="V321" s="60">
        <f t="shared" ref="V321" si="322">IF($A$64&lt;=V285,IF($B$64&gt;=V285,ABS(V320),0),0)</f>
        <v>54822.064042515267</v>
      </c>
      <c r="W321" s="60">
        <f t="shared" ref="W321" si="323">IF($A$64&lt;=W285,IF($B$64&gt;=W285,ABS(W320),0),0)</f>
        <v>29354.131625476122</v>
      </c>
      <c r="X321" s="60">
        <f t="shared" ref="X321" si="324">IF($A$64&lt;=X285,IF($B$64&gt;=X285,ABS(X320),0),0)</f>
        <v>13078.526996149869</v>
      </c>
      <c r="Y321" s="60">
        <f t="shared" ref="Y321" si="325">IF($A$64&lt;=Y285,IF($B$64&gt;=Y285,ABS(Y320),0),0)</f>
        <v>2957.7362203555226</v>
      </c>
      <c r="Z321" s="60">
        <f t="shared" ref="Z321" si="326">IF($A$64&lt;=Z285,IF($B$64&gt;=Z285,ABS(Z320),0),0)</f>
        <v>191.94138731522344</v>
      </c>
      <c r="AA321" s="60">
        <f t="shared" ref="AA321" si="327">IF($A$64&lt;=AA285,IF($B$64&gt;=AA285,ABS(AA320),0),0)</f>
        <v>24.063185282479836</v>
      </c>
      <c r="AB321" s="60">
        <f t="shared" ref="AB321" si="328">IF($A$64&lt;=AB285,IF($B$64&gt;=AB285,ABS(AB320),0),0)</f>
        <v>221.52119210495187</v>
      </c>
      <c r="AC321" s="60">
        <f t="shared" ref="AC321" si="329">IF($A$64&lt;=AC285,IF($B$64&gt;=AC285,ABS(AC320),0),0)</f>
        <v>2384.1931034419772</v>
      </c>
      <c r="AD321" s="60">
        <f t="shared" ref="AD321" si="330">IF($A$64&lt;=AD285,IF($B$64&gt;=AD285,ABS(AD320),0),0)</f>
        <v>2319.2926771891421</v>
      </c>
      <c r="AE321" s="60">
        <f t="shared" ref="AE321" si="331">IF($A$64&lt;=AE285,IF($B$64&gt;=AE285,ABS(AE320),0),0)</f>
        <v>2318.1557627595103</v>
      </c>
      <c r="AF321" s="60">
        <f t="shared" ref="AF321" si="332">IF($A$64&lt;=AF285,IF($B$64&gt;=AF285,ABS(AF320),0),0)</f>
        <v>2278.98836613401</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5863.6829549380891</v>
      </c>
      <c r="C325" s="26">
        <f>INDEX(Comparison!$AM$3:$AS$33,G$14,$G$122)</f>
        <v>5609.1927579282792</v>
      </c>
      <c r="D325" s="26">
        <f>INDEX(Comparison!$AM$3:$AS$33,H$14,$G$122)</f>
        <v>5370.7345311781783</v>
      </c>
      <c r="E325" s="26">
        <f>INDEX(Comparison!$AM$3:$AS$33,I$14,$G$122)</f>
        <v>5097.9534912421213</v>
      </c>
      <c r="F325" s="26">
        <f>INDEX(Comparison!$AM$3:$AS$33,J$14,$G$122)</f>
        <v>4821.046341164677</v>
      </c>
      <c r="G325" s="26">
        <f>INDEX(Comparison!$AM$3:$AS$33,K$14,$G$122)</f>
        <v>4535.3452020984814</v>
      </c>
      <c r="H325" s="26">
        <f>INDEX(Comparison!$AM$3:$AS$33,L$14,$G$122)</f>
        <v>4228.4929725950406</v>
      </c>
      <c r="I325" s="26">
        <f>INDEX(Comparison!$AM$3:$AS$33,M$14,$G$122)</f>
        <v>3871.0057883923755</v>
      </c>
      <c r="J325" s="26">
        <f>INDEX(Comparison!$AM$3:$AS$33,N$14,$G$122)</f>
        <v>3401.7561264704505</v>
      </c>
      <c r="K325" s="26">
        <f>INDEX(Comparison!$AM$3:$AS$33,O$14,$G$122)</f>
        <v>2827.0529060658037</v>
      </c>
      <c r="L325" s="26">
        <f>INDEX(Comparison!$AM$3:$AS$33,P$14,$G$122)</f>
        <v>2150.7951483518323</v>
      </c>
      <c r="M325" s="26">
        <f>INDEX(Comparison!$AM$3:$AS$33,Q$14,$G$122)</f>
        <v>1410.5199057082755</v>
      </c>
      <c r="N325" s="26">
        <f>INDEX(Comparison!$AM$3:$AS$33,R$14,$G$122)</f>
        <v>826.67973456797017</v>
      </c>
      <c r="O325" s="26">
        <f>INDEX(Comparison!$AM$3:$AS$33,S$14,$G$122)</f>
        <v>463.10914863390207</v>
      </c>
      <c r="P325" s="26">
        <f>INDEX(Comparison!$AM$3:$AS$33,T$14,$G$122)</f>
        <v>257.27368574751409</v>
      </c>
      <c r="Q325" s="26">
        <f>INDEX(Comparison!$AM$3:$AS$33,U$14,$G$122)</f>
        <v>179.98076982609024</v>
      </c>
      <c r="R325" s="26">
        <f>INDEX(Comparison!$AM$3:$AS$33,V$14,$G$122)</f>
        <v>157.55849658546879</v>
      </c>
      <c r="S325" s="26">
        <f>INDEX(Comparison!$AM$3:$AS$33,W$14,$G$122)</f>
        <v>143.13037816485394</v>
      </c>
      <c r="T325" s="26">
        <f>INDEX(Comparison!$AM$3:$AS$33,X$14,$G$122)</f>
        <v>139.03929298884987</v>
      </c>
      <c r="U325" s="26">
        <f>INDEX(Comparison!$AM$3:$AS$33,Y$14,$G$122)</f>
        <v>135.60631839895524</v>
      </c>
      <c r="V325" s="26">
        <f>INDEX(Comparison!$AM$3:$AS$33,Z$14,$G$122)</f>
        <v>132.22937471479068</v>
      </c>
      <c r="W325" s="26">
        <f>INDEX(Comparison!$AM$3:$AS$33,AA$14,$G$122)</f>
        <v>129.58780540541244</v>
      </c>
      <c r="X325" s="26">
        <f>INDEX(Comparison!$AM$3:$AS$33,AB$14,$G$122)</f>
        <v>127.7135675720335</v>
      </c>
      <c r="Y325" s="26">
        <f>INDEX(Comparison!$AM$3:$AS$33,AC$14,$G$122)</f>
        <v>126.4367312836393</v>
      </c>
      <c r="Z325" s="26">
        <f>INDEX(Comparison!$AM$3:$AS$33,AD$14,$G$122)</f>
        <v>125.52960401951817</v>
      </c>
      <c r="AA325" s="26">
        <f>INDEX(Comparison!$AM$3:$AS$33,AE$14,$G$122)</f>
        <v>124.83927834622055</v>
      </c>
      <c r="AB325" s="26">
        <f>INDEX(Comparison!$AM$3:$AS$33,AF$14,$G$122)</f>
        <v>124.70417941781746</v>
      </c>
      <c r="AC325" s="26">
        <f>INDEX(Comparison!$AM$3:$AS$33,AG$14,$G$122)</f>
        <v>123.9260383626436</v>
      </c>
      <c r="AD325" s="26">
        <f>INDEX(Comparison!$AM$3:$AS$33,AH$14,$G$122)</f>
        <v>123.91358498832378</v>
      </c>
      <c r="AE325" s="26">
        <f>INDEX(Comparison!$AM$3:$AS$33,AI$14,$G$122)</f>
        <v>123.65466987195585</v>
      </c>
      <c r="AF325" s="26">
        <f>INDEX(Comparison!$AM$3:$AS$33,AJ$14,$G$122)</f>
        <v>123.64094316844046</v>
      </c>
      <c r="AG325" s="26"/>
      <c r="AH325" s="26"/>
    </row>
    <row r="326" spans="1:34" x14ac:dyDescent="0.25">
      <c r="A326" s="77" t="s">
        <v>22</v>
      </c>
      <c r="B326" s="27">
        <f>($C$17+SUM(B327:B357))*$B$51</f>
        <v>6000.1858423866988</v>
      </c>
      <c r="C326" s="27">
        <f t="shared" ref="C326:AF326" si="333">($C$17+SUM(C327:C357))*$B$51</f>
        <v>5810.1258728675475</v>
      </c>
      <c r="D326" s="27">
        <f t="shared" si="333"/>
        <v>5601.917652034982</v>
      </c>
      <c r="E326" s="27">
        <f t="shared" si="333"/>
        <v>5331.4732766034558</v>
      </c>
      <c r="F326" s="27">
        <f t="shared" si="333"/>
        <v>4927.7869292882278</v>
      </c>
      <c r="G326" s="27">
        <f t="shared" si="333"/>
        <v>4437.1818049139929</v>
      </c>
      <c r="H326" s="27">
        <f t="shared" si="333"/>
        <v>3963.6816467488607</v>
      </c>
      <c r="I326" s="27">
        <f t="shared" si="333"/>
        <v>3529.0096431119691</v>
      </c>
      <c r="J326" s="27">
        <f t="shared" si="333"/>
        <v>3137.4780776830448</v>
      </c>
      <c r="K326" s="27">
        <f t="shared" si="333"/>
        <v>2637.6867307118546</v>
      </c>
      <c r="L326" s="27">
        <f t="shared" si="333"/>
        <v>2132.4031329111513</v>
      </c>
      <c r="M326" s="27">
        <f t="shared" si="333"/>
        <v>1577.3287514661831</v>
      </c>
      <c r="N326" s="27">
        <f t="shared" si="333"/>
        <v>996.05726271462163</v>
      </c>
      <c r="O326" s="27">
        <f t="shared" si="333"/>
        <v>595.86299501984809</v>
      </c>
      <c r="P326" s="27">
        <f t="shared" si="333"/>
        <v>331.10592581351574</v>
      </c>
      <c r="Q326" s="27">
        <f t="shared" si="333"/>
        <v>194.58821454117364</v>
      </c>
      <c r="R326" s="27">
        <f t="shared" si="333"/>
        <v>147.8171226849031</v>
      </c>
      <c r="S326" s="27">
        <f t="shared" si="333"/>
        <v>131.53887231349231</v>
      </c>
      <c r="T326" s="27">
        <f t="shared" si="333"/>
        <v>85.610209459939909</v>
      </c>
      <c r="U326" s="27">
        <f t="shared" si="333"/>
        <v>75.735972019743429</v>
      </c>
      <c r="V326" s="27">
        <f t="shared" si="333"/>
        <v>75.735971721502636</v>
      </c>
      <c r="W326" s="27">
        <f t="shared" si="333"/>
        <v>75.735971721502636</v>
      </c>
      <c r="X326" s="27">
        <f t="shared" si="333"/>
        <v>75.735971721502636</v>
      </c>
      <c r="Y326" s="27">
        <f t="shared" si="333"/>
        <v>75.735971721502636</v>
      </c>
      <c r="Z326" s="27">
        <f t="shared" si="333"/>
        <v>75.735971721502636</v>
      </c>
      <c r="AA326" s="27">
        <f t="shared" si="333"/>
        <v>75.735971721502636</v>
      </c>
      <c r="AB326" s="27">
        <f t="shared" si="333"/>
        <v>75.735971721502636</v>
      </c>
      <c r="AC326" s="27">
        <f t="shared" si="333"/>
        <v>75.735971721502636</v>
      </c>
      <c r="AD326" s="27">
        <f t="shared" si="333"/>
        <v>75.735971721502636</v>
      </c>
      <c r="AE326" s="27">
        <f t="shared" si="333"/>
        <v>75.735971721502636</v>
      </c>
      <c r="AF326" s="27">
        <f t="shared" si="333"/>
        <v>75.735971721502636</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0</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0</v>
      </c>
      <c r="C333" s="3">
        <f t="shared" si="340"/>
        <v>0</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0</v>
      </c>
      <c r="C334" s="3">
        <f t="shared" si="341"/>
        <v>0</v>
      </c>
      <c r="D334" s="3">
        <f t="shared" si="341"/>
        <v>0</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0</v>
      </c>
      <c r="C335" s="3">
        <f t="shared" si="342"/>
        <v>0</v>
      </c>
      <c r="D335" s="3">
        <f t="shared" si="342"/>
        <v>0</v>
      </c>
      <c r="E335" s="3">
        <f t="shared" si="342"/>
        <v>0</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0</v>
      </c>
      <c r="C336" s="3">
        <f t="shared" si="343"/>
        <v>0</v>
      </c>
      <c r="D336" s="3">
        <f t="shared" si="343"/>
        <v>0</v>
      </c>
      <c r="E336" s="3">
        <f t="shared" si="343"/>
        <v>0</v>
      </c>
      <c r="F336" s="3">
        <f t="shared" si="343"/>
        <v>0</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6.3646885394583735E-87</v>
      </c>
      <c r="C337" s="3">
        <f t="shared" si="344"/>
        <v>0</v>
      </c>
      <c r="D337" s="3">
        <f t="shared" si="344"/>
        <v>0</v>
      </c>
      <c r="E337" s="3">
        <f t="shared" si="344"/>
        <v>0</v>
      </c>
      <c r="F337" s="3">
        <f t="shared" si="344"/>
        <v>0</v>
      </c>
      <c r="G337" s="3">
        <f t="shared" si="344"/>
        <v>0</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4.2190938518707682E-10</v>
      </c>
      <c r="C338" s="3">
        <f t="shared" si="345"/>
        <v>7.7549107561417865E-79</v>
      </c>
      <c r="D338" s="3">
        <f t="shared" si="345"/>
        <v>0</v>
      </c>
      <c r="E338" s="3">
        <f t="shared" si="345"/>
        <v>0</v>
      </c>
      <c r="F338" s="3">
        <f t="shared" si="345"/>
        <v>0</v>
      </c>
      <c r="G338" s="3">
        <f t="shared" si="345"/>
        <v>0</v>
      </c>
      <c r="H338" s="3">
        <f t="shared" si="345"/>
        <v>0</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6.2818812737222614E-3</v>
      </c>
      <c r="C339" s="3">
        <f t="shared" si="346"/>
        <v>3.9587944775204478E-9</v>
      </c>
      <c r="D339" s="3">
        <f t="shared" si="346"/>
        <v>3.9110671516329234E-71</v>
      </c>
      <c r="E339" s="3">
        <f t="shared" si="346"/>
        <v>0</v>
      </c>
      <c r="F339" s="3">
        <f t="shared" si="346"/>
        <v>0</v>
      </c>
      <c r="G339" s="3">
        <f t="shared" si="346"/>
        <v>0</v>
      </c>
      <c r="H339" s="3">
        <f t="shared" si="346"/>
        <v>0</v>
      </c>
      <c r="I339" s="3">
        <f t="shared" si="346"/>
        <v>0</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2.5940598172377895E-2</v>
      </c>
      <c r="C340" s="3">
        <f t="shared" si="347"/>
        <v>7.1555148685084544E-3</v>
      </c>
      <c r="D340" s="3">
        <f t="shared" si="347"/>
        <v>1.8249455423400344E-8</v>
      </c>
      <c r="E340" s="3">
        <f t="shared" si="347"/>
        <v>2.1249079327993795E-64</v>
      </c>
      <c r="F340" s="3">
        <f t="shared" si="347"/>
        <v>0</v>
      </c>
      <c r="G340" s="3">
        <f t="shared" si="347"/>
        <v>0</v>
      </c>
      <c r="H340" s="3">
        <f t="shared" si="347"/>
        <v>0</v>
      </c>
      <c r="I340" s="3">
        <f t="shared" si="347"/>
        <v>0</v>
      </c>
      <c r="J340" s="3">
        <f t="shared" si="347"/>
        <v>0</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3.2232979549361974E-2</v>
      </c>
      <c r="C341" s="3">
        <f t="shared" si="348"/>
        <v>2.8697456930245759E-2</v>
      </c>
      <c r="D341" s="3">
        <f t="shared" si="348"/>
        <v>8.979931294875728E-3</v>
      </c>
      <c r="E341" s="3">
        <f t="shared" si="348"/>
        <v>8.0829338653782536E-8</v>
      </c>
      <c r="F341" s="3">
        <f t="shared" si="348"/>
        <v>2.8218189161728271E-58</v>
      </c>
      <c r="G341" s="3">
        <f t="shared" si="348"/>
        <v>0</v>
      </c>
      <c r="H341" s="3">
        <f t="shared" si="348"/>
        <v>0</v>
      </c>
      <c r="I341" s="3">
        <f t="shared" si="348"/>
        <v>0</v>
      </c>
      <c r="J341" s="3">
        <f t="shared" si="348"/>
        <v>0</v>
      </c>
      <c r="K341" s="3">
        <f t="shared" si="348"/>
        <v>0</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4.3300174724549799E-2</v>
      </c>
      <c r="C342" s="3">
        <f t="shared" si="349"/>
        <v>4.2848734906409405E-2</v>
      </c>
      <c r="D342" s="3">
        <f t="shared" si="349"/>
        <v>3.8585271145582044E-2</v>
      </c>
      <c r="E342" s="3">
        <f t="shared" si="349"/>
        <v>1.3528731590667011E-2</v>
      </c>
      <c r="F342" s="3">
        <f t="shared" si="349"/>
        <v>3.7985016616842808E-7</v>
      </c>
      <c r="G342" s="3">
        <f t="shared" si="349"/>
        <v>1.1565508260437725E-52</v>
      </c>
      <c r="H342" s="3">
        <f t="shared" si="349"/>
        <v>0</v>
      </c>
      <c r="I342" s="3">
        <f t="shared" si="349"/>
        <v>0</v>
      </c>
      <c r="J342" s="3">
        <f t="shared" si="349"/>
        <v>0</v>
      </c>
      <c r="K342" s="3">
        <f t="shared" si="349"/>
        <v>0</v>
      </c>
      <c r="L342" s="3">
        <f t="shared" si="349"/>
        <v>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7.4505107968296805E-2</v>
      </c>
      <c r="C343" s="3">
        <f t="shared" si="350"/>
        <v>7.4434701687136673E-2</v>
      </c>
      <c r="D343" s="3">
        <f t="shared" si="350"/>
        <v>7.3734287833225304E-2</v>
      </c>
      <c r="E343" s="3">
        <f t="shared" si="350"/>
        <v>6.7082597047220499E-2</v>
      </c>
      <c r="F343" s="3">
        <f t="shared" si="350"/>
        <v>2.6062354288958606E-2</v>
      </c>
      <c r="G343" s="3">
        <f t="shared" si="350"/>
        <v>2.0419796542365299E-6</v>
      </c>
      <c r="H343" s="3">
        <f t="shared" si="350"/>
        <v>1.780037181088832E-47</v>
      </c>
      <c r="I343" s="3">
        <f t="shared" si="350"/>
        <v>0</v>
      </c>
      <c r="J343" s="3">
        <f t="shared" si="350"/>
        <v>0</v>
      </c>
      <c r="K343" s="3">
        <f t="shared" si="350"/>
        <v>0</v>
      </c>
      <c r="L343" s="3">
        <f t="shared" si="350"/>
        <v>0</v>
      </c>
      <c r="M343" s="3">
        <f t="shared" si="350"/>
        <v>0</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8.305644249740407E-2</v>
      </c>
      <c r="C344" s="3">
        <f t="shared" si="351"/>
        <v>8.304935925611942E-2</v>
      </c>
      <c r="D344" s="3">
        <f t="shared" si="351"/>
        <v>8.2978560058890247E-2</v>
      </c>
      <c r="E344" s="3">
        <f t="shared" si="351"/>
        <v>8.2273879190748245E-2</v>
      </c>
      <c r="F344" s="3">
        <f t="shared" si="351"/>
        <v>7.5547966570564604E-2</v>
      </c>
      <c r="G344" s="3">
        <f t="shared" si="351"/>
        <v>3.2198143209250726E-2</v>
      </c>
      <c r="H344" s="3">
        <f t="shared" si="351"/>
        <v>6.3666548982459894E-6</v>
      </c>
      <c r="I344" s="3">
        <f t="shared" si="351"/>
        <v>5.8172285985110953E-43</v>
      </c>
      <c r="J344" s="3">
        <f t="shared" si="351"/>
        <v>0</v>
      </c>
      <c r="K344" s="3">
        <f t="shared" si="351"/>
        <v>0</v>
      </c>
      <c r="L344" s="3">
        <f t="shared" si="351"/>
        <v>0</v>
      </c>
      <c r="M344" s="3">
        <f t="shared" si="351"/>
        <v>0</v>
      </c>
      <c r="N344" s="3">
        <f t="shared" si="351"/>
        <v>0</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7.1718918062913264E-2</v>
      </c>
      <c r="C345" s="3">
        <f t="shared" si="352"/>
        <v>7.1718366295713876E-2</v>
      </c>
      <c r="D345" s="3">
        <f t="shared" si="352"/>
        <v>7.1712848857189732E-2</v>
      </c>
      <c r="E345" s="3">
        <f t="shared" si="352"/>
        <v>7.1657697812282872E-2</v>
      </c>
      <c r="F345" s="3">
        <f t="shared" si="352"/>
        <v>7.1108514766279649E-2</v>
      </c>
      <c r="G345" s="3">
        <f t="shared" si="352"/>
        <v>6.5842933577989454E-2</v>
      </c>
      <c r="H345" s="3">
        <f t="shared" si="352"/>
        <v>3.0505968544437847E-2</v>
      </c>
      <c r="I345" s="3">
        <f t="shared" si="352"/>
        <v>1.3904048580459377E-5</v>
      </c>
      <c r="J345" s="3">
        <f t="shared" si="352"/>
        <v>5.3790534609823122E-39</v>
      </c>
      <c r="K345" s="3">
        <f t="shared" si="352"/>
        <v>0</v>
      </c>
      <c r="L345" s="3">
        <f t="shared" si="352"/>
        <v>0</v>
      </c>
      <c r="M345" s="3">
        <f t="shared" si="352"/>
        <v>0</v>
      </c>
      <c r="N345" s="3">
        <f t="shared" si="352"/>
        <v>0</v>
      </c>
      <c r="O345" s="3">
        <f t="shared" si="352"/>
        <v>0</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7.053277703136776E-2</v>
      </c>
      <c r="C346" s="3">
        <f t="shared" si="353"/>
        <v>7.0532728080404256E-2</v>
      </c>
      <c r="D346" s="3">
        <f t="shared" si="353"/>
        <v>7.0532238572637615E-2</v>
      </c>
      <c r="E346" s="3">
        <f t="shared" si="353"/>
        <v>7.0527343681816609E-2</v>
      </c>
      <c r="F346" s="3">
        <f t="shared" si="353"/>
        <v>7.0478413453337829E-2</v>
      </c>
      <c r="G346" s="3">
        <f t="shared" si="353"/>
        <v>6.9990974353868182E-2</v>
      </c>
      <c r="H346" s="3">
        <f t="shared" si="353"/>
        <v>6.5298205005295817E-2</v>
      </c>
      <c r="I346" s="3">
        <f t="shared" si="353"/>
        <v>3.2620700216909243E-2</v>
      </c>
      <c r="J346" s="3">
        <f t="shared" si="353"/>
        <v>3.1580110109489207E-5</v>
      </c>
      <c r="K346" s="3">
        <f t="shared" si="353"/>
        <v>2.2835853486184925E-35</v>
      </c>
      <c r="L346" s="3">
        <f t="shared" si="353"/>
        <v>0</v>
      </c>
      <c r="M346" s="3">
        <f t="shared" si="353"/>
        <v>0</v>
      </c>
      <c r="N346" s="3">
        <f t="shared" si="353"/>
        <v>0</v>
      </c>
      <c r="O346" s="3">
        <f t="shared" si="353"/>
        <v>0</v>
      </c>
      <c r="P346" s="3">
        <f t="shared" si="353"/>
        <v>0</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3.5919956729038478E-2</v>
      </c>
      <c r="C347" s="3">
        <f t="shared" si="354"/>
        <v>3.5919954480228319E-2</v>
      </c>
      <c r="D347" s="3">
        <f t="shared" si="354"/>
        <v>3.5919931992134495E-2</v>
      </c>
      <c r="E347" s="3">
        <f t="shared" si="354"/>
        <v>3.5919707111970595E-2</v>
      </c>
      <c r="F347" s="3">
        <f t="shared" si="354"/>
        <v>3.5917458387763779E-2</v>
      </c>
      <c r="G347" s="3">
        <f t="shared" si="354"/>
        <v>3.5894978887117367E-2</v>
      </c>
      <c r="H347" s="3">
        <f t="shared" si="354"/>
        <v>3.5670956232584761E-2</v>
      </c>
      <c r="I347" s="3">
        <f t="shared" si="354"/>
        <v>3.3506205349222183E-2</v>
      </c>
      <c r="J347" s="3">
        <f t="shared" si="354"/>
        <v>1.7915551743825139E-2</v>
      </c>
      <c r="K347" s="3">
        <f t="shared" si="354"/>
        <v>3.4219968530059158E-5</v>
      </c>
      <c r="L347" s="3">
        <f t="shared" si="354"/>
        <v>2.2119422674444429E-32</v>
      </c>
      <c r="M347" s="3">
        <f t="shared" si="354"/>
        <v>2.8165379329277133E-304</v>
      </c>
      <c r="N347" s="3">
        <f t="shared" si="354"/>
        <v>0</v>
      </c>
      <c r="O347" s="3">
        <f t="shared" si="354"/>
        <v>0</v>
      </c>
      <c r="P347" s="3">
        <f t="shared" si="354"/>
        <v>0</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6.6190731080580087E-2</v>
      </c>
      <c r="C348" s="3">
        <f t="shared" si="355"/>
        <v>6.6190729934468145E-2</v>
      </c>
      <c r="D348" s="3">
        <f t="shared" si="355"/>
        <v>6.6190718473349786E-2</v>
      </c>
      <c r="E348" s="3">
        <f t="shared" si="355"/>
        <v>6.6190603862275363E-2</v>
      </c>
      <c r="F348" s="3">
        <f t="shared" si="355"/>
        <v>6.6189457762445988E-2</v>
      </c>
      <c r="G348" s="3">
        <f t="shared" si="355"/>
        <v>6.6177997855564094E-2</v>
      </c>
      <c r="H348" s="3">
        <f t="shared" si="355"/>
        <v>6.6063507858043921E-2</v>
      </c>
      <c r="I348" s="3">
        <f t="shared" si="355"/>
        <v>6.4929445456936796E-2</v>
      </c>
      <c r="J348" s="3">
        <f t="shared" si="355"/>
        <v>5.4606246882092084E-2</v>
      </c>
      <c r="K348" s="3">
        <f t="shared" si="355"/>
        <v>9.6660419085820067E-3</v>
      </c>
      <c r="L348" s="3">
        <f t="shared" si="355"/>
        <v>2.9195245311080275E-10</v>
      </c>
      <c r="M348" s="3">
        <f t="shared" si="355"/>
        <v>1.844788907084312E-85</v>
      </c>
      <c r="N348" s="3">
        <f t="shared" si="355"/>
        <v>0</v>
      </c>
      <c r="O348" s="3">
        <f t="shared" si="355"/>
        <v>0</v>
      </c>
      <c r="P348" s="3">
        <f t="shared" si="355"/>
        <v>0</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7.7756478009604113E-2</v>
      </c>
      <c r="C349" s="3">
        <f t="shared" si="356"/>
        <v>7.7756477874966479E-2</v>
      </c>
      <c r="D349" s="3">
        <f t="shared" si="356"/>
        <v>7.7756476528590232E-2</v>
      </c>
      <c r="E349" s="3">
        <f t="shared" si="356"/>
        <v>7.7756463064829043E-2</v>
      </c>
      <c r="F349" s="3">
        <f t="shared" si="356"/>
        <v>7.7756328427345422E-2</v>
      </c>
      <c r="G349" s="3">
        <f t="shared" si="356"/>
        <v>7.7754982065331116E-2</v>
      </c>
      <c r="H349" s="3">
        <f t="shared" si="356"/>
        <v>7.7741519727306377E-2</v>
      </c>
      <c r="I349" s="3">
        <f t="shared" si="356"/>
        <v>7.7607024476781888E-2</v>
      </c>
      <c r="J349" s="3">
        <f t="shared" si="356"/>
        <v>7.6274803234306618E-2</v>
      </c>
      <c r="K349" s="3">
        <f t="shared" si="356"/>
        <v>6.4147794686741186E-2</v>
      </c>
      <c r="L349" s="3">
        <f t="shared" si="356"/>
        <v>1.1355024510730461E-2</v>
      </c>
      <c r="M349" s="3">
        <f t="shared" si="356"/>
        <v>3.429663653845452E-10</v>
      </c>
      <c r="N349" s="3">
        <f t="shared" si="356"/>
        <v>2.1671355716415479E-85</v>
      </c>
      <c r="O349" s="3">
        <f t="shared" si="356"/>
        <v>0</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8.4379776384972738E-2</v>
      </c>
      <c r="C350" s="3">
        <f t="shared" si="357"/>
        <v>8.4379776370362133E-2</v>
      </c>
      <c r="D350" s="3">
        <f t="shared" si="357"/>
        <v>8.4379776224256062E-2</v>
      </c>
      <c r="E350" s="3">
        <f t="shared" si="357"/>
        <v>8.437977476319547E-2</v>
      </c>
      <c r="F350" s="3">
        <f t="shared" si="357"/>
        <v>8.4379760152590827E-2</v>
      </c>
      <c r="G350" s="3">
        <f t="shared" si="357"/>
        <v>8.4379614046683635E-2</v>
      </c>
      <c r="H350" s="3">
        <f t="shared" si="357"/>
        <v>8.4378153001525888E-2</v>
      </c>
      <c r="I350" s="3">
        <f t="shared" si="357"/>
        <v>8.436354394127743E-2</v>
      </c>
      <c r="J350" s="3">
        <f t="shared" si="357"/>
        <v>8.4217592382608189E-2</v>
      </c>
      <c r="K350" s="3">
        <f t="shared" si="357"/>
        <v>8.2771892507904177E-2</v>
      </c>
      <c r="L350" s="3">
        <f t="shared" si="357"/>
        <v>6.9611905128349111E-2</v>
      </c>
      <c r="M350" s="3">
        <f t="shared" si="357"/>
        <v>1.2322245726935738E-2</v>
      </c>
      <c r="N350" s="3">
        <f t="shared" si="357"/>
        <v>3.7218024728601227E-10</v>
      </c>
      <c r="O350" s="3">
        <f t="shared" si="357"/>
        <v>2.351732223221124E-85</v>
      </c>
      <c r="P350" s="3">
        <f t="shared" si="357"/>
        <v>0</v>
      </c>
      <c r="Q350" s="3">
        <f t="shared" si="357"/>
        <v>0</v>
      </c>
      <c r="R350" s="3">
        <f t="shared" si="357"/>
        <v>0</v>
      </c>
      <c r="S350" s="3">
        <f t="shared" si="357"/>
        <v>0</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9.8418254231743718E-2</v>
      </c>
      <c r="C351" s="3">
        <f t="shared" si="358"/>
        <v>9.8418254230039581E-2</v>
      </c>
      <c r="D351" s="3">
        <f t="shared" si="358"/>
        <v>9.8418254212998171E-2</v>
      </c>
      <c r="E351" s="3">
        <f t="shared" si="358"/>
        <v>9.8418254042584058E-2</v>
      </c>
      <c r="F351" s="3">
        <f t="shared" si="358"/>
        <v>9.8418252338443105E-2</v>
      </c>
      <c r="G351" s="3">
        <f t="shared" si="358"/>
        <v>9.8418235297035042E-2</v>
      </c>
      <c r="H351" s="3">
        <f t="shared" si="358"/>
        <v>9.8418064883116746E-2</v>
      </c>
      <c r="I351" s="3">
        <f t="shared" si="358"/>
        <v>9.8416360760162913E-2</v>
      </c>
      <c r="J351" s="3">
        <f t="shared" si="358"/>
        <v>9.839932115343257E-2</v>
      </c>
      <c r="K351" s="3">
        <f t="shared" si="358"/>
        <v>9.8229087263017337E-2</v>
      </c>
      <c r="L351" s="3">
        <f t="shared" si="358"/>
        <v>9.6542862625969186E-2</v>
      </c>
      <c r="M351" s="3">
        <f t="shared" si="358"/>
        <v>8.1193414700484731E-2</v>
      </c>
      <c r="N351" s="3">
        <f t="shared" si="358"/>
        <v>1.437232906503124E-2</v>
      </c>
      <c r="O351" s="3">
        <f t="shared" si="358"/>
        <v>4.3410082090851688E-10</v>
      </c>
      <c r="P351" s="3">
        <f t="shared" si="358"/>
        <v>2.7429958900338174E-85</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5.8940133460174231E-2</v>
      </c>
      <c r="C352" s="3">
        <f t="shared" si="359"/>
        <v>5.8940133460072174E-2</v>
      </c>
      <c r="D352" s="3">
        <f t="shared" si="359"/>
        <v>5.8940133459051608E-2</v>
      </c>
      <c r="E352" s="3">
        <f t="shared" si="359"/>
        <v>5.8940133448845952E-2</v>
      </c>
      <c r="F352" s="3">
        <f t="shared" si="359"/>
        <v>5.8940133346789374E-2</v>
      </c>
      <c r="G352" s="3">
        <f t="shared" si="359"/>
        <v>5.8940132326223665E-2</v>
      </c>
      <c r="H352" s="3">
        <f t="shared" si="359"/>
        <v>5.8940122120567477E-2</v>
      </c>
      <c r="I352" s="3">
        <f t="shared" si="359"/>
        <v>5.8940020064102781E-2</v>
      </c>
      <c r="J352" s="3">
        <f t="shared" si="359"/>
        <v>5.8938999509175083E-2</v>
      </c>
      <c r="K352" s="3">
        <f t="shared" si="359"/>
        <v>5.8928794931755651E-2</v>
      </c>
      <c r="L352" s="3">
        <f t="shared" si="359"/>
        <v>5.8826846281082833E-2</v>
      </c>
      <c r="M352" s="3">
        <f t="shared" si="359"/>
        <v>5.7817010189931926E-2</v>
      </c>
      <c r="N352" s="3">
        <f t="shared" si="359"/>
        <v>4.862462493245516E-2</v>
      </c>
      <c r="O352" s="3">
        <f t="shared" si="359"/>
        <v>8.6072141782798529E-3</v>
      </c>
      <c r="P352" s="3">
        <f t="shared" si="359"/>
        <v>2.5997169447070324E-10</v>
      </c>
      <c r="Q352" s="3">
        <f t="shared" si="359"/>
        <v>1.6427089171724624E-85</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4.2268801533996279E-2</v>
      </c>
      <c r="C353" s="3">
        <f t="shared" si="360"/>
        <v>4.2268801533988959E-2</v>
      </c>
      <c r="D353" s="3">
        <f t="shared" si="360"/>
        <v>4.2268801533915767E-2</v>
      </c>
      <c r="E353" s="3">
        <f t="shared" si="360"/>
        <v>4.2268801533183874E-2</v>
      </c>
      <c r="F353" s="3">
        <f t="shared" si="360"/>
        <v>4.2268801525864909E-2</v>
      </c>
      <c r="G353" s="3">
        <f t="shared" si="360"/>
        <v>4.2268801452675232E-2</v>
      </c>
      <c r="H353" s="3">
        <f t="shared" si="360"/>
        <v>4.2268800720778529E-2</v>
      </c>
      <c r="I353" s="3">
        <f t="shared" si="360"/>
        <v>4.2268793401812131E-2</v>
      </c>
      <c r="J353" s="3">
        <f t="shared" si="360"/>
        <v>4.2268720212217913E-2</v>
      </c>
      <c r="K353" s="3">
        <f t="shared" si="360"/>
        <v>4.2267988323245818E-2</v>
      </c>
      <c r="L353" s="3">
        <f t="shared" si="360"/>
        <v>4.2260670130490591E-2</v>
      </c>
      <c r="M353" s="3">
        <f t="shared" si="360"/>
        <v>4.2187557854881999E-2</v>
      </c>
      <c r="N353" s="3">
        <f t="shared" si="360"/>
        <v>4.1463355875469135E-2</v>
      </c>
      <c r="O353" s="3">
        <f t="shared" si="360"/>
        <v>3.4871054751231007E-2</v>
      </c>
      <c r="P353" s="3">
        <f t="shared" si="360"/>
        <v>6.1726468282953138E-3</v>
      </c>
      <c r="Q353" s="3">
        <f t="shared" si="360"/>
        <v>1.864381926698896E-10</v>
      </c>
      <c r="R353" s="3">
        <f t="shared" si="360"/>
        <v>1.1780654898753171E-85</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2.0342268571851327E-2</v>
      </c>
      <c r="C354" s="3">
        <f t="shared" si="361"/>
        <v>2.0342268571850973E-2</v>
      </c>
      <c r="D354" s="3">
        <f t="shared" si="361"/>
        <v>2.0342268571847451E-2</v>
      </c>
      <c r="E354" s="3">
        <f t="shared" si="361"/>
        <v>2.034226857181223E-2</v>
      </c>
      <c r="F354" s="3">
        <f t="shared" si="361"/>
        <v>2.0342268571459998E-2</v>
      </c>
      <c r="G354" s="3">
        <f t="shared" si="361"/>
        <v>2.0342268567937673E-2</v>
      </c>
      <c r="H354" s="3">
        <f t="shared" si="361"/>
        <v>2.0342268532714435E-2</v>
      </c>
      <c r="I354" s="3">
        <f t="shared" si="361"/>
        <v>2.0342268180482084E-2</v>
      </c>
      <c r="J354" s="3">
        <f t="shared" si="361"/>
        <v>2.0342264658158891E-2</v>
      </c>
      <c r="K354" s="3">
        <f t="shared" si="361"/>
        <v>2.0342229434960498E-2</v>
      </c>
      <c r="L354" s="3">
        <f t="shared" si="361"/>
        <v>2.0341877206330992E-2</v>
      </c>
      <c r="M354" s="3">
        <f t="shared" si="361"/>
        <v>2.0338355255457422E-2</v>
      </c>
      <c r="N354" s="3">
        <f t="shared" si="361"/>
        <v>2.0303169267391664E-2</v>
      </c>
      <c r="O354" s="3">
        <f t="shared" si="361"/>
        <v>1.9954640077283588E-2</v>
      </c>
      <c r="P354" s="3">
        <f t="shared" si="361"/>
        <v>1.6782031554945662E-2</v>
      </c>
      <c r="Q354" s="3">
        <f t="shared" si="361"/>
        <v>2.9706458433503601E-3</v>
      </c>
      <c r="R354" s="3">
        <f t="shared" si="361"/>
        <v>8.9725179084887703E-11</v>
      </c>
      <c r="S354" s="3">
        <f t="shared" si="361"/>
        <v>5.6695538365331961E-86</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5.9170897395369659E-3</v>
      </c>
      <c r="C355" s="3">
        <f t="shared" si="362"/>
        <v>5.9170897395369564E-3</v>
      </c>
      <c r="D355" s="3">
        <f t="shared" si="362"/>
        <v>5.917089739536854E-3</v>
      </c>
      <c r="E355" s="3">
        <f t="shared" si="362"/>
        <v>5.9170897395358288E-3</v>
      </c>
      <c r="F355" s="3">
        <f t="shared" si="362"/>
        <v>5.9170897395255835E-3</v>
      </c>
      <c r="G355" s="3">
        <f t="shared" si="362"/>
        <v>5.9170897394231281E-3</v>
      </c>
      <c r="H355" s="3">
        <f t="shared" si="362"/>
        <v>5.9170897383985666E-3</v>
      </c>
      <c r="I355" s="3">
        <f t="shared" si="362"/>
        <v>5.9170897281529506E-3</v>
      </c>
      <c r="J355" s="3">
        <f t="shared" si="362"/>
        <v>5.9170896256968055E-3</v>
      </c>
      <c r="K355" s="3">
        <f t="shared" si="362"/>
        <v>5.9170886011354418E-3</v>
      </c>
      <c r="L355" s="3">
        <f t="shared" si="362"/>
        <v>5.9170783555315618E-3</v>
      </c>
      <c r="M355" s="3">
        <f t="shared" si="362"/>
        <v>5.9169759004684868E-3</v>
      </c>
      <c r="N355" s="3">
        <f t="shared" si="362"/>
        <v>5.9159514474039941E-3</v>
      </c>
      <c r="O355" s="3">
        <f t="shared" si="362"/>
        <v>5.9057166671372813E-3</v>
      </c>
      <c r="P355" s="3">
        <f t="shared" si="362"/>
        <v>5.8043376843835435E-3</v>
      </c>
      <c r="Q355" s="3">
        <f t="shared" si="362"/>
        <v>4.8815001321810374E-3</v>
      </c>
      <c r="R355" s="3">
        <f t="shared" si="362"/>
        <v>8.6409133658816933E-4</v>
      </c>
      <c r="S355" s="3">
        <f t="shared" si="362"/>
        <v>2.6098954237383135E-11</v>
      </c>
      <c r="T355" s="3">
        <f t="shared" si="362"/>
        <v>1.6491404936184982E-86</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2.1512309521192175E-5</v>
      </c>
      <c r="C356" s="3">
        <f t="shared" si="363"/>
        <v>2.1512309521192171E-5</v>
      </c>
      <c r="D356" s="3">
        <f t="shared" si="363"/>
        <v>2.1512309521192134E-5</v>
      </c>
      <c r="E356" s="3">
        <f t="shared" si="363"/>
        <v>2.1512309521191761E-5</v>
      </c>
      <c r="F356" s="3">
        <f t="shared" si="363"/>
        <v>2.1512309521188035E-5</v>
      </c>
      <c r="G356" s="3">
        <f t="shared" si="363"/>
        <v>2.1512309521150789E-5</v>
      </c>
      <c r="H356" s="3">
        <f t="shared" si="363"/>
        <v>2.1512309520778298E-5</v>
      </c>
      <c r="I356" s="3">
        <f t="shared" si="363"/>
        <v>2.1512309517053375E-5</v>
      </c>
      <c r="J356" s="3">
        <f t="shared" si="363"/>
        <v>2.151230947980418E-5</v>
      </c>
      <c r="K356" s="3">
        <f t="shared" si="363"/>
        <v>2.1512309107312226E-5</v>
      </c>
      <c r="L356" s="3">
        <f t="shared" si="363"/>
        <v>2.1512305382393025E-5</v>
      </c>
      <c r="M356" s="3">
        <f t="shared" si="363"/>
        <v>2.1512268133236497E-5</v>
      </c>
      <c r="N356" s="3">
        <f t="shared" si="363"/>
        <v>2.1511895645218585E-5</v>
      </c>
      <c r="O356" s="3">
        <f t="shared" si="363"/>
        <v>2.1508171119753636E-5</v>
      </c>
      <c r="P356" s="3">
        <f t="shared" si="363"/>
        <v>2.1470961313806674E-5</v>
      </c>
      <c r="Q356" s="3">
        <f t="shared" si="363"/>
        <v>2.110238551861979E-5</v>
      </c>
      <c r="R356" s="3">
        <f t="shared" si="363"/>
        <v>1.7747295781158214E-5</v>
      </c>
      <c r="S356" s="3">
        <f t="shared" si="363"/>
        <v>3.141510625241923E-6</v>
      </c>
      <c r="T356" s="3">
        <f t="shared" si="363"/>
        <v>9.488596699531404E-14</v>
      </c>
      <c r="U356" s="3">
        <f t="shared" si="363"/>
        <v>5.9956536581831466E-89</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1.0364109378839697E-2</v>
      </c>
      <c r="C357" s="3">
        <f t="shared" si="364"/>
        <v>1.0364109378839697E-2</v>
      </c>
      <c r="D357" s="3">
        <f t="shared" si="364"/>
        <v>1.0364109378839696E-2</v>
      </c>
      <c r="E357" s="3">
        <f t="shared" si="364"/>
        <v>1.0364109378839678E-2</v>
      </c>
      <c r="F357" s="3">
        <f t="shared" si="364"/>
        <v>1.0364109378839498E-2</v>
      </c>
      <c r="G357" s="3">
        <f t="shared" si="364"/>
        <v>1.0364109378837702E-2</v>
      </c>
      <c r="H357" s="3">
        <f t="shared" si="364"/>
        <v>1.0364109378819758E-2</v>
      </c>
      <c r="I357" s="3">
        <f t="shared" si="364"/>
        <v>1.0364109378640301E-2</v>
      </c>
      <c r="J357" s="3">
        <f t="shared" si="364"/>
        <v>1.0364109376845725E-2</v>
      </c>
      <c r="K357" s="3">
        <f t="shared" si="364"/>
        <v>1.0364109358899963E-2</v>
      </c>
      <c r="L357" s="3">
        <f t="shared" si="364"/>
        <v>1.0364109179442367E-2</v>
      </c>
      <c r="M357" s="3">
        <f t="shared" si="364"/>
        <v>1.036410738486657E-2</v>
      </c>
      <c r="N357" s="3">
        <f t="shared" si="364"/>
        <v>1.0364089439125684E-2</v>
      </c>
      <c r="O357" s="3">
        <f t="shared" si="364"/>
        <v>1.0363909983425861E-2</v>
      </c>
      <c r="P357" s="3">
        <f t="shared" si="364"/>
        <v>1.0362115597320316E-2</v>
      </c>
      <c r="Q357" s="3">
        <f t="shared" si="364"/>
        <v>1.0344188814590651E-2</v>
      </c>
      <c r="R357" s="3">
        <f t="shared" si="364"/>
        <v>1.0166617928863734E-2</v>
      </c>
      <c r="S357" s="3">
        <f t="shared" si="364"/>
        <v>8.5502170035879396E-3</v>
      </c>
      <c r="T357" s="3">
        <f t="shared" si="364"/>
        <v>1.5135036850748146E-3</v>
      </c>
      <c r="U357" s="3">
        <f t="shared" si="364"/>
        <v>4.5713759347299937E-11</v>
      </c>
      <c r="V357" s="3">
        <f t="shared" si="364"/>
        <v>2.8885606285013524E-86</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79">
        <f>AVERAGE(B358:AF358)</f>
        <v>0.22027621796135635</v>
      </c>
      <c r="B358" s="80">
        <f>IF($A$64&lt;=B324,IF($B$64&gt;=B324,ABS((B326-B325)/B325),0),0)</f>
        <v>2.3279377227183488E-2</v>
      </c>
      <c r="C358" s="80">
        <f t="shared" ref="C358:AF358" si="365">IF($A$64&lt;=C324,IF($B$64&gt;=C324,ABS((C326-C325)/C325),0),0)</f>
        <v>3.5822109100326537E-2</v>
      </c>
      <c r="D358" s="80">
        <f t="shared" si="365"/>
        <v>4.3044972622411311E-2</v>
      </c>
      <c r="E358" s="80">
        <f t="shared" si="365"/>
        <v>4.5806574297412264E-2</v>
      </c>
      <c r="F358" s="80">
        <f t="shared" si="365"/>
        <v>2.2140543892337758E-2</v>
      </c>
      <c r="G358" s="80">
        <f t="shared" si="365"/>
        <v>2.1644085027765651E-2</v>
      </c>
      <c r="H358" s="80">
        <f t="shared" si="365"/>
        <v>6.2625461970122254E-2</v>
      </c>
      <c r="I358" s="80">
        <f t="shared" si="365"/>
        <v>8.8348135852939921E-2</v>
      </c>
      <c r="J358" s="80">
        <f t="shared" si="365"/>
        <v>7.7688711054549275E-2</v>
      </c>
      <c r="K358" s="80">
        <f t="shared" si="365"/>
        <v>6.6983597989142593E-2</v>
      </c>
      <c r="L358" s="80">
        <f t="shared" si="365"/>
        <v>8.5512632175941648E-3</v>
      </c>
      <c r="M358" s="80">
        <f t="shared" si="365"/>
        <v>0.11826054001992024</v>
      </c>
      <c r="N358" s="80">
        <f t="shared" si="365"/>
        <v>0.20488893227214477</v>
      </c>
      <c r="O358" s="80">
        <f t="shared" si="365"/>
        <v>0.28665779282821047</v>
      </c>
      <c r="P358" s="80">
        <f t="shared" si="365"/>
        <v>0.28697936927160089</v>
      </c>
      <c r="Q358" s="80">
        <f t="shared" si="365"/>
        <v>8.1161141433043746E-2</v>
      </c>
      <c r="R358" s="80">
        <f t="shared" si="365"/>
        <v>6.1827030034406358E-2</v>
      </c>
      <c r="S358" s="80">
        <f t="shared" si="365"/>
        <v>8.0985643998025561E-2</v>
      </c>
      <c r="T358" s="80">
        <f t="shared" si="365"/>
        <v>0.38427326822781421</v>
      </c>
      <c r="U358" s="80">
        <f t="shared" si="365"/>
        <v>0.44150115633308923</v>
      </c>
      <c r="V358" s="80">
        <f t="shared" si="365"/>
        <v>0.42723791982787696</v>
      </c>
      <c r="W358" s="80">
        <f t="shared" si="365"/>
        <v>0.41556251003275801</v>
      </c>
      <c r="X358" s="80">
        <f t="shared" si="365"/>
        <v>0.40698570119587535</v>
      </c>
      <c r="Y358" s="80">
        <f t="shared" si="365"/>
        <v>0.40099707614552399</v>
      </c>
      <c r="Z358" s="80">
        <f t="shared" si="365"/>
        <v>0.39666844077890417</v>
      </c>
      <c r="AA358" s="80">
        <f t="shared" si="365"/>
        <v>0.39333218899694555</v>
      </c>
      <c r="AB358" s="80">
        <f t="shared" si="365"/>
        <v>0.39267495223434629</v>
      </c>
      <c r="AC358" s="80">
        <f t="shared" si="365"/>
        <v>0.38886151189730461</v>
      </c>
      <c r="AD358" s="80">
        <f t="shared" si="365"/>
        <v>0.38880009218812334</v>
      </c>
      <c r="AE358" s="80">
        <f t="shared" si="365"/>
        <v>0.38752032737682224</v>
      </c>
      <c r="AF358" s="80">
        <f t="shared" si="365"/>
        <v>0.38745232945752583</v>
      </c>
    </row>
    <row r="359" spans="1:34" x14ac:dyDescent="0.25">
      <c r="B359" s="21">
        <f>(B326-B325)^2</f>
        <v>18633.038281807814</v>
      </c>
      <c r="C359" s="21">
        <f t="shared" ref="C359:AF359" si="366">(C326-C325)^2</f>
        <v>40374.116679197206</v>
      </c>
      <c r="D359" s="21">
        <f t="shared" si="366"/>
        <v>53445.63536909152</v>
      </c>
      <c r="E359" s="21">
        <f t="shared" si="366"/>
        <v>54531.490155203719</v>
      </c>
      <c r="F359" s="21">
        <f t="shared" si="366"/>
        <v>11393.553152961531</v>
      </c>
      <c r="G359" s="21">
        <f t="shared" si="366"/>
        <v>9636.0525467996504</v>
      </c>
      <c r="H359" s="21">
        <f t="shared" si="366"/>
        <v>70125.038296411672</v>
      </c>
      <c r="I359" s="21">
        <f t="shared" si="366"/>
        <v>116961.36338665683</v>
      </c>
      <c r="J359" s="21">
        <f t="shared" si="366"/>
        <v>69842.887070878351</v>
      </c>
      <c r="K359" s="21">
        <f t="shared" si="366"/>
        <v>35859.548368182594</v>
      </c>
      <c r="L359" s="21">
        <f t="shared" si="366"/>
        <v>338.26623197024855</v>
      </c>
      <c r="M359" s="21">
        <f t="shared" si="366"/>
        <v>27825.191023085423</v>
      </c>
      <c r="N359" s="21">
        <f t="shared" si="366"/>
        <v>28688.747041069706</v>
      </c>
      <c r="O359" s="21">
        <f t="shared" si="366"/>
        <v>17623.583730263352</v>
      </c>
      <c r="P359" s="21">
        <f t="shared" si="366"/>
        <v>5451.1996731636991</v>
      </c>
      <c r="Q359" s="21">
        <f t="shared" si="366"/>
        <v>213.37744110421804</v>
      </c>
      <c r="R359" s="21">
        <f t="shared" si="366"/>
        <v>94.894365470622418</v>
      </c>
      <c r="S359" s="21">
        <f t="shared" si="366"/>
        <v>134.36300790215094</v>
      </c>
      <c r="T359" s="21">
        <f t="shared" si="366"/>
        <v>2854.6669667392371</v>
      </c>
      <c r="U359" s="21">
        <f t="shared" si="366"/>
        <v>3584.4583755668009</v>
      </c>
      <c r="V359" s="21">
        <f t="shared" si="366"/>
        <v>3191.5045817620467</v>
      </c>
      <c r="W359" s="21">
        <f t="shared" si="366"/>
        <v>2900.0199911194823</v>
      </c>
      <c r="X359" s="21">
        <f t="shared" si="366"/>
        <v>2701.6704704011231</v>
      </c>
      <c r="Y359" s="21">
        <f t="shared" si="366"/>
        <v>2570.5670201775929</v>
      </c>
      <c r="Z359" s="21">
        <f t="shared" si="366"/>
        <v>2479.4058174299762</v>
      </c>
      <c r="AA359" s="21">
        <f t="shared" si="366"/>
        <v>2411.1347214810662</v>
      </c>
      <c r="AB359" s="21">
        <f t="shared" si="366"/>
        <v>2397.8853649894259</v>
      </c>
      <c r="AC359" s="21">
        <f t="shared" si="366"/>
        <v>2322.2825228776069</v>
      </c>
      <c r="AD359" s="21">
        <f t="shared" si="366"/>
        <v>2321.0824200873803</v>
      </c>
      <c r="AE359" s="21">
        <f t="shared" si="366"/>
        <v>2296.201632434248</v>
      </c>
      <c r="AF359" s="21">
        <f t="shared" si="366"/>
        <v>2294.8862893319279</v>
      </c>
      <c r="AG359" s="3"/>
      <c r="AH359" s="3"/>
    </row>
    <row r="360" spans="1:34" x14ac:dyDescent="0.25">
      <c r="A360" s="71">
        <f>SUM(B360:AF360)</f>
        <v>595498.11199561832</v>
      </c>
      <c r="B360" s="60">
        <f>IF($A$64&lt;=B324,IF($B$64&gt;=B324,ABS(B359),0),0)</f>
        <v>18633.038281807814</v>
      </c>
      <c r="C360" s="60">
        <f t="shared" ref="C360:AF360" si="367">IF($A$64&lt;=C324,IF($B$64&gt;=C324,ABS(C359),0),0)</f>
        <v>40374.116679197206</v>
      </c>
      <c r="D360" s="60">
        <f t="shared" si="367"/>
        <v>53445.63536909152</v>
      </c>
      <c r="E360" s="60">
        <f t="shared" si="367"/>
        <v>54531.490155203719</v>
      </c>
      <c r="F360" s="60">
        <f t="shared" si="367"/>
        <v>11393.553152961531</v>
      </c>
      <c r="G360" s="60">
        <f t="shared" si="367"/>
        <v>9636.0525467996504</v>
      </c>
      <c r="H360" s="60">
        <f t="shared" si="367"/>
        <v>70125.038296411672</v>
      </c>
      <c r="I360" s="60">
        <f t="shared" si="367"/>
        <v>116961.36338665683</v>
      </c>
      <c r="J360" s="60">
        <f t="shared" si="367"/>
        <v>69842.887070878351</v>
      </c>
      <c r="K360" s="60">
        <f t="shared" si="367"/>
        <v>35859.548368182594</v>
      </c>
      <c r="L360" s="60">
        <f t="shared" si="367"/>
        <v>338.26623197024855</v>
      </c>
      <c r="M360" s="60">
        <f t="shared" si="367"/>
        <v>27825.191023085423</v>
      </c>
      <c r="N360" s="60">
        <f t="shared" si="367"/>
        <v>28688.747041069706</v>
      </c>
      <c r="O360" s="60">
        <f t="shared" si="367"/>
        <v>17623.583730263352</v>
      </c>
      <c r="P360" s="60">
        <f t="shared" si="367"/>
        <v>5451.1996731636991</v>
      </c>
      <c r="Q360" s="60">
        <f t="shared" si="367"/>
        <v>213.37744110421804</v>
      </c>
      <c r="R360" s="60">
        <f t="shared" si="367"/>
        <v>94.894365470622418</v>
      </c>
      <c r="S360" s="60">
        <f t="shared" si="367"/>
        <v>134.36300790215094</v>
      </c>
      <c r="T360" s="60">
        <f t="shared" si="367"/>
        <v>2854.6669667392371</v>
      </c>
      <c r="U360" s="60">
        <f t="shared" si="367"/>
        <v>3584.4583755668009</v>
      </c>
      <c r="V360" s="60">
        <f t="shared" si="367"/>
        <v>3191.5045817620467</v>
      </c>
      <c r="W360" s="60">
        <f t="shared" si="367"/>
        <v>2900.0199911194823</v>
      </c>
      <c r="X360" s="60">
        <f t="shared" si="367"/>
        <v>2701.6704704011231</v>
      </c>
      <c r="Y360" s="60">
        <f t="shared" si="367"/>
        <v>2570.5670201775929</v>
      </c>
      <c r="Z360" s="60">
        <f t="shared" si="367"/>
        <v>2479.4058174299762</v>
      </c>
      <c r="AA360" s="60">
        <f t="shared" si="367"/>
        <v>2411.1347214810662</v>
      </c>
      <c r="AB360" s="60">
        <f t="shared" si="367"/>
        <v>2397.8853649894259</v>
      </c>
      <c r="AC360" s="60">
        <f t="shared" si="367"/>
        <v>2322.2825228776069</v>
      </c>
      <c r="AD360" s="60">
        <f t="shared" si="367"/>
        <v>2321.0824200873803</v>
      </c>
      <c r="AE360" s="60">
        <f t="shared" si="367"/>
        <v>2296.201632434248</v>
      </c>
      <c r="AF360" s="60">
        <f t="shared" si="367"/>
        <v>2294.8862893319279</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5469.0375175567433</v>
      </c>
      <c r="C364" s="26">
        <f>INDEX(Comparison!$AM$3:$AS$33,G$14,$H$122)</f>
        <v>5144.4254375399241</v>
      </c>
      <c r="D364" s="26">
        <f>INDEX(Comparison!$AM$3:$AS$33,H$14,$H$122)</f>
        <v>4859.4796757955091</v>
      </c>
      <c r="E364" s="26">
        <f>INDEX(Comparison!$AM$3:$AS$33,I$14,$H$122)</f>
        <v>4579.0872874253573</v>
      </c>
      <c r="F364" s="26">
        <f>INDEX(Comparison!$AM$3:$AS$33,J$14,$H$122)</f>
        <v>4274.6287252900811</v>
      </c>
      <c r="G364" s="26">
        <f>INDEX(Comparison!$AM$3:$AS$33,K$14,$H$122)</f>
        <v>3938.1560081824523</v>
      </c>
      <c r="H364" s="26">
        <f>INDEX(Comparison!$AM$3:$AS$33,L$14,$H$122)</f>
        <v>3491.5925245283374</v>
      </c>
      <c r="I364" s="26">
        <f>INDEX(Comparison!$AM$3:$AS$33,M$14,$H$122)</f>
        <v>2939.5473684961994</v>
      </c>
      <c r="J364" s="26">
        <f>INDEX(Comparison!$AM$3:$AS$33,N$14,$H$122)</f>
        <v>2290.3210430692648</v>
      </c>
      <c r="K364" s="26">
        <f>INDEX(Comparison!$AM$3:$AS$33,O$14,$H$122)</f>
        <v>1556.8723374202477</v>
      </c>
      <c r="L364" s="26">
        <f>INDEX(Comparison!$AM$3:$AS$33,P$14,$H$122)</f>
        <v>939.61789874376836</v>
      </c>
      <c r="M364" s="26">
        <f>INDEX(Comparison!$AM$3:$AS$33,Q$14,$H$122)</f>
        <v>532.22470015904992</v>
      </c>
      <c r="N364" s="26">
        <f>INDEX(Comparison!$AM$3:$AS$33,R$14,$H$122)</f>
        <v>294.61415856723238</v>
      </c>
      <c r="O364" s="26">
        <f>INDEX(Comparison!$AM$3:$AS$33,S$14,$H$122)</f>
        <v>191.85627557437303</v>
      </c>
      <c r="P364" s="26">
        <f>INDEX(Comparison!$AM$3:$AS$33,T$14,$H$122)</f>
        <v>162.27843823453597</v>
      </c>
      <c r="Q364" s="26">
        <f>INDEX(Comparison!$AM$3:$AS$33,U$14,$H$122)</f>
        <v>147.30961753431595</v>
      </c>
      <c r="R364" s="26">
        <f>INDEX(Comparison!$AM$3:$AS$33,V$14,$H$122)</f>
        <v>142.06591803394016</v>
      </c>
      <c r="S364" s="26">
        <f>INDEX(Comparison!$AM$3:$AS$33,W$14,$H$122)</f>
        <v>140.2404472955443</v>
      </c>
      <c r="T364" s="26">
        <f>INDEX(Comparison!$AM$3:$AS$33,X$14,$H$122)</f>
        <v>137.13168564571805</v>
      </c>
      <c r="U364" s="26">
        <f>INDEX(Comparison!$AM$3:$AS$33,Y$14,$H$122)</f>
        <v>133.5914564553571</v>
      </c>
      <c r="V364" s="26">
        <f>INDEX(Comparison!$AM$3:$AS$33,Z$14,$H$122)</f>
        <v>130.60597118111332</v>
      </c>
      <c r="W364" s="26">
        <f>INDEX(Comparison!$AM$3:$AS$33,AA$14,$H$122)</f>
        <v>128.42317853149575</v>
      </c>
      <c r="X364" s="26">
        <f>INDEX(Comparison!$AM$3:$AS$33,AB$14,$H$122)</f>
        <v>126.92571513683149</v>
      </c>
      <c r="Y364" s="26">
        <f>INDEX(Comparison!$AM$3:$AS$33,AC$14,$H$122)</f>
        <v>125.87891264299097</v>
      </c>
      <c r="Z364" s="26">
        <f>INDEX(Comparison!$AM$3:$AS$33,AD$14,$H$122)</f>
        <v>125.11103067782525</v>
      </c>
      <c r="AA364" s="26">
        <f>INDEX(Comparison!$AM$3:$AS$33,AE$14,$H$122)</f>
        <v>124.96985459314666</v>
      </c>
      <c r="AB364" s="26">
        <f>INDEX(Comparison!$AM$3:$AS$33,AF$14,$H$122)</f>
        <v>124.77108605330615</v>
      </c>
      <c r="AC364" s="26">
        <f>INDEX(Comparison!$AM$3:$AS$33,AG$14,$H$122)</f>
        <v>123.93614365125383</v>
      </c>
      <c r="AD364" s="26">
        <f>INDEX(Comparison!$AM$3:$AS$33,AH$14,$H$122)</f>
        <v>123.92285545904397</v>
      </c>
      <c r="AE364" s="26">
        <f>INDEX(Comparison!$AM$3:$AS$33,AI$14,$H$122)</f>
        <v>123.48008539289999</v>
      </c>
      <c r="AF364" s="26">
        <f>INDEX(Comparison!$AM$3:$AS$33,AJ$14,$H$122)</f>
        <v>123.46865182434244</v>
      </c>
      <c r="AG364" s="26"/>
      <c r="AH364" s="26"/>
    </row>
    <row r="365" spans="1:34" x14ac:dyDescent="0.25">
      <c r="A365" s="70" t="s">
        <v>22</v>
      </c>
      <c r="B365" s="27">
        <f>($C$17+SUM(B366:B396))*$B$51</f>
        <v>5648.6198158075549</v>
      </c>
      <c r="C365" s="27">
        <f t="shared" ref="C365:AF365" si="368">($C$17+SUM(C366:C396))*$B$51</f>
        <v>5395.3104391905754</v>
      </c>
      <c r="D365" s="27">
        <f t="shared" si="368"/>
        <v>5023.207083068387</v>
      </c>
      <c r="E365" s="27">
        <f t="shared" si="368"/>
        <v>4536.3184398969843</v>
      </c>
      <c r="F365" s="27">
        <f t="shared" si="368"/>
        <v>4048.1447852620499</v>
      </c>
      <c r="G365" s="27">
        <f t="shared" si="368"/>
        <v>3606.5848493590902</v>
      </c>
      <c r="H365" s="27">
        <f t="shared" si="368"/>
        <v>3202.2166281172231</v>
      </c>
      <c r="I365" s="27">
        <f t="shared" si="368"/>
        <v>2735.6503306019467</v>
      </c>
      <c r="J365" s="27">
        <f t="shared" si="368"/>
        <v>2241.7026633652486</v>
      </c>
      <c r="K365" s="27">
        <f t="shared" si="368"/>
        <v>1696.3372778938219</v>
      </c>
      <c r="L365" s="27">
        <f t="shared" si="368"/>
        <v>1112.3159838058366</v>
      </c>
      <c r="M365" s="27">
        <f t="shared" si="368"/>
        <v>667.89391472388945</v>
      </c>
      <c r="N365" s="27">
        <f t="shared" si="368"/>
        <v>378.57387616681558</v>
      </c>
      <c r="O365" s="27">
        <f t="shared" si="368"/>
        <v>215.87932051489432</v>
      </c>
      <c r="P365" s="27">
        <f t="shared" si="368"/>
        <v>153.80465653234256</v>
      </c>
      <c r="Q365" s="27">
        <f t="shared" si="368"/>
        <v>135.50250518991965</v>
      </c>
      <c r="R365" s="27">
        <f t="shared" si="368"/>
        <v>95.286151284262914</v>
      </c>
      <c r="S365" s="27">
        <f t="shared" si="368"/>
        <v>75.736247803837941</v>
      </c>
      <c r="T365" s="27">
        <f t="shared" si="368"/>
        <v>75.735971721502636</v>
      </c>
      <c r="U365" s="27">
        <f t="shared" si="368"/>
        <v>75.735971721502636</v>
      </c>
      <c r="V365" s="27">
        <f t="shared" si="368"/>
        <v>75.735971721502636</v>
      </c>
      <c r="W365" s="27">
        <f t="shared" si="368"/>
        <v>75.735971721502636</v>
      </c>
      <c r="X365" s="27">
        <f t="shared" si="368"/>
        <v>75.735971721502636</v>
      </c>
      <c r="Y365" s="27">
        <f t="shared" si="368"/>
        <v>75.735971721502636</v>
      </c>
      <c r="Z365" s="27">
        <f t="shared" si="368"/>
        <v>75.735971721502636</v>
      </c>
      <c r="AA365" s="27">
        <f t="shared" si="368"/>
        <v>75.735971721502636</v>
      </c>
      <c r="AB365" s="27">
        <f t="shared" si="368"/>
        <v>75.735971721502636</v>
      </c>
      <c r="AC365" s="27">
        <f t="shared" si="368"/>
        <v>75.735971721502636</v>
      </c>
      <c r="AD365" s="27">
        <f t="shared" si="368"/>
        <v>75.735971721502636</v>
      </c>
      <c r="AE365" s="27">
        <f t="shared" si="368"/>
        <v>75.735971721502636</v>
      </c>
      <c r="AF365" s="27">
        <f t="shared" si="368"/>
        <v>75.735971721502636</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0</v>
      </c>
      <c r="C377" s="3">
        <f t="shared" si="380"/>
        <v>0</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1.1276936346381812E-46</v>
      </c>
      <c r="C378" s="3">
        <f t="shared" si="381"/>
        <v>0</v>
      </c>
      <c r="D378" s="3">
        <f t="shared" si="381"/>
        <v>0</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2.935864464486689E-6</v>
      </c>
      <c r="C379" s="3">
        <f t="shared" si="382"/>
        <v>2.4671812030007047E-42</v>
      </c>
      <c r="D379" s="3">
        <f t="shared" si="382"/>
        <v>0</v>
      </c>
      <c r="E379" s="3">
        <f t="shared" si="382"/>
        <v>0</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1.4200917869033349E-2</v>
      </c>
      <c r="C380" s="3">
        <f t="shared" si="383"/>
        <v>7.9068416854597209E-6</v>
      </c>
      <c r="D380" s="3">
        <f t="shared" si="383"/>
        <v>2.2639629675520079E-38</v>
      </c>
      <c r="E380" s="3">
        <f t="shared" si="383"/>
        <v>0</v>
      </c>
      <c r="F380" s="3">
        <f t="shared" si="383"/>
        <v>0</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4.0213967924264633E-2</v>
      </c>
      <c r="C381" s="3">
        <f t="shared" si="384"/>
        <v>2.0455532412389205E-2</v>
      </c>
      <c r="D381" s="3">
        <f t="shared" si="384"/>
        <v>2.3721895748264542E-5</v>
      </c>
      <c r="E381" s="3">
        <f t="shared" si="384"/>
        <v>1.0436033042020986E-34</v>
      </c>
      <c r="F381" s="3">
        <f t="shared" si="384"/>
        <v>0</v>
      </c>
      <c r="G381" s="3">
        <f t="shared" si="384"/>
        <v>0</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7.4009797130832847E-2</v>
      </c>
      <c r="C382" s="3">
        <f t="shared" si="385"/>
        <v>6.9631717236127086E-2</v>
      </c>
      <c r="D382" s="3">
        <f t="shared" si="385"/>
        <v>3.784304076635038E-2</v>
      </c>
      <c r="E382" s="3">
        <f t="shared" si="385"/>
        <v>8.5069763223124289E-5</v>
      </c>
      <c r="F382" s="3">
        <f t="shared" si="385"/>
        <v>2.8032847107727091E-31</v>
      </c>
      <c r="G382" s="3">
        <f t="shared" si="385"/>
        <v>4.2324033730685722E-296</v>
      </c>
      <c r="H382" s="3">
        <f t="shared" si="385"/>
        <v>0</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8.3006481780933394E-2</v>
      </c>
      <c r="C383" s="3">
        <f t="shared" si="386"/>
        <v>8.2551144789909395E-2</v>
      </c>
      <c r="D383" s="3">
        <f t="shared" si="386"/>
        <v>7.8132916508825506E-2</v>
      </c>
      <c r="E383" s="3">
        <f t="shared" si="386"/>
        <v>4.5075794518764256E-2</v>
      </c>
      <c r="F383" s="3">
        <f t="shared" si="386"/>
        <v>1.8409285691177075E-4</v>
      </c>
      <c r="G383" s="3">
        <f t="shared" si="386"/>
        <v>2.3766892851731978E-28</v>
      </c>
      <c r="H383" s="3">
        <f t="shared" si="386"/>
        <v>3.0572229806314249E-267</v>
      </c>
      <c r="I383" s="3">
        <f t="shared" si="386"/>
        <v>0</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7.1715025330790175E-2</v>
      </c>
      <c r="C384" s="3">
        <f t="shared" si="387"/>
        <v>7.1679448780490262E-2</v>
      </c>
      <c r="D384" s="3">
        <f t="shared" si="387"/>
        <v>7.1324652523507545E-2</v>
      </c>
      <c r="E384" s="3">
        <f t="shared" si="387"/>
        <v>6.7871858430729542E-2</v>
      </c>
      <c r="F384" s="3">
        <f t="shared" si="387"/>
        <v>4.1322872678710071E-2</v>
      </c>
      <c r="G384" s="3">
        <f t="shared" si="387"/>
        <v>2.8919990550434085E-4</v>
      </c>
      <c r="H384" s="3">
        <f t="shared" si="387"/>
        <v>8.1521950593706183E-26</v>
      </c>
      <c r="I384" s="3">
        <f t="shared" si="387"/>
        <v>2.5824904324746726E-241</v>
      </c>
      <c r="J384" s="3">
        <f t="shared" si="387"/>
        <v>0</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7.053243167371244E-2</v>
      </c>
      <c r="C385" s="3">
        <f t="shared" si="388"/>
        <v>7.0529274582342483E-2</v>
      </c>
      <c r="D385" s="3">
        <f t="shared" si="388"/>
        <v>7.0497711439873809E-2</v>
      </c>
      <c r="E385" s="3">
        <f t="shared" si="388"/>
        <v>7.0182855852763418E-2</v>
      </c>
      <c r="F385" s="3">
        <f t="shared" si="388"/>
        <v>6.7110614045721148E-2</v>
      </c>
      <c r="G385" s="3">
        <f t="shared" si="388"/>
        <v>4.2893647060709326E-2</v>
      </c>
      <c r="H385" s="3">
        <f t="shared" si="388"/>
        <v>4.8798962489240283E-4</v>
      </c>
      <c r="I385" s="3">
        <f t="shared" si="388"/>
        <v>1.7725020035841212E-23</v>
      </c>
      <c r="J385" s="3">
        <f t="shared" si="388"/>
        <v>7.0851360889246386E-218</v>
      </c>
      <c r="K385" s="3">
        <f t="shared" si="388"/>
        <v>0</v>
      </c>
      <c r="L385" s="3">
        <f t="shared" si="388"/>
        <v>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3.5919940863257047E-2</v>
      </c>
      <c r="C386" s="3">
        <f t="shared" si="389"/>
        <v>3.5919795822739353E-2</v>
      </c>
      <c r="D386" s="3">
        <f t="shared" si="389"/>
        <v>3.5918345449773105E-2</v>
      </c>
      <c r="E386" s="3">
        <f t="shared" si="389"/>
        <v>3.5903844940701937E-2</v>
      </c>
      <c r="F386" s="3">
        <f t="shared" si="389"/>
        <v>3.575916142847714E-2</v>
      </c>
      <c r="G386" s="3">
        <f t="shared" si="389"/>
        <v>3.4344008855343423E-2</v>
      </c>
      <c r="H386" s="3">
        <f t="shared" si="389"/>
        <v>2.2934411677229528E-2</v>
      </c>
      <c r="I386" s="3">
        <f t="shared" si="389"/>
        <v>4.0443968972927774E-4</v>
      </c>
      <c r="J386" s="3">
        <f t="shared" si="389"/>
        <v>1.1762927352298861E-21</v>
      </c>
      <c r="K386" s="3">
        <f t="shared" si="389"/>
        <v>5.0948555777524721E-197</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6.619072299454222E-2</v>
      </c>
      <c r="C387" s="3">
        <f t="shared" si="390"/>
        <v>6.6190649074135244E-2</v>
      </c>
      <c r="D387" s="3">
        <f t="shared" si="390"/>
        <v>6.6189909874606018E-2</v>
      </c>
      <c r="E387" s="3">
        <f t="shared" si="390"/>
        <v>6.6182518333333593E-2</v>
      </c>
      <c r="F387" s="3">
        <f t="shared" si="390"/>
        <v>6.6108648303841805E-2</v>
      </c>
      <c r="G387" s="3">
        <f t="shared" si="390"/>
        <v>6.5374467635317346E-2</v>
      </c>
      <c r="H387" s="3">
        <f t="shared" si="390"/>
        <v>5.8466492974942899E-2</v>
      </c>
      <c r="I387" s="3">
        <f t="shared" si="390"/>
        <v>1.9137968362969448E-2</v>
      </c>
      <c r="J387" s="3">
        <f t="shared" si="390"/>
        <v>2.7026120842445163E-7</v>
      </c>
      <c r="K387" s="3">
        <f t="shared" si="390"/>
        <v>8.5243747542115789E-56</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7.7756477059709991E-2</v>
      </c>
      <c r="C388" s="3">
        <f t="shared" si="391"/>
        <v>7.7756468376025845E-2</v>
      </c>
      <c r="D388" s="3">
        <f t="shared" si="391"/>
        <v>7.7756381539237751E-2</v>
      </c>
      <c r="E388" s="3">
        <f t="shared" si="391"/>
        <v>7.7755513176690591E-2</v>
      </c>
      <c r="F388" s="3">
        <f t="shared" si="391"/>
        <v>7.7746830084571381E-2</v>
      </c>
      <c r="G388" s="3">
        <f t="shared" si="391"/>
        <v>7.7660052476588623E-2</v>
      </c>
      <c r="H388" s="3">
        <f t="shared" si="391"/>
        <v>7.6797585753886136E-2</v>
      </c>
      <c r="I388" s="3">
        <f t="shared" si="391"/>
        <v>6.8682555596773567E-2</v>
      </c>
      <c r="J388" s="3">
        <f t="shared" si="391"/>
        <v>2.2482015069080288E-2</v>
      </c>
      <c r="K388" s="3">
        <f t="shared" si="391"/>
        <v>3.1748493074860608E-7</v>
      </c>
      <c r="L388" s="3">
        <f t="shared" si="391"/>
        <v>1.0013869708839559E-55</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8.4379776281892124E-2</v>
      </c>
      <c r="C389" s="3">
        <f t="shared" si="392"/>
        <v>8.4379775339556012E-2</v>
      </c>
      <c r="D389" s="3">
        <f t="shared" si="392"/>
        <v>8.4379765916195476E-2</v>
      </c>
      <c r="E389" s="3">
        <f t="shared" si="392"/>
        <v>8.4379671682648025E-2</v>
      </c>
      <c r="F389" s="3">
        <f t="shared" si="392"/>
        <v>8.4378729352961632E-2</v>
      </c>
      <c r="G389" s="3">
        <f t="shared" si="392"/>
        <v>8.4369306634881056E-2</v>
      </c>
      <c r="H389" s="3">
        <f t="shared" si="392"/>
        <v>8.4275137308504999E-2</v>
      </c>
      <c r="I389" s="3">
        <f t="shared" si="392"/>
        <v>8.3339205653016099E-2</v>
      </c>
      <c r="J389" s="3">
        <f t="shared" si="392"/>
        <v>7.4532937063904764E-2</v>
      </c>
      <c r="K389" s="3">
        <f t="shared" si="392"/>
        <v>2.4397033564840662E-2</v>
      </c>
      <c r="L389" s="3">
        <f t="shared" si="392"/>
        <v>3.4452830353528047E-7</v>
      </c>
      <c r="M389" s="3">
        <f t="shared" si="392"/>
        <v>1.08668513320454E-55</v>
      </c>
      <c r="N389" s="3">
        <f t="shared" si="392"/>
        <v>0</v>
      </c>
      <c r="O389" s="3">
        <f t="shared" si="392"/>
        <v>0</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9.8418254219720683E-2</v>
      </c>
      <c r="C390" s="3">
        <f t="shared" si="393"/>
        <v>9.8418254109809186E-2</v>
      </c>
      <c r="D390" s="3">
        <f t="shared" si="393"/>
        <v>9.841825301069422E-2</v>
      </c>
      <c r="E390" s="3">
        <f t="shared" si="393"/>
        <v>9.8418242019545243E-2</v>
      </c>
      <c r="F390" s="3">
        <f t="shared" si="393"/>
        <v>9.8418132108123016E-2</v>
      </c>
      <c r="G390" s="3">
        <f t="shared" si="393"/>
        <v>9.8417033000651799E-2</v>
      </c>
      <c r="H390" s="3">
        <f t="shared" si="393"/>
        <v>9.8406042601016694E-2</v>
      </c>
      <c r="I390" s="3">
        <f t="shared" si="393"/>
        <v>9.8296206084483792E-2</v>
      </c>
      <c r="J390" s="3">
        <f t="shared" si="393"/>
        <v>9.7204561100837528E-2</v>
      </c>
      <c r="K390" s="3">
        <f t="shared" si="393"/>
        <v>8.6933171225768824E-2</v>
      </c>
      <c r="L390" s="3">
        <f t="shared" si="393"/>
        <v>2.8456030043129067E-2</v>
      </c>
      <c r="M390" s="3">
        <f t="shared" si="393"/>
        <v>4.0184835299964385E-7</v>
      </c>
      <c r="N390" s="3">
        <f t="shared" si="393"/>
        <v>1.2674797005835109E-55</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5.8940133459454203E-2</v>
      </c>
      <c r="C391" s="3">
        <f t="shared" si="394"/>
        <v>5.8940133452871885E-2</v>
      </c>
      <c r="D391" s="3">
        <f t="shared" si="394"/>
        <v>5.8940133387048753E-2</v>
      </c>
      <c r="E391" s="3">
        <f t="shared" si="394"/>
        <v>5.8940132728817374E-2</v>
      </c>
      <c r="F391" s="3">
        <f t="shared" si="394"/>
        <v>5.894012614650404E-2</v>
      </c>
      <c r="G391" s="3">
        <f t="shared" si="394"/>
        <v>5.8940060323411099E-2</v>
      </c>
      <c r="H391" s="3">
        <f t="shared" si="394"/>
        <v>5.8939402096524776E-2</v>
      </c>
      <c r="I391" s="3">
        <f t="shared" si="394"/>
        <v>5.8932820231947632E-2</v>
      </c>
      <c r="J391" s="3">
        <f t="shared" si="394"/>
        <v>5.8867041998084686E-2</v>
      </c>
      <c r="K391" s="3">
        <f t="shared" si="394"/>
        <v>5.8213284201531768E-2</v>
      </c>
      <c r="L391" s="3">
        <f t="shared" si="394"/>
        <v>5.2062015874505103E-2</v>
      </c>
      <c r="M391" s="3">
        <f t="shared" si="394"/>
        <v>1.7041576499991273E-2</v>
      </c>
      <c r="N391" s="3">
        <f t="shared" si="394"/>
        <v>2.4065653004511297E-7</v>
      </c>
      <c r="O391" s="3">
        <f t="shared" si="394"/>
        <v>7.5906063660118289E-56</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4.226880153394464E-2</v>
      </c>
      <c r="C392" s="3">
        <f t="shared" si="395"/>
        <v>4.2268801533472594E-2</v>
      </c>
      <c r="D392" s="3">
        <f t="shared" si="395"/>
        <v>4.2268801528752099E-2</v>
      </c>
      <c r="E392" s="3">
        <f t="shared" si="395"/>
        <v>4.2268801481547165E-2</v>
      </c>
      <c r="F392" s="3">
        <f t="shared" si="395"/>
        <v>4.2268801009497821E-2</v>
      </c>
      <c r="G392" s="3">
        <f t="shared" si="395"/>
        <v>4.2268796289004672E-2</v>
      </c>
      <c r="H392" s="3">
        <f t="shared" si="395"/>
        <v>4.2268749084102199E-2</v>
      </c>
      <c r="I392" s="3">
        <f t="shared" si="395"/>
        <v>4.2268277037976941E-2</v>
      </c>
      <c r="J392" s="3">
        <f t="shared" si="395"/>
        <v>4.2263556866657288E-2</v>
      </c>
      <c r="K392" s="3">
        <f t="shared" si="395"/>
        <v>4.2216384134782022E-2</v>
      </c>
      <c r="L392" s="3">
        <f t="shared" si="395"/>
        <v>4.1747543008515062E-2</v>
      </c>
      <c r="M392" s="3">
        <f t="shared" si="395"/>
        <v>3.7336172948196335E-2</v>
      </c>
      <c r="N392" s="3">
        <f t="shared" si="395"/>
        <v>1.2221333285428432E-2</v>
      </c>
      <c r="O392" s="3">
        <f t="shared" si="395"/>
        <v>1.7258636024651551E-7</v>
      </c>
      <c r="P392" s="3">
        <f t="shared" si="395"/>
        <v>5.4435885223161608E-56</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2.0342268571848839E-2</v>
      </c>
      <c r="C393" s="3">
        <f t="shared" si="396"/>
        <v>2.0342268571826121E-2</v>
      </c>
      <c r="D393" s="3">
        <f t="shared" si="396"/>
        <v>2.0342268571598945E-2</v>
      </c>
      <c r="E393" s="3">
        <f t="shared" si="396"/>
        <v>2.0342268569327162E-2</v>
      </c>
      <c r="F393" s="3">
        <f t="shared" si="396"/>
        <v>2.0342268546609331E-2</v>
      </c>
      <c r="G393" s="3">
        <f t="shared" si="396"/>
        <v>2.034226831943103E-2</v>
      </c>
      <c r="H393" s="3">
        <f t="shared" si="396"/>
        <v>2.0342266047648157E-2</v>
      </c>
      <c r="I393" s="3">
        <f t="shared" si="396"/>
        <v>2.0342243329833382E-2</v>
      </c>
      <c r="J393" s="3">
        <f t="shared" si="396"/>
        <v>2.0342016153081028E-2</v>
      </c>
      <c r="K393" s="3">
        <f t="shared" si="396"/>
        <v>2.033974452509053E-2</v>
      </c>
      <c r="L393" s="3">
        <f t="shared" si="396"/>
        <v>2.0317042192726013E-2</v>
      </c>
      <c r="M393" s="3">
        <f t="shared" si="396"/>
        <v>2.0091407877062227E-2</v>
      </c>
      <c r="N393" s="3">
        <f t="shared" si="396"/>
        <v>1.7968393472107987E-2</v>
      </c>
      <c r="O393" s="3">
        <f t="shared" si="396"/>
        <v>5.8816345620382278E-3</v>
      </c>
      <c r="P393" s="3">
        <f t="shared" si="396"/>
        <v>8.3058851080723237E-8</v>
      </c>
      <c r="Q393" s="3">
        <f t="shared" si="396"/>
        <v>2.6197794992256398E-56</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5.9170897395368939E-3</v>
      </c>
      <c r="C394" s="3">
        <f t="shared" si="397"/>
        <v>5.917089739536233E-3</v>
      </c>
      <c r="D394" s="3">
        <f t="shared" si="397"/>
        <v>5.9170897395296254E-3</v>
      </c>
      <c r="E394" s="3">
        <f t="shared" si="397"/>
        <v>5.9170897394635446E-3</v>
      </c>
      <c r="F394" s="3">
        <f t="shared" si="397"/>
        <v>5.9170897388027355E-3</v>
      </c>
      <c r="G394" s="3">
        <f t="shared" si="397"/>
        <v>5.9170897321946508E-3</v>
      </c>
      <c r="H394" s="3">
        <f t="shared" si="397"/>
        <v>5.9170896661138008E-3</v>
      </c>
      <c r="I394" s="3">
        <f t="shared" si="397"/>
        <v>5.9170890053053433E-3</v>
      </c>
      <c r="J394" s="3">
        <f t="shared" si="397"/>
        <v>5.9170823972248222E-3</v>
      </c>
      <c r="K394" s="3">
        <f t="shared" si="397"/>
        <v>5.9170163168254962E-3</v>
      </c>
      <c r="L394" s="3">
        <f t="shared" si="397"/>
        <v>5.9163555534191359E-3</v>
      </c>
      <c r="M394" s="3">
        <f t="shared" si="397"/>
        <v>5.9097519763685645E-3</v>
      </c>
      <c r="N394" s="3">
        <f t="shared" si="397"/>
        <v>5.844120235769629E-3</v>
      </c>
      <c r="O394" s="3">
        <f t="shared" si="397"/>
        <v>5.2265850425794909E-3</v>
      </c>
      <c r="P394" s="3">
        <f t="shared" si="397"/>
        <v>1.7108298121134792E-3</v>
      </c>
      <c r="Q394" s="3">
        <f t="shared" si="397"/>
        <v>2.4159875471683819E-8</v>
      </c>
      <c r="R394" s="3">
        <f t="shared" si="397"/>
        <v>7.6203253044095107E-57</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2.1512309521192148E-5</v>
      </c>
      <c r="C395" s="3">
        <f t="shared" si="398"/>
        <v>2.1512309521191907E-5</v>
      </c>
      <c r="D395" s="3">
        <f t="shared" si="398"/>
        <v>2.1512309521189505E-5</v>
      </c>
      <c r="E395" s="3">
        <f t="shared" si="398"/>
        <v>2.151230952116548E-5</v>
      </c>
      <c r="F395" s="3">
        <f t="shared" si="398"/>
        <v>2.1512309520925237E-5</v>
      </c>
      <c r="G395" s="3">
        <f t="shared" si="398"/>
        <v>2.1512309518522784E-5</v>
      </c>
      <c r="H395" s="3">
        <f t="shared" si="398"/>
        <v>2.1512309494498277E-5</v>
      </c>
      <c r="I395" s="3">
        <f t="shared" si="398"/>
        <v>2.1512309254253197E-5</v>
      </c>
      <c r="J395" s="3">
        <f t="shared" si="398"/>
        <v>2.151230685180255E-5</v>
      </c>
      <c r="K395" s="3">
        <f t="shared" si="398"/>
        <v>2.151228282731082E-5</v>
      </c>
      <c r="L395" s="3">
        <f t="shared" si="398"/>
        <v>2.1512042583869167E-5</v>
      </c>
      <c r="M395" s="3">
        <f t="shared" si="398"/>
        <v>2.1509640297011338E-5</v>
      </c>
      <c r="N395" s="3">
        <f t="shared" si="398"/>
        <v>2.1485632178204261E-5</v>
      </c>
      <c r="O395" s="3">
        <f t="shared" si="398"/>
        <v>2.1247019890689863E-5</v>
      </c>
      <c r="P395" s="3">
        <f t="shared" si="398"/>
        <v>1.900189453330851E-5</v>
      </c>
      <c r="Q395" s="3">
        <f t="shared" si="398"/>
        <v>6.2199327839074234E-6</v>
      </c>
      <c r="R395" s="3">
        <f t="shared" si="398"/>
        <v>8.7836206989991016E-11</v>
      </c>
      <c r="S395" s="3">
        <f t="shared" si="398"/>
        <v>2.7704632482633014E-59</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1.0364109378839696E-2</v>
      </c>
      <c r="C396" s="3">
        <f t="shared" si="399"/>
        <v>1.0364109378839685E-2</v>
      </c>
      <c r="D396" s="3">
        <f t="shared" si="399"/>
        <v>1.0364109378839569E-2</v>
      </c>
      <c r="E396" s="3">
        <f t="shared" si="399"/>
        <v>1.036410937883841E-2</v>
      </c>
      <c r="F396" s="3">
        <f t="shared" si="399"/>
        <v>1.0364109378826836E-2</v>
      </c>
      <c r="G396" s="3">
        <f t="shared" si="399"/>
        <v>1.0364109378711094E-2</v>
      </c>
      <c r="H396" s="3">
        <f t="shared" si="399"/>
        <v>1.036410937755365E-2</v>
      </c>
      <c r="I396" s="3">
        <f t="shared" si="399"/>
        <v>1.0364109365979224E-2</v>
      </c>
      <c r="J396" s="3">
        <f t="shared" si="399"/>
        <v>1.0364109250234968E-2</v>
      </c>
      <c r="K396" s="3">
        <f t="shared" si="399"/>
        <v>1.0364108092792469E-2</v>
      </c>
      <c r="L396" s="3">
        <f t="shared" si="399"/>
        <v>1.0364096518374583E-2</v>
      </c>
      <c r="M396" s="3">
        <f t="shared" si="399"/>
        <v>1.036398077490667E-2</v>
      </c>
      <c r="N396" s="3">
        <f t="shared" si="399"/>
        <v>1.0362823411317727E-2</v>
      </c>
      <c r="O396" s="3">
        <f t="shared" si="399"/>
        <v>1.0351256881510612E-2</v>
      </c>
      <c r="P396" s="3">
        <f t="shared" si="399"/>
        <v>1.0236299264128891E-2</v>
      </c>
      <c r="Q396" s="3">
        <f t="shared" si="399"/>
        <v>9.1546522773102781E-3</v>
      </c>
      <c r="R396" s="3">
        <f t="shared" si="399"/>
        <v>2.9966128758952028E-3</v>
      </c>
      <c r="S396" s="3">
        <f t="shared" si="399"/>
        <v>4.2317355826898734E-8</v>
      </c>
      <c r="T396" s="3">
        <f t="shared" si="399"/>
        <v>1.3347420511391529E-56</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0.24325214732985198</v>
      </c>
      <c r="B397" s="80">
        <f>IF($A$64&lt;=B363,IF($B$64&gt;=B363,ABS((B365-B364)/B364),0),0)</f>
        <v>3.2836179615574994E-2</v>
      </c>
      <c r="C397" s="80">
        <f t="shared" ref="C397:AF397" si="400">IF($A$64&lt;=C363,IF($B$64&gt;=C363,ABS((C365-C364)/C364),0),0)</f>
        <v>4.8768323051179265E-2</v>
      </c>
      <c r="D397" s="80">
        <f t="shared" si="400"/>
        <v>3.3692374121530866E-2</v>
      </c>
      <c r="E397" s="80">
        <f t="shared" si="400"/>
        <v>9.3400376196847521E-3</v>
      </c>
      <c r="F397" s="80">
        <f t="shared" si="400"/>
        <v>5.2983300909405111E-2</v>
      </c>
      <c r="G397" s="80">
        <f t="shared" si="400"/>
        <v>8.4194521023150032E-2</v>
      </c>
      <c r="H397" s="80">
        <f t="shared" si="400"/>
        <v>8.287791154845732E-2</v>
      </c>
      <c r="I397" s="80">
        <f t="shared" si="400"/>
        <v>6.9363412911614825E-2</v>
      </c>
      <c r="J397" s="80">
        <f t="shared" si="400"/>
        <v>2.122775750200618E-2</v>
      </c>
      <c r="K397" s="80">
        <f t="shared" si="400"/>
        <v>8.9580203284149118E-2</v>
      </c>
      <c r="L397" s="80">
        <f t="shared" si="400"/>
        <v>0.18379607848356092</v>
      </c>
      <c r="M397" s="80">
        <f t="shared" si="400"/>
        <v>0.25490965474600519</v>
      </c>
      <c r="N397" s="80">
        <f t="shared" si="400"/>
        <v>0.28498195065673732</v>
      </c>
      <c r="O397" s="80">
        <f t="shared" si="400"/>
        <v>0.12521375633193069</v>
      </c>
      <c r="P397" s="80">
        <f t="shared" si="400"/>
        <v>5.2217545315210105E-2</v>
      </c>
      <c r="Q397" s="80">
        <f t="shared" si="400"/>
        <v>8.0151673339629859E-2</v>
      </c>
      <c r="R397" s="80">
        <f t="shared" si="400"/>
        <v>0.32928212056111417</v>
      </c>
      <c r="S397" s="80">
        <f t="shared" si="400"/>
        <v>0.45995431942519038</v>
      </c>
      <c r="T397" s="80">
        <f t="shared" si="400"/>
        <v>0.4477135509209173</v>
      </c>
      <c r="U397" s="80">
        <f t="shared" si="400"/>
        <v>0.4330777301854502</v>
      </c>
      <c r="V397" s="80">
        <f t="shared" si="400"/>
        <v>0.42011861298073122</v>
      </c>
      <c r="W397" s="80">
        <f t="shared" si="400"/>
        <v>0.41026244181514004</v>
      </c>
      <c r="X397" s="80">
        <f t="shared" si="400"/>
        <v>0.40330474687610829</v>
      </c>
      <c r="Y397" s="80">
        <f t="shared" si="400"/>
        <v>0.39834266016977965</v>
      </c>
      <c r="Z397" s="80">
        <f t="shared" si="400"/>
        <v>0.39464992566058271</v>
      </c>
      <c r="AA397" s="80">
        <f t="shared" si="400"/>
        <v>0.39396607311363557</v>
      </c>
      <c r="AB397" s="80">
        <f t="shared" si="400"/>
        <v>0.39300062124051854</v>
      </c>
      <c r="AC397" s="80">
        <f t="shared" si="400"/>
        <v>0.38891134183892745</v>
      </c>
      <c r="AD397" s="80">
        <f t="shared" si="400"/>
        <v>0.38884581507619403</v>
      </c>
      <c r="AE397" s="80">
        <f t="shared" si="400"/>
        <v>0.38665436227615863</v>
      </c>
      <c r="AF397" s="80">
        <f t="shared" si="400"/>
        <v>0.38659756462513734</v>
      </c>
    </row>
    <row r="398" spans="1:34" x14ac:dyDescent="0.25">
      <c r="B398" s="21">
        <f>(B365-B364)^2</f>
        <v>32249.801845043457</v>
      </c>
      <c r="C398" s="21">
        <f t="shared" ref="C398:AF398" si="401">(C365-C364)^2</f>
        <v>62943.284053247276</v>
      </c>
      <c r="D398" s="21">
        <f t="shared" si="401"/>
        <v>26806.663892298806</v>
      </c>
      <c r="E398" s="21">
        <f t="shared" si="401"/>
        <v>1829.1743189052211</v>
      </c>
      <c r="F398" s="21">
        <f t="shared" si="401"/>
        <v>51294.975090620814</v>
      </c>
      <c r="G398" s="21">
        <f t="shared" si="401"/>
        <v>109939.43336346722</v>
      </c>
      <c r="H398" s="21">
        <f t="shared" si="401"/>
        <v>83738.409423735982</v>
      </c>
      <c r="I398" s="21">
        <f t="shared" si="401"/>
        <v>41574.002062050306</v>
      </c>
      <c r="J398" s="21">
        <f t="shared" si="401"/>
        <v>2363.7468450438951</v>
      </c>
      <c r="K398" s="21">
        <f t="shared" si="401"/>
        <v>19450.46962129759</v>
      </c>
      <c r="L398" s="21">
        <f t="shared" si="401"/>
        <v>29824.628584105354</v>
      </c>
      <c r="M398" s="21">
        <f t="shared" si="401"/>
        <v>18406.135780640467</v>
      </c>
      <c r="N398" s="21">
        <f t="shared" si="401"/>
        <v>7049.2341794017611</v>
      </c>
      <c r="O398" s="21">
        <f t="shared" si="401"/>
        <v>577.10668821430545</v>
      </c>
      <c r="P398" s="21">
        <f t="shared" si="401"/>
        <v>71.804976336427785</v>
      </c>
      <c r="Q398" s="21">
        <f t="shared" si="401"/>
        <v>139.40790191319553</v>
      </c>
      <c r="R398" s="21">
        <f t="shared" si="401"/>
        <v>2188.3465771542092</v>
      </c>
      <c r="S398" s="21">
        <f t="shared" si="401"/>
        <v>4160.7917520658511</v>
      </c>
      <c r="T398" s="21">
        <f t="shared" si="401"/>
        <v>3769.4336882640987</v>
      </c>
      <c r="U398" s="21">
        <f t="shared" si="401"/>
        <v>3347.2571137892674</v>
      </c>
      <c r="V398" s="21">
        <f t="shared" si="401"/>
        <v>3010.7168406976766</v>
      </c>
      <c r="W398" s="21">
        <f t="shared" si="401"/>
        <v>2775.9417614389849</v>
      </c>
      <c r="X398" s="21">
        <f t="shared" si="401"/>
        <v>2620.3898309272031</v>
      </c>
      <c r="Y398" s="21">
        <f t="shared" si="401"/>
        <v>2514.3145242558689</v>
      </c>
      <c r="Z398" s="21">
        <f t="shared" si="401"/>
        <v>2437.8964469403345</v>
      </c>
      <c r="AA398" s="21">
        <f t="shared" si="401"/>
        <v>2423.9752226187634</v>
      </c>
      <c r="AB398" s="21">
        <f t="shared" si="401"/>
        <v>2404.4424375330423</v>
      </c>
      <c r="AC398" s="21">
        <f t="shared" si="401"/>
        <v>2323.2565740575747</v>
      </c>
      <c r="AD398" s="21">
        <f t="shared" si="401"/>
        <v>2321.9757643353255</v>
      </c>
      <c r="AE398" s="21">
        <f t="shared" si="401"/>
        <v>2279.500390267312</v>
      </c>
      <c r="AF398" s="21">
        <f t="shared" si="401"/>
        <v>2278.4087498000395</v>
      </c>
      <c r="AG398" s="3"/>
      <c r="AH398" s="3"/>
    </row>
    <row r="399" spans="1:34" x14ac:dyDescent="0.25">
      <c r="A399" s="71">
        <f>SUM(B399:AF399)</f>
        <v>529114.92630046769</v>
      </c>
      <c r="B399" s="60">
        <f>IF($A$64&lt;=B363,IF($B$64&gt;=B363,ABS(B398),0),0)</f>
        <v>32249.801845043457</v>
      </c>
      <c r="C399" s="60">
        <f t="shared" ref="C399" si="402">IF($A$64&lt;=C363,IF($B$64&gt;=C363,ABS(C398),0),0)</f>
        <v>62943.284053247276</v>
      </c>
      <c r="D399" s="60">
        <f t="shared" ref="D399" si="403">IF($A$64&lt;=D363,IF($B$64&gt;=D363,ABS(D398),0),0)</f>
        <v>26806.663892298806</v>
      </c>
      <c r="E399" s="60">
        <f t="shared" ref="E399" si="404">IF($A$64&lt;=E363,IF($B$64&gt;=E363,ABS(E398),0),0)</f>
        <v>1829.1743189052211</v>
      </c>
      <c r="F399" s="60">
        <f t="shared" ref="F399" si="405">IF($A$64&lt;=F363,IF($B$64&gt;=F363,ABS(F398),0),0)</f>
        <v>51294.975090620814</v>
      </c>
      <c r="G399" s="60">
        <f t="shared" ref="G399" si="406">IF($A$64&lt;=G363,IF($B$64&gt;=G363,ABS(G398),0),0)</f>
        <v>109939.43336346722</v>
      </c>
      <c r="H399" s="60">
        <f t="shared" ref="H399" si="407">IF($A$64&lt;=H363,IF($B$64&gt;=H363,ABS(H398),0),0)</f>
        <v>83738.409423735982</v>
      </c>
      <c r="I399" s="60">
        <f t="shared" ref="I399" si="408">IF($A$64&lt;=I363,IF($B$64&gt;=I363,ABS(I398),0),0)</f>
        <v>41574.002062050306</v>
      </c>
      <c r="J399" s="60">
        <f t="shared" ref="J399" si="409">IF($A$64&lt;=J363,IF($B$64&gt;=J363,ABS(J398),0),0)</f>
        <v>2363.7468450438951</v>
      </c>
      <c r="K399" s="60">
        <f t="shared" ref="K399" si="410">IF($A$64&lt;=K363,IF($B$64&gt;=K363,ABS(K398),0),0)</f>
        <v>19450.46962129759</v>
      </c>
      <c r="L399" s="60">
        <f t="shared" ref="L399" si="411">IF($A$64&lt;=L363,IF($B$64&gt;=L363,ABS(L398),0),0)</f>
        <v>29824.628584105354</v>
      </c>
      <c r="M399" s="60">
        <f t="shared" ref="M399" si="412">IF($A$64&lt;=M363,IF($B$64&gt;=M363,ABS(M398),0),0)</f>
        <v>18406.135780640467</v>
      </c>
      <c r="N399" s="60">
        <f t="shared" ref="N399" si="413">IF($A$64&lt;=N363,IF($B$64&gt;=N363,ABS(N398),0),0)</f>
        <v>7049.2341794017611</v>
      </c>
      <c r="O399" s="60">
        <f t="shared" ref="O399" si="414">IF($A$64&lt;=O363,IF($B$64&gt;=O363,ABS(O398),0),0)</f>
        <v>577.10668821430545</v>
      </c>
      <c r="P399" s="60">
        <f t="shared" ref="P399" si="415">IF($A$64&lt;=P363,IF($B$64&gt;=P363,ABS(P398),0),0)</f>
        <v>71.804976336427785</v>
      </c>
      <c r="Q399" s="60">
        <f t="shared" ref="Q399" si="416">IF($A$64&lt;=Q363,IF($B$64&gt;=Q363,ABS(Q398),0),0)</f>
        <v>139.40790191319553</v>
      </c>
      <c r="R399" s="60">
        <f t="shared" ref="R399" si="417">IF($A$64&lt;=R363,IF($B$64&gt;=R363,ABS(R398),0),0)</f>
        <v>2188.3465771542092</v>
      </c>
      <c r="S399" s="60">
        <f t="shared" ref="S399" si="418">IF($A$64&lt;=S363,IF($B$64&gt;=S363,ABS(S398),0),0)</f>
        <v>4160.7917520658511</v>
      </c>
      <c r="T399" s="60">
        <f t="shared" ref="T399" si="419">IF($A$64&lt;=T363,IF($B$64&gt;=T363,ABS(T398),0),0)</f>
        <v>3769.4336882640987</v>
      </c>
      <c r="U399" s="60">
        <f t="shared" ref="U399" si="420">IF($A$64&lt;=U363,IF($B$64&gt;=U363,ABS(U398),0),0)</f>
        <v>3347.2571137892674</v>
      </c>
      <c r="V399" s="60">
        <f t="shared" ref="V399" si="421">IF($A$64&lt;=V363,IF($B$64&gt;=V363,ABS(V398),0),0)</f>
        <v>3010.7168406976766</v>
      </c>
      <c r="W399" s="60">
        <f t="shared" ref="W399" si="422">IF($A$64&lt;=W363,IF($B$64&gt;=W363,ABS(W398),0),0)</f>
        <v>2775.9417614389849</v>
      </c>
      <c r="X399" s="60">
        <f t="shared" ref="X399" si="423">IF($A$64&lt;=X363,IF($B$64&gt;=X363,ABS(X398),0),0)</f>
        <v>2620.3898309272031</v>
      </c>
      <c r="Y399" s="60">
        <f t="shared" ref="Y399" si="424">IF($A$64&lt;=Y363,IF($B$64&gt;=Y363,ABS(Y398),0),0)</f>
        <v>2514.3145242558689</v>
      </c>
      <c r="Z399" s="60">
        <f t="shared" ref="Z399" si="425">IF($A$64&lt;=Z363,IF($B$64&gt;=Z363,ABS(Z398),0),0)</f>
        <v>2437.8964469403345</v>
      </c>
      <c r="AA399" s="60">
        <f t="shared" ref="AA399" si="426">IF($A$64&lt;=AA363,IF($B$64&gt;=AA363,ABS(AA398),0),0)</f>
        <v>2423.9752226187634</v>
      </c>
      <c r="AB399" s="60">
        <f t="shared" ref="AB399" si="427">IF($A$64&lt;=AB363,IF($B$64&gt;=AB363,ABS(AB398),0),0)</f>
        <v>2404.4424375330423</v>
      </c>
      <c r="AC399" s="60">
        <f t="shared" ref="AC399" si="428">IF($A$64&lt;=AC363,IF($B$64&gt;=AC363,ABS(AC398),0),0)</f>
        <v>2323.2565740575747</v>
      </c>
      <c r="AD399" s="60">
        <f t="shared" ref="AD399" si="429">IF($A$64&lt;=AD363,IF($B$64&gt;=AD363,ABS(AD398),0),0)</f>
        <v>2321.9757643353255</v>
      </c>
      <c r="AE399" s="60">
        <f t="shared" ref="AE399" si="430">IF($A$64&lt;=AE363,IF($B$64&gt;=AE363,ABS(AE398),0),0)</f>
        <v>2279.500390267312</v>
      </c>
      <c r="AF399" s="60">
        <f t="shared" ref="AF399" si="431">IF($A$64&lt;=AF363,IF($B$64&gt;=AF363,ABS(AF398),0),0)</f>
        <v>2278.4087498000395</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163</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-13.421164302671253</v>
      </c>
      <c r="C403" s="107">
        <f t="shared" ref="C403:H403" si="432">IF(C125=$B$2,0,C126)</f>
        <v>-9.9402669067399305</v>
      </c>
      <c r="D403" s="107">
        <f t="shared" si="432"/>
        <v>-5.8835691205197316</v>
      </c>
      <c r="E403" s="107">
        <f t="shared" si="432"/>
        <v>0</v>
      </c>
      <c r="F403" s="107">
        <f t="shared" si="432"/>
        <v>11.126115554525432</v>
      </c>
      <c r="G403" s="107">
        <f t="shared" si="432"/>
        <v>30.587971776598696</v>
      </c>
      <c r="H403" s="107">
        <f t="shared" si="432"/>
        <v>34.754586084620072</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1.4834140997435133E-21</v>
      </c>
      <c r="C404" s="3">
        <f t="shared" ref="C404:H419" si="433">$A404/EXP(-C$403)</f>
        <v>4.8194439494850871E-20</v>
      </c>
      <c r="D404" s="3">
        <f t="shared" si="433"/>
        <v>2.7848281292601443E-18</v>
      </c>
      <c r="E404" s="3">
        <f t="shared" si="433"/>
        <v>1.0000000000000001E-15</v>
      </c>
      <c r="F404" s="3">
        <f t="shared" si="433"/>
        <v>6.7922019532074383E-11</v>
      </c>
      <c r="G404" s="3">
        <f t="shared" si="433"/>
        <v>1.9239215320924492E-2</v>
      </c>
      <c r="H404" s="3">
        <f t="shared" si="433"/>
        <v>1.2408662069199454</v>
      </c>
      <c r="I404" s="109">
        <f>Comparison!AL3</f>
        <v>1.0000000000000001E-15</v>
      </c>
      <c r="J404" s="3">
        <f>Comparison!AM3</f>
        <v>6574.1423129756067</v>
      </c>
      <c r="K404" s="3">
        <f>Comparison!AN3</f>
        <v>6543.7252261807771</v>
      </c>
      <c r="L404" s="3">
        <f>Comparison!AO3</f>
        <v>6524.0904126194901</v>
      </c>
      <c r="M404" s="3">
        <f>Comparison!AP3</f>
        <v>6503.9509699618966</v>
      </c>
      <c r="N404" s="3">
        <f>Comparison!AQ3</f>
        <v>6479.0859474371819</v>
      </c>
      <c r="O404" s="3">
        <f>Comparison!AR3</f>
        <v>5863.6829549380891</v>
      </c>
      <c r="P404" s="3">
        <f>Comparison!AS3</f>
        <v>5469.0375175567433</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1.4834140997435131E-20</v>
      </c>
      <c r="C405" s="3">
        <f t="shared" si="433"/>
        <v>4.8194439494850871E-19</v>
      </c>
      <c r="D405" s="3">
        <f t="shared" si="433"/>
        <v>2.7848281292601441E-17</v>
      </c>
      <c r="E405" s="3">
        <f t="shared" si="433"/>
        <v>1E-14</v>
      </c>
      <c r="F405" s="3">
        <f t="shared" si="433"/>
        <v>6.7922019532074383E-10</v>
      </c>
      <c r="G405" s="3">
        <f t="shared" si="433"/>
        <v>0.19239215320924488</v>
      </c>
      <c r="H405" s="3">
        <f t="shared" si="433"/>
        <v>12.408662069199455</v>
      </c>
      <c r="I405" s="109">
        <f>Comparison!AL4</f>
        <v>1E-14</v>
      </c>
      <c r="J405" s="3">
        <f>Comparison!AM4</f>
        <v>6574.1983504239388</v>
      </c>
      <c r="K405" s="3">
        <f>Comparison!AN4</f>
        <v>6543.7799387981568</v>
      </c>
      <c r="L405" s="3">
        <f>Comparison!AO4</f>
        <v>6524.1443595856636</v>
      </c>
      <c r="M405" s="3">
        <f>Comparison!AP4</f>
        <v>6504.0043184804708</v>
      </c>
      <c r="N405" s="3">
        <f>Comparison!AQ4</f>
        <v>6479.1324839978006</v>
      </c>
      <c r="O405" s="3">
        <f>Comparison!AR4</f>
        <v>5609.1927579282792</v>
      </c>
      <c r="P405" s="3">
        <f>Comparison!AS4</f>
        <v>5144.4254375399241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1.4834140997435133E-19</v>
      </c>
      <c r="C406" s="3">
        <f t="shared" si="433"/>
        <v>4.8194439494850871E-18</v>
      </c>
      <c r="D406" s="3">
        <f t="shared" si="433"/>
        <v>2.784828129260144E-16</v>
      </c>
      <c r="E406" s="3">
        <f t="shared" si="433"/>
        <v>1E-13</v>
      </c>
      <c r="F406" s="3">
        <f t="shared" si="433"/>
        <v>6.7922019532074379E-9</v>
      </c>
      <c r="G406" s="3">
        <f t="shared" si="433"/>
        <v>1.923921532092449</v>
      </c>
      <c r="H406" s="3">
        <f t="shared" si="433"/>
        <v>124.08662069199454</v>
      </c>
      <c r="I406" s="109">
        <f>Comparison!AL5</f>
        <v>1E-13</v>
      </c>
      <c r="J406" s="3">
        <f>Comparison!AM5</f>
        <v>6574.1641202956771</v>
      </c>
      <c r="K406" s="3">
        <f>Comparison!AN5</f>
        <v>6543.7462938558028</v>
      </c>
      <c r="L406" s="3">
        <f>Comparison!AO5</f>
        <v>6524.1111351538066</v>
      </c>
      <c r="M406" s="3">
        <f>Comparison!AP5</f>
        <v>6503.9713230315656</v>
      </c>
      <c r="N406" s="3">
        <f>Comparison!AQ5</f>
        <v>6479.041978197979</v>
      </c>
      <c r="O406" s="3">
        <f>Comparison!AR5</f>
        <v>5370.7345311781783</v>
      </c>
      <c r="P406" s="3">
        <f>Comparison!AS5</f>
        <v>4859.4796757955091</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1.4834140997435132E-18</v>
      </c>
      <c r="C407" s="3">
        <f t="shared" si="433"/>
        <v>4.8194439494850869E-17</v>
      </c>
      <c r="D407" s="3">
        <f t="shared" si="433"/>
        <v>2.7848281292601438E-15</v>
      </c>
      <c r="E407" s="3">
        <f t="shared" si="433"/>
        <v>9.9999999999999998E-13</v>
      </c>
      <c r="F407" s="3">
        <f t="shared" si="433"/>
        <v>6.792201953207438E-8</v>
      </c>
      <c r="G407" s="3">
        <f t="shared" si="433"/>
        <v>19.23921532092449</v>
      </c>
      <c r="H407" s="3">
        <f t="shared" si="433"/>
        <v>1240.8662069199454</v>
      </c>
      <c r="I407" s="109">
        <f>Comparison!AL6</f>
        <v>9.9999999999999998E-13</v>
      </c>
      <c r="J407" s="3">
        <f>Comparison!AM6</f>
        <v>6574.1538463873376</v>
      </c>
      <c r="K407" s="3">
        <f>Comparison!AN6</f>
        <v>6543.7363350192272</v>
      </c>
      <c r="L407" s="3">
        <f>Comparison!AO6</f>
        <v>6524.1012603146964</v>
      </c>
      <c r="M407" s="3">
        <f>Comparison!AP6</f>
        <v>6503.9615090652051</v>
      </c>
      <c r="N407" s="3">
        <f>Comparison!AQ6</f>
        <v>6478.4539559822069</v>
      </c>
      <c r="O407" s="3">
        <f>Comparison!AR6</f>
        <v>5097.9534912421213</v>
      </c>
      <c r="P407" s="3">
        <f>Comparison!AS6</f>
        <v>4579.0872874253573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1.483414099743513E-17</v>
      </c>
      <c r="C408" s="3">
        <f t="shared" si="433"/>
        <v>4.8194439494850868E-16</v>
      </c>
      <c r="D408" s="3">
        <f t="shared" si="433"/>
        <v>2.7848281292601437E-14</v>
      </c>
      <c r="E408" s="3">
        <f t="shared" si="433"/>
        <v>9.9999999999999994E-12</v>
      </c>
      <c r="F408" s="3">
        <f t="shared" si="433"/>
        <v>6.7922019532074373E-7</v>
      </c>
      <c r="G408" s="3">
        <f t="shared" si="433"/>
        <v>192.39215320924487</v>
      </c>
      <c r="H408" s="3">
        <f t="shared" si="433"/>
        <v>12408.662069199454</v>
      </c>
      <c r="I408" s="109">
        <f>Comparison!AL7</f>
        <v>9.9999999999999994E-12</v>
      </c>
      <c r="J408" s="3">
        <f>Comparison!AM7</f>
        <v>6574.1506604943988</v>
      </c>
      <c r="K408" s="3">
        <f>Comparison!AN7</f>
        <v>6543.7332030080934</v>
      </c>
      <c r="L408" s="3">
        <f>Comparison!AO7</f>
        <v>6524.0981470711258</v>
      </c>
      <c r="M408" s="3">
        <f>Comparison!AP7</f>
        <v>6503.9584150129849</v>
      </c>
      <c r="N408" s="3">
        <f>Comparison!AQ7</f>
        <v>6472.7726535549082</v>
      </c>
      <c r="O408" s="3">
        <f>Comparison!AR7</f>
        <v>4821.046341164677</v>
      </c>
      <c r="P408" s="3">
        <f>Comparison!AS7</f>
        <v>4274.6287252900811</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1.4834140997435132E-16</v>
      </c>
      <c r="C409" s="3">
        <f t="shared" si="433"/>
        <v>4.819443949485087E-15</v>
      </c>
      <c r="D409" s="3">
        <f t="shared" si="433"/>
        <v>2.7848281292601442E-13</v>
      </c>
      <c r="E409" s="3">
        <f t="shared" si="433"/>
        <v>1E-10</v>
      </c>
      <c r="F409" s="3">
        <f t="shared" si="433"/>
        <v>6.7922019532074381E-6</v>
      </c>
      <c r="G409" s="3">
        <f t="shared" si="433"/>
        <v>1923.9215320924491</v>
      </c>
      <c r="H409" s="3">
        <f t="shared" si="433"/>
        <v>124086.62069199454</v>
      </c>
      <c r="I409" s="109">
        <f>Comparison!AL8</f>
        <v>1E-10</v>
      </c>
      <c r="J409" s="3">
        <f>Comparison!AM8</f>
        <v>6574.149598530772</v>
      </c>
      <c r="K409" s="3">
        <f>Comparison!AN8</f>
        <v>6543.7321508487757</v>
      </c>
      <c r="L409" s="3">
        <f>Comparison!AO8</f>
        <v>6524.0971012165301</v>
      </c>
      <c r="M409" s="3">
        <f>Comparison!AP8</f>
        <v>6503.9573030886877</v>
      </c>
      <c r="N409" s="3">
        <f>Comparison!AQ8</f>
        <v>6425.3224026678754</v>
      </c>
      <c r="O409" s="3">
        <f>Comparison!AR8</f>
        <v>4535.3452020984814</v>
      </c>
      <c r="P409" s="3">
        <f>Comparison!AS8</f>
        <v>3938.1560081824523</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1.4834140997435133E-15</v>
      </c>
      <c r="C410" s="3">
        <f t="shared" si="433"/>
        <v>4.8194439494850871E-14</v>
      </c>
      <c r="D410" s="3">
        <f t="shared" si="433"/>
        <v>2.7848281292601442E-12</v>
      </c>
      <c r="E410" s="3">
        <f t="shared" si="433"/>
        <v>1.0000000000000001E-9</v>
      </c>
      <c r="F410" s="3">
        <f t="shared" si="433"/>
        <v>6.7922019532074381E-5</v>
      </c>
      <c r="G410" s="3">
        <f t="shared" si="433"/>
        <v>19239.21532092449</v>
      </c>
      <c r="H410" s="3">
        <f t="shared" si="433"/>
        <v>1240866.2069199455</v>
      </c>
      <c r="I410" s="109">
        <f>Comparison!AL9</f>
        <v>1.0000000000000001E-9</v>
      </c>
      <c r="J410" s="3">
        <f>Comparison!AM9</f>
        <v>6574.1492527752453</v>
      </c>
      <c r="K410" s="3">
        <f>Comparison!AN9</f>
        <v>6543.7318082853499</v>
      </c>
      <c r="L410" s="3">
        <f>Comparison!AO9</f>
        <v>6524.0967607058046</v>
      </c>
      <c r="M410" s="3">
        <f>Comparison!AP9</f>
        <v>6503.9546441408229</v>
      </c>
      <c r="N410" s="3">
        <f>Comparison!AQ9</f>
        <v>6280.1372572444334</v>
      </c>
      <c r="O410" s="3">
        <f>Comparison!AR9</f>
        <v>4228.4929725950406</v>
      </c>
      <c r="P410" s="3">
        <f>Comparison!AS9</f>
        <v>3491.5925245283374</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1.4834140997435133E-14</v>
      </c>
      <c r="C411" s="3">
        <f t="shared" si="433"/>
        <v>4.8194439494850875E-13</v>
      </c>
      <c r="D411" s="3">
        <f t="shared" si="433"/>
        <v>2.7848281292601441E-11</v>
      </c>
      <c r="E411" s="3">
        <f t="shared" si="433"/>
        <v>1E-8</v>
      </c>
      <c r="F411" s="3">
        <f t="shared" si="433"/>
        <v>6.7922019532074386E-4</v>
      </c>
      <c r="G411" s="3">
        <f t="shared" si="433"/>
        <v>192392.15320924489</v>
      </c>
      <c r="H411" s="3">
        <f t="shared" si="433"/>
        <v>12408662.069199454</v>
      </c>
      <c r="I411" s="109">
        <f>Comparison!AL10</f>
        <v>1E-8</v>
      </c>
      <c r="J411" s="3">
        <f>Comparison!AM10</f>
        <v>6574.149203381603</v>
      </c>
      <c r="K411" s="3">
        <f>Comparison!AN10</f>
        <v>6543.7317593477201</v>
      </c>
      <c r="L411" s="3">
        <f>Comparison!AO10</f>
        <v>6524.0967120614177</v>
      </c>
      <c r="M411" s="3">
        <f>Comparison!AP10</f>
        <v>6503.932647473689</v>
      </c>
      <c r="N411" s="3">
        <f>Comparison!AQ10</f>
        <v>6130.7451181848783</v>
      </c>
      <c r="O411" s="3">
        <f>Comparison!AR10</f>
        <v>3871.0057883923755</v>
      </c>
      <c r="P411" s="3">
        <f>Comparison!AS10</f>
        <v>2939.5473684961994</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1.4834140997435131E-13</v>
      </c>
      <c r="C412" s="3">
        <f t="shared" si="433"/>
        <v>4.8194439494850871E-12</v>
      </c>
      <c r="D412" s="3">
        <f t="shared" si="433"/>
        <v>2.7848281292601437E-10</v>
      </c>
      <c r="E412" s="3">
        <f t="shared" si="433"/>
        <v>9.9999999999999995E-8</v>
      </c>
      <c r="F412" s="3">
        <f t="shared" si="433"/>
        <v>6.7922019532074378E-3</v>
      </c>
      <c r="G412" s="3">
        <f t="shared" si="433"/>
        <v>1923921.5320924488</v>
      </c>
      <c r="H412" s="3">
        <f t="shared" si="433"/>
        <v>124086620.69199453</v>
      </c>
      <c r="I412" s="109">
        <f>Comparison!AL11</f>
        <v>9.9999999999999995E-8</v>
      </c>
      <c r="J412" s="3">
        <f>Comparison!AM11</f>
        <v>6574.149203381603</v>
      </c>
      <c r="K412" s="3">
        <f>Comparison!AN11</f>
        <v>6543.7315146595847</v>
      </c>
      <c r="L412" s="3">
        <f>Comparison!AO11</f>
        <v>6524.0963715507314</v>
      </c>
      <c r="M412" s="3">
        <f>Comparison!AP11</f>
        <v>6503.7133657579243</v>
      </c>
      <c r="N412" s="3">
        <f>Comparison!AQ11</f>
        <v>5959.459898848826</v>
      </c>
      <c r="O412" s="3">
        <f>Comparison!AR11</f>
        <v>3401.7561264704505</v>
      </c>
      <c r="P412" s="3">
        <f>Comparison!AS11</f>
        <v>2290.3210430692648</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1.4834140997435132E-12</v>
      </c>
      <c r="C413" s="3">
        <f t="shared" si="433"/>
        <v>4.8194439494850869E-11</v>
      </c>
      <c r="D413" s="3">
        <f t="shared" si="433"/>
        <v>2.7848281292601439E-9</v>
      </c>
      <c r="E413" s="3">
        <f t="shared" si="433"/>
        <v>9.9999999999999995E-7</v>
      </c>
      <c r="F413" s="3">
        <f t="shared" si="433"/>
        <v>6.7922019532074371E-2</v>
      </c>
      <c r="G413" s="3">
        <f t="shared" si="433"/>
        <v>19239215.320924487</v>
      </c>
      <c r="H413" s="3">
        <f t="shared" si="433"/>
        <v>1240866206.9199452</v>
      </c>
      <c r="I413" s="109">
        <f>Comparison!AL12</f>
        <v>9.9999999999999995E-7</v>
      </c>
      <c r="J413" s="3">
        <f>Comparison!AM12</f>
        <v>6574.149203381603</v>
      </c>
      <c r="K413" s="3">
        <f>Comparison!AN12</f>
        <v>6543.731490190773</v>
      </c>
      <c r="L413" s="3">
        <f>Comparison!AO12</f>
        <v>6524.0939393325853</v>
      </c>
      <c r="M413" s="3">
        <f>Comparison!AP12</f>
        <v>6501.5374241274303</v>
      </c>
      <c r="N413" s="3">
        <f>Comparison!AQ12</f>
        <v>5758.6320512376351</v>
      </c>
      <c r="O413" s="3">
        <f>Comparison!AR12</f>
        <v>2827.0529060658037</v>
      </c>
      <c r="P413" s="3">
        <f>Comparison!AS12</f>
        <v>1556.8723374202477</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1.4834140997435134E-11</v>
      </c>
      <c r="C414" s="3">
        <f t="shared" si="433"/>
        <v>4.8194439494850876E-10</v>
      </c>
      <c r="D414" s="3">
        <f t="shared" si="433"/>
        <v>2.7848281292601443E-8</v>
      </c>
      <c r="E414" s="3">
        <f t="shared" si="433"/>
        <v>1.0000000000000001E-5</v>
      </c>
      <c r="F414" s="3">
        <f t="shared" si="433"/>
        <v>0.67922019532074385</v>
      </c>
      <c r="G414" s="3">
        <f t="shared" si="433"/>
        <v>192392153.20924491</v>
      </c>
      <c r="H414" s="3">
        <f t="shared" si="433"/>
        <v>12408662069.199455</v>
      </c>
      <c r="I414" s="109">
        <f>Comparison!AL13</f>
        <v>1.0000000000000001E-5</v>
      </c>
      <c r="J414" s="3">
        <f>Comparison!AM13</f>
        <v>6574.1491786847801</v>
      </c>
      <c r="K414" s="3">
        <f>Comparison!AN13</f>
        <v>6543.7313923155243</v>
      </c>
      <c r="L414" s="3">
        <f>Comparison!AO13</f>
        <v>6524.06939835293</v>
      </c>
      <c r="M414" s="3">
        <f>Comparison!AP13</f>
        <v>6481.233154233405</v>
      </c>
      <c r="N414" s="3">
        <f>Comparison!AQ13</f>
        <v>5553.7107715147085</v>
      </c>
      <c r="O414" s="3">
        <f>Comparison!AR13</f>
        <v>2150.7951483518323</v>
      </c>
      <c r="P414" s="3">
        <f>Comparison!AS13</f>
        <v>939.61789874376836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1.4834140997435133E-10</v>
      </c>
      <c r="C415" s="3">
        <f t="shared" si="433"/>
        <v>4.8194439494850876E-9</v>
      </c>
      <c r="D415" s="3">
        <f t="shared" si="433"/>
        <v>2.784828129260144E-7</v>
      </c>
      <c r="E415" s="3">
        <f t="shared" si="433"/>
        <v>1E-4</v>
      </c>
      <c r="F415" s="3">
        <f t="shared" si="433"/>
        <v>6.7922019532074387</v>
      </c>
      <c r="G415" s="3">
        <f t="shared" si="433"/>
        <v>1923921532.0924489</v>
      </c>
      <c r="H415" s="3">
        <f t="shared" si="433"/>
        <v>124086620691.99455</v>
      </c>
      <c r="I415" s="109">
        <f>Comparison!AL14</f>
        <v>1E-4</v>
      </c>
      <c r="J415" s="3">
        <f>Comparison!AM14</f>
        <v>6574.1489070197567</v>
      </c>
      <c r="K415" s="3">
        <f>Comparison!AN14</f>
        <v>6543.7286518097571</v>
      </c>
      <c r="L415" s="3">
        <f>Comparison!AO14</f>
        <v>6523.8242419120506</v>
      </c>
      <c r="M415" s="3">
        <f>Comparison!AP14</f>
        <v>6364.7007036045688</v>
      </c>
      <c r="N415" s="3">
        <f>Comparison!AQ14</f>
        <v>5296.2160470219478</v>
      </c>
      <c r="O415" s="3">
        <f>Comparison!AR14</f>
        <v>1410.5199057082755</v>
      </c>
      <c r="P415" s="3">
        <f>Comparison!AS14</f>
        <v>532.22470015904992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1.4834140997435132E-9</v>
      </c>
      <c r="C416" s="3">
        <f t="shared" si="433"/>
        <v>4.8194439494850868E-8</v>
      </c>
      <c r="D416" s="3">
        <f t="shared" si="433"/>
        <v>2.784828129260144E-6</v>
      </c>
      <c r="E416" s="3">
        <f t="shared" si="433"/>
        <v>1E-3</v>
      </c>
      <c r="F416" s="3">
        <f t="shared" si="433"/>
        <v>67.922019532074387</v>
      </c>
      <c r="G416" s="3">
        <f t="shared" si="433"/>
        <v>19239215320.924488</v>
      </c>
      <c r="H416" s="3">
        <f t="shared" si="433"/>
        <v>1240866206919.9453</v>
      </c>
      <c r="I416" s="109">
        <f>Comparison!AL15</f>
        <v>1E-3</v>
      </c>
      <c r="J416" s="3">
        <f>Comparison!AM15</f>
        <v>6574.1483883865922</v>
      </c>
      <c r="K416" s="3">
        <f>Comparison!AN15</f>
        <v>6543.7023234963144</v>
      </c>
      <c r="L416" s="3">
        <f>Comparison!AO15</f>
        <v>6521.3925487999713</v>
      </c>
      <c r="M416" s="3">
        <f>Comparison!AP15</f>
        <v>6219.55344224686</v>
      </c>
      <c r="N416" s="3">
        <f>Comparison!AQ15</f>
        <v>5014.3504980568096</v>
      </c>
      <c r="O416" s="3">
        <f>Comparison!AR15</f>
        <v>826.67973456797017</v>
      </c>
      <c r="P416" s="3">
        <f>Comparison!AS15</f>
        <v>294.61415856723238</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1.4834140997435132E-8</v>
      </c>
      <c r="C417" s="3">
        <f t="shared" si="433"/>
        <v>4.8194439494850876E-7</v>
      </c>
      <c r="D417" s="3">
        <f t="shared" si="433"/>
        <v>2.784828129260144E-5</v>
      </c>
      <c r="E417" s="3">
        <f t="shared" si="433"/>
        <v>0.01</v>
      </c>
      <c r="F417" s="3">
        <f t="shared" si="433"/>
        <v>679.22019532074376</v>
      </c>
      <c r="G417" s="3">
        <f t="shared" si="433"/>
        <v>192392153209.2449</v>
      </c>
      <c r="H417" s="3">
        <f t="shared" si="433"/>
        <v>12408662069199.455</v>
      </c>
      <c r="I417" s="109">
        <f>Comparison!AL16</f>
        <v>0.01</v>
      </c>
      <c r="J417" s="3">
        <f>Comparison!AM16</f>
        <v>6574.141102834109</v>
      </c>
      <c r="K417" s="3">
        <f>Comparison!AN16</f>
        <v>6543.4393456132884</v>
      </c>
      <c r="L417" s="3">
        <f>Comparison!AO16</f>
        <v>6498.8766153292054</v>
      </c>
      <c r="M417" s="3">
        <f>Comparison!AP16</f>
        <v>6059.9785511387736</v>
      </c>
      <c r="N417" s="3">
        <f>Comparison!AQ16</f>
        <v>4737.7084148388376</v>
      </c>
      <c r="O417" s="3">
        <f>Comparison!AR16</f>
        <v>463.10914863390207</v>
      </c>
      <c r="P417" s="3">
        <f>Comparison!AS16</f>
        <v>191.85627557437303</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1.4834140997435134E-7</v>
      </c>
      <c r="C418" s="3">
        <f t="shared" si="433"/>
        <v>4.8194439494850873E-6</v>
      </c>
      <c r="D418" s="3">
        <f t="shared" si="433"/>
        <v>2.7848281292601441E-4</v>
      </c>
      <c r="E418" s="3">
        <f t="shared" si="433"/>
        <v>0.1</v>
      </c>
      <c r="F418" s="3">
        <f t="shared" si="433"/>
        <v>6792.2019532074382</v>
      </c>
      <c r="G418" s="3">
        <f t="shared" si="433"/>
        <v>1923921532092.449</v>
      </c>
      <c r="H418" s="3">
        <f t="shared" si="433"/>
        <v>124086620691994.55</v>
      </c>
      <c r="I418" s="109">
        <f>Comparison!AL17</f>
        <v>0.1</v>
      </c>
      <c r="J418" s="3">
        <f>Comparison!AM17</f>
        <v>6574.0681741087647</v>
      </c>
      <c r="K418" s="3">
        <f>Comparison!AN17</f>
        <v>6540.8297975507394</v>
      </c>
      <c r="L418" s="3">
        <f>Comparison!AO17</f>
        <v>6376.7108933957061</v>
      </c>
      <c r="M418" s="3">
        <f>Comparison!AP17</f>
        <v>5870.6317266704709</v>
      </c>
      <c r="N418" s="3">
        <f>Comparison!AQ17</f>
        <v>4438.626264954587</v>
      </c>
      <c r="O418" s="3">
        <f>Comparison!AR17</f>
        <v>257.27368574751409</v>
      </c>
      <c r="P418" s="3">
        <f>Comparison!AS17</f>
        <v>162.27843823453597</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1.4834140997435131E-6</v>
      </c>
      <c r="C419" s="3">
        <f t="shared" si="433"/>
        <v>4.8194439494850872E-5</v>
      </c>
      <c r="D419" s="3">
        <f t="shared" si="433"/>
        <v>2.7848281292601439E-3</v>
      </c>
      <c r="E419" s="3">
        <f t="shared" si="433"/>
        <v>1</v>
      </c>
      <c r="F419" s="3">
        <f t="shared" si="433"/>
        <v>67922.019532074381</v>
      </c>
      <c r="G419" s="3">
        <f t="shared" si="433"/>
        <v>19239215320924.488</v>
      </c>
      <c r="H419" s="3">
        <f t="shared" si="433"/>
        <v>1240866206919945.5</v>
      </c>
      <c r="I419" s="109">
        <f>Comparison!AL18</f>
        <v>1</v>
      </c>
      <c r="J419" s="3">
        <f>Comparison!AM18</f>
        <v>6573.3425313051102</v>
      </c>
      <c r="K419" s="3">
        <f>Comparison!AN18</f>
        <v>6516.7915822655277</v>
      </c>
      <c r="L419" s="3">
        <f>Comparison!AO18</f>
        <v>6230.3639399807598</v>
      </c>
      <c r="M419" s="3">
        <f>Comparison!AP18</f>
        <v>5669.1325406322439</v>
      </c>
      <c r="N419" s="3">
        <f>Comparison!AQ18</f>
        <v>4115.3629839514006</v>
      </c>
      <c r="O419" s="3">
        <f>Comparison!AR18</f>
        <v>179.98076982609024</v>
      </c>
      <c r="P419" s="3">
        <f>Comparison!AS18</f>
        <v>147.30961753431595</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1.4834140997435131E-5</v>
      </c>
      <c r="C420" s="3">
        <f t="shared" si="434"/>
        <v>4.8194439494850868E-4</v>
      </c>
      <c r="D420" s="3">
        <f t="shared" si="434"/>
        <v>2.7848281292601439E-2</v>
      </c>
      <c r="E420" s="3">
        <f t="shared" si="434"/>
        <v>10</v>
      </c>
      <c r="F420" s="3">
        <f t="shared" si="434"/>
        <v>679220.19532074383</v>
      </c>
      <c r="G420" s="3">
        <f t="shared" si="434"/>
        <v>192392153209244.91</v>
      </c>
      <c r="H420" s="3">
        <f t="shared" si="434"/>
        <v>1.2408662069199454E+16</v>
      </c>
      <c r="I420" s="109">
        <f>Comparison!AL19</f>
        <v>10</v>
      </c>
      <c r="J420" s="3">
        <f>Comparison!AM19</f>
        <v>6566.2492544539882</v>
      </c>
      <c r="K420" s="3">
        <f>Comparison!AN19</f>
        <v>6390.814079024768</v>
      </c>
      <c r="L420" s="3">
        <f>Comparison!AO19</f>
        <v>6066.3152248046426</v>
      </c>
      <c r="M420" s="3">
        <f>Comparison!AP19</f>
        <v>5423.4324257349326</v>
      </c>
      <c r="N420" s="3">
        <f>Comparison!AQ19</f>
        <v>3662.5886079597385</v>
      </c>
      <c r="O420" s="3">
        <f>Comparison!AR19</f>
        <v>157.55849658546879</v>
      </c>
      <c r="P420" s="3">
        <f>Comparison!AS19</f>
        <v>142.06591803394016</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1.4834140997435131E-4</v>
      </c>
      <c r="C421" s="3">
        <f t="shared" si="434"/>
        <v>4.8194439494850866E-3</v>
      </c>
      <c r="D421" s="3">
        <f t="shared" si="434"/>
        <v>0.2784828129260144</v>
      </c>
      <c r="E421" s="3">
        <f t="shared" si="434"/>
        <v>100</v>
      </c>
      <c r="F421" s="3">
        <f t="shared" si="434"/>
        <v>6792201.9532074379</v>
      </c>
      <c r="G421" s="3">
        <f t="shared" si="434"/>
        <v>1923921532092449</v>
      </c>
      <c r="H421" s="3">
        <f t="shared" si="434"/>
        <v>1.2408662069199454E+17</v>
      </c>
      <c r="I421" s="109">
        <f>Comparison!AL20</f>
        <v>100</v>
      </c>
      <c r="J421" s="3">
        <f>Comparison!AM20</f>
        <v>6509.2168204054406</v>
      </c>
      <c r="K421" s="3">
        <f>Comparison!AN20</f>
        <v>6240.1474757230608</v>
      </c>
      <c r="L421" s="3">
        <f>Comparison!AO20</f>
        <v>5850.8000974148181</v>
      </c>
      <c r="M421" s="3">
        <f>Comparison!AP20</f>
        <v>5064.9009314494624</v>
      </c>
      <c r="N421" s="3">
        <f>Comparison!AQ20</f>
        <v>3039.7716426269371</v>
      </c>
      <c r="O421" s="3">
        <f>Comparison!AR20</f>
        <v>143.13037816485394</v>
      </c>
      <c r="P421" s="3">
        <f>Comparison!AS20</f>
        <v>140.2404472955443</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1.4834140997435131E-3</v>
      </c>
      <c r="C422" s="3">
        <f t="shared" si="434"/>
        <v>4.8194439494850867E-2</v>
      </c>
      <c r="D422" s="3">
        <f t="shared" si="434"/>
        <v>2.784828129260144</v>
      </c>
      <c r="E422" s="3">
        <f t="shared" si="434"/>
        <v>1000</v>
      </c>
      <c r="F422" s="3">
        <f t="shared" si="434"/>
        <v>67922019.532074377</v>
      </c>
      <c r="G422" s="3">
        <f t="shared" si="434"/>
        <v>1.9239215320924488E+16</v>
      </c>
      <c r="H422" s="3">
        <f t="shared" si="434"/>
        <v>1.2408662069199455E+18</v>
      </c>
      <c r="I422" s="109">
        <f>Comparison!AL21</f>
        <v>1000</v>
      </c>
      <c r="J422" s="3">
        <f>Comparison!AM21</f>
        <v>6358.877795711509</v>
      </c>
      <c r="K422" s="3">
        <f>Comparison!AN21</f>
        <v>6044.4265071962272</v>
      </c>
      <c r="L422" s="3">
        <f>Comparison!AO21</f>
        <v>5524.1383776461034</v>
      </c>
      <c r="M422" s="3">
        <f>Comparison!AP21</f>
        <v>4580.1850776889687</v>
      </c>
      <c r="N422" s="3">
        <f>Comparison!AQ21</f>
        <v>2356.5178874385392</v>
      </c>
      <c r="O422" s="3">
        <f>Comparison!AR21</f>
        <v>139.03929298884987</v>
      </c>
      <c r="P422" s="3">
        <f>Comparison!AS21</f>
        <v>137.13168564571805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1.4834140997435132E-2</v>
      </c>
      <c r="C423" s="3">
        <f t="shared" si="434"/>
        <v>0.48194439494850871</v>
      </c>
      <c r="D423" s="3">
        <f t="shared" si="434"/>
        <v>27.848281292601438</v>
      </c>
      <c r="E423" s="3">
        <f t="shared" si="434"/>
        <v>10000</v>
      </c>
      <c r="F423" s="3">
        <f t="shared" si="434"/>
        <v>679220195.3207438</v>
      </c>
      <c r="G423" s="3">
        <f t="shared" si="434"/>
        <v>1.923921532092449E+17</v>
      </c>
      <c r="H423" s="3">
        <f t="shared" si="434"/>
        <v>1.2408662069199454E+19</v>
      </c>
      <c r="I423" s="109">
        <f>Comparison!AL22</f>
        <v>10000</v>
      </c>
      <c r="J423" s="3">
        <f>Comparison!AM22</f>
        <v>6198.1657141301985</v>
      </c>
      <c r="K423" s="3">
        <f>Comparison!AN22</f>
        <v>5697.9764219559002</v>
      </c>
      <c r="L423" s="3">
        <f>Comparison!AO22</f>
        <v>5037.8540321693981</v>
      </c>
      <c r="M423" s="3">
        <f>Comparison!AP22</f>
        <v>4085.8663253030418</v>
      </c>
      <c r="N423" s="3">
        <f>Comparison!AQ22</f>
        <v>1664.6092730189016</v>
      </c>
      <c r="O423" s="3">
        <f>Comparison!AR22</f>
        <v>135.60631839895524</v>
      </c>
      <c r="P423" s="3">
        <f>Comparison!AS22</f>
        <v>133.5914564553571</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0.14834140997435133</v>
      </c>
      <c r="C424" s="3">
        <f t="shared" si="434"/>
        <v>4.8194439494850867</v>
      </c>
      <c r="D424" s="3">
        <f t="shared" si="434"/>
        <v>278.48281292601439</v>
      </c>
      <c r="E424" s="3">
        <f t="shared" si="434"/>
        <v>100000</v>
      </c>
      <c r="F424" s="3">
        <f t="shared" si="434"/>
        <v>6792201953.2074375</v>
      </c>
      <c r="G424" s="3">
        <f t="shared" si="434"/>
        <v>1.923921532092449E+18</v>
      </c>
      <c r="H424" s="3">
        <f t="shared" si="434"/>
        <v>1.2408662069199454E+20</v>
      </c>
      <c r="I424" s="109">
        <f>Comparison!AL23</f>
        <v>100000</v>
      </c>
      <c r="J424" s="3">
        <f>Comparison!AM23</f>
        <v>5965.2165970487267</v>
      </c>
      <c r="K424" s="3">
        <f>Comparison!AN23</f>
        <v>5222.1642197271249</v>
      </c>
      <c r="L424" s="3">
        <f>Comparison!AO23</f>
        <v>4531.1485912762591</v>
      </c>
      <c r="M424" s="3">
        <f>Comparison!AP23</f>
        <v>3641.7022773125063</v>
      </c>
      <c r="N424" s="3">
        <f>Comparison!AQ23</f>
        <v>1039.9214556238178</v>
      </c>
      <c r="O424" s="3">
        <f>Comparison!AR23</f>
        <v>132.22937471479068</v>
      </c>
      <c r="P424" s="3">
        <f>Comparison!AS23</f>
        <v>130.60597118111332</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1.4834140997435132</v>
      </c>
      <c r="C425" s="3">
        <f t="shared" si="434"/>
        <v>48.194439494850869</v>
      </c>
      <c r="D425" s="3">
        <f t="shared" si="434"/>
        <v>2784.8281292601441</v>
      </c>
      <c r="E425" s="3">
        <f t="shared" si="434"/>
        <v>1000000</v>
      </c>
      <c r="F425" s="3">
        <f t="shared" si="434"/>
        <v>67922019532.074379</v>
      </c>
      <c r="G425" s="3">
        <f t="shared" si="434"/>
        <v>1.9239215320924488E+19</v>
      </c>
      <c r="H425" s="3">
        <f t="shared" si="434"/>
        <v>1.2408662069199454E+21</v>
      </c>
      <c r="I425" s="109">
        <f>Comparison!AL24</f>
        <v>1000000</v>
      </c>
      <c r="J425" s="3">
        <f>Comparison!AM24</f>
        <v>5562.9083959530062</v>
      </c>
      <c r="K425" s="3">
        <f>Comparison!AN24</f>
        <v>4741.2273341563377</v>
      </c>
      <c r="L425" s="3">
        <f>Comparison!AO24</f>
        <v>4100.3073895013431</v>
      </c>
      <c r="M425" s="3">
        <f>Comparison!AP24</f>
        <v>3231.6591203117327</v>
      </c>
      <c r="N425" s="3">
        <f>Comparison!AQ24</f>
        <v>595.89522173414423</v>
      </c>
      <c r="O425" s="3">
        <f>Comparison!AR24</f>
        <v>129.58780540541244</v>
      </c>
      <c r="P425" s="3">
        <f>Comparison!AS24</f>
        <v>128.42317853149575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14.834140997435131</v>
      </c>
      <c r="C426" s="3">
        <f t="shared" si="434"/>
        <v>481.94439494850872</v>
      </c>
      <c r="D426" s="3">
        <f t="shared" si="434"/>
        <v>27848.281292601441</v>
      </c>
      <c r="E426" s="3">
        <f t="shared" si="434"/>
        <v>10000000</v>
      </c>
      <c r="F426" s="3">
        <f t="shared" si="434"/>
        <v>679220195320.74377</v>
      </c>
      <c r="G426" s="3">
        <f t="shared" si="434"/>
        <v>1.9239215320924488E+20</v>
      </c>
      <c r="H426" s="3">
        <f t="shared" si="434"/>
        <v>1.2408662069199453E+22</v>
      </c>
      <c r="I426" s="109">
        <f>Comparison!AL25</f>
        <v>10000000</v>
      </c>
      <c r="J426" s="3">
        <f>Comparison!AM25</f>
        <v>5068.6144859756578</v>
      </c>
      <c r="K426" s="3">
        <f>Comparison!AN25</f>
        <v>4311.1706397553053</v>
      </c>
      <c r="L426" s="3">
        <f>Comparison!AO25</f>
        <v>3736.9018653482362</v>
      </c>
      <c r="M426" s="3">
        <f>Comparison!AP25</f>
        <v>2785.7203085552951</v>
      </c>
      <c r="N426" s="3">
        <f>Comparison!AQ25</f>
        <v>331.71701217899948</v>
      </c>
      <c r="O426" s="3">
        <f>Comparison!AR25</f>
        <v>127.7135675720335</v>
      </c>
      <c r="P426" s="3">
        <f>Comparison!AS25</f>
        <v>126.92571513683149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148.34140997435131</v>
      </c>
      <c r="C427" s="3">
        <f t="shared" si="434"/>
        <v>4819.4439494850867</v>
      </c>
      <c r="D427" s="3">
        <f t="shared" si="434"/>
        <v>278482.81292601442</v>
      </c>
      <c r="E427" s="3">
        <f t="shared" si="434"/>
        <v>100000000</v>
      </c>
      <c r="F427" s="3">
        <f t="shared" si="434"/>
        <v>6792201953207.4375</v>
      </c>
      <c r="G427" s="3">
        <f t="shared" si="434"/>
        <v>1.923921532092449E+21</v>
      </c>
      <c r="H427" s="3">
        <f t="shared" si="434"/>
        <v>1.2408662069199455E+23</v>
      </c>
      <c r="I427" s="109">
        <f>Comparison!AL26</f>
        <v>100000000</v>
      </c>
      <c r="J427" s="3">
        <f>Comparison!AM26</f>
        <v>4583.1082918040429</v>
      </c>
      <c r="K427" s="3">
        <f>Comparison!AN26</f>
        <v>3952.2593271118144</v>
      </c>
      <c r="L427" s="3">
        <f>Comparison!AO26</f>
        <v>3408.8002756648089</v>
      </c>
      <c r="M427" s="3">
        <f>Comparison!AP26</f>
        <v>2295.1533050928924</v>
      </c>
      <c r="N427" s="3">
        <f>Comparison!AQ26</f>
        <v>192.72704730170403</v>
      </c>
      <c r="O427" s="3">
        <f>Comparison!AR26</f>
        <v>126.4367312836393</v>
      </c>
      <c r="P427" s="3">
        <f>Comparison!AS26</f>
        <v>125.87891264299097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1483.4140997435131</v>
      </c>
      <c r="C428" s="3">
        <f t="shared" si="434"/>
        <v>48194.439494850871</v>
      </c>
      <c r="D428" s="3">
        <f t="shared" si="434"/>
        <v>2784828.1292601437</v>
      </c>
      <c r="E428" s="3">
        <f t="shared" si="434"/>
        <v>1000000000</v>
      </c>
      <c r="F428" s="3">
        <f t="shared" si="434"/>
        <v>67922019532074.383</v>
      </c>
      <c r="G428" s="3">
        <f t="shared" si="434"/>
        <v>1.9239215320924487E+22</v>
      </c>
      <c r="H428" s="3">
        <f t="shared" si="434"/>
        <v>1.2408662069199455E+24</v>
      </c>
      <c r="I428" s="109">
        <f>Comparison!AL27</f>
        <v>1000000000</v>
      </c>
      <c r="J428" s="3">
        <f>Comparison!AM27</f>
        <v>4165.9762057055259</v>
      </c>
      <c r="K428" s="3">
        <f>Comparison!AN27</f>
        <v>3639.2172363975619</v>
      </c>
      <c r="L428" s="3">
        <f>Comparison!AO27</f>
        <v>3078.2308446927527</v>
      </c>
      <c r="M428" s="3">
        <f>Comparison!AP27</f>
        <v>1754.5150163075152</v>
      </c>
      <c r="N428" s="3">
        <f>Comparison!AQ27</f>
        <v>148.89299884614732</v>
      </c>
      <c r="O428" s="3">
        <f>Comparison!AR27</f>
        <v>125.52960401951817</v>
      </c>
      <c r="P428" s="3">
        <f>Comparison!AS27</f>
        <v>125.11103067782525</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14834.140997435132</v>
      </c>
      <c r="C429" s="3">
        <f t="shared" si="434"/>
        <v>481944.39494850871</v>
      </c>
      <c r="D429" s="3">
        <f t="shared" si="434"/>
        <v>27848281.29260144</v>
      </c>
      <c r="E429" s="3">
        <f t="shared" si="434"/>
        <v>10000000000</v>
      </c>
      <c r="F429" s="3">
        <f t="shared" si="434"/>
        <v>679220195320743.75</v>
      </c>
      <c r="G429" s="3">
        <f t="shared" si="434"/>
        <v>1.9239215320924491E+23</v>
      </c>
      <c r="H429" s="3">
        <f t="shared" si="434"/>
        <v>1.2408662069199453E+25</v>
      </c>
      <c r="I429" s="109">
        <f>Comparison!AL28</f>
        <v>10000000000</v>
      </c>
      <c r="J429" s="3">
        <f>Comparison!AM28</f>
        <v>3823.5689905233821</v>
      </c>
      <c r="K429" s="3">
        <f>Comparison!AN28</f>
        <v>3344.7021990881808</v>
      </c>
      <c r="L429" s="3">
        <f>Comparison!AO28</f>
        <v>2685.2498641877337</v>
      </c>
      <c r="M429" s="3">
        <f>Comparison!AP28</f>
        <v>1171.8757952014325</v>
      </c>
      <c r="N429" s="3">
        <f>Comparison!AQ28</f>
        <v>134.12130031566326</v>
      </c>
      <c r="O429" s="3">
        <f>Comparison!AR28</f>
        <v>124.83927834622055</v>
      </c>
      <c r="P429" s="3">
        <f>Comparison!AS28</f>
        <v>124.96985459314666</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148341.40997435132</v>
      </c>
      <c r="C430" s="3">
        <f t="shared" si="434"/>
        <v>4819443.9494850868</v>
      </c>
      <c r="D430" s="3">
        <f t="shared" si="434"/>
        <v>278482812.92601442</v>
      </c>
      <c r="E430" s="3">
        <f t="shared" si="434"/>
        <v>100000000000</v>
      </c>
      <c r="F430" s="3">
        <f t="shared" si="434"/>
        <v>6792201953207438</v>
      </c>
      <c r="G430" s="3">
        <f t="shared" si="434"/>
        <v>1.9239215320924489E+24</v>
      </c>
      <c r="H430" s="3">
        <f t="shared" si="434"/>
        <v>1.2408662069199455E+26</v>
      </c>
      <c r="I430" s="109">
        <f>Comparison!AL29</f>
        <v>100000000000</v>
      </c>
      <c r="J430" s="3">
        <f>Comparison!AM29</f>
        <v>3510.558848270296</v>
      </c>
      <c r="K430" s="3">
        <f>Comparison!AN29</f>
        <v>3034.0126163953428</v>
      </c>
      <c r="L430" s="3">
        <f>Comparison!AO29</f>
        <v>2228.0957655931211</v>
      </c>
      <c r="M430" s="3">
        <f>Comparison!AP29</f>
        <v>704.46209389908893</v>
      </c>
      <c r="N430" s="3">
        <f>Comparison!AQ29</f>
        <v>124.90206072555479</v>
      </c>
      <c r="O430" s="3">
        <f>Comparison!AR29</f>
        <v>124.70417941781746</v>
      </c>
      <c r="P430" s="3">
        <f>Comparison!AS29</f>
        <v>124.77108605330615</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1483414.0997435132</v>
      </c>
      <c r="C431" s="3">
        <f t="shared" si="434"/>
        <v>48194439.494850866</v>
      </c>
      <c r="D431" s="3">
        <f t="shared" si="434"/>
        <v>2784828129.2601438</v>
      </c>
      <c r="E431" s="3">
        <f t="shared" si="434"/>
        <v>1000000000000</v>
      </c>
      <c r="F431" s="3">
        <f t="shared" si="434"/>
        <v>6.7922019532074376E+16</v>
      </c>
      <c r="G431" s="3">
        <f t="shared" si="434"/>
        <v>1.923921532092449E+25</v>
      </c>
      <c r="H431" s="3">
        <f t="shared" si="434"/>
        <v>1.2408662069199455E+27</v>
      </c>
      <c r="I431" s="109">
        <f>Comparison!AL30</f>
        <v>1000000000000</v>
      </c>
      <c r="J431" s="3">
        <f>Comparison!AM30</f>
        <v>3215.4703591878829</v>
      </c>
      <c r="K431" s="3">
        <f>Comparison!AN30</f>
        <v>2653.5608861364908</v>
      </c>
      <c r="L431" s="3">
        <f>Comparison!AO30</f>
        <v>1704.9584752004923</v>
      </c>
      <c r="M431" s="3">
        <f>Comparison!AP30</f>
        <v>403.25761176970258</v>
      </c>
      <c r="N431" s="3">
        <f>Comparison!AQ30</f>
        <v>124.64007063602084</v>
      </c>
      <c r="O431" s="3">
        <f>Comparison!AR30</f>
        <v>123.9260383626436</v>
      </c>
      <c r="P431" s="3">
        <f>Comparison!AS30</f>
        <v>123.93614365125383</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14834140.997435132</v>
      </c>
      <c r="C432" s="3">
        <f t="shared" si="434"/>
        <v>481944394.94850868</v>
      </c>
      <c r="D432" s="3">
        <f t="shared" si="434"/>
        <v>27848281292.60144</v>
      </c>
      <c r="E432" s="3">
        <f t="shared" si="434"/>
        <v>10000000000000</v>
      </c>
      <c r="F432" s="3">
        <f t="shared" si="434"/>
        <v>6.7922019532074381E+17</v>
      </c>
      <c r="G432" s="3">
        <f t="shared" si="434"/>
        <v>1.9239215320924488E+26</v>
      </c>
      <c r="H432" s="3">
        <f t="shared" si="434"/>
        <v>1.2408662069199454E+28</v>
      </c>
      <c r="I432" s="109">
        <f>Comparison!AL31</f>
        <v>10000000000000</v>
      </c>
      <c r="J432" s="3">
        <f>Comparison!AM31</f>
        <v>2870.194204228324</v>
      </c>
      <c r="K432" s="3">
        <f>Comparison!AN31</f>
        <v>2203.3378680125074</v>
      </c>
      <c r="L432" s="3">
        <f>Comparison!AO31</f>
        <v>1135.4901421385146</v>
      </c>
      <c r="M432" s="3">
        <f>Comparison!AP31</f>
        <v>227.19076746573165</v>
      </c>
      <c r="N432" s="3">
        <f>Comparison!AQ31</f>
        <v>123.89500698166064</v>
      </c>
      <c r="O432" s="3">
        <f>Comparison!AR31</f>
        <v>123.91358498832378</v>
      </c>
      <c r="P432" s="3">
        <f>Comparison!AS31</f>
        <v>123.92285545904397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148341409.97435132</v>
      </c>
      <c r="C433" s="3">
        <f t="shared" si="434"/>
        <v>4819443949.4850874</v>
      </c>
      <c r="D433" s="3">
        <f t="shared" si="434"/>
        <v>278482812926.0144</v>
      </c>
      <c r="E433" s="3">
        <f t="shared" si="434"/>
        <v>100000000000000</v>
      </c>
      <c r="F433" s="3">
        <f t="shared" si="434"/>
        <v>6.7922019532074383E+18</v>
      </c>
      <c r="G433" s="3">
        <f t="shared" si="434"/>
        <v>1.9239215320924489E+27</v>
      </c>
      <c r="H433" s="3">
        <f t="shared" si="434"/>
        <v>1.2408662069199453E+29</v>
      </c>
      <c r="I433" s="109">
        <f>Comparison!AL32</f>
        <v>100000000000000</v>
      </c>
      <c r="J433" s="3">
        <f>Comparison!AM32</f>
        <v>2458.5183678646754</v>
      </c>
      <c r="K433" s="3">
        <f>Comparison!AN32</f>
        <v>1683.4592204898881</v>
      </c>
      <c r="L433" s="3">
        <f>Comparison!AO32</f>
        <v>680.51042901870051</v>
      </c>
      <c r="M433" s="3">
        <f>Comparison!AP32</f>
        <v>157.01371189082064</v>
      </c>
      <c r="N433" s="3">
        <f>Comparison!AQ32</f>
        <v>123.88320178471095</v>
      </c>
      <c r="O433" s="3">
        <f>Comparison!AR32</f>
        <v>123.65466987195585</v>
      </c>
      <c r="P433" s="3">
        <f>Comparison!AS32</f>
        <v>123.48008539289999</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1483414099.7435131</v>
      </c>
      <c r="C434" s="3">
        <f t="shared" si="434"/>
        <v>48194439494.850868</v>
      </c>
      <c r="D434" s="3">
        <f t="shared" si="434"/>
        <v>2784828129260.144</v>
      </c>
      <c r="E434" s="3">
        <f t="shared" si="434"/>
        <v>1000000000000000</v>
      </c>
      <c r="F434" s="3">
        <f t="shared" si="434"/>
        <v>6.7922019532074377E+19</v>
      </c>
      <c r="G434" s="3">
        <f t="shared" si="434"/>
        <v>1.9239215320924489E+28</v>
      </c>
      <c r="H434" s="3">
        <f t="shared" si="434"/>
        <v>1.2408662069199454E+30</v>
      </c>
      <c r="I434" s="109">
        <f>Comparison!AL33</f>
        <v>1000000000000000</v>
      </c>
      <c r="J434" s="3">
        <f>Comparison!AM33</f>
        <v>1982.6966326072995</v>
      </c>
      <c r="K434" s="3">
        <f>Comparison!AN33</f>
        <v>1118.1414735463829</v>
      </c>
      <c r="L434" s="3">
        <f>Comparison!AO33</f>
        <v>389.33964903055204</v>
      </c>
      <c r="M434" s="3">
        <f>Comparison!AP33</f>
        <v>136.97082983111966</v>
      </c>
      <c r="N434" s="3">
        <f>Comparison!AQ33</f>
        <v>123.47472292148701</v>
      </c>
      <c r="O434" s="3">
        <f>Comparison!AR33</f>
        <v>123.64094316844046</v>
      </c>
      <c r="P434" s="3">
        <f>Comparison!AS33</f>
        <v>123.46865182434244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-13.421164302671253</v>
      </c>
      <c r="M1" s="54">
        <v>1</v>
      </c>
      <c r="N1" s="56">
        <f>INDEX($H$217:$P$217,1,Q1)</f>
        <v>0.28904394113455834</v>
      </c>
      <c r="O1" s="11"/>
      <c r="P1" s="55">
        <v>1</v>
      </c>
      <c r="Q1" s="11">
        <v>2</v>
      </c>
    </row>
    <row r="2" spans="1:17" x14ac:dyDescent="0.25">
      <c r="A2" s="11">
        <f>'Mastercurve bestimmen'!M119</f>
        <v>0</v>
      </c>
      <c r="B2" s="11">
        <f>'Mastercurve bestimmen'!N119</f>
        <v>-9.9402669067399305</v>
      </c>
      <c r="M2" s="54">
        <v>2</v>
      </c>
      <c r="N2" s="56">
        <f t="shared" ref="N2:N9" si="0">INDEX($H$217:$P$217,1,Q2)</f>
        <v>2.6108758712423399E-3</v>
      </c>
      <c r="O2" s="11"/>
      <c r="P2" s="55">
        <v>2</v>
      </c>
      <c r="Q2" s="11">
        <f>Q1+1</f>
        <v>3</v>
      </c>
    </row>
    <row r="3" spans="1:17" x14ac:dyDescent="0.25">
      <c r="A3" s="11">
        <f>'Mastercurve bestimmen'!M120</f>
        <v>25</v>
      </c>
      <c r="B3" s="11">
        <f>'Mastercurve bestimmen'!N120</f>
        <v>-5.8835691205197316</v>
      </c>
      <c r="M3" s="54">
        <v>3</v>
      </c>
      <c r="N3" s="56">
        <f t="shared" si="0"/>
        <v>1.5366477945688911E-5</v>
      </c>
      <c r="O3" s="11"/>
      <c r="P3" s="55">
        <v>3</v>
      </c>
      <c r="Q3" s="11">
        <f t="shared" ref="Q3:Q8" si="1">Q2+1</f>
        <v>4</v>
      </c>
    </row>
    <row r="4" spans="1:17" x14ac:dyDescent="0.25">
      <c r="A4" s="11">
        <f>'Mastercurve bestimmen'!M121</f>
        <v>50</v>
      </c>
      <c r="B4" s="11">
        <f>'Mastercurve bestimmen'!N121</f>
        <v>0</v>
      </c>
      <c r="M4" s="54">
        <v>4</v>
      </c>
      <c r="N4" s="56">
        <f t="shared" si="0"/>
        <v>-2.0189996703244654E-7</v>
      </c>
      <c r="O4" s="11"/>
      <c r="P4" s="55">
        <v>4</v>
      </c>
      <c r="Q4" s="11">
        <f t="shared" si="1"/>
        <v>5</v>
      </c>
    </row>
    <row r="5" spans="1:17" x14ac:dyDescent="0.25">
      <c r="A5" s="11">
        <f>'Mastercurve bestimmen'!M122</f>
        <v>80</v>
      </c>
      <c r="B5" s="11">
        <f>'Mastercurve bestimmen'!N122</f>
        <v>11.126115554525432</v>
      </c>
      <c r="M5" s="54">
        <v>5</v>
      </c>
      <c r="N5" s="56">
        <f t="shared" si="0"/>
        <v>-3.9085222342781433E-9</v>
      </c>
      <c r="O5" s="11"/>
      <c r="P5" s="55">
        <v>5</v>
      </c>
      <c r="Q5" s="11">
        <f t="shared" si="1"/>
        <v>6</v>
      </c>
    </row>
    <row r="6" spans="1:17" x14ac:dyDescent="0.25">
      <c r="A6" s="11">
        <f>'Mastercurve bestimmen'!M123</f>
        <v>125</v>
      </c>
      <c r="B6" s="11">
        <f>'Mastercurve bestimmen'!N123</f>
        <v>30.587971776598696</v>
      </c>
      <c r="M6" s="54">
        <v>6</v>
      </c>
      <c r="N6" s="56">
        <f t="shared" si="0"/>
        <v>5.5886705637907465E-12</v>
      </c>
      <c r="O6" s="11"/>
      <c r="P6" s="55">
        <v>6</v>
      </c>
      <c r="Q6" s="11">
        <f t="shared" si="1"/>
        <v>7</v>
      </c>
    </row>
    <row r="7" spans="1:17" x14ac:dyDescent="0.25">
      <c r="A7" s="11">
        <f>'Mastercurve bestimmen'!M124</f>
        <v>160</v>
      </c>
      <c r="B7" s="11">
        <f>'Mastercurve bestimmen'!N124</f>
        <v>34.754586084620072</v>
      </c>
      <c r="M7" s="54">
        <v>7</v>
      </c>
      <c r="N7" s="56">
        <f t="shared" si="0"/>
        <v>1.9572006259982719E-13</v>
      </c>
      <c r="O7" s="11"/>
      <c r="P7" s="55">
        <v>7</v>
      </c>
      <c r="Q7" s="11">
        <f t="shared" si="1"/>
        <v>8</v>
      </c>
    </row>
    <row r="8" spans="1:17" x14ac:dyDescent="0.25">
      <c r="A8" s="11"/>
      <c r="B8" s="11"/>
      <c r="M8" s="54">
        <v>8</v>
      </c>
      <c r="N8" s="56">
        <f t="shared" si="0"/>
        <v>-2.0725055894614993E-16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-13.421164302671254</v>
      </c>
      <c r="E15" s="11">
        <f>A15-'Mastercurve bestimmen'!$B$2</f>
        <v>-90</v>
      </c>
      <c r="F15" s="11">
        <f>B15</f>
        <v>-13.421164302671254</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-13.358279540322497</v>
      </c>
      <c r="E16" s="11">
        <f>A16-'Mastercurve bestimmen'!$B$2</f>
        <v>-89</v>
      </c>
      <c r="F16" s="11">
        <f t="shared" ref="F16:F79" si="4">B16</f>
        <v>-13.358279540322497</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-13.295304205093629</v>
      </c>
      <c r="E17" s="11">
        <f>A17-'Mastercurve bestimmen'!$B$2</f>
        <v>-88</v>
      </c>
      <c r="F17" s="11">
        <f t="shared" si="4"/>
        <v>-13.295304205093629</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-13.232147724104539</v>
      </c>
      <c r="E18" s="11">
        <f>A18-'Mastercurve bestimmen'!$B$2</f>
        <v>-87</v>
      </c>
      <c r="F18" s="11">
        <f t="shared" si="4"/>
        <v>-13.232147724104539</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-13.168719524475117</v>
      </c>
      <c r="E19" s="11">
        <f>A19-'Mastercurve bestimmen'!$B$2</f>
        <v>-86</v>
      </c>
      <c r="F19" s="11">
        <f t="shared" si="4"/>
        <v>-13.168719524475117</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-13.104929033325252</v>
      </c>
      <c r="E20" s="11">
        <f>A20-'Mastercurve bestimmen'!$B$2</f>
        <v>-85</v>
      </c>
      <c r="F20" s="11">
        <f t="shared" si="4"/>
        <v>-13.104929033325252</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-13.040685677774832</v>
      </c>
      <c r="E21" s="11">
        <f>A21-'Mastercurve bestimmen'!$B$2</f>
        <v>-84</v>
      </c>
      <c r="F21" s="11">
        <f t="shared" si="4"/>
        <v>-13.040685677774832</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-12.975898884943749</v>
      </c>
      <c r="E22" s="11">
        <f>A22-'Mastercurve bestimmen'!$B$2</f>
        <v>-83</v>
      </c>
      <c r="F22" s="11">
        <f t="shared" si="4"/>
        <v>-12.975898884943749</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-12.91047808195189</v>
      </c>
      <c r="E23" s="11">
        <f>A23-'Mastercurve bestimmen'!$B$2</f>
        <v>-82</v>
      </c>
      <c r="F23" s="11">
        <f t="shared" si="4"/>
        <v>-12.91047808195189</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-12.844332695919144</v>
      </c>
      <c r="E24" s="11">
        <f>A24-'Mastercurve bestimmen'!$B$2</f>
        <v>-81</v>
      </c>
      <c r="F24" s="11">
        <f t="shared" si="4"/>
        <v>-12.844332695919144</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-12.777372153965402</v>
      </c>
      <c r="E25" s="11">
        <f>A25-'Mastercurve bestimmen'!$B$2</f>
        <v>-80</v>
      </c>
      <c r="F25" s="11">
        <f t="shared" si="4"/>
        <v>-12.777372153965402</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-12.70950588321055</v>
      </c>
      <c r="E26" s="11">
        <f>A26-'Mastercurve bestimmen'!$B$2</f>
        <v>-79</v>
      </c>
      <c r="F26" s="11">
        <f t="shared" si="4"/>
        <v>-12.70950588321055</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-12.640643310774481</v>
      </c>
      <c r="E27" s="11">
        <f>A27-'Mastercurve bestimmen'!$B$2</f>
        <v>-78</v>
      </c>
      <c r="F27" s="11">
        <f t="shared" si="4"/>
        <v>-12.640643310774481</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-12.570693863777082</v>
      </c>
      <c r="E28" s="11">
        <f>A28-'Mastercurve bestimmen'!$B$2</f>
        <v>-77</v>
      </c>
      <c r="F28" s="11">
        <f t="shared" si="4"/>
        <v>-12.570693863777082</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-12.499566969338241</v>
      </c>
      <c r="E29" s="11">
        <f>A29-'Mastercurve bestimmen'!$B$2</f>
        <v>-76</v>
      </c>
      <c r="F29" s="11">
        <f t="shared" si="4"/>
        <v>-12.499566969338241</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-12.427172054577852</v>
      </c>
      <c r="E30" s="11">
        <f>A30-'Mastercurve bestimmen'!$B$2</f>
        <v>-75</v>
      </c>
      <c r="F30" s="11">
        <f t="shared" si="4"/>
        <v>-12.427172054577852</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-12.353418546615799</v>
      </c>
      <c r="E31" s="11">
        <f>A31-'Mastercurve bestimmen'!$B$2</f>
        <v>-74</v>
      </c>
      <c r="F31" s="11">
        <f t="shared" si="4"/>
        <v>-12.353418546615799</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-12.278215872571977</v>
      </c>
      <c r="E32" s="11">
        <f>A32-'Mastercurve bestimmen'!$B$2</f>
        <v>-73</v>
      </c>
      <c r="F32" s="11">
        <f t="shared" si="4"/>
        <v>-12.278215872571977</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-12.201473459566268</v>
      </c>
      <c r="E33" s="11">
        <f>A33-'Mastercurve bestimmen'!$B$2</f>
        <v>-72</v>
      </c>
      <c r="F33" s="11">
        <f t="shared" si="4"/>
        <v>-12.201473459566268</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-12.123100734718566</v>
      </c>
      <c r="E34" s="11">
        <f>A34-'Mastercurve bestimmen'!$B$2</f>
        <v>-71</v>
      </c>
      <c r="F34" s="11">
        <f t="shared" si="4"/>
        <v>-12.123100734718566</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-12.043007125148758</v>
      </c>
      <c r="E35" s="11">
        <f>A35-'Mastercurve bestimmen'!$B$2</f>
        <v>-70</v>
      </c>
      <c r="F35" s="11">
        <f t="shared" si="4"/>
        <v>-12.043007125148758</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-11.961102057976735</v>
      </c>
      <c r="E36" s="11">
        <f>A36-'Mastercurve bestimmen'!$B$2</f>
        <v>-69</v>
      </c>
      <c r="F36" s="11">
        <f t="shared" si="4"/>
        <v>-11.961102057976735</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-11.877294960322384</v>
      </c>
      <c r="E37" s="11">
        <f>A37-'Mastercurve bestimmen'!$B$2</f>
        <v>-68</v>
      </c>
      <c r="F37" s="11">
        <f t="shared" si="4"/>
        <v>-11.877294960322384</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-11.791495259305597</v>
      </c>
      <c r="E38" s="11">
        <f>A38-'Mastercurve bestimmen'!$B$2</f>
        <v>-67</v>
      </c>
      <c r="F38" s="11">
        <f t="shared" si="4"/>
        <v>-11.791495259305597</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-11.703612382046261</v>
      </c>
      <c r="E39" s="11">
        <f>A39-'Mastercurve bestimmen'!$B$2</f>
        <v>-66</v>
      </c>
      <c r="F39" s="11">
        <f t="shared" si="4"/>
        <v>-11.703612382046261</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-11.613555755664267</v>
      </c>
      <c r="E40" s="11">
        <f>A40-'Mastercurve bestimmen'!$B$2</f>
        <v>-65</v>
      </c>
      <c r="F40" s="11">
        <f t="shared" si="4"/>
        <v>-11.613555755664267</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-11.521234807279502</v>
      </c>
      <c r="E41" s="11">
        <f>A41-'Mastercurve bestimmen'!$B$2</f>
        <v>-64</v>
      </c>
      <c r="F41" s="11">
        <f t="shared" si="4"/>
        <v>-11.521234807279502</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-11.426558964011857</v>
      </c>
      <c r="E42" s="11">
        <f>A42-'Mastercurve bestimmen'!$B$2</f>
        <v>-63</v>
      </c>
      <c r="F42" s="11">
        <f t="shared" si="4"/>
        <v>-11.426558964011857</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-11.32943765298122</v>
      </c>
      <c r="E43" s="11">
        <f>A43-'Mastercurve bestimmen'!$B$2</f>
        <v>-62</v>
      </c>
      <c r="F43" s="11">
        <f t="shared" si="4"/>
        <v>-11.32943765298122</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-11.229780301307482</v>
      </c>
      <c r="E44" s="11">
        <f>A44-'Mastercurve bestimmen'!$B$2</f>
        <v>-61</v>
      </c>
      <c r="F44" s="11">
        <f t="shared" si="4"/>
        <v>-11.229780301307482</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-11.127496336110532</v>
      </c>
      <c r="E45" s="11">
        <f>A45-'Mastercurve bestimmen'!$B$2</f>
        <v>-60</v>
      </c>
      <c r="F45" s="11">
        <f t="shared" si="4"/>
        <v>-11.127496336110532</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-11.022495184510257</v>
      </c>
      <c r="E46" s="11">
        <f>A46-'Mastercurve bestimmen'!$B$2</f>
        <v>-59</v>
      </c>
      <c r="F46" s="11">
        <f t="shared" si="4"/>
        <v>-11.022495184510257</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-10.914686273626547</v>
      </c>
      <c r="E47" s="11">
        <f>A47-'Mastercurve bestimmen'!$B$2</f>
        <v>-58</v>
      </c>
      <c r="F47" s="11">
        <f t="shared" si="4"/>
        <v>-10.914686273626547</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-10.803979030579292</v>
      </c>
      <c r="E48" s="11">
        <f>A48-'Mastercurve bestimmen'!$B$2</f>
        <v>-57</v>
      </c>
      <c r="F48" s="11">
        <f t="shared" si="4"/>
        <v>-10.803979030579292</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-10.690282882488379</v>
      </c>
      <c r="E49" s="11">
        <f>A49-'Mastercurve bestimmen'!$B$2</f>
        <v>-56</v>
      </c>
      <c r="F49" s="11">
        <f t="shared" si="4"/>
        <v>-10.690282882488379</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-10.573507256473702</v>
      </c>
      <c r="E50" s="11">
        <f>A50-'Mastercurve bestimmen'!$B$2</f>
        <v>-55</v>
      </c>
      <c r="F50" s="11">
        <f t="shared" si="4"/>
        <v>-10.573507256473702</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-10.453561579655146</v>
      </c>
      <c r="E51" s="11">
        <f>A51-'Mastercurve bestimmen'!$B$2</f>
        <v>-54</v>
      </c>
      <c r="F51" s="11">
        <f t="shared" si="4"/>
        <v>-10.453561579655146</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-10.330355279152602</v>
      </c>
      <c r="E52" s="11">
        <f>A52-'Mastercurve bestimmen'!$B$2</f>
        <v>-53</v>
      </c>
      <c r="F52" s="11">
        <f t="shared" si="4"/>
        <v>-10.330355279152602</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-10.20379778208596</v>
      </c>
      <c r="E53" s="11">
        <f>A53-'Mastercurve bestimmen'!$B$2</f>
        <v>-52</v>
      </c>
      <c r="F53" s="11">
        <f t="shared" si="4"/>
        <v>-10.20379778208596</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-10.073798515575106</v>
      </c>
      <c r="E54" s="11">
        <f>A54-'Mastercurve bestimmen'!$B$2</f>
        <v>-51</v>
      </c>
      <c r="F54" s="11">
        <f t="shared" si="4"/>
        <v>-10.073798515575106</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-9.9402669067399323</v>
      </c>
      <c r="E55" s="11">
        <f>A55-'Mastercurve bestimmen'!$B$2</f>
        <v>-50</v>
      </c>
      <c r="F55" s="11">
        <f t="shared" si="4"/>
        <v>-9.9402669067399323</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-9.8152042947407079</v>
      </c>
      <c r="E56" s="11">
        <f>A56-'Mastercurve bestimmen'!$B$2</f>
        <v>-49</v>
      </c>
      <c r="F56" s="11">
        <f t="shared" si="4"/>
        <v>-9.8152042947407079</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-9.6865790529505524</v>
      </c>
      <c r="E57" s="11">
        <f>A57-'Mastercurve bestimmen'!$B$2</f>
        <v>-48</v>
      </c>
      <c r="F57" s="11">
        <f t="shared" si="4"/>
        <v>-9.6865790529505524</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-9.5544514667829556</v>
      </c>
      <c r="E58" s="11">
        <f>A58-'Mastercurve bestimmen'!$B$2</f>
        <v>-47</v>
      </c>
      <c r="F58" s="11">
        <f t="shared" si="4"/>
        <v>-9.5544514667829556</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-9.4188818216514161</v>
      </c>
      <c r="E59" s="11">
        <f>A59-'Mastercurve bestimmen'!$B$2</f>
        <v>-46</v>
      </c>
      <c r="F59" s="11">
        <f t="shared" si="4"/>
        <v>-9.4188818216514161</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-9.2799304029694287</v>
      </c>
      <c r="E60" s="11">
        <f>A60-'Mastercurve bestimmen'!$B$2</f>
        <v>-45</v>
      </c>
      <c r="F60" s="11">
        <f t="shared" si="4"/>
        <v>-9.2799304029694287</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-9.1376574961504922</v>
      </c>
      <c r="E61" s="11">
        <f>A61-'Mastercurve bestimmen'!$B$2</f>
        <v>-44</v>
      </c>
      <c r="F61" s="11">
        <f t="shared" si="4"/>
        <v>-9.1376574961504922</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-8.9921233866080978</v>
      </c>
      <c r="E62" s="11">
        <f>A62-'Mastercurve bestimmen'!$B$2</f>
        <v>-43</v>
      </c>
      <c r="F62" s="11">
        <f t="shared" si="4"/>
        <v>-8.9921233866080978</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-8.8433883597557461</v>
      </c>
      <c r="E63" s="11">
        <f>A63-'Mastercurve bestimmen'!$B$2</f>
        <v>-42</v>
      </c>
      <c r="F63" s="11">
        <f t="shared" si="4"/>
        <v>-8.8433883597557461</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-8.6915127010069302</v>
      </c>
      <c r="E64" s="11">
        <f>A64-'Mastercurve bestimmen'!$B$2</f>
        <v>-41</v>
      </c>
      <c r="F64" s="11">
        <f t="shared" si="4"/>
        <v>-8.6915127010069302</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-8.5365566957751486</v>
      </c>
      <c r="E65" s="11">
        <f>A65-'Mastercurve bestimmen'!$B$2</f>
        <v>-40</v>
      </c>
      <c r="F65" s="11">
        <f t="shared" si="4"/>
        <v>-8.5365566957751486</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-8.3785806294738947</v>
      </c>
      <c r="E66" s="11">
        <f>A66-'Mastercurve bestimmen'!$B$2</f>
        <v>-39</v>
      </c>
      <c r="F66" s="11">
        <f t="shared" si="4"/>
        <v>-8.3785806294738947</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-8.2176447875166669</v>
      </c>
      <c r="E67" s="11">
        <f>A67-'Mastercurve bestimmen'!$B$2</f>
        <v>-38</v>
      </c>
      <c r="F67" s="11">
        <f t="shared" si="4"/>
        <v>-8.2176447875166669</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-8.0538094553169604</v>
      </c>
      <c r="E68" s="11">
        <f>A68-'Mastercurve bestimmen'!$B$2</f>
        <v>-37</v>
      </c>
      <c r="F68" s="11">
        <f t="shared" si="4"/>
        <v>-8.0538094553169604</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-7.8871349182882717</v>
      </c>
      <c r="E69" s="11">
        <f>A69-'Mastercurve bestimmen'!$B$2</f>
        <v>-36</v>
      </c>
      <c r="F69" s="11">
        <f t="shared" si="4"/>
        <v>-7.8871349182882717</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-7.7176814618440961</v>
      </c>
      <c r="E70" s="11">
        <f>A70-'Mastercurve bestimmen'!$B$2</f>
        <v>-35</v>
      </c>
      <c r="F70" s="11">
        <f t="shared" si="4"/>
        <v>-7.7176814618440961</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-7.545509371397932</v>
      </c>
      <c r="E71" s="11">
        <f>A71-'Mastercurve bestimmen'!$B$2</f>
        <v>-34</v>
      </c>
      <c r="F71" s="11">
        <f t="shared" si="4"/>
        <v>-7.545509371397932</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-7.3706789323632727</v>
      </c>
      <c r="E72" s="11">
        <f>A72-'Mastercurve bestimmen'!$B$2</f>
        <v>-33</v>
      </c>
      <c r="F72" s="11">
        <f t="shared" si="4"/>
        <v>-7.3706789323632727</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-7.1932504301536149</v>
      </c>
      <c r="E73" s="11">
        <f>A73-'Mastercurve bestimmen'!$B$2</f>
        <v>-32</v>
      </c>
      <c r="F73" s="11">
        <f t="shared" si="4"/>
        <v>-7.1932504301536149</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-7.0132841501824537</v>
      </c>
      <c r="E74" s="11">
        <f>A74-'Mastercurve bestimmen'!$B$2</f>
        <v>-31</v>
      </c>
      <c r="F74" s="11">
        <f t="shared" si="4"/>
        <v>-7.0132841501824537</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-6.8308403778632885</v>
      </c>
      <c r="E75" s="11">
        <f>A75-'Mastercurve bestimmen'!$B$2</f>
        <v>-30</v>
      </c>
      <c r="F75" s="11">
        <f t="shared" si="4"/>
        <v>-6.8308403778632885</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-6.6459793986096125</v>
      </c>
      <c r="E76" s="11">
        <f>A76-'Mastercurve bestimmen'!$B$2</f>
        <v>-29</v>
      </c>
      <c r="F76" s="11">
        <f t="shared" si="4"/>
        <v>-6.6459793986096125</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-6.4587614978349226</v>
      </c>
      <c r="E77" s="11">
        <f>A77-'Mastercurve bestimmen'!$B$2</f>
        <v>-28</v>
      </c>
      <c r="F77" s="11">
        <f t="shared" si="4"/>
        <v>-6.4587614978349226</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-6.2692469609527155</v>
      </c>
      <c r="E78" s="11">
        <f>A78-'Mastercurve bestimmen'!$B$2</f>
        <v>-27</v>
      </c>
      <c r="F78" s="11">
        <f t="shared" si="4"/>
        <v>-6.2692469609527155</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-6.0774960733764862</v>
      </c>
      <c r="E79" s="11">
        <f>A79-'Mastercurve bestimmen'!$B$2</f>
        <v>-26</v>
      </c>
      <c r="F79" s="11">
        <f t="shared" si="4"/>
        <v>-6.0774960733764862</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-5.8835691205197316</v>
      </c>
      <c r="E80" s="11">
        <f>A80-'Mastercurve bestimmen'!$B$2</f>
        <v>-25</v>
      </c>
      <c r="F80" s="11">
        <f t="shared" ref="F80:F143" si="10">B80</f>
        <v>-5.8835691205197316</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-5.6874940992252334</v>
      </c>
      <c r="E81" s="11">
        <f>A81-'Mastercurve bestimmen'!$B$2</f>
        <v>-24</v>
      </c>
      <c r="F81" s="11">
        <f t="shared" si="10"/>
        <v>-5.6874940992252334</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-5.4891698520529184</v>
      </c>
      <c r="E82" s="11">
        <f>A82-'Mastercurve bestimmen'!$B$2</f>
        <v>-23</v>
      </c>
      <c r="F82" s="11">
        <f t="shared" si="10"/>
        <v>-5.4891698520529184</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-5.2884629329919974</v>
      </c>
      <c r="E83" s="11">
        <f>A83-'Mastercurve bestimmen'!$B$2</f>
        <v>-22</v>
      </c>
      <c r="F83" s="11">
        <f t="shared" si="10"/>
        <v>-5.2884629329919974</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-5.085239896031684</v>
      </c>
      <c r="E84" s="11">
        <f>A84-'Mastercurve bestimmen'!$B$2</f>
        <v>-21</v>
      </c>
      <c r="F84" s="11">
        <f t="shared" si="10"/>
        <v>-5.085239896031684</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-4.8793672951611899</v>
      </c>
      <c r="E85" s="11">
        <f>A85-'Mastercurve bestimmen'!$B$2</f>
        <v>-20</v>
      </c>
      <c r="F85" s="11">
        <f t="shared" si="10"/>
        <v>-4.8793672951611899</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-4.6707116843697269</v>
      </c>
      <c r="E86" s="11">
        <f>A86-'Mastercurve bestimmen'!$B$2</f>
        <v>-19</v>
      </c>
      <c r="F86" s="11">
        <f t="shared" si="10"/>
        <v>-4.6707116843697269</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-4.4591396176465068</v>
      </c>
      <c r="E87" s="11">
        <f>A87-'Mastercurve bestimmen'!$B$2</f>
        <v>-18</v>
      </c>
      <c r="F87" s="11">
        <f t="shared" si="10"/>
        <v>-4.4591396176465068</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-4.244517648980743</v>
      </c>
      <c r="E88" s="11">
        <f>A88-'Mastercurve bestimmen'!$B$2</f>
        <v>-17</v>
      </c>
      <c r="F88" s="11">
        <f t="shared" si="10"/>
        <v>-4.244517648980743</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-4.0267123323616456</v>
      </c>
      <c r="E89" s="11">
        <f>A89-'Mastercurve bestimmen'!$B$2</f>
        <v>-16</v>
      </c>
      <c r="F89" s="11">
        <f t="shared" si="10"/>
        <v>-4.0267123323616456</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-3.8055902217784285</v>
      </c>
      <c r="E90" s="11">
        <f>A90-'Mastercurve bestimmen'!$B$2</f>
        <v>-15</v>
      </c>
      <c r="F90" s="11">
        <f t="shared" si="10"/>
        <v>-3.8055902217784285</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-3.5810178712203031</v>
      </c>
      <c r="E91" s="11">
        <f>A91-'Mastercurve bestimmen'!$B$2</f>
        <v>-14</v>
      </c>
      <c r="F91" s="11">
        <f t="shared" si="10"/>
        <v>-3.5810178712203031</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-3.3528618346764829</v>
      </c>
      <c r="E92" s="11">
        <f>A92-'Mastercurve bestimmen'!$B$2</f>
        <v>-13</v>
      </c>
      <c r="F92" s="11">
        <f t="shared" si="10"/>
        <v>-3.3528618346764829</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-3.1209886661361779</v>
      </c>
      <c r="E93" s="11">
        <f>A93-'Mastercurve bestimmen'!$B$2</f>
        <v>-12</v>
      </c>
      <c r="F93" s="11">
        <f t="shared" si="10"/>
        <v>-3.1209886661361779</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-2.8852649195886011</v>
      </c>
      <c r="E94" s="11">
        <f>A94-'Mastercurve bestimmen'!$B$2</f>
        <v>-11</v>
      </c>
      <c r="F94" s="11">
        <f t="shared" si="10"/>
        <v>-2.8852649195886011</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-2.6455571490229652</v>
      </c>
      <c r="E95" s="11">
        <f>A95-'Mastercurve bestimmen'!$B$2</f>
        <v>-10</v>
      </c>
      <c r="F95" s="11">
        <f t="shared" si="10"/>
        <v>-2.6455571490229652</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-2.4017319084284816</v>
      </c>
      <c r="E96" s="11">
        <f>A96-'Mastercurve bestimmen'!$B$2</f>
        <v>-9</v>
      </c>
      <c r="F96" s="11">
        <f t="shared" si="10"/>
        <v>-2.4017319084284816</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-2.1536557517943629</v>
      </c>
      <c r="E97" s="11">
        <f>A97-'Mastercurve bestimmen'!$B$2</f>
        <v>-8</v>
      </c>
      <c r="F97" s="11">
        <f t="shared" si="10"/>
        <v>-2.1536557517943629</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-1.9011952331098212</v>
      </c>
      <c r="E98" s="11">
        <f>A98-'Mastercurve bestimmen'!$B$2</f>
        <v>-7</v>
      </c>
      <c r="F98" s="11">
        <f t="shared" si="10"/>
        <v>-1.9011952331098212</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-1.6442169063640684</v>
      </c>
      <c r="E99" s="11">
        <f>A99-'Mastercurve bestimmen'!$B$2</f>
        <v>-6</v>
      </c>
      <c r="F99" s="11">
        <f t="shared" si="10"/>
        <v>-1.6442169063640684</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-1.3825873255463168</v>
      </c>
      <c r="E100" s="11">
        <f>A100-'Mastercurve bestimmen'!$B$2</f>
        <v>-5</v>
      </c>
      <c r="F100" s="11">
        <f t="shared" si="10"/>
        <v>-1.3825873255463168</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-1.1161730446457783</v>
      </c>
      <c r="E101" s="11">
        <f>A101-'Mastercurve bestimmen'!$B$2</f>
        <v>-4</v>
      </c>
      <c r="F101" s="11">
        <f t="shared" si="10"/>
        <v>-1.1161730446457783</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-0.84484061765166518</v>
      </c>
      <c r="E102" s="11">
        <f>A102-'Mastercurve bestimmen'!$B$2</f>
        <v>-3</v>
      </c>
      <c r="F102" s="11">
        <f t="shared" si="10"/>
        <v>-0.84484061765166518</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-0.56845659855318975</v>
      </c>
      <c r="E103" s="11">
        <f>A103-'Mastercurve bestimmen'!$B$2</f>
        <v>-2</v>
      </c>
      <c r="F103" s="11">
        <f t="shared" si="10"/>
        <v>-0.56845659855318975</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-0.28688754133956396</v>
      </c>
      <c r="E104" s="11">
        <f>A104-'Mastercurve bestimmen'!$B$2</f>
        <v>-1</v>
      </c>
      <c r="F104" s="11">
        <f t="shared" si="10"/>
        <v>-0.28688754133956396</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0</v>
      </c>
      <c r="E105" s="11">
        <f>A105-'Mastercurve bestimmen'!$B$2</f>
        <v>0</v>
      </c>
      <c r="F105" s="11">
        <f t="shared" si="10"/>
        <v>0</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0.29231667525341115</v>
      </c>
      <c r="E106" s="11">
        <f>A106-'Mastercurve bestimmen'!$B$2</f>
        <v>1</v>
      </c>
      <c r="F106" s="11">
        <f t="shared" si="10"/>
        <v>0.29231667525341115</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0.5900819493170627</v>
      </c>
      <c r="E107" s="11">
        <f>A107-'Mastercurve bestimmen'!$B$2</f>
        <v>2</v>
      </c>
      <c r="F107" s="11">
        <f t="shared" si="10"/>
        <v>0.5900819493170627</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0.89329249086446882</v>
      </c>
      <c r="E108" s="11">
        <f>A108-'Mastercurve bestimmen'!$B$2</f>
        <v>3</v>
      </c>
      <c r="F108" s="11">
        <f t="shared" si="10"/>
        <v>0.89329249086446882</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1.2019449685691446</v>
      </c>
      <c r="E109" s="11">
        <f>A109-'Mastercurve bestimmen'!$B$2</f>
        <v>4</v>
      </c>
      <c r="F109" s="11">
        <f t="shared" si="10"/>
        <v>1.2019449685691446</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1.516036051104604</v>
      </c>
      <c r="E110" s="11">
        <f>A110-'Mastercurve bestimmen'!$B$2</f>
        <v>5</v>
      </c>
      <c r="F110" s="11">
        <f t="shared" si="10"/>
        <v>1.516036051104604</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1.8355624071443613</v>
      </c>
      <c r="E111" s="11">
        <f>A111-'Mastercurve bestimmen'!$B$2</f>
        <v>6</v>
      </c>
      <c r="F111" s="11">
        <f t="shared" si="10"/>
        <v>1.8355624071443613</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2.1605207053619315</v>
      </c>
      <c r="E112" s="11">
        <f>A112-'Mastercurve bestimmen'!$B$2</f>
        <v>7</v>
      </c>
      <c r="F112" s="11">
        <f t="shared" si="10"/>
        <v>2.1605207053619315</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2.490907614430828</v>
      </c>
      <c r="E113" s="11">
        <f>A113-'Mastercurve bestimmen'!$B$2</f>
        <v>8</v>
      </c>
      <c r="F113" s="11">
        <f t="shared" si="10"/>
        <v>2.490907614430828</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2.8267198030245662</v>
      </c>
      <c r="E114" s="11">
        <f>A114-'Mastercurve bestimmen'!$B$2</f>
        <v>9</v>
      </c>
      <c r="F114" s="11">
        <f t="shared" si="10"/>
        <v>2.8267198030245662</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3.1679539398166603</v>
      </c>
      <c r="E115" s="11">
        <f>A115-'Mastercurve bestimmen'!$B$2</f>
        <v>10</v>
      </c>
      <c r="F115" s="11">
        <f t="shared" si="10"/>
        <v>3.1679539398166603</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3.5146066934806242</v>
      </c>
      <c r="E116" s="11">
        <f>A116-'Mastercurve bestimmen'!$B$2</f>
        <v>11</v>
      </c>
      <c r="F116" s="11">
        <f t="shared" si="10"/>
        <v>3.5146066934806242</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3.8666747326899724</v>
      </c>
      <c r="E117" s="11">
        <f>A117-'Mastercurve bestimmen'!$B$2</f>
        <v>12</v>
      </c>
      <c r="F117" s="11">
        <f t="shared" si="10"/>
        <v>3.8666747326899724</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4.2241547261182202</v>
      </c>
      <c r="E118" s="11">
        <f>A118-'Mastercurve bestimmen'!$B$2</f>
        <v>13</v>
      </c>
      <c r="F118" s="11">
        <f t="shared" si="10"/>
        <v>4.2241547261182202</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4.5870433424388812</v>
      </c>
      <c r="E119" s="11">
        <f>A119-'Mastercurve bestimmen'!$B$2</f>
        <v>14</v>
      </c>
      <c r="F119" s="11">
        <f t="shared" si="10"/>
        <v>4.5870433424388812</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4.9553372503254698</v>
      </c>
      <c r="E120" s="11">
        <f>A120-'Mastercurve bestimmen'!$B$2</f>
        <v>15</v>
      </c>
      <c r="F120" s="11">
        <f t="shared" si="10"/>
        <v>4.9553372503254698</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5.329033118451501</v>
      </c>
      <c r="E121" s="11">
        <f>A121-'Mastercurve bestimmen'!$B$2</f>
        <v>16</v>
      </c>
      <c r="F121" s="11">
        <f t="shared" si="10"/>
        <v>5.329033118451501</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5.7081276154904881</v>
      </c>
      <c r="E122" s="11">
        <f>A122-'Mastercurve bestimmen'!$B$2</f>
        <v>17</v>
      </c>
      <c r="F122" s="11">
        <f t="shared" si="10"/>
        <v>5.7081276154904881</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6.0926174101159463</v>
      </c>
      <c r="E123" s="11">
        <f>A123-'Mastercurve bestimmen'!$B$2</f>
        <v>18</v>
      </c>
      <c r="F123" s="11">
        <f t="shared" si="10"/>
        <v>6.0926174101159463</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6.4824991710013906</v>
      </c>
      <c r="E124" s="11">
        <f>A124-'Mastercurve bestimmen'!$B$2</f>
        <v>19</v>
      </c>
      <c r="F124" s="11">
        <f t="shared" si="10"/>
        <v>6.4824991710013906</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6.8777695668203345</v>
      </c>
      <c r="E125" s="11">
        <f>A125-'Mastercurve bestimmen'!$B$2</f>
        <v>20</v>
      </c>
      <c r="F125" s="11">
        <f t="shared" si="10"/>
        <v>6.8777695668203345</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7.278425266246292</v>
      </c>
      <c r="E126" s="11">
        <f>A126-'Mastercurve bestimmen'!$B$2</f>
        <v>21</v>
      </c>
      <c r="F126" s="11">
        <f t="shared" si="10"/>
        <v>7.278425266246292</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7.6844629379527785</v>
      </c>
      <c r="E127" s="11">
        <f>A127-'Mastercurve bestimmen'!$B$2</f>
        <v>22</v>
      </c>
      <c r="F127" s="11">
        <f t="shared" si="10"/>
        <v>7.6844629379527785</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8.0958792506133079</v>
      </c>
      <c r="E128" s="11">
        <f>A128-'Mastercurve bestimmen'!$B$2</f>
        <v>23</v>
      </c>
      <c r="F128" s="11">
        <f t="shared" si="10"/>
        <v>8.0958792506133079</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8.5126708729013956</v>
      </c>
      <c r="E129" s="11">
        <f>A129-'Mastercurve bestimmen'!$B$2</f>
        <v>24</v>
      </c>
      <c r="F129" s="11">
        <f t="shared" si="10"/>
        <v>8.5126708729013956</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8.9348344734905538</v>
      </c>
      <c r="E130" s="11">
        <f>A130-'Mastercurve bestimmen'!$B$2</f>
        <v>25</v>
      </c>
      <c r="F130" s="11">
        <f t="shared" si="10"/>
        <v>8.9348344734905538</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9.3623667210543005</v>
      </c>
      <c r="E131" s="11">
        <f>A131-'Mastercurve bestimmen'!$B$2</f>
        <v>26</v>
      </c>
      <c r="F131" s="11">
        <f t="shared" si="10"/>
        <v>9.3623667210543005</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9.7952642842661461</v>
      </c>
      <c r="E132" s="11">
        <f>A132-'Mastercurve bestimmen'!$B$2</f>
        <v>27</v>
      </c>
      <c r="F132" s="11">
        <f t="shared" si="10"/>
        <v>9.7952642842661461</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10.233523831799607</v>
      </c>
      <c r="E133" s="11">
        <f>A133-'Mastercurve bestimmen'!$B$2</f>
        <v>28</v>
      </c>
      <c r="F133" s="11">
        <f t="shared" si="10"/>
        <v>10.233523831799607</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10.677142032328197</v>
      </c>
      <c r="E134" s="11">
        <f>A134-'Mastercurve bestimmen'!$B$2</f>
        <v>29</v>
      </c>
      <c r="F134" s="11">
        <f t="shared" si="10"/>
        <v>10.677142032328197</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11.12611555452543</v>
      </c>
      <c r="E135" s="11">
        <f>A135-'Mastercurve bestimmen'!$B$2</f>
        <v>30</v>
      </c>
      <c r="F135" s="11">
        <f t="shared" si="10"/>
        <v>11.12611555452543</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11.580372691835802</v>
      </c>
      <c r="E136" s="11">
        <f>A136-'Mastercurve bestimmen'!$B$2</f>
        <v>31</v>
      </c>
      <c r="F136" s="11">
        <f t="shared" si="10"/>
        <v>11.580372691835802</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12.039568236787694</v>
      </c>
      <c r="E137" s="11">
        <f>A137-'Mastercurve bestimmen'!$B$2</f>
        <v>32</v>
      </c>
      <c r="F137" s="11">
        <f t="shared" si="10"/>
        <v>12.039568236787694</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12.503288606680474</v>
      </c>
      <c r="E138" s="11">
        <f>A138-'Mastercurve bestimmen'!$B$2</f>
        <v>33</v>
      </c>
      <c r="F138" s="11">
        <f t="shared" si="10"/>
        <v>12.503288606680474</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12.971120218813512</v>
      </c>
      <c r="E139" s="11">
        <f>A139-'Mastercurve bestimmen'!$B$2</f>
        <v>34</v>
      </c>
      <c r="F139" s="11">
        <f t="shared" si="10"/>
        <v>12.971120218813512</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13.442649490486168</v>
      </c>
      <c r="E140" s="11">
        <f>A140-'Mastercurve bestimmen'!$B$2</f>
        <v>35</v>
      </c>
      <c r="F140" s="11">
        <f t="shared" si="10"/>
        <v>13.442649490486168</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13.917462838997814</v>
      </c>
      <c r="E141" s="11">
        <f>A141-'Mastercurve bestimmen'!$B$2</f>
        <v>36</v>
      </c>
      <c r="F141" s="11">
        <f t="shared" si="10"/>
        <v>13.917462838997814</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14.395146681647809</v>
      </c>
      <c r="E142" s="11">
        <f>A142-'Mastercurve bestimmen'!$B$2</f>
        <v>37</v>
      </c>
      <c r="F142" s="11">
        <f t="shared" si="10"/>
        <v>14.395146681647809</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14.875287435735522</v>
      </c>
      <c r="E143" s="11">
        <f>A143-'Mastercurve bestimmen'!$B$2</f>
        <v>38</v>
      </c>
      <c r="F143" s="11">
        <f t="shared" si="10"/>
        <v>14.875287435735522</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15.357471518560319</v>
      </c>
      <c r="E144" s="11">
        <f>A144-'Mastercurve bestimmen'!$B$2</f>
        <v>39</v>
      </c>
      <c r="F144" s="11">
        <f t="shared" ref="F144:F207" si="15">B144</f>
        <v>15.357471518560319</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15.841285347421564</v>
      </c>
      <c r="E145" s="11">
        <f>A145-'Mastercurve bestimmen'!$B$2</f>
        <v>40</v>
      </c>
      <c r="F145" s="11">
        <f t="shared" si="15"/>
        <v>15.841285347421564</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16.326315339618624</v>
      </c>
      <c r="E146" s="11">
        <f>A146-'Mastercurve bestimmen'!$B$2</f>
        <v>41</v>
      </c>
      <c r="F146" s="11">
        <f t="shared" si="15"/>
        <v>16.326315339618624</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16.812147912450865</v>
      </c>
      <c r="E147" s="11">
        <f>A147-'Mastercurve bestimmen'!$B$2</f>
        <v>42</v>
      </c>
      <c r="F147" s="11">
        <f t="shared" si="15"/>
        <v>16.812147912450865</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17.298369483217648</v>
      </c>
      <c r="E148" s="11">
        <f>A148-'Mastercurve bestimmen'!$B$2</f>
        <v>43</v>
      </c>
      <c r="F148" s="11">
        <f t="shared" si="15"/>
        <v>17.298369483217648</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17.784566469218348</v>
      </c>
      <c r="E149" s="11">
        <f>A149-'Mastercurve bestimmen'!$B$2</f>
        <v>44</v>
      </c>
      <c r="F149" s="11">
        <f t="shared" si="15"/>
        <v>17.784566469218348</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18.270325287752321</v>
      </c>
      <c r="E150" s="11">
        <f>A150-'Mastercurve bestimmen'!$B$2</f>
        <v>45</v>
      </c>
      <c r="F150" s="11">
        <f t="shared" si="15"/>
        <v>18.270325287752321</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18.755232356118938</v>
      </c>
      <c r="E151" s="11">
        <f>A151-'Mastercurve bestimmen'!$B$2</f>
        <v>46</v>
      </c>
      <c r="F151" s="11">
        <f t="shared" si="15"/>
        <v>18.755232356118938</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19.238874091617561</v>
      </c>
      <c r="E152" s="11">
        <f>A152-'Mastercurve bestimmen'!$B$2</f>
        <v>47</v>
      </c>
      <c r="F152" s="11">
        <f t="shared" si="15"/>
        <v>19.238874091617561</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19.720836911547558</v>
      </c>
      <c r="E153" s="11">
        <f>A153-'Mastercurve bestimmen'!$B$2</f>
        <v>48</v>
      </c>
      <c r="F153" s="11">
        <f t="shared" si="15"/>
        <v>19.720836911547558</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20.200707233208295</v>
      </c>
      <c r="E154" s="11">
        <f>A154-'Mastercurve bestimmen'!$B$2</f>
        <v>49</v>
      </c>
      <c r="F154" s="11">
        <f t="shared" si="15"/>
        <v>20.200707233208295</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20.678071473899138</v>
      </c>
      <c r="E155" s="11">
        <f>A155-'Mastercurve bestimmen'!$B$2</f>
        <v>50</v>
      </c>
      <c r="F155" s="11">
        <f t="shared" si="15"/>
        <v>20.678071473899138</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21.152516050919449</v>
      </c>
      <c r="E156" s="11">
        <f>A156-'Mastercurve bestimmen'!$B$2</f>
        <v>51</v>
      </c>
      <c r="F156" s="11">
        <f t="shared" si="15"/>
        <v>21.152516050919449</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21.623627381568596</v>
      </c>
      <c r="E157" s="11">
        <f>A157-'Mastercurve bestimmen'!$B$2</f>
        <v>52</v>
      </c>
      <c r="F157" s="11">
        <f t="shared" si="15"/>
        <v>21.623627381568596</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22.09099188314595</v>
      </c>
      <c r="E158" s="11">
        <f>A158-'Mastercurve bestimmen'!$B$2</f>
        <v>53</v>
      </c>
      <c r="F158" s="11">
        <f t="shared" si="15"/>
        <v>22.09099188314595</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22.554195972950868</v>
      </c>
      <c r="E159" s="11">
        <f>A159-'Mastercurve bestimmen'!$B$2</f>
        <v>54</v>
      </c>
      <c r="F159" s="11">
        <f t="shared" si="15"/>
        <v>22.554195972950868</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23.01282606828272</v>
      </c>
      <c r="E160" s="11">
        <f>A160-'Mastercurve bestimmen'!$B$2</f>
        <v>55</v>
      </c>
      <c r="F160" s="11">
        <f t="shared" si="15"/>
        <v>23.01282606828272</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23.466468586440868</v>
      </c>
      <c r="E161" s="11">
        <f>A161-'Mastercurve bestimmen'!$B$2</f>
        <v>56</v>
      </c>
      <c r="F161" s="11">
        <f t="shared" si="15"/>
        <v>23.466468586440868</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23.914709944724684</v>
      </c>
      <c r="E162" s="11">
        <f>A162-'Mastercurve bestimmen'!$B$2</f>
        <v>57</v>
      </c>
      <c r="F162" s="11">
        <f t="shared" si="15"/>
        <v>23.914709944724684</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24.357136560433524</v>
      </c>
      <c r="E163" s="11">
        <f>A163-'Mastercurve bestimmen'!$B$2</f>
        <v>58</v>
      </c>
      <c r="F163" s="11">
        <f t="shared" si="15"/>
        <v>24.357136560433524</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24.793334850866763</v>
      </c>
      <c r="E164" s="11">
        <f>A164-'Mastercurve bestimmen'!$B$2</f>
        <v>59</v>
      </c>
      <c r="F164" s="11">
        <f t="shared" si="15"/>
        <v>24.793334850866763</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25.222891233323764</v>
      </c>
      <c r="E165" s="11">
        <f>A165-'Mastercurve bestimmen'!$B$2</f>
        <v>60</v>
      </c>
      <c r="F165" s="11">
        <f t="shared" si="15"/>
        <v>25.222891233323764</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25.645392125103889</v>
      </c>
      <c r="E166" s="11">
        <f>A166-'Mastercurve bestimmen'!$B$2</f>
        <v>61</v>
      </c>
      <c r="F166" s="11">
        <f t="shared" si="15"/>
        <v>25.645392125103889</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26.06042394350651</v>
      </c>
      <c r="E167" s="11">
        <f>A167-'Mastercurve bestimmen'!$B$2</f>
        <v>62</v>
      </c>
      <c r="F167" s="11">
        <f t="shared" si="15"/>
        <v>26.06042394350651</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26.467573105830986</v>
      </c>
      <c r="E168" s="11">
        <f>A168-'Mastercurve bestimmen'!$B$2</f>
        <v>63</v>
      </c>
      <c r="F168" s="11">
        <f t="shared" si="15"/>
        <v>26.467573105830986</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26.866426029376687</v>
      </c>
      <c r="E169" s="11">
        <f>A169-'Mastercurve bestimmen'!$B$2</f>
        <v>64</v>
      </c>
      <c r="F169" s="11">
        <f t="shared" si="15"/>
        <v>26.866426029376687</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27.256569131442976</v>
      </c>
      <c r="E170" s="11">
        <f>A170-'Mastercurve bestimmen'!$B$2</f>
        <v>65</v>
      </c>
      <c r="F170" s="11">
        <f t="shared" si="15"/>
        <v>27.256569131442976</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27.637588829329221</v>
      </c>
      <c r="E171" s="11">
        <f>A171-'Mastercurve bestimmen'!$B$2</f>
        <v>66</v>
      </c>
      <c r="F171" s="11">
        <f t="shared" si="15"/>
        <v>27.637588829329221</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28.00907154033478</v>
      </c>
      <c r="E172" s="11">
        <f>A172-'Mastercurve bestimmen'!$B$2</f>
        <v>67</v>
      </c>
      <c r="F172" s="11">
        <f t="shared" si="15"/>
        <v>28.00907154033478</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28.370603681759032</v>
      </c>
      <c r="E173" s="11">
        <f>A173-'Mastercurve bestimmen'!$B$2</f>
        <v>68</v>
      </c>
      <c r="F173" s="11">
        <f t="shared" si="15"/>
        <v>28.370603681759032</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28.721771670901333</v>
      </c>
      <c r="E174" s="11">
        <f>A174-'Mastercurve bestimmen'!$B$2</f>
        <v>69</v>
      </c>
      <c r="F174" s="11">
        <f t="shared" si="15"/>
        <v>28.721771670901333</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29.062161925061051</v>
      </c>
      <c r="E175" s="11">
        <f>A175-'Mastercurve bestimmen'!$B$2</f>
        <v>70</v>
      </c>
      <c r="F175" s="11">
        <f t="shared" si="15"/>
        <v>29.062161925061051</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29.391360861537557</v>
      </c>
      <c r="E176" s="11">
        <f>A176-'Mastercurve bestimmen'!$B$2</f>
        <v>71</v>
      </c>
      <c r="F176" s="11">
        <f t="shared" si="15"/>
        <v>29.391360861537557</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29.7089548976302</v>
      </c>
      <c r="E177" s="11">
        <f>A177-'Mastercurve bestimmen'!$B$2</f>
        <v>72</v>
      </c>
      <c r="F177" s="11">
        <f t="shared" si="15"/>
        <v>29.7089548976302</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30.014530450638365</v>
      </c>
      <c r="E178" s="11">
        <f>A178-'Mastercurve bestimmen'!$B$2</f>
        <v>73</v>
      </c>
      <c r="F178" s="11">
        <f t="shared" si="15"/>
        <v>30.014530450638365</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30.307673937861409</v>
      </c>
      <c r="E179" s="11">
        <f>A179-'Mastercurve bestimmen'!$B$2</f>
        <v>74</v>
      </c>
      <c r="F179" s="11">
        <f t="shared" si="15"/>
        <v>30.307673937861409</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30.5879717765987</v>
      </c>
      <c r="E180" s="11">
        <f>A180-'Mastercurve bestimmen'!$B$2</f>
        <v>75</v>
      </c>
      <c r="F180" s="11">
        <f t="shared" si="15"/>
        <v>30.5879717765987</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30.855142453795828</v>
      </c>
      <c r="E181" s="11">
        <f>A181-'Mastercurve bestimmen'!$B$2</f>
        <v>76</v>
      </c>
      <c r="F181" s="11">
        <f t="shared" si="15"/>
        <v>30.855142453795828</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31.109432734983322</v>
      </c>
      <c r="E182" s="11">
        <f>A182-'Mastercurve bestimmen'!$B$2</f>
        <v>77</v>
      </c>
      <c r="F182" s="11">
        <f t="shared" si="15"/>
        <v>31.109432734983322</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31.351221455337939</v>
      </c>
      <c r="E183" s="11">
        <f>A183-'Mastercurve bestimmen'!$B$2</f>
        <v>78</v>
      </c>
      <c r="F183" s="11">
        <f t="shared" si="15"/>
        <v>31.351221455337939</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31.580887450036425</v>
      </c>
      <c r="E184" s="11">
        <f>A184-'Mastercurve bestimmen'!$B$2</f>
        <v>79</v>
      </c>
      <c r="F184" s="11">
        <f t="shared" si="15"/>
        <v>31.580887450036425</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31.798809554255541</v>
      </c>
      <c r="E185" s="11">
        <f>A185-'Mastercurve bestimmen'!$B$2</f>
        <v>80</v>
      </c>
      <c r="F185" s="11">
        <f t="shared" si="15"/>
        <v>31.798809554255541</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32.005366603172035</v>
      </c>
      <c r="E186" s="11">
        <f>A186-'Mastercurve bestimmen'!$B$2</f>
        <v>81</v>
      </c>
      <c r="F186" s="11">
        <f t="shared" si="15"/>
        <v>32.005366603172035</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32.200937431962657</v>
      </c>
      <c r="E187" s="11">
        <f>A187-'Mastercurve bestimmen'!$B$2</f>
        <v>82</v>
      </c>
      <c r="F187" s="11">
        <f t="shared" si="15"/>
        <v>32.200937431962657</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32.385900875804175</v>
      </c>
      <c r="E188" s="11">
        <f>A188-'Mastercurve bestimmen'!$B$2</f>
        <v>83</v>
      </c>
      <c r="F188" s="11">
        <f t="shared" si="15"/>
        <v>32.385900875804175</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32.560635769873336</v>
      </c>
      <c r="E189" s="11">
        <f>A189-'Mastercurve bestimmen'!$B$2</f>
        <v>84</v>
      </c>
      <c r="F189" s="11">
        <f t="shared" si="15"/>
        <v>32.560635769873336</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32.725520949346894</v>
      </c>
      <c r="E190" s="11">
        <f>A190-'Mastercurve bestimmen'!$B$2</f>
        <v>85</v>
      </c>
      <c r="F190" s="11">
        <f t="shared" si="15"/>
        <v>32.725520949346894</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32.880935249401603</v>
      </c>
      <c r="E191" s="11">
        <f>A191-'Mastercurve bestimmen'!$B$2</f>
        <v>86</v>
      </c>
      <c r="F191" s="11">
        <f t="shared" si="15"/>
        <v>32.880935249401603</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33.027257505214209</v>
      </c>
      <c r="E192" s="11">
        <f>A192-'Mastercurve bestimmen'!$B$2</f>
        <v>87</v>
      </c>
      <c r="F192" s="11">
        <f t="shared" si="15"/>
        <v>33.027257505214209</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33.164866551961481</v>
      </c>
      <c r="E193" s="11">
        <f>A193-'Mastercurve bestimmen'!$B$2</f>
        <v>88</v>
      </c>
      <c r="F193" s="11">
        <f t="shared" si="15"/>
        <v>33.164866551961481</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33.294141224820166</v>
      </c>
      <c r="E194" s="11">
        <f>A194-'Mastercurve bestimmen'!$B$2</f>
        <v>89</v>
      </c>
      <c r="F194" s="11">
        <f t="shared" si="15"/>
        <v>33.294141224820166</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33.41546035896701</v>
      </c>
      <c r="E195" s="11">
        <f>A195-'Mastercurve bestimmen'!$B$2</f>
        <v>90</v>
      </c>
      <c r="F195" s="11">
        <f t="shared" si="15"/>
        <v>33.41546035896701</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33.529202789578775</v>
      </c>
      <c r="E196" s="11">
        <f>A196-'Mastercurve bestimmen'!$B$2</f>
        <v>91</v>
      </c>
      <c r="F196" s="11">
        <f t="shared" si="15"/>
        <v>33.529202789578775</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33.635747351832222</v>
      </c>
      <c r="E197" s="11">
        <f>A197-'Mastercurve bestimmen'!$B$2</f>
        <v>92</v>
      </c>
      <c r="F197" s="11">
        <f t="shared" si="15"/>
        <v>33.635747351832222</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33.735472880904098</v>
      </c>
      <c r="E198" s="11">
        <f>A198-'Mastercurve bestimmen'!$B$2</f>
        <v>93</v>
      </c>
      <c r="F198" s="11">
        <f t="shared" si="15"/>
        <v>33.735472880904098</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33.828758211971149</v>
      </c>
      <c r="E199" s="11">
        <f>A199-'Mastercurve bestimmen'!$B$2</f>
        <v>94</v>
      </c>
      <c r="F199" s="11">
        <f t="shared" si="15"/>
        <v>33.828758211971149</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33.915982180210143</v>
      </c>
      <c r="E200" s="11">
        <f>A200-'Mastercurve bestimmen'!$B$2</f>
        <v>95</v>
      </c>
      <c r="F200" s="11">
        <f t="shared" si="15"/>
        <v>33.915982180210143</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33.997523620797821</v>
      </c>
      <c r="E201" s="11">
        <f>A201-'Mastercurve bestimmen'!$B$2</f>
        <v>96</v>
      </c>
      <c r="F201" s="11">
        <f t="shared" si="15"/>
        <v>33.997523620797821</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34.073761368910951</v>
      </c>
      <c r="E202" s="11">
        <f>A202-'Mastercurve bestimmen'!$B$2</f>
        <v>97</v>
      </c>
      <c r="F202" s="11">
        <f t="shared" si="15"/>
        <v>34.073761368910951</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34.145074259726272</v>
      </c>
      <c r="E203" s="11">
        <f>A203-'Mastercurve bestimmen'!$B$2</f>
        <v>98</v>
      </c>
      <c r="F203" s="11">
        <f t="shared" si="15"/>
        <v>34.145074259726272</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34.211841128420545</v>
      </c>
      <c r="E204" s="11">
        <f>A204-'Mastercurve bestimmen'!$B$2</f>
        <v>99</v>
      </c>
      <c r="F204" s="11">
        <f t="shared" si="15"/>
        <v>34.211841128420545</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34.274440810170532</v>
      </c>
      <c r="E205" s="11">
        <f>A205-'Mastercurve bestimmen'!$B$2</f>
        <v>100</v>
      </c>
      <c r="F205" s="11">
        <f t="shared" si="15"/>
        <v>34.274440810170532</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34.333252140152972</v>
      </c>
      <c r="E206" s="11">
        <f>A206-'Mastercurve bestimmen'!$B$2</f>
        <v>101</v>
      </c>
      <c r="F206" s="11">
        <f t="shared" si="15"/>
        <v>34.333252140152972</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34.388653953544633</v>
      </c>
      <c r="E207" s="11">
        <f>A207-'Mastercurve bestimmen'!$B$2</f>
        <v>102</v>
      </c>
      <c r="F207" s="11">
        <f t="shared" si="15"/>
        <v>34.388653953544633</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34.441025085522256</v>
      </c>
      <c r="E208" s="11">
        <f>A208-'Mastercurve bestimmen'!$B$2</f>
        <v>103</v>
      </c>
      <c r="F208" s="11">
        <f t="shared" ref="F208:F215" si="21">B208</f>
        <v>34.441025085522256</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34.490744371262601</v>
      </c>
      <c r="E209" s="11">
        <f>A209-'Mastercurve bestimmen'!$B$2</f>
        <v>104</v>
      </c>
      <c r="F209" s="11">
        <f t="shared" si="21"/>
        <v>34.490744371262601</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34.538190645942429</v>
      </c>
      <c r="E210" s="11">
        <f>A210-'Mastercurve bestimmen'!$B$2</f>
        <v>105</v>
      </c>
      <c r="F210" s="11">
        <f t="shared" si="21"/>
        <v>34.538190645942429</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34.58374274473848</v>
      </c>
      <c r="E211" s="11">
        <f>A211-'Mastercurve bestimmen'!$B$2</f>
        <v>106</v>
      </c>
      <c r="F211" s="11">
        <f t="shared" si="21"/>
        <v>34.58374274473848</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34.627779502827515</v>
      </c>
      <c r="E212" s="11">
        <f>A212-'Mastercurve bestimmen'!$B$2</f>
        <v>107</v>
      </c>
      <c r="F212" s="11">
        <f t="shared" si="21"/>
        <v>34.627779502827515</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34.670679755386288</v>
      </c>
      <c r="E213" s="11">
        <f>A213-'Mastercurve bestimmen'!$B$2</f>
        <v>108</v>
      </c>
      <c r="F213" s="11">
        <f t="shared" si="21"/>
        <v>34.670679755386288</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34.712822337591561</v>
      </c>
      <c r="E214" s="11">
        <f>A214-'Mastercurve bestimmen'!$B$2</f>
        <v>109</v>
      </c>
      <c r="F214" s="11">
        <f t="shared" si="21"/>
        <v>34.712822337591561</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34.754586084620072</v>
      </c>
      <c r="E215" s="11">
        <f>A215-'Mastercurve bestimmen'!$B$2</f>
        <v>110</v>
      </c>
      <c r="F215" s="11">
        <f t="shared" si="21"/>
        <v>34.754586084620072</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0.28904394113455834</v>
      </c>
      <c r="J217" s="98">
        <v>2.6108758712423399E-3</v>
      </c>
      <c r="K217" s="98">
        <v>1.5366477945688911E-5</v>
      </c>
      <c r="L217" s="98">
        <v>-2.0189996703244654E-7</v>
      </c>
      <c r="M217" s="98">
        <v>-3.9085222342781433E-9</v>
      </c>
      <c r="N217" s="98">
        <v>5.5886705637907465E-12</v>
      </c>
      <c r="O217" s="98">
        <v>1.9572006259982719E-13</v>
      </c>
      <c r="P217" s="98">
        <v>-2.0725055894614993E-16</v>
      </c>
    </row>
    <row r="218" spans="1:16" x14ac:dyDescent="0.25">
      <c r="G218" s="11"/>
      <c r="H218" s="11">
        <v>0</v>
      </c>
      <c r="I218" s="11">
        <v>3.5976358505171034E-4</v>
      </c>
      <c r="J218" s="11">
        <v>8.0803204242874168E-6</v>
      </c>
      <c r="K218" s="3">
        <v>3.0218192721170643E-7</v>
      </c>
      <c r="L218" s="3">
        <v>4.5365713158753845E-9</v>
      </c>
      <c r="M218" s="3">
        <v>7.3780543361766613E-11</v>
      </c>
      <c r="N218" s="3">
        <v>8.5302358998496152E-13</v>
      </c>
      <c r="O218" s="11">
        <v>5.3430565542921602E-15</v>
      </c>
      <c r="P218" s="11">
        <v>5.3931338475846678E-17</v>
      </c>
    </row>
    <row r="219" spans="1:16" x14ac:dyDescent="0.25">
      <c r="G219" s="11"/>
      <c r="H219" s="11">
        <v>0.9999955941991876</v>
      </c>
      <c r="I219" s="11">
        <v>4.0318615621798878E-2</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-13.518573409908031</v>
      </c>
      <c r="G222">
        <f>F15</f>
        <v>-13.421164302671254</v>
      </c>
    </row>
    <row r="223" spans="1:16" x14ac:dyDescent="0.25">
      <c r="E223" s="11">
        <f t="shared" ref="E223:E286" si="25">E16</f>
        <v>-89</v>
      </c>
      <c r="F223" s="11">
        <f t="shared" ref="F223:F286" si="26">$H$217*0+E223*$I$217+E223^2*$J$217+E223^3*$K$217+E223^4*$L$217+E223^5*$M$217+E223^6*$N$217+E223^7*$O$217+E223^8*$P$217</f>
        <v>-13.414644604655148</v>
      </c>
      <c r="G223" s="11">
        <f t="shared" ref="G223:G286" si="27">F16</f>
        <v>-13.358279540322497</v>
      </c>
    </row>
    <row r="224" spans="1:16" x14ac:dyDescent="0.25">
      <c r="E224" s="11">
        <f t="shared" si="25"/>
        <v>-88</v>
      </c>
      <c r="F224" s="11">
        <f t="shared" si="26"/>
        <v>-13.318941011149022</v>
      </c>
      <c r="G224" s="11">
        <f t="shared" si="27"/>
        <v>-13.295304205093629</v>
      </c>
    </row>
    <row r="225" spans="5:7" x14ac:dyDescent="0.25">
      <c r="E225" s="11">
        <f t="shared" si="25"/>
        <v>-87</v>
      </c>
      <c r="F225" s="11">
        <f t="shared" si="26"/>
        <v>-13.230343332777522</v>
      </c>
      <c r="G225" s="11">
        <f t="shared" si="27"/>
        <v>-13.232147724104539</v>
      </c>
    </row>
    <row r="226" spans="5:7" x14ac:dyDescent="0.25">
      <c r="E226" s="11">
        <f t="shared" si="25"/>
        <v>-86</v>
      </c>
      <c r="F226" s="11">
        <f t="shared" si="26"/>
        <v>-13.147813200956355</v>
      </c>
      <c r="G226" s="11">
        <f t="shared" si="27"/>
        <v>-13.168719524475117</v>
      </c>
    </row>
    <row r="227" spans="5:7" x14ac:dyDescent="0.25">
      <c r="E227" s="11">
        <f t="shared" si="25"/>
        <v>-85</v>
      </c>
      <c r="F227" s="11">
        <f t="shared" si="26"/>
        <v>-13.070389286690082</v>
      </c>
      <c r="G227" s="11">
        <f t="shared" si="27"/>
        <v>-13.104929033325252</v>
      </c>
    </row>
    <row r="228" spans="5:7" x14ac:dyDescent="0.25">
      <c r="E228" s="11">
        <f t="shared" si="25"/>
        <v>-84</v>
      </c>
      <c r="F228" s="11">
        <f t="shared" si="26"/>
        <v>-12.997183525555293</v>
      </c>
      <c r="G228" s="11">
        <f t="shared" si="27"/>
        <v>-13.040685677774832</v>
      </c>
    </row>
    <row r="229" spans="5:7" x14ac:dyDescent="0.25">
      <c r="E229" s="11">
        <f t="shared" si="25"/>
        <v>-83</v>
      </c>
      <c r="F229" s="11">
        <f t="shared" si="26"/>
        <v>-12.92737745439668</v>
      </c>
      <c r="G229" s="11">
        <f t="shared" si="27"/>
        <v>-12.975898884943749</v>
      </c>
    </row>
    <row r="230" spans="5:7" x14ac:dyDescent="0.25">
      <c r="E230" s="11">
        <f t="shared" si="25"/>
        <v>-82</v>
      </c>
      <c r="F230" s="11">
        <f t="shared" si="26"/>
        <v>-12.860218658035102</v>
      </c>
      <c r="G230" s="11">
        <f t="shared" si="27"/>
        <v>-12.91047808195189</v>
      </c>
    </row>
    <row r="231" spans="5:7" x14ac:dyDescent="0.25">
      <c r="E231" s="11">
        <f t="shared" si="25"/>
        <v>-81</v>
      </c>
      <c r="F231" s="11">
        <f t="shared" si="26"/>
        <v>-12.795017324295159</v>
      </c>
      <c r="G231" s="11">
        <f t="shared" si="27"/>
        <v>-12.844332695919144</v>
      </c>
    </row>
    <row r="232" spans="5:7" x14ac:dyDescent="0.25">
      <c r="E232" s="11">
        <f t="shared" si="25"/>
        <v>-80</v>
      </c>
      <c r="F232" s="11">
        <f t="shared" si="26"/>
        <v>-12.731142905668003</v>
      </c>
      <c r="G232" s="11">
        <f t="shared" si="27"/>
        <v>-12.777372153965402</v>
      </c>
    </row>
    <row r="233" spans="5:7" x14ac:dyDescent="0.25">
      <c r="E233" s="11">
        <f t="shared" si="25"/>
        <v>-79</v>
      </c>
      <c r="F233" s="11">
        <f t="shared" si="26"/>
        <v>-12.668020885933641</v>
      </c>
      <c r="G233" s="11">
        <f t="shared" si="27"/>
        <v>-12.70950588321055</v>
      </c>
    </row>
    <row r="234" spans="5:7" x14ac:dyDescent="0.25">
      <c r="E234" s="11">
        <f t="shared" si="25"/>
        <v>-78</v>
      </c>
      <c r="F234" s="11">
        <f t="shared" si="26"/>
        <v>-12.60512965007524</v>
      </c>
      <c r="G234" s="11">
        <f t="shared" si="27"/>
        <v>-12.640643310774481</v>
      </c>
    </row>
    <row r="235" spans="5:7" x14ac:dyDescent="0.25">
      <c r="E235" s="11">
        <f t="shared" si="25"/>
        <v>-77</v>
      </c>
      <c r="F235" s="11">
        <f t="shared" si="26"/>
        <v>-12.541997455826225</v>
      </c>
      <c r="G235" s="11">
        <f t="shared" si="27"/>
        <v>-12.570693863777082</v>
      </c>
    </row>
    <row r="236" spans="5:7" x14ac:dyDescent="0.25">
      <c r="E236" s="11">
        <f t="shared" si="25"/>
        <v>-76</v>
      </c>
      <c r="F236" s="11">
        <f t="shared" si="26"/>
        <v>-12.478199505199573</v>
      </c>
      <c r="G236" s="11">
        <f t="shared" si="27"/>
        <v>-12.499566969338241</v>
      </c>
    </row>
    <row r="237" spans="5:7" x14ac:dyDescent="0.25">
      <c r="E237" s="11">
        <f t="shared" si="25"/>
        <v>-75</v>
      </c>
      <c r="F237" s="11">
        <f t="shared" si="26"/>
        <v>-12.413355114356792</v>
      </c>
      <c r="G237" s="11">
        <f t="shared" si="27"/>
        <v>-12.427172054577852</v>
      </c>
    </row>
    <row r="238" spans="5:7" x14ac:dyDescent="0.25">
      <c r="E238" s="11">
        <f t="shared" si="25"/>
        <v>-74</v>
      </c>
      <c r="F238" s="11">
        <f t="shared" si="26"/>
        <v>-12.347124980182544</v>
      </c>
      <c r="G238" s="11">
        <f t="shared" si="27"/>
        <v>-12.353418546615799</v>
      </c>
    </row>
    <row r="239" spans="5:7" x14ac:dyDescent="0.25">
      <c r="E239" s="11">
        <f t="shared" si="25"/>
        <v>-73</v>
      </c>
      <c r="F239" s="11">
        <f t="shared" si="26"/>
        <v>-12.279208541939287</v>
      </c>
      <c r="G239" s="11">
        <f t="shared" si="27"/>
        <v>-12.278215872571977</v>
      </c>
    </row>
    <row r="240" spans="5:7" x14ac:dyDescent="0.25">
      <c r="E240" s="11">
        <f t="shared" si="25"/>
        <v>-72</v>
      </c>
      <c r="F240" s="11">
        <f t="shared" si="26"/>
        <v>-12.209341436384495</v>
      </c>
      <c r="G240" s="11">
        <f t="shared" si="27"/>
        <v>-12.201473459566268</v>
      </c>
    </row>
    <row r="241" spans="5:7" x14ac:dyDescent="0.25">
      <c r="E241" s="11">
        <f t="shared" si="25"/>
        <v>-71</v>
      </c>
      <c r="F241" s="11">
        <f t="shared" si="26"/>
        <v>-12.137293044741634</v>
      </c>
      <c r="G241" s="11">
        <f t="shared" si="27"/>
        <v>-12.123100734718566</v>
      </c>
    </row>
    <row r="242" spans="5:7" x14ac:dyDescent="0.25">
      <c r="E242" s="11">
        <f t="shared" si="25"/>
        <v>-70</v>
      </c>
      <c r="F242" s="11">
        <f t="shared" si="26"/>
        <v>-12.06286412992409</v>
      </c>
      <c r="G242" s="11">
        <f t="shared" si="27"/>
        <v>-12.043007125148758</v>
      </c>
    </row>
    <row r="243" spans="5:7" x14ac:dyDescent="0.25">
      <c r="E243" s="11">
        <f t="shared" si="25"/>
        <v>-69</v>
      </c>
      <c r="F243" s="11">
        <f t="shared" si="26"/>
        <v>-11.985884562419951</v>
      </c>
      <c r="G243" s="11">
        <f t="shared" si="27"/>
        <v>-11.961102057976735</v>
      </c>
    </row>
    <row r="244" spans="5:7" x14ac:dyDescent="0.25">
      <c r="E244" s="11">
        <f t="shared" si="25"/>
        <v>-68</v>
      </c>
      <c r="F244" s="11">
        <f t="shared" si="26"/>
        <v>-11.906211133253636</v>
      </c>
      <c r="G244" s="11">
        <f t="shared" si="27"/>
        <v>-11.877294960322384</v>
      </c>
    </row>
    <row r="245" spans="5:7" x14ac:dyDescent="0.25">
      <c r="E245" s="11">
        <f t="shared" si="25"/>
        <v>-67</v>
      </c>
      <c r="F245" s="11">
        <f t="shared" si="26"/>
        <v>-11.823725452448835</v>
      </c>
      <c r="G245" s="11">
        <f t="shared" si="27"/>
        <v>-11.791495259305597</v>
      </c>
    </row>
    <row r="246" spans="5:7" x14ac:dyDescent="0.25">
      <c r="E246" s="11">
        <f t="shared" si="25"/>
        <v>-66</v>
      </c>
      <c r="F246" s="11">
        <f t="shared" si="26"/>
        <v>-11.7383319314256</v>
      </c>
      <c r="G246" s="11">
        <f t="shared" si="27"/>
        <v>-11.703612382046261</v>
      </c>
    </row>
    <row r="247" spans="5:7" x14ac:dyDescent="0.25">
      <c r="E247" s="11">
        <f t="shared" si="25"/>
        <v>-65</v>
      </c>
      <c r="F247" s="11">
        <f t="shared" si="26"/>
        <v>-11.649955847772732</v>
      </c>
      <c r="G247" s="11">
        <f t="shared" si="27"/>
        <v>-11.613555755664267</v>
      </c>
    </row>
    <row r="248" spans="5:7" x14ac:dyDescent="0.25">
      <c r="E248" s="11">
        <f t="shared" si="25"/>
        <v>-64</v>
      </c>
      <c r="F248" s="11">
        <f t="shared" si="26"/>
        <v>-11.558541490844927</v>
      </c>
      <c r="G248" s="11">
        <f t="shared" si="27"/>
        <v>-11.521234807279502</v>
      </c>
    </row>
    <row r="249" spans="5:7" x14ac:dyDescent="0.25">
      <c r="E249" s="11">
        <f t="shared" si="25"/>
        <v>-63</v>
      </c>
      <c r="F249" s="11">
        <f t="shared" si="26"/>
        <v>-11.464050386642674</v>
      </c>
      <c r="G249" s="11">
        <f t="shared" si="27"/>
        <v>-11.426558964011857</v>
      </c>
    </row>
    <row r="250" spans="5:7" x14ac:dyDescent="0.25">
      <c r="E250" s="11">
        <f t="shared" si="25"/>
        <v>-62</v>
      </c>
      <c r="F250" s="11">
        <f t="shared" si="26"/>
        <v>-11.366459600441004</v>
      </c>
      <c r="G250" s="11">
        <f t="shared" si="27"/>
        <v>-11.32943765298122</v>
      </c>
    </row>
    <row r="251" spans="5:7" x14ac:dyDescent="0.25">
      <c r="E251" s="11">
        <f t="shared" si="25"/>
        <v>-61</v>
      </c>
      <c r="F251" s="11">
        <f t="shared" si="26"/>
        <v>-11.265760115641784</v>
      </c>
      <c r="G251" s="11">
        <f t="shared" si="27"/>
        <v>-11.229780301307482</v>
      </c>
    </row>
    <row r="252" spans="5:7" x14ac:dyDescent="0.25">
      <c r="E252" s="11">
        <f t="shared" si="25"/>
        <v>-60</v>
      </c>
      <c r="F252" s="11">
        <f t="shared" si="26"/>
        <v>-11.161955287332427</v>
      </c>
      <c r="G252" s="11">
        <f t="shared" si="27"/>
        <v>-11.127496336110532</v>
      </c>
    </row>
    <row r="253" spans="5:7" x14ac:dyDescent="0.25">
      <c r="E253" s="11">
        <f t="shared" si="25"/>
        <v>-59</v>
      </c>
      <c r="F253" s="11">
        <f t="shared" si="26"/>
        <v>-11.055059369042324</v>
      </c>
      <c r="G253" s="11">
        <f t="shared" si="27"/>
        <v>-11.022495184510257</v>
      </c>
    </row>
    <row r="254" spans="5:7" x14ac:dyDescent="0.25">
      <c r="E254" s="11">
        <f t="shared" si="25"/>
        <v>-58</v>
      </c>
      <c r="F254" s="11">
        <f t="shared" si="26"/>
        <v>-10.945096111196754</v>
      </c>
      <c r="G254" s="11">
        <f t="shared" si="27"/>
        <v>-10.914686273626547</v>
      </c>
    </row>
    <row r="255" spans="5:7" x14ac:dyDescent="0.25">
      <c r="E255" s="11">
        <f t="shared" si="25"/>
        <v>-57</v>
      </c>
      <c r="F255" s="11">
        <f t="shared" si="26"/>
        <v>-10.8320974297761</v>
      </c>
      <c r="G255" s="11">
        <f t="shared" si="27"/>
        <v>-10.803979030579292</v>
      </c>
    </row>
    <row r="256" spans="5:7" x14ac:dyDescent="0.25">
      <c r="E256" s="11">
        <f t="shared" si="25"/>
        <v>-56</v>
      </c>
      <c r="F256" s="11">
        <f t="shared" si="26"/>
        <v>-10.716102143696919</v>
      </c>
      <c r="G256" s="11">
        <f t="shared" si="27"/>
        <v>-10.690282882488379</v>
      </c>
    </row>
    <row r="257" spans="5:7" x14ac:dyDescent="0.25">
      <c r="E257" s="11">
        <f t="shared" si="25"/>
        <v>-55</v>
      </c>
      <c r="F257" s="11">
        <f t="shared" si="26"/>
        <v>-10.597154779439469</v>
      </c>
      <c r="G257" s="11">
        <f t="shared" si="27"/>
        <v>-10.573507256473702</v>
      </c>
    </row>
    <row r="258" spans="5:7" x14ac:dyDescent="0.25">
      <c r="E258" s="11">
        <f t="shared" si="25"/>
        <v>-54</v>
      </c>
      <c r="F258" s="11">
        <f t="shared" si="26"/>
        <v>-10.47530444145487</v>
      </c>
      <c r="G258" s="11">
        <f t="shared" si="27"/>
        <v>-10.453561579655146</v>
      </c>
    </row>
    <row r="259" spans="5:7" x14ac:dyDescent="0.25">
      <c r="E259" s="11">
        <f t="shared" si="25"/>
        <v>-53</v>
      </c>
      <c r="F259" s="11">
        <f t="shared" si="26"/>
        <v>-10.350603746893235</v>
      </c>
      <c r="G259" s="11">
        <f t="shared" si="27"/>
        <v>-10.330355279152602</v>
      </c>
    </row>
    <row r="260" spans="5:7" x14ac:dyDescent="0.25">
      <c r="E260" s="11">
        <f t="shared" si="25"/>
        <v>-52</v>
      </c>
      <c r="F260" s="11">
        <f t="shared" si="26"/>
        <v>-10.223107823202636</v>
      </c>
      <c r="G260" s="11">
        <f t="shared" si="27"/>
        <v>-10.20379778208596</v>
      </c>
    </row>
    <row r="261" spans="5:7" x14ac:dyDescent="0.25">
      <c r="E261" s="11">
        <f t="shared" si="25"/>
        <v>-51</v>
      </c>
      <c r="F261" s="11">
        <f t="shared" si="26"/>
        <v>-10.092873367157049</v>
      </c>
      <c r="G261" s="11">
        <f t="shared" si="27"/>
        <v>-10.073798515575106</v>
      </c>
    </row>
    <row r="262" spans="5:7" x14ac:dyDescent="0.25">
      <c r="E262" s="11">
        <f t="shared" si="25"/>
        <v>-50</v>
      </c>
      <c r="F262" s="11">
        <f t="shared" si="26"/>
        <v>-9.9599577638797694</v>
      </c>
      <c r="G262" s="11">
        <f t="shared" si="27"/>
        <v>-9.9402669067399323</v>
      </c>
    </row>
    <row r="263" spans="5:7" x14ac:dyDescent="0.25">
      <c r="E263" s="11">
        <f t="shared" si="25"/>
        <v>-49</v>
      </c>
      <c r="F263" s="11">
        <f t="shared" si="26"/>
        <v>-9.824418264437135</v>
      </c>
      <c r="G263" s="11">
        <f t="shared" si="27"/>
        <v>-9.8152042947407079</v>
      </c>
    </row>
    <row r="264" spans="5:7" x14ac:dyDescent="0.25">
      <c r="E264" s="11">
        <f t="shared" si="25"/>
        <v>-48</v>
      </c>
      <c r="F264" s="11">
        <f t="shared" si="26"/>
        <v>-9.6863112205858322</v>
      </c>
      <c r="G264" s="11">
        <f t="shared" si="27"/>
        <v>-9.6865790529505524</v>
      </c>
    </row>
    <row r="265" spans="5:7" x14ac:dyDescent="0.25">
      <c r="E265" s="11">
        <f t="shared" si="25"/>
        <v>-47</v>
      </c>
      <c r="F265" s="11">
        <f t="shared" si="26"/>
        <v>-9.5456913752653243</v>
      </c>
      <c r="G265" s="11">
        <f t="shared" si="27"/>
        <v>-9.5544514667829556</v>
      </c>
    </row>
    <row r="266" spans="5:7" x14ac:dyDescent="0.25">
      <c r="E266" s="11">
        <f t="shared" si="25"/>
        <v>-46</v>
      </c>
      <c r="F266" s="11">
        <f t="shared" si="26"/>
        <v>-9.4026112074353421</v>
      </c>
      <c r="G266" s="11">
        <f t="shared" si="27"/>
        <v>-9.4188818216514161</v>
      </c>
    </row>
    <row r="267" spans="5:7" x14ac:dyDescent="0.25">
      <c r="E267" s="11">
        <f t="shared" si="25"/>
        <v>-45</v>
      </c>
      <c r="F267" s="11">
        <f t="shared" si="26"/>
        <v>-9.2571203298667299</v>
      </c>
      <c r="G267" s="11">
        <f t="shared" si="27"/>
        <v>-9.2799304029694287</v>
      </c>
    </row>
    <row r="268" spans="5:7" x14ac:dyDescent="0.25">
      <c r="E268" s="11">
        <f t="shared" si="25"/>
        <v>-44</v>
      </c>
      <c r="F268" s="11">
        <f t="shared" si="26"/>
        <v>-9.1092649385022586</v>
      </c>
      <c r="G268" s="11">
        <f t="shared" si="27"/>
        <v>-9.1376574961504922</v>
      </c>
    </row>
    <row r="269" spans="5:7" x14ac:dyDescent="0.25">
      <c r="E269" s="11">
        <f t="shared" si="25"/>
        <v>-43</v>
      </c>
      <c r="F269" s="11">
        <f t="shared" si="26"/>
        <v>-8.9590873120124801</v>
      </c>
      <c r="G269" s="11">
        <f t="shared" si="27"/>
        <v>-8.9921233866080978</v>
      </c>
    </row>
    <row r="270" spans="5:7" x14ac:dyDescent="0.25">
      <c r="E270" s="11">
        <f t="shared" si="25"/>
        <v>-42</v>
      </c>
      <c r="F270" s="11">
        <f t="shared" si="26"/>
        <v>-8.8066253601799094</v>
      </c>
      <c r="G270" s="11">
        <f t="shared" si="27"/>
        <v>-8.8433883597557461</v>
      </c>
    </row>
    <row r="271" spans="5:7" x14ac:dyDescent="0.25">
      <c r="E271" s="11">
        <f t="shared" si="25"/>
        <v>-41</v>
      </c>
      <c r="F271" s="11">
        <f t="shared" si="26"/>
        <v>-8.6519122197532567</v>
      </c>
      <c r="G271" s="11">
        <f t="shared" si="27"/>
        <v>-8.6915127010069302</v>
      </c>
    </row>
    <row r="272" spans="5:7" x14ac:dyDescent="0.25">
      <c r="E272" s="11">
        <f t="shared" si="25"/>
        <v>-40</v>
      </c>
      <c r="F272" s="11">
        <f t="shared" si="26"/>
        <v>-8.4949758964218383</v>
      </c>
      <c r="G272" s="11">
        <f t="shared" si="27"/>
        <v>-8.5365566957751486</v>
      </c>
    </row>
    <row r="273" spans="5:7" x14ac:dyDescent="0.25">
      <c r="E273" s="11">
        <f t="shared" si="25"/>
        <v>-39</v>
      </c>
      <c r="F273" s="11">
        <f t="shared" si="26"/>
        <v>-8.3358389515685172</v>
      </c>
      <c r="G273" s="11">
        <f t="shared" si="27"/>
        <v>-8.3785806294738947</v>
      </c>
    </row>
    <row r="274" spans="5:7" x14ac:dyDescent="0.25">
      <c r="E274" s="11">
        <f t="shared" si="25"/>
        <v>-38</v>
      </c>
      <c r="F274" s="11">
        <f t="shared" si="26"/>
        <v>-8.1745182324679995</v>
      </c>
      <c r="G274" s="11">
        <f t="shared" si="27"/>
        <v>-8.2176447875166669</v>
      </c>
    </row>
    <row r="275" spans="5:7" x14ac:dyDescent="0.25">
      <c r="E275" s="11">
        <f t="shared" si="25"/>
        <v>-37</v>
      </c>
      <c r="F275" s="11">
        <f t="shared" si="26"/>
        <v>-8.0110246446056266</v>
      </c>
      <c r="G275" s="11">
        <f t="shared" si="27"/>
        <v>-8.0538094553169604</v>
      </c>
    </row>
    <row r="276" spans="5:7" x14ac:dyDescent="0.25">
      <c r="E276" s="11">
        <f t="shared" si="25"/>
        <v>-36</v>
      </c>
      <c r="F276" s="11">
        <f t="shared" si="26"/>
        <v>-7.8453629648001222</v>
      </c>
      <c r="G276" s="11">
        <f t="shared" si="27"/>
        <v>-7.8871349182882717</v>
      </c>
    </row>
    <row r="277" spans="5:7" x14ac:dyDescent="0.25">
      <c r="E277" s="11">
        <f t="shared" si="25"/>
        <v>-35</v>
      </c>
      <c r="F277" s="11">
        <f t="shared" si="26"/>
        <v>-7.6775316938221971</v>
      </c>
      <c r="G277" s="11">
        <f t="shared" si="27"/>
        <v>-7.7176814618440961</v>
      </c>
    </row>
    <row r="278" spans="5:7" x14ac:dyDescent="0.25">
      <c r="E278" s="11">
        <f t="shared" si="25"/>
        <v>-34</v>
      </c>
      <c r="F278" s="11">
        <f t="shared" si="26"/>
        <v>-7.5075229472091882</v>
      </c>
      <c r="G278" s="11">
        <f t="shared" si="27"/>
        <v>-7.545509371397932</v>
      </c>
    </row>
    <row r="279" spans="5:7" x14ac:dyDescent="0.25">
      <c r="E279" s="11">
        <f t="shared" si="25"/>
        <v>-33</v>
      </c>
      <c r="F279" s="11">
        <f t="shared" si="26"/>
        <v>-7.3353223829842866</v>
      </c>
      <c r="G279" s="11">
        <f t="shared" si="27"/>
        <v>-7.3706789323632727</v>
      </c>
    </row>
    <row r="280" spans="5:7" x14ac:dyDescent="0.25">
      <c r="E280" s="11">
        <f t="shared" si="25"/>
        <v>-32</v>
      </c>
      <c r="F280" s="11">
        <f t="shared" si="26"/>
        <v>-7.1609091649973093</v>
      </c>
      <c r="G280" s="11">
        <f t="shared" si="27"/>
        <v>-7.1932504301536149</v>
      </c>
    </row>
    <row r="281" spans="5:7" x14ac:dyDescent="0.25">
      <c r="E281" s="11">
        <f t="shared" si="25"/>
        <v>-31</v>
      </c>
      <c r="F281" s="11">
        <f t="shared" si="26"/>
        <v>-6.9842559606122636</v>
      </c>
      <c r="G281" s="11">
        <f t="shared" si="27"/>
        <v>-7.0132841501824537</v>
      </c>
    </row>
    <row r="282" spans="5:7" x14ac:dyDescent="0.25">
      <c r="E282" s="11">
        <f t="shared" si="25"/>
        <v>-30</v>
      </c>
      <c r="F282" s="11">
        <f t="shared" si="26"/>
        <v>-6.8053289714753467</v>
      </c>
      <c r="G282" s="11">
        <f t="shared" si="27"/>
        <v>-6.8308403778632885</v>
      </c>
    </row>
    <row r="283" spans="5:7" x14ac:dyDescent="0.25">
      <c r="E283" s="11">
        <f t="shared" si="25"/>
        <v>-29</v>
      </c>
      <c r="F283" s="11">
        <f t="shared" si="26"/>
        <v>-6.6240879961053789</v>
      </c>
      <c r="G283" s="11">
        <f t="shared" si="27"/>
        <v>-6.6459793986096125</v>
      </c>
    </row>
    <row r="284" spans="5:7" x14ac:dyDescent="0.25">
      <c r="E284" s="11">
        <f t="shared" si="25"/>
        <v>-28</v>
      </c>
      <c r="F284" s="11">
        <f t="shared" si="26"/>
        <v>-6.4404865230569968</v>
      </c>
      <c r="G284" s="11">
        <f t="shared" si="27"/>
        <v>-6.4587614978349226</v>
      </c>
    </row>
    <row r="285" spans="5:7" x14ac:dyDescent="0.25">
      <c r="E285" s="11">
        <f t="shared" si="25"/>
        <v>-27</v>
      </c>
      <c r="F285" s="11">
        <f t="shared" si="26"/>
        <v>-6.2544718534153265</v>
      </c>
      <c r="G285" s="11">
        <f t="shared" si="27"/>
        <v>-6.2692469609527155</v>
      </c>
    </row>
    <row r="286" spans="5:7" x14ac:dyDescent="0.25">
      <c r="E286" s="11">
        <f t="shared" si="25"/>
        <v>-26</v>
      </c>
      <c r="F286" s="11">
        <f t="shared" si="26"/>
        <v>-6.0659852513891934</v>
      </c>
      <c r="G286" s="11">
        <f t="shared" si="27"/>
        <v>-6.0774960733764862</v>
      </c>
    </row>
    <row r="287" spans="5:7" x14ac:dyDescent="0.25">
      <c r="E287" s="11">
        <f t="shared" ref="E287:E350" si="28">E80</f>
        <v>-25</v>
      </c>
      <c r="F287" s="11">
        <f t="shared" ref="F287:F350" si="29">$H$217*0+E287*$I$217+E287^2*$J$217+E287^3*$K$217+E287^4*$L$217+E287^5*$M$217+E287^6*$N$217+E287^7*$O$217+E287^8*$P$217</f>
        <v>-5.8749621217782746</v>
      </c>
      <c r="G287" s="11">
        <f t="shared" ref="G287:G350" si="30">F80</f>
        <v>-5.8835691205197316</v>
      </c>
    </row>
    <row r="288" spans="5:7" x14ac:dyDescent="0.25">
      <c r="E288" s="11">
        <f t="shared" si="28"/>
        <v>-24</v>
      </c>
      <c r="F288" s="11">
        <f t="shared" si="29"/>
        <v>-5.6813322130979591</v>
      </c>
      <c r="G288" s="11">
        <f t="shared" si="30"/>
        <v>-5.6874940992252334</v>
      </c>
    </row>
    <row r="289" spans="5:7" x14ac:dyDescent="0.25">
      <c r="E289" s="11">
        <f t="shared" si="28"/>
        <v>-23</v>
      </c>
      <c r="F289" s="11">
        <f t="shared" si="29"/>
        <v>-5.4850198451540875</v>
      </c>
      <c r="G289" s="11">
        <f t="shared" si="30"/>
        <v>-5.4891698520529184</v>
      </c>
    </row>
    <row r="290" spans="5:7" x14ac:dyDescent="0.25">
      <c r="E290" s="11">
        <f t="shared" si="28"/>
        <v>-22</v>
      </c>
      <c r="F290" s="11">
        <f t="shared" si="29"/>
        <v>-5.2859441598679897</v>
      </c>
      <c r="G290" s="11">
        <f t="shared" si="30"/>
        <v>-5.2884629329919974</v>
      </c>
    </row>
    <row r="291" spans="5:7" x14ac:dyDescent="0.25">
      <c r="E291" s="11">
        <f t="shared" si="28"/>
        <v>-21</v>
      </c>
      <c r="F291" s="11">
        <f t="shared" si="29"/>
        <v>-5.0840193941607099</v>
      </c>
      <c r="G291" s="11">
        <f t="shared" si="30"/>
        <v>-5.085239896031684</v>
      </c>
    </row>
    <row r="292" spans="5:7" x14ac:dyDescent="0.25">
      <c r="E292" s="11">
        <f t="shared" si="28"/>
        <v>-20</v>
      </c>
      <c r="F292" s="11">
        <f t="shared" si="29"/>
        <v>-4.8791551737135981</v>
      </c>
      <c r="G292" s="11">
        <f t="shared" si="30"/>
        <v>-4.8793672951611899</v>
      </c>
    </row>
    <row r="293" spans="5:7" x14ac:dyDescent="0.25">
      <c r="E293" s="11">
        <f t="shared" si="28"/>
        <v>-19</v>
      </c>
      <c r="F293" s="11">
        <f t="shared" si="29"/>
        <v>-4.6712568264308194</v>
      </c>
      <c r="G293" s="11">
        <f t="shared" si="30"/>
        <v>-4.6707116843697269</v>
      </c>
    </row>
    <row r="294" spans="5:7" x14ac:dyDescent="0.25">
      <c r="E294" s="11">
        <f t="shared" si="28"/>
        <v>-18</v>
      </c>
      <c r="F294" s="11">
        <f t="shared" si="29"/>
        <v>-4.4602257144377058</v>
      </c>
      <c r="G294" s="11">
        <f t="shared" si="30"/>
        <v>-4.4591396176465068</v>
      </c>
    </row>
    <row r="295" spans="5:7" x14ac:dyDescent="0.25">
      <c r="E295" s="11">
        <f t="shared" si="28"/>
        <v>-17</v>
      </c>
      <c r="F295" s="11">
        <f t="shared" si="29"/>
        <v>-4.2459595834571902</v>
      </c>
      <c r="G295" s="11">
        <f t="shared" si="30"/>
        <v>-4.244517648980743</v>
      </c>
    </row>
    <row r="296" spans="5:7" x14ac:dyDescent="0.25">
      <c r="E296" s="11">
        <f t="shared" si="28"/>
        <v>-16</v>
      </c>
      <c r="F296" s="11">
        <f t="shared" si="29"/>
        <v>-4.0283529284149671</v>
      </c>
      <c r="G296" s="11">
        <f t="shared" si="30"/>
        <v>-4.0267123323616456</v>
      </c>
    </row>
    <row r="297" spans="5:7" x14ac:dyDescent="0.25">
      <c r="E297" s="11">
        <f t="shared" si="28"/>
        <v>-15</v>
      </c>
      <c r="F297" s="11">
        <f t="shared" si="29"/>
        <v>-3.8072973741323564</v>
      </c>
      <c r="G297" s="11">
        <f t="shared" si="30"/>
        <v>-3.8055902217784285</v>
      </c>
    </row>
    <row r="298" spans="5:7" x14ac:dyDescent="0.25">
      <c r="E298" s="11">
        <f t="shared" si="28"/>
        <v>-14</v>
      </c>
      <c r="F298" s="11">
        <f t="shared" si="29"/>
        <v>-3.5826820699741848</v>
      </c>
      <c r="G298" s="11">
        <f t="shared" si="30"/>
        <v>-3.5810178712203031</v>
      </c>
    </row>
    <row r="299" spans="5:7" x14ac:dyDescent="0.25">
      <c r="E299" s="11">
        <f t="shared" si="28"/>
        <v>-13</v>
      </c>
      <c r="F299" s="11">
        <f t="shared" si="29"/>
        <v>-3.3543940973274107</v>
      </c>
      <c r="G299" s="11">
        <f t="shared" si="30"/>
        <v>-3.3528618346764829</v>
      </c>
    </row>
    <row r="300" spans="5:7" x14ac:dyDescent="0.25">
      <c r="E300" s="11">
        <f t="shared" si="28"/>
        <v>-12</v>
      </c>
      <c r="F300" s="11">
        <f t="shared" si="29"/>
        <v>-3.122318888794505</v>
      </c>
      <c r="G300" s="11">
        <f t="shared" si="30"/>
        <v>-3.1209886661361779</v>
      </c>
    </row>
    <row r="301" spans="5:7" x14ac:dyDescent="0.25">
      <c r="E301" s="11">
        <f t="shared" si="28"/>
        <v>-11</v>
      </c>
      <c r="F301" s="11">
        <f t="shared" si="29"/>
        <v>-2.8863406579940132</v>
      </c>
      <c r="G301" s="11">
        <f t="shared" si="30"/>
        <v>-2.8852649195886011</v>
      </c>
    </row>
    <row r="302" spans="5:7" x14ac:dyDescent="0.25">
      <c r="E302" s="11">
        <f t="shared" si="28"/>
        <v>-10</v>
      </c>
      <c r="F302" s="11">
        <f t="shared" si="29"/>
        <v>-2.6463428388690531</v>
      </c>
      <c r="G302" s="11">
        <f t="shared" si="30"/>
        <v>-2.6455571490229652</v>
      </c>
    </row>
    <row r="303" spans="5:7" x14ac:dyDescent="0.25">
      <c r="E303" s="11">
        <f t="shared" si="28"/>
        <v>-9</v>
      </c>
      <c r="F303" s="11">
        <f t="shared" si="29"/>
        <v>-2.4022085334128662</v>
      </c>
      <c r="G303" s="11">
        <f t="shared" si="30"/>
        <v>-2.4017319084284816</v>
      </c>
    </row>
    <row r="304" spans="5:7" x14ac:dyDescent="0.25">
      <c r="E304" s="11">
        <f t="shared" si="28"/>
        <v>-8</v>
      </c>
      <c r="F304" s="11">
        <f t="shared" si="29"/>
        <v>-2.1538209667288939</v>
      </c>
      <c r="G304" s="11">
        <f t="shared" si="30"/>
        <v>-2.1536557517943629</v>
      </c>
    </row>
    <row r="305" spans="5:7" x14ac:dyDescent="0.25">
      <c r="E305" s="11">
        <f t="shared" si="28"/>
        <v>-7</v>
      </c>
      <c r="F305" s="11">
        <f t="shared" si="29"/>
        <v>-1.9010639483512013</v>
      </c>
      <c r="G305" s="11">
        <f t="shared" si="30"/>
        <v>-1.9011952331098212</v>
      </c>
    </row>
    <row r="306" spans="5:7" x14ac:dyDescent="0.25">
      <c r="E306" s="11">
        <f t="shared" si="28"/>
        <v>-6</v>
      </c>
      <c r="F306" s="11">
        <f t="shared" si="29"/>
        <v>-1.6438223387594539</v>
      </c>
      <c r="G306" s="11">
        <f t="shared" si="30"/>
        <v>-1.6442169063640684</v>
      </c>
    </row>
    <row r="307" spans="5:7" x14ac:dyDescent="0.25">
      <c r="E307" s="11">
        <f t="shared" si="28"/>
        <v>-5</v>
      </c>
      <c r="F307" s="11">
        <f t="shared" si="29"/>
        <v>-1.381982520030967</v>
      </c>
      <c r="G307" s="11">
        <f t="shared" si="30"/>
        <v>-1.3825873255463168</v>
      </c>
    </row>
    <row r="308" spans="5:7" x14ac:dyDescent="0.25">
      <c r="E308" s="11">
        <f t="shared" si="28"/>
        <v>-4</v>
      </c>
      <c r="F308" s="11">
        <f t="shared" si="29"/>
        <v>-1.1154328695807376</v>
      </c>
      <c r="G308" s="11">
        <f t="shared" si="30"/>
        <v>-1.1161730446457783</v>
      </c>
    </row>
    <row r="309" spans="5:7" x14ac:dyDescent="0.25">
      <c r="E309" s="11">
        <f t="shared" si="28"/>
        <v>-3</v>
      </c>
      <c r="F309" s="11">
        <f t="shared" si="29"/>
        <v>-0.84406423594871316</v>
      </c>
      <c r="G309" s="11">
        <f t="shared" si="30"/>
        <v>-0.84484061765166518</v>
      </c>
    </row>
    <row r="310" spans="5:7" x14ac:dyDescent="0.25">
      <c r="E310" s="11">
        <f t="shared" si="28"/>
        <v>-2</v>
      </c>
      <c r="F310" s="11">
        <f t="shared" si="29"/>
        <v>-0.56777041560190411</v>
      </c>
      <c r="G310" s="11">
        <f t="shared" si="30"/>
        <v>-0.56845659855318975</v>
      </c>
    </row>
    <row r="311" spans="5:7" x14ac:dyDescent="0.25">
      <c r="E311" s="11">
        <f t="shared" si="28"/>
        <v>-1</v>
      </c>
      <c r="F311" s="11">
        <f t="shared" si="29"/>
        <v>-0.28644862972731377</v>
      </c>
      <c r="G311" s="11">
        <f t="shared" si="30"/>
        <v>-0.28688754133956396</v>
      </c>
    </row>
    <row r="312" spans="5:7" x14ac:dyDescent="0.25">
      <c r="E312" s="11">
        <f t="shared" si="28"/>
        <v>0</v>
      </c>
      <c r="F312" s="11">
        <f t="shared" si="29"/>
        <v>0</v>
      </c>
      <c r="G312" s="11">
        <f t="shared" si="30"/>
        <v>0</v>
      </c>
    </row>
    <row r="313" spans="5:7" x14ac:dyDescent="0.25">
      <c r="E313" s="11">
        <f t="shared" si="28"/>
        <v>1</v>
      </c>
      <c r="F313" s="11">
        <f t="shared" si="29"/>
        <v>0.2916699776810413</v>
      </c>
      <c r="G313" s="11">
        <f t="shared" si="30"/>
        <v>0.29231667525341115</v>
      </c>
    </row>
    <row r="314" spans="5:7" x14ac:dyDescent="0.25">
      <c r="E314" s="11">
        <f t="shared" si="28"/>
        <v>2</v>
      </c>
      <c r="F314" s="11">
        <f t="shared" si="29"/>
        <v>0.58865096248814153</v>
      </c>
      <c r="G314" s="11">
        <f t="shared" si="30"/>
        <v>0.5900819493170627</v>
      </c>
    </row>
    <row r="315" spans="5:7" x14ac:dyDescent="0.25">
      <c r="E315" s="11">
        <f t="shared" si="28"/>
        <v>3</v>
      </c>
      <c r="F315" s="11">
        <f t="shared" si="29"/>
        <v>0.89102730198197788</v>
      </c>
      <c r="G315" s="11">
        <f t="shared" si="30"/>
        <v>0.89329249086446882</v>
      </c>
    </row>
    <row r="316" spans="5:7" x14ac:dyDescent="0.25">
      <c r="E316" s="11">
        <f t="shared" si="28"/>
        <v>4</v>
      </c>
      <c r="F316" s="11">
        <f t="shared" si="29"/>
        <v>1.1988775704325965</v>
      </c>
      <c r="G316" s="11">
        <f t="shared" si="30"/>
        <v>1.2019449685691446</v>
      </c>
    </row>
    <row r="317" spans="5:7" x14ac:dyDescent="0.25">
      <c r="E317" s="11">
        <f t="shared" si="28"/>
        <v>5</v>
      </c>
      <c r="F317" s="11">
        <f t="shared" si="29"/>
        <v>1.5122741131183339</v>
      </c>
      <c r="G317" s="11">
        <f t="shared" si="30"/>
        <v>1.516036051104604</v>
      </c>
    </row>
    <row r="318" spans="5:7" x14ac:dyDescent="0.25">
      <c r="E318" s="11">
        <f t="shared" si="28"/>
        <v>6</v>
      </c>
      <c r="F318" s="11">
        <f t="shared" si="29"/>
        <v>1.8312825975681792</v>
      </c>
      <c r="G318" s="11">
        <f t="shared" si="30"/>
        <v>1.8355624071443613</v>
      </c>
    </row>
    <row r="319" spans="5:7" x14ac:dyDescent="0.25">
      <c r="E319" s="11">
        <f t="shared" si="28"/>
        <v>7</v>
      </c>
      <c r="F319" s="11">
        <f t="shared" si="29"/>
        <v>2.1559615727047508</v>
      </c>
      <c r="G319" s="11">
        <f t="shared" si="30"/>
        <v>2.1605207053619315</v>
      </c>
    </row>
    <row r="320" spans="5:7" x14ac:dyDescent="0.25">
      <c r="E320" s="11">
        <f t="shared" si="28"/>
        <v>8</v>
      </c>
      <c r="F320" s="11">
        <f t="shared" si="29"/>
        <v>2.486362036836721</v>
      </c>
      <c r="G320" s="11">
        <f t="shared" si="30"/>
        <v>2.490907614430828</v>
      </c>
    </row>
    <row r="321" spans="5:7" x14ac:dyDescent="0.25">
      <c r="E321" s="11">
        <f t="shared" si="28"/>
        <v>9</v>
      </c>
      <c r="F321" s="11">
        <f t="shared" si="29"/>
        <v>2.8225270154411581</v>
      </c>
      <c r="G321" s="11">
        <f t="shared" si="30"/>
        <v>2.8267198030245662</v>
      </c>
    </row>
    <row r="322" spans="5:7" x14ac:dyDescent="0.25">
      <c r="E322" s="11">
        <f t="shared" si="28"/>
        <v>10</v>
      </c>
      <c r="F322" s="11">
        <f t="shared" si="29"/>
        <v>3.1644911496678878</v>
      </c>
      <c r="G322" s="11">
        <f t="shared" si="30"/>
        <v>3.1679539398166603</v>
      </c>
    </row>
    <row r="323" spans="5:7" x14ac:dyDescent="0.25">
      <c r="E323" s="11">
        <f t="shared" si="28"/>
        <v>11</v>
      </c>
      <c r="F323" s="11">
        <f t="shared" si="29"/>
        <v>3.5122802964896445</v>
      </c>
      <c r="G323" s="11">
        <f t="shared" si="30"/>
        <v>3.5146066934806242</v>
      </c>
    </row>
    <row r="324" spans="5:7" x14ac:dyDescent="0.25">
      <c r="E324" s="11">
        <f t="shared" si="28"/>
        <v>12</v>
      </c>
      <c r="F324" s="11">
        <f t="shared" si="29"/>
        <v>3.8659111414134055</v>
      </c>
      <c r="G324" s="11">
        <f t="shared" si="30"/>
        <v>3.8666747326899724</v>
      </c>
    </row>
    <row r="325" spans="5:7" x14ac:dyDescent="0.25">
      <c r="E325" s="11">
        <f t="shared" si="28"/>
        <v>13</v>
      </c>
      <c r="F325" s="11">
        <f t="shared" si="29"/>
        <v>4.2253908246599492</v>
      </c>
      <c r="G325" s="11">
        <f t="shared" si="30"/>
        <v>4.2241547261182202</v>
      </c>
    </row>
    <row r="326" spans="5:7" x14ac:dyDescent="0.25">
      <c r="E326" s="11">
        <f t="shared" si="28"/>
        <v>14</v>
      </c>
      <c r="F326" s="11">
        <f t="shared" si="29"/>
        <v>4.5907165817103355</v>
      </c>
      <c r="G326" s="11">
        <f t="shared" si="30"/>
        <v>4.5870433424388812</v>
      </c>
    </row>
    <row r="327" spans="5:7" x14ac:dyDescent="0.25">
      <c r="E327" s="11">
        <f t="shared" si="28"/>
        <v>15</v>
      </c>
      <c r="F327" s="11">
        <f t="shared" si="29"/>
        <v>4.9618753991096263</v>
      </c>
      <c r="G327" s="11">
        <f t="shared" si="30"/>
        <v>4.9553372503254698</v>
      </c>
    </row>
    <row r="328" spans="5:7" x14ac:dyDescent="0.25">
      <c r="E328" s="11">
        <f t="shared" si="28"/>
        <v>16</v>
      </c>
      <c r="F328" s="11">
        <f t="shared" si="29"/>
        <v>5.3388436864098265</v>
      </c>
      <c r="G328" s="11">
        <f t="shared" si="30"/>
        <v>5.329033118451501</v>
      </c>
    </row>
    <row r="329" spans="5:7" x14ac:dyDescent="0.25">
      <c r="E329" s="11">
        <f t="shared" si="28"/>
        <v>17</v>
      </c>
      <c r="F329" s="11">
        <f t="shared" si="29"/>
        <v>5.7215869651256748</v>
      </c>
      <c r="G329" s="11">
        <f t="shared" si="30"/>
        <v>5.7081276154904881</v>
      </c>
    </row>
    <row r="330" spans="5:7" x14ac:dyDescent="0.25">
      <c r="E330" s="11">
        <f t="shared" si="28"/>
        <v>18</v>
      </c>
      <c r="F330" s="11">
        <f t="shared" si="29"/>
        <v>6.110059575568525</v>
      </c>
      <c r="G330" s="11">
        <f t="shared" si="30"/>
        <v>6.0926174101159463</v>
      </c>
    </row>
    <row r="331" spans="5:7" x14ac:dyDescent="0.25">
      <c r="E331" s="11">
        <f t="shared" si="28"/>
        <v>19</v>
      </c>
      <c r="F331" s="11">
        <f t="shared" si="29"/>
        <v>6.5042044024152359</v>
      </c>
      <c r="G331" s="11">
        <f t="shared" si="30"/>
        <v>6.4824991710013906</v>
      </c>
    </row>
    <row r="332" spans="5:7" x14ac:dyDescent="0.25">
      <c r="E332" s="11">
        <f t="shared" si="28"/>
        <v>20</v>
      </c>
      <c r="F332" s="11">
        <f t="shared" si="29"/>
        <v>6.9039526198606334</v>
      </c>
      <c r="G332" s="11">
        <f t="shared" si="30"/>
        <v>6.8777695668203345</v>
      </c>
    </row>
    <row r="333" spans="5:7" x14ac:dyDescent="0.25">
      <c r="E333" s="11">
        <f t="shared" si="28"/>
        <v>21</v>
      </c>
      <c r="F333" s="11">
        <f t="shared" si="29"/>
        <v>7.3092234571937</v>
      </c>
      <c r="G333" s="11">
        <f t="shared" si="30"/>
        <v>7.278425266246292</v>
      </c>
    </row>
    <row r="334" spans="5:7" x14ac:dyDescent="0.25">
      <c r="E334" s="11">
        <f t="shared" si="28"/>
        <v>22</v>
      </c>
      <c r="F334" s="11">
        <f t="shared" si="29"/>
        <v>7.7199239856293644</v>
      </c>
      <c r="G334" s="11">
        <f t="shared" si="30"/>
        <v>7.6844629379527785</v>
      </c>
    </row>
    <row r="335" spans="5:7" x14ac:dyDescent="0.25">
      <c r="E335" s="11">
        <f t="shared" si="28"/>
        <v>23</v>
      </c>
      <c r="F335" s="11">
        <f t="shared" si="29"/>
        <v>8.135948927219367</v>
      </c>
      <c r="G335" s="11">
        <f t="shared" si="30"/>
        <v>8.0958792506133079</v>
      </c>
    </row>
    <row r="336" spans="5:7" x14ac:dyDescent="0.25">
      <c r="E336" s="11">
        <f t="shared" si="28"/>
        <v>24</v>
      </c>
      <c r="F336" s="11">
        <f t="shared" si="29"/>
        <v>8.5571804866572894</v>
      </c>
      <c r="G336" s="11">
        <f t="shared" si="30"/>
        <v>8.5126708729013956</v>
      </c>
    </row>
    <row r="337" spans="5:7" x14ac:dyDescent="0.25">
      <c r="E337" s="11">
        <f t="shared" si="28"/>
        <v>25</v>
      </c>
      <c r="F337" s="11">
        <f t="shared" si="29"/>
        <v>8.9834882067845854</v>
      </c>
      <c r="G337" s="11">
        <f t="shared" si="30"/>
        <v>8.9348344734905538</v>
      </c>
    </row>
    <row r="338" spans="5:7" x14ac:dyDescent="0.25">
      <c r="E338" s="11">
        <f t="shared" si="28"/>
        <v>26</v>
      </c>
      <c r="F338" s="11">
        <f t="shared" si="29"/>
        <v>9.4147288485959297</v>
      </c>
      <c r="G338" s="11">
        <f t="shared" si="30"/>
        <v>9.3623667210543005</v>
      </c>
    </row>
    <row r="339" spans="5:7" x14ac:dyDescent="0.25">
      <c r="E339" s="11">
        <f t="shared" si="28"/>
        <v>27</v>
      </c>
      <c r="F339" s="11">
        <f t="shared" si="29"/>
        <v>9.8507462965340498</v>
      </c>
      <c r="G339" s="11">
        <f t="shared" si="30"/>
        <v>9.7952642842661461</v>
      </c>
    </row>
    <row r="340" spans="5:7" x14ac:dyDescent="0.25">
      <c r="E340" s="11">
        <f t="shared" si="28"/>
        <v>28</v>
      </c>
      <c r="F340" s="11">
        <f t="shared" si="29"/>
        <v>10.291371489855626</v>
      </c>
      <c r="G340" s="11">
        <f t="shared" si="30"/>
        <v>10.233523831799607</v>
      </c>
    </row>
    <row r="341" spans="5:7" x14ac:dyDescent="0.25">
      <c r="E341" s="11">
        <f t="shared" si="28"/>
        <v>29</v>
      </c>
      <c r="F341" s="11">
        <f t="shared" si="29"/>
        <v>10.736422380841708</v>
      </c>
      <c r="G341" s="11">
        <f t="shared" si="30"/>
        <v>10.677142032328197</v>
      </c>
    </row>
    <row r="342" spans="5:7" x14ac:dyDescent="0.25">
      <c r="E342" s="11">
        <f t="shared" si="28"/>
        <v>30</v>
      </c>
      <c r="F342" s="11">
        <f t="shared" si="29"/>
        <v>11.185703920617552</v>
      </c>
      <c r="G342" s="11">
        <f t="shared" si="30"/>
        <v>11.12611555452543</v>
      </c>
    </row>
    <row r="343" spans="5:7" x14ac:dyDescent="0.25">
      <c r="E343" s="11">
        <f t="shared" si="28"/>
        <v>31</v>
      </c>
      <c r="F343" s="11">
        <f t="shared" si="29"/>
        <v>11.639008073338557</v>
      </c>
      <c r="G343" s="11">
        <f t="shared" si="30"/>
        <v>11.580372691835802</v>
      </c>
    </row>
    <row r="344" spans="5:7" x14ac:dyDescent="0.25">
      <c r="E344" s="11">
        <f t="shared" si="28"/>
        <v>32</v>
      </c>
      <c r="F344" s="11">
        <f t="shared" si="29"/>
        <v>12.09611385949054</v>
      </c>
      <c r="G344" s="11">
        <f t="shared" si="30"/>
        <v>12.039568236787694</v>
      </c>
    </row>
    <row r="345" spans="5:7" x14ac:dyDescent="0.25">
      <c r="E345" s="11">
        <f t="shared" si="28"/>
        <v>33</v>
      </c>
      <c r="F345" s="11">
        <f t="shared" si="29"/>
        <v>12.556787429044313</v>
      </c>
      <c r="G345" s="11">
        <f t="shared" si="30"/>
        <v>12.503288606680474</v>
      </c>
    </row>
    <row r="346" spans="5:7" x14ac:dyDescent="0.25">
      <c r="E346" s="11">
        <f t="shared" si="28"/>
        <v>34</v>
      </c>
      <c r="F346" s="11">
        <f t="shared" si="29"/>
        <v>13.020782165196055</v>
      </c>
      <c r="G346" s="11">
        <f t="shared" si="30"/>
        <v>12.971120218813512</v>
      </c>
    </row>
    <row r="347" spans="5:7" x14ac:dyDescent="0.25">
      <c r="E347" s="11">
        <f t="shared" si="28"/>
        <v>35</v>
      </c>
      <c r="F347" s="11">
        <f t="shared" si="29"/>
        <v>13.487838819416764</v>
      </c>
      <c r="G347" s="11">
        <f t="shared" si="30"/>
        <v>13.442649490486168</v>
      </c>
    </row>
    <row r="348" spans="5:7" x14ac:dyDescent="0.25">
      <c r="E348" s="11">
        <f t="shared" si="28"/>
        <v>36</v>
      </c>
      <c r="F348" s="11">
        <f t="shared" si="29"/>
        <v>13.957685678525554</v>
      </c>
      <c r="G348" s="11">
        <f t="shared" si="30"/>
        <v>13.917462838997814</v>
      </c>
    </row>
    <row r="349" spans="5:7" x14ac:dyDescent="0.25">
      <c r="E349" s="11">
        <f t="shared" si="28"/>
        <v>37</v>
      </c>
      <c r="F349" s="11">
        <f t="shared" si="29"/>
        <v>14.430038764493373</v>
      </c>
      <c r="G349" s="11">
        <f t="shared" si="30"/>
        <v>14.395146681647809</v>
      </c>
    </row>
    <row r="350" spans="5:7" x14ac:dyDescent="0.25">
      <c r="E350" s="11">
        <f t="shared" si="28"/>
        <v>38</v>
      </c>
      <c r="F350" s="11">
        <f t="shared" si="29"/>
        <v>14.904602067675189</v>
      </c>
      <c r="G350" s="11">
        <f t="shared" si="30"/>
        <v>14.875287435735522</v>
      </c>
    </row>
    <row r="351" spans="5:7" x14ac:dyDescent="0.25">
      <c r="E351" s="11">
        <f t="shared" ref="E351:E414" si="31">E144</f>
        <v>39</v>
      </c>
      <c r="F351" s="11">
        <f t="shared" ref="F351:F414" si="32">$H$217*0+E351*$I$217+E351^2*$J$217+E351^3*$K$217+E351^4*$L$217+E351^5*$M$217+E351^6*$N$217+E351^7*$O$217+E351^8*$P$217</f>
        <v>15.381067814160504</v>
      </c>
      <c r="G351" s="11">
        <f t="shared" ref="G351:G414" si="33">F144</f>
        <v>15.357471518560319</v>
      </c>
    </row>
    <row r="352" spans="5:7" x14ac:dyDescent="0.25">
      <c r="E352" s="11">
        <f t="shared" si="31"/>
        <v>40</v>
      </c>
      <c r="F352" s="11">
        <f t="shared" si="32"/>
        <v>15.859116767923551</v>
      </c>
      <c r="G352" s="11">
        <f t="shared" si="33"/>
        <v>15.841285347421564</v>
      </c>
    </row>
    <row r="353" spans="5:7" x14ac:dyDescent="0.25">
      <c r="E353" s="11">
        <f t="shared" si="31"/>
        <v>41</v>
      </c>
      <c r="F353" s="11">
        <f t="shared" si="32"/>
        <v>16.338418568446329</v>
      </c>
      <c r="G353" s="11">
        <f t="shared" si="33"/>
        <v>16.326315339618624</v>
      </c>
    </row>
    <row r="354" spans="5:7" x14ac:dyDescent="0.25">
      <c r="E354" s="11">
        <f t="shared" si="31"/>
        <v>42</v>
      </c>
      <c r="F354" s="11">
        <f t="shared" si="32"/>
        <v>16.818632104479025</v>
      </c>
      <c r="G354" s="11">
        <f t="shared" si="33"/>
        <v>16.812147912450865</v>
      </c>
    </row>
    <row r="355" spans="5:7" x14ac:dyDescent="0.25">
      <c r="E355" s="11">
        <f t="shared" si="31"/>
        <v>43</v>
      </c>
      <c r="F355" s="11">
        <f t="shared" si="32"/>
        <v>17.29940592459441</v>
      </c>
      <c r="G355" s="11">
        <f t="shared" si="33"/>
        <v>17.298369483217648</v>
      </c>
    </row>
    <row r="356" spans="5:7" x14ac:dyDescent="0.25">
      <c r="E356" s="11">
        <f t="shared" si="31"/>
        <v>44</v>
      </c>
      <c r="F356" s="11">
        <f t="shared" si="32"/>
        <v>17.780378685183969</v>
      </c>
      <c r="G356" s="11">
        <f t="shared" si="33"/>
        <v>17.784566469218348</v>
      </c>
    </row>
    <row r="357" spans="5:7" x14ac:dyDescent="0.25">
      <c r="E357" s="11">
        <f t="shared" si="31"/>
        <v>45</v>
      </c>
      <c r="F357" s="11">
        <f t="shared" si="32"/>
        <v>18.261179636535552</v>
      </c>
      <c r="G357" s="11">
        <f t="shared" si="33"/>
        <v>18.270325287752321</v>
      </c>
    </row>
    <row r="358" spans="5:7" x14ac:dyDescent="0.25">
      <c r="E358" s="11">
        <f t="shared" si="31"/>
        <v>46</v>
      </c>
      <c r="F358" s="11">
        <f t="shared" si="32"/>
        <v>18.741429147623833</v>
      </c>
      <c r="G358" s="11">
        <f t="shared" si="33"/>
        <v>18.755232356118938</v>
      </c>
    </row>
    <row r="359" spans="5:7" x14ac:dyDescent="0.25">
      <c r="E359" s="11">
        <f t="shared" si="31"/>
        <v>47</v>
      </c>
      <c r="F359" s="11">
        <f t="shared" si="32"/>
        <v>19.220739270236404</v>
      </c>
      <c r="G359" s="11">
        <f t="shared" si="33"/>
        <v>19.238874091617561</v>
      </c>
    </row>
    <row r="360" spans="5:7" x14ac:dyDescent="0.25">
      <c r="E360" s="11">
        <f t="shared" si="31"/>
        <v>48</v>
      </c>
      <c r="F360" s="11">
        <f t="shared" si="32"/>
        <v>19.698714343050138</v>
      </c>
      <c r="G360" s="11">
        <f t="shared" si="33"/>
        <v>19.720836911547558</v>
      </c>
    </row>
    <row r="361" spans="5:7" x14ac:dyDescent="0.25">
      <c r="E361" s="11">
        <f t="shared" si="31"/>
        <v>49</v>
      </c>
      <c r="F361" s="11">
        <f t="shared" si="32"/>
        <v>20.174951636264087</v>
      </c>
      <c r="G361" s="11">
        <f t="shared" si="33"/>
        <v>20.200707233208295</v>
      </c>
    </row>
    <row r="362" spans="5:7" x14ac:dyDescent="0.25">
      <c r="E362" s="11">
        <f t="shared" si="31"/>
        <v>50</v>
      </c>
      <c r="F362" s="11">
        <f t="shared" si="32"/>
        <v>20.649042037386678</v>
      </c>
      <c r="G362" s="11">
        <f t="shared" si="33"/>
        <v>20.678071473899138</v>
      </c>
    </row>
    <row r="363" spans="5:7" x14ac:dyDescent="0.25">
      <c r="E363" s="11">
        <f t="shared" si="31"/>
        <v>51</v>
      </c>
      <c r="F363" s="11">
        <f t="shared" si="32"/>
        <v>21.120570778766766</v>
      </c>
      <c r="G363" s="11">
        <f t="shared" si="33"/>
        <v>21.152516050919449</v>
      </c>
    </row>
    <row r="364" spans="5:7" x14ac:dyDescent="0.25">
      <c r="E364" s="11">
        <f t="shared" si="31"/>
        <v>52</v>
      </c>
      <c r="F364" s="11">
        <f t="shared" si="32"/>
        <v>21.589118207449673</v>
      </c>
      <c r="G364" s="11">
        <f t="shared" si="33"/>
        <v>21.623627381568596</v>
      </c>
    </row>
    <row r="365" spans="5:7" x14ac:dyDescent="0.25">
      <c r="E365" s="11">
        <f t="shared" si="31"/>
        <v>53</v>
      </c>
      <c r="F365" s="11">
        <f t="shared" si="32"/>
        <v>22.054260597931009</v>
      </c>
      <c r="G365" s="11">
        <f t="shared" si="33"/>
        <v>22.09099188314595</v>
      </c>
    </row>
    <row r="366" spans="5:7" x14ac:dyDescent="0.25">
      <c r="E366" s="11">
        <f t="shared" si="31"/>
        <v>54</v>
      </c>
      <c r="F366" s="11">
        <f t="shared" si="32"/>
        <v>22.515571008372739</v>
      </c>
      <c r="G366" s="11">
        <f t="shared" si="33"/>
        <v>22.554195972950868</v>
      </c>
    </row>
    <row r="367" spans="5:7" x14ac:dyDescent="0.25">
      <c r="E367" s="11">
        <f t="shared" si="31"/>
        <v>55</v>
      </c>
      <c r="F367" s="11">
        <f t="shared" si="32"/>
        <v>22.972620180837492</v>
      </c>
      <c r="G367" s="11">
        <f t="shared" si="33"/>
        <v>23.01282606828272</v>
      </c>
    </row>
    <row r="368" spans="5:7" x14ac:dyDescent="0.25">
      <c r="E368" s="11">
        <f t="shared" si="31"/>
        <v>56</v>
      </c>
      <c r="F368" s="11">
        <f t="shared" si="32"/>
        <v>23.424977486088896</v>
      </c>
      <c r="G368" s="11">
        <f t="shared" si="33"/>
        <v>23.466468586440868</v>
      </c>
    </row>
    <row r="369" spans="5:7" x14ac:dyDescent="0.25">
      <c r="E369" s="11">
        <f t="shared" si="31"/>
        <v>57</v>
      </c>
      <c r="F369" s="11">
        <f t="shared" si="32"/>
        <v>23.872211913497335</v>
      </c>
      <c r="G369" s="11">
        <f t="shared" si="33"/>
        <v>23.914709944724684</v>
      </c>
    </row>
    <row r="370" spans="5:7" x14ac:dyDescent="0.25">
      <c r="E370" s="11">
        <f t="shared" si="31"/>
        <v>58</v>
      </c>
      <c r="F370" s="11">
        <f t="shared" si="32"/>
        <v>24.31389310658205</v>
      </c>
      <c r="G370" s="11">
        <f t="shared" si="33"/>
        <v>24.357136560433524</v>
      </c>
    </row>
    <row r="371" spans="5:7" x14ac:dyDescent="0.25">
      <c r="E371" s="11">
        <f t="shared" si="31"/>
        <v>59</v>
      </c>
      <c r="F371" s="11">
        <f t="shared" si="32"/>
        <v>24.74959244471227</v>
      </c>
      <c r="G371" s="11">
        <f t="shared" si="33"/>
        <v>24.793334850866763</v>
      </c>
    </row>
    <row r="372" spans="5:7" x14ac:dyDescent="0.25">
      <c r="E372" s="11">
        <f t="shared" si="31"/>
        <v>60</v>
      </c>
      <c r="F372" s="11">
        <f t="shared" si="32"/>
        <v>25.178884171481716</v>
      </c>
      <c r="G372" s="11">
        <f t="shared" si="33"/>
        <v>25.222891233323764</v>
      </c>
    </row>
    <row r="373" spans="5:7" x14ac:dyDescent="0.25">
      <c r="E373" s="11">
        <f t="shared" si="31"/>
        <v>61</v>
      </c>
      <c r="F373" s="11">
        <f t="shared" si="32"/>
        <v>25.601346570262386</v>
      </c>
      <c r="G373" s="11">
        <f t="shared" si="33"/>
        <v>25.645392125103889</v>
      </c>
    </row>
    <row r="374" spans="5:7" x14ac:dyDescent="0.25">
      <c r="E374" s="11">
        <f t="shared" si="31"/>
        <v>62</v>
      </c>
      <c r="F374" s="11">
        <f t="shared" si="32"/>
        <v>26.016563187435111</v>
      </c>
      <c r="G374" s="11">
        <f t="shared" si="33"/>
        <v>26.06042394350651</v>
      </c>
    </row>
    <row r="375" spans="5:7" x14ac:dyDescent="0.25">
      <c r="E375" s="11">
        <f t="shared" si="31"/>
        <v>63</v>
      </c>
      <c r="F375" s="11">
        <f t="shared" si="32"/>
        <v>26.424124103786301</v>
      </c>
      <c r="G375" s="11">
        <f t="shared" si="33"/>
        <v>26.467573105830986</v>
      </c>
    </row>
    <row r="376" spans="5:7" x14ac:dyDescent="0.25">
      <c r="E376" s="11">
        <f t="shared" si="31"/>
        <v>64</v>
      </c>
      <c r="F376" s="11">
        <f t="shared" si="32"/>
        <v>26.823627254551599</v>
      </c>
      <c r="G376" s="11">
        <f t="shared" si="33"/>
        <v>26.866426029376687</v>
      </c>
    </row>
    <row r="377" spans="5:7" x14ac:dyDescent="0.25">
      <c r="E377" s="11">
        <f t="shared" si="31"/>
        <v>65</v>
      </c>
      <c r="F377" s="11">
        <f t="shared" si="32"/>
        <v>27.214679798579006</v>
      </c>
      <c r="G377" s="11">
        <f t="shared" si="33"/>
        <v>27.256569131442976</v>
      </c>
    </row>
    <row r="378" spans="5:7" x14ac:dyDescent="0.25">
      <c r="E378" s="11">
        <f t="shared" si="31"/>
        <v>66</v>
      </c>
      <c r="F378" s="11">
        <f t="shared" si="32"/>
        <v>27.596899537075601</v>
      </c>
      <c r="G378" s="11">
        <f t="shared" si="33"/>
        <v>27.637588829329221</v>
      </c>
    </row>
    <row r="379" spans="5:7" x14ac:dyDescent="0.25">
      <c r="E379" s="11">
        <f t="shared" si="31"/>
        <v>67</v>
      </c>
      <c r="F379" s="11">
        <f t="shared" si="32"/>
        <v>27.96991638239377</v>
      </c>
      <c r="G379" s="11">
        <f t="shared" si="33"/>
        <v>28.00907154033478</v>
      </c>
    </row>
    <row r="380" spans="5:7" x14ac:dyDescent="0.25">
      <c r="E380" s="11">
        <f t="shared" si="31"/>
        <v>68</v>
      </c>
      <c r="F380" s="11">
        <f t="shared" si="32"/>
        <v>28.333373877304204</v>
      </c>
      <c r="G380" s="11">
        <f t="shared" si="33"/>
        <v>28.370603681759032</v>
      </c>
    </row>
    <row r="381" spans="5:7" x14ac:dyDescent="0.25">
      <c r="E381" s="11">
        <f t="shared" si="31"/>
        <v>69</v>
      </c>
      <c r="F381" s="11">
        <f t="shared" si="32"/>
        <v>28.686930765194944</v>
      </c>
      <c r="G381" s="11">
        <f t="shared" si="33"/>
        <v>28.721771670901333</v>
      </c>
    </row>
    <row r="382" spans="5:7" x14ac:dyDescent="0.25">
      <c r="E382" s="11">
        <f t="shared" si="31"/>
        <v>70</v>
      </c>
      <c r="F382" s="11">
        <f t="shared" si="32"/>
        <v>29.030262611627112</v>
      </c>
      <c r="G382" s="11">
        <f t="shared" si="33"/>
        <v>29.062161925061051</v>
      </c>
    </row>
    <row r="383" spans="5:7" x14ac:dyDescent="0.25">
      <c r="E383" s="11">
        <f t="shared" si="31"/>
        <v>71</v>
      </c>
      <c r="F383" s="11">
        <f t="shared" si="32"/>
        <v>29.363063477669606</v>
      </c>
      <c r="G383" s="11">
        <f t="shared" si="33"/>
        <v>29.391360861537557</v>
      </c>
    </row>
    <row r="384" spans="5:7" x14ac:dyDescent="0.25">
      <c r="E384" s="11">
        <f t="shared" si="31"/>
        <v>72</v>
      </c>
      <c r="F384" s="11">
        <f t="shared" si="32"/>
        <v>29.68504764542703</v>
      </c>
      <c r="G384" s="11">
        <f t="shared" si="33"/>
        <v>29.7089548976302</v>
      </c>
    </row>
    <row r="385" spans="5:7" x14ac:dyDescent="0.25">
      <c r="E385" s="11">
        <f t="shared" si="31"/>
        <v>73</v>
      </c>
      <c r="F385" s="11">
        <f t="shared" si="32"/>
        <v>29.995951396166337</v>
      </c>
      <c r="G385" s="11">
        <f t="shared" si="33"/>
        <v>30.014530450638365</v>
      </c>
    </row>
    <row r="386" spans="5:7" x14ac:dyDescent="0.25">
      <c r="E386" s="11">
        <f t="shared" si="31"/>
        <v>74</v>
      </c>
      <c r="F386" s="11">
        <f t="shared" si="32"/>
        <v>30.295534841439419</v>
      </c>
      <c r="G386" s="11">
        <f t="shared" si="33"/>
        <v>30.307673937861409</v>
      </c>
    </row>
    <row r="387" spans="5:7" x14ac:dyDescent="0.25">
      <c r="E387" s="11">
        <f t="shared" si="31"/>
        <v>75</v>
      </c>
      <c r="F387" s="11">
        <f t="shared" si="32"/>
        <v>30.583583807590845</v>
      </c>
      <c r="G387" s="11">
        <f t="shared" si="33"/>
        <v>30.5879717765987</v>
      </c>
    </row>
    <row r="388" spans="5:7" x14ac:dyDescent="0.25">
      <c r="E388" s="11">
        <f t="shared" si="31"/>
        <v>76</v>
      </c>
      <c r="F388" s="11">
        <f t="shared" si="32"/>
        <v>30.859911774031158</v>
      </c>
      <c r="G388" s="11">
        <f t="shared" si="33"/>
        <v>30.855142453795828</v>
      </c>
    </row>
    <row r="389" spans="5:7" x14ac:dyDescent="0.25">
      <c r="E389" s="11">
        <f t="shared" si="31"/>
        <v>77</v>
      </c>
      <c r="F389" s="11">
        <f t="shared" si="32"/>
        <v>31.124361865648019</v>
      </c>
      <c r="G389" s="11">
        <f t="shared" si="33"/>
        <v>31.109432734983322</v>
      </c>
    </row>
    <row r="390" spans="5:7" x14ac:dyDescent="0.25">
      <c r="E390" s="11">
        <f t="shared" si="31"/>
        <v>78</v>
      </c>
      <c r="F390" s="11">
        <f t="shared" si="32"/>
        <v>31.376808899718998</v>
      </c>
      <c r="G390" s="11">
        <f t="shared" si="33"/>
        <v>31.351221455337939</v>
      </c>
    </row>
    <row r="391" spans="5:7" x14ac:dyDescent="0.25">
      <c r="E391" s="11">
        <f t="shared" si="31"/>
        <v>79</v>
      </c>
      <c r="F391" s="11">
        <f t="shared" si="32"/>
        <v>31.617161487681763</v>
      </c>
      <c r="G391" s="11">
        <f t="shared" si="33"/>
        <v>31.580887450036425</v>
      </c>
    </row>
    <row r="392" spans="5:7" x14ac:dyDescent="0.25">
      <c r="E392" s="11">
        <f t="shared" si="31"/>
        <v>80</v>
      </c>
      <c r="F392" s="11">
        <f t="shared" si="32"/>
        <v>31.84536419210859</v>
      </c>
      <c r="G392" s="11">
        <f t="shared" si="33"/>
        <v>31.798809554255541</v>
      </c>
    </row>
    <row r="393" spans="5:7" x14ac:dyDescent="0.25">
      <c r="E393" s="11">
        <f t="shared" si="31"/>
        <v>81</v>
      </c>
      <c r="F393" s="11">
        <f t="shared" si="32"/>
        <v>32.061399739224065</v>
      </c>
      <c r="G393" s="11">
        <f t="shared" si="33"/>
        <v>32.005366603172035</v>
      </c>
    </row>
    <row r="394" spans="5:7" x14ac:dyDescent="0.25">
      <c r="E394" s="11">
        <f t="shared" si="31"/>
        <v>82</v>
      </c>
      <c r="F394" s="11">
        <f t="shared" si="32"/>
        <v>32.265291287296563</v>
      </c>
      <c r="G394" s="11">
        <f t="shared" si="33"/>
        <v>32.200937431962657</v>
      </c>
    </row>
    <row r="395" spans="5:7" x14ac:dyDescent="0.25">
      <c r="E395" s="11">
        <f t="shared" si="31"/>
        <v>83</v>
      </c>
      <c r="F395" s="11">
        <f t="shared" si="32"/>
        <v>32.457104751225501</v>
      </c>
      <c r="G395" s="11">
        <f t="shared" si="33"/>
        <v>32.385900875804175</v>
      </c>
    </row>
    <row r="396" spans="5:7" x14ac:dyDescent="0.25">
      <c r="E396" s="11">
        <f t="shared" si="31"/>
        <v>84</v>
      </c>
      <c r="F396" s="11">
        <f t="shared" si="32"/>
        <v>32.636951183638089</v>
      </c>
      <c r="G396" s="11">
        <f t="shared" si="33"/>
        <v>32.560635769873336</v>
      </c>
    </row>
    <row r="397" spans="5:7" x14ac:dyDescent="0.25">
      <c r="E397" s="11">
        <f t="shared" si="31"/>
        <v>85</v>
      </c>
      <c r="F397" s="11">
        <f t="shared" si="32"/>
        <v>32.804989212800919</v>
      </c>
      <c r="G397" s="11">
        <f t="shared" si="33"/>
        <v>32.725520949346894</v>
      </c>
    </row>
    <row r="398" spans="5:7" x14ac:dyDescent="0.25">
      <c r="E398" s="11">
        <f t="shared" si="31"/>
        <v>86</v>
      </c>
      <c r="F398" s="11">
        <f t="shared" si="32"/>
        <v>32.961427537643779</v>
      </c>
      <c r="G398" s="11">
        <f t="shared" si="33"/>
        <v>32.880935249401603</v>
      </c>
    </row>
    <row r="399" spans="5:7" x14ac:dyDescent="0.25">
      <c r="E399" s="11">
        <f t="shared" si="31"/>
        <v>87</v>
      </c>
      <c r="F399" s="11">
        <f t="shared" si="32"/>
        <v>33.106527480183708</v>
      </c>
      <c r="G399" s="11">
        <f t="shared" si="33"/>
        <v>33.027257505214209</v>
      </c>
    </row>
    <row r="400" spans="5:7" x14ac:dyDescent="0.25">
      <c r="E400" s="11">
        <f t="shared" si="31"/>
        <v>88</v>
      </c>
      <c r="F400" s="11">
        <f t="shared" si="32"/>
        <v>33.240605595630306</v>
      </c>
      <c r="G400" s="11">
        <f t="shared" si="33"/>
        <v>33.164866551961481</v>
      </c>
    </row>
    <row r="401" spans="5:7" x14ac:dyDescent="0.25">
      <c r="E401" s="11">
        <f t="shared" si="31"/>
        <v>89</v>
      </c>
      <c r="F401" s="11">
        <f t="shared" si="32"/>
        <v>33.364036340443768</v>
      </c>
      <c r="G401" s="11">
        <f t="shared" si="33"/>
        <v>33.294141224820166</v>
      </c>
    </row>
    <row r="402" spans="5:7" x14ac:dyDescent="0.25">
      <c r="E402" s="11">
        <f t="shared" si="31"/>
        <v>90</v>
      </c>
      <c r="F402" s="11">
        <f t="shared" si="32"/>
        <v>33.477254798609543</v>
      </c>
      <c r="G402" s="11">
        <f t="shared" si="33"/>
        <v>33.41546035896701</v>
      </c>
    </row>
    <row r="403" spans="5:7" x14ac:dyDescent="0.25">
      <c r="E403" s="11">
        <f t="shared" si="31"/>
        <v>91</v>
      </c>
      <c r="F403" s="11">
        <f t="shared" si="32"/>
        <v>33.580759466384634</v>
      </c>
      <c r="G403" s="11">
        <f t="shared" si="33"/>
        <v>33.529202789578775</v>
      </c>
    </row>
    <row r="404" spans="5:7" x14ac:dyDescent="0.25">
      <c r="E404" s="11">
        <f t="shared" si="31"/>
        <v>92</v>
      </c>
      <c r="F404" s="11">
        <f t="shared" si="32"/>
        <v>33.675115095762649</v>
      </c>
      <c r="G404" s="11">
        <f t="shared" si="33"/>
        <v>33.635747351832222</v>
      </c>
    </row>
    <row r="405" spans="5:7" x14ac:dyDescent="0.25">
      <c r="E405" s="11">
        <f t="shared" si="31"/>
        <v>93</v>
      </c>
      <c r="F405" s="11">
        <f t="shared" si="32"/>
        <v>33.760955596895975</v>
      </c>
      <c r="G405" s="11">
        <f t="shared" si="33"/>
        <v>33.735472880904098</v>
      </c>
    </row>
    <row r="406" spans="5:7" x14ac:dyDescent="0.25">
      <c r="E406" s="11">
        <f t="shared" si="31"/>
        <v>94</v>
      </c>
      <c r="F406" s="11">
        <f t="shared" si="32"/>
        <v>33.838986999705355</v>
      </c>
      <c r="G406" s="11">
        <f t="shared" si="33"/>
        <v>33.828758211971149</v>
      </c>
    </row>
    <row r="407" spans="5:7" x14ac:dyDescent="0.25">
      <c r="E407" s="11">
        <f t="shared" si="31"/>
        <v>95</v>
      </c>
      <c r="F407" s="11">
        <f t="shared" si="32"/>
        <v>33.909990474898628</v>
      </c>
      <c r="G407" s="11">
        <f t="shared" si="33"/>
        <v>33.915982180210143</v>
      </c>
    </row>
    <row r="408" spans="5:7" x14ac:dyDescent="0.25">
      <c r="E408" s="11">
        <f t="shared" si="31"/>
        <v>96</v>
      </c>
      <c r="F408" s="11">
        <f t="shared" si="32"/>
        <v>33.974825414612155</v>
      </c>
      <c r="G408" s="11">
        <f t="shared" si="33"/>
        <v>33.997523620797821</v>
      </c>
    </row>
    <row r="409" spans="5:7" x14ac:dyDescent="0.25">
      <c r="E409" s="11">
        <f t="shared" si="31"/>
        <v>97</v>
      </c>
      <c r="F409" s="11">
        <f t="shared" si="32"/>
        <v>34.034432572880021</v>
      </c>
      <c r="G409" s="11">
        <f t="shared" si="33"/>
        <v>34.073761368910951</v>
      </c>
    </row>
    <row r="410" spans="5:7" x14ac:dyDescent="0.25">
      <c r="E410" s="11">
        <f t="shared" si="31"/>
        <v>98</v>
      </c>
      <c r="F410" s="11">
        <f t="shared" si="32"/>
        <v>34.089837266127667</v>
      </c>
      <c r="G410" s="11">
        <f t="shared" si="33"/>
        <v>34.145074259726272</v>
      </c>
    </row>
    <row r="411" spans="5:7" x14ac:dyDescent="0.25">
      <c r="E411" s="11">
        <f t="shared" si="31"/>
        <v>99</v>
      </c>
      <c r="F411" s="11">
        <f t="shared" si="32"/>
        <v>34.142152633878631</v>
      </c>
      <c r="G411" s="11">
        <f t="shared" si="33"/>
        <v>34.211841128420545</v>
      </c>
    </row>
    <row r="412" spans="5:7" x14ac:dyDescent="0.25">
      <c r="E412" s="11">
        <f t="shared" si="31"/>
        <v>100</v>
      </c>
      <c r="F412" s="11">
        <f t="shared" si="32"/>
        <v>34.192582959854022</v>
      </c>
      <c r="G412" s="11">
        <f t="shared" si="33"/>
        <v>34.274440810170532</v>
      </c>
    </row>
    <row r="413" spans="5:7" x14ac:dyDescent="0.25">
      <c r="E413" s="11">
        <f t="shared" si="31"/>
        <v>101</v>
      </c>
      <c r="F413" s="11">
        <f t="shared" si="32"/>
        <v>34.242427053636845</v>
      </c>
      <c r="G413" s="11">
        <f t="shared" si="33"/>
        <v>34.333252140152972</v>
      </c>
    </row>
    <row r="414" spans="5:7" x14ac:dyDescent="0.25">
      <c r="E414" s="11">
        <f t="shared" si="31"/>
        <v>102</v>
      </c>
      <c r="F414" s="11">
        <f t="shared" si="32"/>
        <v>34.293081693064217</v>
      </c>
      <c r="G414" s="11">
        <f t="shared" si="33"/>
        <v>34.388653953544633</v>
      </c>
    </row>
    <row r="415" spans="5:7" x14ac:dyDescent="0.25">
      <c r="E415" s="11">
        <f t="shared" ref="E415:E422" si="34">E208</f>
        <v>103</v>
      </c>
      <c r="F415" s="11">
        <f t="shared" ref="F415:F422" si="35">$H$217*0+E415*$I$217+E415^2*$J$217+E415^3*$K$217+E415^4*$L$217+E415^5*$M$217+E415^6*$N$217+E415^7*$O$217+E415^8*$P$217</f>
        <v>34.346045127502499</v>
      </c>
      <c r="G415" s="11">
        <f t="shared" ref="G415:G422" si="36">F208</f>
        <v>34.441025085522256</v>
      </c>
    </row>
    <row r="416" spans="5:7" x14ac:dyDescent="0.25">
      <c r="E416" s="11">
        <f t="shared" si="34"/>
        <v>104</v>
      </c>
      <c r="F416" s="11">
        <f t="shared" si="35"/>
        <v>34.40292064215204</v>
      </c>
      <c r="G416" s="11">
        <f t="shared" si="36"/>
        <v>34.490744371262601</v>
      </c>
    </row>
    <row r="417" spans="5:7" x14ac:dyDescent="0.25">
      <c r="E417" s="11">
        <f t="shared" si="34"/>
        <v>105</v>
      </c>
      <c r="F417" s="11">
        <f t="shared" si="35"/>
        <v>34.465420183519818</v>
      </c>
      <c r="G417" s="11">
        <f t="shared" si="36"/>
        <v>34.538190645942429</v>
      </c>
    </row>
    <row r="418" spans="5:7" x14ac:dyDescent="0.25">
      <c r="E418" s="11">
        <f t="shared" si="34"/>
        <v>106</v>
      </c>
      <c r="F418" s="11">
        <f t="shared" si="35"/>
        <v>34.53536804618971</v>
      </c>
      <c r="G418" s="11">
        <f t="shared" si="36"/>
        <v>34.58374274473848</v>
      </c>
    </row>
    <row r="419" spans="5:7" x14ac:dyDescent="0.25">
      <c r="E419" s="11">
        <f t="shared" si="34"/>
        <v>107</v>
      </c>
      <c r="F419" s="11">
        <f t="shared" si="35"/>
        <v>34.614704621012024</v>
      </c>
      <c r="G419" s="11">
        <f t="shared" si="36"/>
        <v>34.627779502827515</v>
      </c>
    </row>
    <row r="420" spans="5:7" x14ac:dyDescent="0.25">
      <c r="E420" s="11">
        <f t="shared" si="34"/>
        <v>108</v>
      </c>
      <c r="F420" s="11">
        <f t="shared" si="35"/>
        <v>34.705490204825665</v>
      </c>
      <c r="G420" s="11">
        <f t="shared" si="36"/>
        <v>34.670679755386288</v>
      </c>
    </row>
    <row r="421" spans="5:7" x14ac:dyDescent="0.25">
      <c r="E421" s="11">
        <f t="shared" si="34"/>
        <v>109</v>
      </c>
      <c r="F421" s="11">
        <f t="shared" si="35"/>
        <v>34.809908871817434</v>
      </c>
      <c r="G421" s="11">
        <f t="shared" si="36"/>
        <v>34.712822337591561</v>
      </c>
    </row>
    <row r="422" spans="5:7" x14ac:dyDescent="0.25">
      <c r="E422" s="11">
        <f t="shared" si="34"/>
        <v>110</v>
      </c>
      <c r="F422" s="11">
        <f t="shared" si="35"/>
        <v>34.930272406615188</v>
      </c>
      <c r="G422" s="11">
        <f t="shared" si="36"/>
        <v>34.754586084620072</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3.8009999999999997E-5</v>
      </c>
      <c r="C3" s="2">
        <v>1.4990000000000001E-4</v>
      </c>
      <c r="D3" s="2">
        <v>-4.6210000000000001E-4</v>
      </c>
      <c r="E3" s="2">
        <v>0</v>
      </c>
      <c r="F3" s="2">
        <v>0</v>
      </c>
      <c r="G3" s="2">
        <v>0</v>
      </c>
      <c r="H3" s="2">
        <v>7.0572289999999994E-5</v>
      </c>
      <c r="I3" s="2">
        <v>1.5235524000000001E-5</v>
      </c>
      <c r="J3" s="2">
        <v>-1.9562213E-4</v>
      </c>
      <c r="K3" s="3"/>
      <c r="L3" s="3">
        <f>-B3/D3</f>
        <v>8.2254923176801553E-2</v>
      </c>
      <c r="M3" s="3"/>
      <c r="N3" s="2">
        <f>IF('Modell einstellen'!$B$1="Voll",H3/0.35,H3/0.35*2)</f>
        <v>2.0163511428571428E-4</v>
      </c>
      <c r="O3" s="2">
        <f>IF('Modell einstellen'!$B$1="Voll",J3/0.35,J3/0.35*2)</f>
        <v>-5.5892037142857146E-4</v>
      </c>
      <c r="P3" s="3">
        <f>-N3/O3</f>
        <v>0.36075821278502584</v>
      </c>
      <c r="Q3" s="3"/>
      <c r="R3" s="3"/>
      <c r="S3" s="3"/>
      <c r="T3" s="3"/>
      <c r="U3" s="3"/>
      <c r="V3" s="3"/>
      <c r="W3" s="3"/>
    </row>
    <row r="4" spans="1:23" x14ac:dyDescent="0.25">
      <c r="A4" s="2">
        <v>1E-14</v>
      </c>
      <c r="B4" s="2">
        <v>3.8000000000000002E-5</v>
      </c>
      <c r="C4" s="2">
        <v>1.4990000000000001E-4</v>
      </c>
      <c r="D4" s="2">
        <v>-4.6210000000000001E-4</v>
      </c>
      <c r="E4" s="2">
        <v>0</v>
      </c>
      <c r="F4" s="2">
        <v>0</v>
      </c>
      <c r="G4" s="2">
        <v>0</v>
      </c>
      <c r="H4" s="2">
        <v>7.0573720999999996E-5</v>
      </c>
      <c r="I4" s="2">
        <v>1.5236729E-5</v>
      </c>
      <c r="J4" s="2">
        <v>-1.9561843000000001E-4</v>
      </c>
      <c r="K4" s="3"/>
      <c r="L4" s="3">
        <f t="shared" ref="L4:L33" si="0">-B4/D4</f>
        <v>8.2233282839212288E-2</v>
      </c>
      <c r="M4" s="3"/>
      <c r="N4" s="2">
        <f>IF('Modell einstellen'!$B$1="Voll",H4/0.35,H4/0.35*2)</f>
        <v>2.0163920285714285E-4</v>
      </c>
      <c r="O4" s="2">
        <f>IF('Modell einstellen'!$B$1="Voll",J4/0.35,J4/0.35*2)</f>
        <v>-5.5890980000000007E-4</v>
      </c>
      <c r="P4" s="3">
        <f t="shared" ref="P4:P33" si="1">-N4/O4</f>
        <v>0.36077235156217125</v>
      </c>
      <c r="Q4" s="3"/>
      <c r="R4" s="3"/>
      <c r="S4" s="3"/>
      <c r="T4" s="3"/>
      <c r="U4" s="3"/>
      <c r="V4" s="3"/>
      <c r="W4" s="3"/>
    </row>
    <row r="5" spans="1:23" x14ac:dyDescent="0.25">
      <c r="A5" s="2">
        <v>1E-13</v>
      </c>
      <c r="B5" s="2">
        <v>3.8000000000000002E-5</v>
      </c>
      <c r="C5" s="2">
        <v>1.4990000000000001E-4</v>
      </c>
      <c r="D5" s="2">
        <v>-4.6210000000000001E-4</v>
      </c>
      <c r="E5" s="2">
        <v>0</v>
      </c>
      <c r="F5" s="2">
        <v>0</v>
      </c>
      <c r="G5" s="2">
        <v>0</v>
      </c>
      <c r="H5" s="2">
        <v>7.0574096999999998E-5</v>
      </c>
      <c r="I5" s="2">
        <v>1.5236904000000001E-5</v>
      </c>
      <c r="J5" s="2">
        <v>-1.9561943999999999E-4</v>
      </c>
      <c r="K5" s="3"/>
      <c r="L5" s="3">
        <f t="shared" si="0"/>
        <v>8.2233282839212288E-2</v>
      </c>
      <c r="M5" s="3"/>
      <c r="N5" s="2">
        <f>IF('Modell einstellen'!$B$1="Voll",H5/0.35,H5/0.35*2)</f>
        <v>2.0164027714285714E-4</v>
      </c>
      <c r="O5" s="2">
        <f>IF('Modell einstellen'!$B$1="Voll",J5/0.35,J5/0.35*2)</f>
        <v>-5.5891268571428576E-4</v>
      </c>
      <c r="P5" s="3">
        <f t="shared" si="1"/>
        <v>0.3607724109628368</v>
      </c>
      <c r="Q5" s="3"/>
      <c r="R5" s="3"/>
      <c r="S5" s="3"/>
      <c r="T5" s="3"/>
      <c r="U5" s="3"/>
      <c r="V5" s="3"/>
      <c r="W5" s="3"/>
    </row>
    <row r="6" spans="1:23" x14ac:dyDescent="0.25">
      <c r="A6" s="2">
        <v>9.9999999999999998E-13</v>
      </c>
      <c r="B6" s="2">
        <v>3.8000000000000002E-5</v>
      </c>
      <c r="C6" s="2">
        <v>1.4990000000000001E-4</v>
      </c>
      <c r="D6" s="2">
        <v>-4.6210000000000001E-4</v>
      </c>
      <c r="E6" s="2">
        <v>0</v>
      </c>
      <c r="F6" s="2">
        <v>0</v>
      </c>
      <c r="G6" s="2">
        <v>0</v>
      </c>
      <c r="H6" s="2">
        <v>7.0574212999999995E-5</v>
      </c>
      <c r="I6" s="2">
        <v>1.5236953E-5</v>
      </c>
      <c r="J6" s="2">
        <v>-1.9561974000000001E-4</v>
      </c>
      <c r="K6" s="3"/>
      <c r="L6" s="3">
        <f t="shared" si="0"/>
        <v>8.2233282839212288E-2</v>
      </c>
      <c r="M6" s="3"/>
      <c r="N6" s="2">
        <f>IF('Modell einstellen'!$B$1="Voll",H6/0.35,H6/0.35*2)</f>
        <v>2.0164060857142858E-4</v>
      </c>
      <c r="O6" s="2">
        <f>IF('Modell einstellen'!$B$1="Voll",J6/0.35,J6/0.35*2)</f>
        <v>-5.5891354285714288E-4</v>
      </c>
      <c r="P6" s="3">
        <f t="shared" si="1"/>
        <v>0.36077245067394526</v>
      </c>
      <c r="Q6" s="3"/>
      <c r="R6" s="3"/>
      <c r="S6" s="3"/>
      <c r="T6" s="3"/>
      <c r="U6" s="3"/>
      <c r="V6" s="3"/>
      <c r="W6" s="3"/>
    </row>
    <row r="7" spans="1:23" x14ac:dyDescent="0.25">
      <c r="A7" s="2">
        <v>9.9999999999999994E-12</v>
      </c>
      <c r="B7" s="2">
        <v>3.8000000000000002E-5</v>
      </c>
      <c r="C7" s="2">
        <v>1.4990000000000001E-4</v>
      </c>
      <c r="D7" s="2">
        <v>-4.6210000000000001E-4</v>
      </c>
      <c r="E7" s="2">
        <v>0</v>
      </c>
      <c r="F7" s="2">
        <v>0</v>
      </c>
      <c r="G7" s="2">
        <v>0</v>
      </c>
      <c r="H7" s="2">
        <v>7.0574252000000002E-5</v>
      </c>
      <c r="I7" s="2">
        <v>1.5236967E-5</v>
      </c>
      <c r="J7" s="2">
        <v>-1.9561983E-4</v>
      </c>
      <c r="K7" s="3"/>
      <c r="L7" s="3">
        <f t="shared" si="0"/>
        <v>8.2233282839212288E-2</v>
      </c>
      <c r="M7" s="3"/>
      <c r="N7" s="2">
        <f>IF('Modell einstellen'!$B$1="Voll",H7/0.35,H7/0.35*2)</f>
        <v>2.0164072000000002E-4</v>
      </c>
      <c r="O7" s="2">
        <f>IF('Modell einstellen'!$B$1="Voll",J7/0.35,J7/0.35*2)</f>
        <v>-5.5891380000000002E-4</v>
      </c>
      <c r="P7" s="3">
        <f t="shared" si="1"/>
        <v>0.36077248405747009</v>
      </c>
      <c r="Q7" s="3"/>
      <c r="R7" s="3"/>
      <c r="S7" s="3"/>
      <c r="T7" s="3"/>
      <c r="U7" s="3"/>
      <c r="V7" s="3"/>
      <c r="W7" s="3"/>
    </row>
    <row r="8" spans="1:23" x14ac:dyDescent="0.25">
      <c r="A8" s="2">
        <v>1E-10</v>
      </c>
      <c r="B8" s="2">
        <v>3.8000000000000002E-5</v>
      </c>
      <c r="C8" s="2">
        <v>1.4990000000000001E-4</v>
      </c>
      <c r="D8" s="2">
        <v>-4.6210000000000001E-4</v>
      </c>
      <c r="E8" s="2">
        <v>0</v>
      </c>
      <c r="F8" s="2">
        <v>0</v>
      </c>
      <c r="G8" s="2">
        <v>0</v>
      </c>
      <c r="H8" s="2">
        <v>7.0574265000000004E-5</v>
      </c>
      <c r="I8" s="2">
        <v>1.5236972E-5</v>
      </c>
      <c r="J8" s="2">
        <v>-1.9561985999999999E-4</v>
      </c>
      <c r="K8" s="3"/>
      <c r="L8" s="3">
        <f t="shared" si="0"/>
        <v>8.2233282839212288E-2</v>
      </c>
      <c r="M8" s="3"/>
      <c r="N8" s="2">
        <f>IF('Modell einstellen'!$B$1="Voll",H8/0.35,H8/0.35*2)</f>
        <v>2.0164075714285717E-4</v>
      </c>
      <c r="O8" s="2">
        <f>IF('Modell einstellen'!$B$1="Voll",J8/0.35,J8/0.35*2)</f>
        <v>-5.5891388571428573E-4</v>
      </c>
      <c r="P8" s="3">
        <f t="shared" si="1"/>
        <v>0.36077249518530485</v>
      </c>
      <c r="Q8" s="3"/>
      <c r="R8" s="3"/>
      <c r="S8" s="3"/>
      <c r="T8" s="3"/>
      <c r="U8" s="3"/>
      <c r="V8" s="3"/>
      <c r="W8" s="3"/>
    </row>
    <row r="9" spans="1:23" x14ac:dyDescent="0.25">
      <c r="A9" s="2">
        <v>1.0000000000000001E-9</v>
      </c>
      <c r="B9" s="2">
        <v>3.8000000000000002E-5</v>
      </c>
      <c r="C9" s="2">
        <v>1.4990000000000001E-4</v>
      </c>
      <c r="D9" s="2">
        <v>-4.6210000000000001E-4</v>
      </c>
      <c r="E9" s="2">
        <v>0</v>
      </c>
      <c r="F9" s="2">
        <v>0</v>
      </c>
      <c r="G9" s="2">
        <v>0</v>
      </c>
      <c r="H9" s="2">
        <v>7.0574269000000001E-5</v>
      </c>
      <c r="I9" s="2">
        <v>1.5236972999999999E-5</v>
      </c>
      <c r="J9" s="2">
        <v>-1.9561987000000001E-4</v>
      </c>
      <c r="K9" s="3"/>
      <c r="L9" s="3">
        <f t="shared" si="0"/>
        <v>8.2233282839212288E-2</v>
      </c>
      <c r="M9" s="3"/>
      <c r="N9" s="2">
        <f>IF('Modell einstellen'!$B$1="Voll",H9/0.35,H9/0.35*2)</f>
        <v>2.0164076857142859E-4</v>
      </c>
      <c r="O9" s="2">
        <f>IF('Modell einstellen'!$B$1="Voll",J9/0.35,J9/0.35*2)</f>
        <v>-5.5891391428571438E-4</v>
      </c>
      <c r="P9" s="3">
        <f t="shared" si="1"/>
        <v>0.36077249719059723</v>
      </c>
      <c r="Q9" s="3"/>
      <c r="R9" s="3"/>
      <c r="S9" s="3"/>
      <c r="T9" s="3"/>
      <c r="U9" s="3"/>
      <c r="V9" s="3"/>
      <c r="W9" s="3"/>
    </row>
    <row r="10" spans="1:23" x14ac:dyDescent="0.25">
      <c r="A10" s="2">
        <v>1E-8</v>
      </c>
      <c r="B10" s="2">
        <v>3.8000000000000002E-5</v>
      </c>
      <c r="C10" s="2">
        <v>1.4990000000000001E-4</v>
      </c>
      <c r="D10" s="2">
        <v>-4.6210000000000001E-4</v>
      </c>
      <c r="E10" s="2">
        <v>0</v>
      </c>
      <c r="F10" s="2">
        <v>0</v>
      </c>
      <c r="G10" s="2">
        <v>0</v>
      </c>
      <c r="H10" s="2">
        <v>7.0574270999999993E-5</v>
      </c>
      <c r="I10" s="2">
        <v>1.5236974000000001E-5</v>
      </c>
      <c r="J10" s="2">
        <v>-1.9561987000000001E-4</v>
      </c>
      <c r="K10" s="3"/>
      <c r="L10" s="3">
        <f t="shared" si="0"/>
        <v>8.2233282839212288E-2</v>
      </c>
      <c r="M10" s="3"/>
      <c r="N10" s="2">
        <f>IF('Modell einstellen'!$B$1="Voll",H10/0.35,H10/0.35*2)</f>
        <v>2.0164077428571427E-4</v>
      </c>
      <c r="O10" s="2">
        <f>IF('Modell einstellen'!$B$1="Voll",J10/0.35,J10/0.35*2)</f>
        <v>-5.5891391428571438E-4</v>
      </c>
      <c r="P10" s="3">
        <f t="shared" si="1"/>
        <v>0.36077250741450745</v>
      </c>
      <c r="Q10" s="3"/>
      <c r="R10" s="3"/>
      <c r="S10" s="3"/>
      <c r="T10" s="3"/>
      <c r="U10" s="3"/>
      <c r="V10" s="3"/>
      <c r="W10" s="3"/>
    </row>
    <row r="11" spans="1:23" x14ac:dyDescent="0.25">
      <c r="A11" s="2">
        <v>9.9999999999999995E-8</v>
      </c>
      <c r="B11" s="2">
        <v>3.8000000000000002E-5</v>
      </c>
      <c r="C11" s="2">
        <v>1.4990000000000001E-4</v>
      </c>
      <c r="D11" s="2">
        <v>-4.6210000000000001E-4</v>
      </c>
      <c r="E11" s="2">
        <v>0</v>
      </c>
      <c r="F11" s="2">
        <v>0</v>
      </c>
      <c r="G11" s="2">
        <v>0</v>
      </c>
      <c r="H11" s="2">
        <v>7.0574270999999993E-5</v>
      </c>
      <c r="I11" s="2">
        <v>1.5236974000000001E-5</v>
      </c>
      <c r="J11" s="2">
        <v>-1.9561987000000001E-4</v>
      </c>
      <c r="K11" s="3"/>
      <c r="L11" s="3">
        <f t="shared" si="0"/>
        <v>8.2233282839212288E-2</v>
      </c>
      <c r="M11" s="3"/>
      <c r="N11" s="2">
        <f>IF('Modell einstellen'!$B$1="Voll",H11/0.35,H11/0.35*2)</f>
        <v>2.0164077428571427E-4</v>
      </c>
      <c r="O11" s="2">
        <f>IF('Modell einstellen'!$B$1="Voll",J11/0.35,J11/0.35*2)</f>
        <v>-5.5891391428571438E-4</v>
      </c>
      <c r="P11" s="3">
        <f t="shared" si="1"/>
        <v>0.36077250741450745</v>
      </c>
      <c r="Q11" s="3"/>
      <c r="R11" s="3"/>
      <c r="S11" s="3"/>
      <c r="T11" s="3"/>
      <c r="U11" s="3"/>
      <c r="V11" s="3"/>
      <c r="W11" s="3"/>
    </row>
    <row r="12" spans="1:23" x14ac:dyDescent="0.25">
      <c r="A12" s="2">
        <v>9.9999999999999995E-7</v>
      </c>
      <c r="B12" s="2">
        <v>3.8000000000000002E-5</v>
      </c>
      <c r="C12" s="2">
        <v>1.4990000000000001E-4</v>
      </c>
      <c r="D12" s="2">
        <v>-4.6210000000000001E-4</v>
      </c>
      <c r="E12" s="2">
        <v>0</v>
      </c>
      <c r="F12" s="2">
        <v>0</v>
      </c>
      <c r="G12" s="2">
        <v>0</v>
      </c>
      <c r="H12" s="2">
        <v>7.0574270999999993E-5</v>
      </c>
      <c r="I12" s="2">
        <v>1.5236974000000001E-5</v>
      </c>
      <c r="J12" s="2">
        <v>-1.9561987000000001E-4</v>
      </c>
      <c r="K12" s="3"/>
      <c r="L12" s="3">
        <f t="shared" si="0"/>
        <v>8.2233282839212288E-2</v>
      </c>
      <c r="M12" s="3"/>
      <c r="N12" s="2">
        <f>IF('Modell einstellen'!$B$1="Voll",H12/0.35,H12/0.35*2)</f>
        <v>2.0164077428571427E-4</v>
      </c>
      <c r="O12" s="2">
        <f>IF('Modell einstellen'!$B$1="Voll",J12/0.35,J12/0.35*2)</f>
        <v>-5.5891391428571438E-4</v>
      </c>
      <c r="P12" s="3">
        <f t="shared" si="1"/>
        <v>0.36077250741450745</v>
      </c>
      <c r="Q12" s="3"/>
      <c r="R12" s="3"/>
      <c r="S12" s="3"/>
      <c r="T12" s="3"/>
      <c r="U12" s="3"/>
      <c r="V12" s="3"/>
      <c r="W12" s="3"/>
    </row>
    <row r="13" spans="1:23" x14ac:dyDescent="0.25">
      <c r="A13" s="2">
        <v>1.0000000000000001E-5</v>
      </c>
      <c r="B13" s="2">
        <v>3.8000000000000002E-5</v>
      </c>
      <c r="C13" s="2">
        <v>1.4990000000000001E-4</v>
      </c>
      <c r="D13" s="2">
        <v>-4.6210000000000001E-4</v>
      </c>
      <c r="E13" s="2">
        <v>0</v>
      </c>
      <c r="F13" s="2">
        <v>0</v>
      </c>
      <c r="G13" s="2">
        <v>0</v>
      </c>
      <c r="H13" s="2">
        <v>7.0574272000000003E-5</v>
      </c>
      <c r="I13" s="2">
        <v>1.5236974000000001E-5</v>
      </c>
      <c r="J13" s="2">
        <v>-1.9561987000000001E-4</v>
      </c>
      <c r="K13" s="3"/>
      <c r="L13" s="3">
        <f t="shared" si="0"/>
        <v>8.2233282839212288E-2</v>
      </c>
      <c r="M13" s="3"/>
      <c r="N13" s="2">
        <f>IF('Modell einstellen'!$B$1="Voll",H13/0.35,H13/0.35*2)</f>
        <v>2.0164077714285717E-4</v>
      </c>
      <c r="O13" s="2">
        <f>IF('Modell einstellen'!$B$1="Voll",J13/0.35,J13/0.35*2)</f>
        <v>-5.5891391428571438E-4</v>
      </c>
      <c r="P13" s="3">
        <f t="shared" si="1"/>
        <v>0.3607725125264627</v>
      </c>
      <c r="Q13" s="3"/>
      <c r="R13" s="3"/>
      <c r="S13" s="3"/>
      <c r="T13" s="3"/>
      <c r="U13" s="3"/>
      <c r="V13" s="3"/>
      <c r="W13" s="3"/>
    </row>
    <row r="14" spans="1:23" x14ac:dyDescent="0.25">
      <c r="A14" s="2">
        <v>1E-4</v>
      </c>
      <c r="B14" s="2">
        <v>3.8000000000000002E-5</v>
      </c>
      <c r="C14" s="2">
        <v>1.4990000000000001E-4</v>
      </c>
      <c r="D14" s="2">
        <v>-4.6210000000000001E-4</v>
      </c>
      <c r="E14" s="2">
        <v>0</v>
      </c>
      <c r="F14" s="2">
        <v>0</v>
      </c>
      <c r="G14" s="2">
        <v>0</v>
      </c>
      <c r="H14" s="2">
        <v>7.0574272999999999E-5</v>
      </c>
      <c r="I14" s="2">
        <v>1.5236974000000001E-5</v>
      </c>
      <c r="J14" s="2">
        <v>-1.9561987999999999E-4</v>
      </c>
      <c r="K14" s="3"/>
      <c r="L14" s="3">
        <f t="shared" si="0"/>
        <v>8.2233282839212288E-2</v>
      </c>
      <c r="M14" s="3"/>
      <c r="N14" s="2">
        <f>IF('Modell einstellen'!$B$1="Voll",H14/0.35,H14/0.35*2)</f>
        <v>2.0164078E-4</v>
      </c>
      <c r="O14" s="2">
        <f>IF('Modell einstellen'!$B$1="Voll",J14/0.35,J14/0.35*2)</f>
        <v>-5.5891394285714291E-4</v>
      </c>
      <c r="P14" s="3">
        <f t="shared" si="1"/>
        <v>0.36077249919588944</v>
      </c>
      <c r="Q14" s="3"/>
      <c r="R14" s="3"/>
      <c r="S14" s="3"/>
      <c r="T14" s="3"/>
      <c r="U14" s="3"/>
      <c r="V14" s="3"/>
      <c r="W14" s="3"/>
    </row>
    <row r="15" spans="1:23" x14ac:dyDescent="0.25">
      <c r="A15" s="2">
        <v>1E-3</v>
      </c>
      <c r="B15" s="2">
        <v>3.8000000000000002E-5</v>
      </c>
      <c r="C15" s="2">
        <v>1.4990000000000001E-4</v>
      </c>
      <c r="D15" s="2">
        <v>-4.6210000000000001E-4</v>
      </c>
      <c r="E15" s="2">
        <v>0</v>
      </c>
      <c r="F15" s="2">
        <v>0</v>
      </c>
      <c r="G15" s="2">
        <v>0</v>
      </c>
      <c r="H15" s="2">
        <v>7.0574283999999996E-5</v>
      </c>
      <c r="I15" s="2">
        <v>1.5236975999999999E-5</v>
      </c>
      <c r="J15" s="2">
        <v>-1.9561989000000001E-4</v>
      </c>
      <c r="K15" s="3"/>
      <c r="L15" s="3">
        <f t="shared" si="0"/>
        <v>8.2233282839212288E-2</v>
      </c>
      <c r="M15" s="3"/>
      <c r="N15" s="2">
        <f>IF('Modell einstellen'!$B$1="Voll",H15/0.35,H15/0.35*2)</f>
        <v>2.0164081142857142E-4</v>
      </c>
      <c r="O15" s="2">
        <f>IF('Modell einstellen'!$B$1="Voll",J15/0.35,J15/0.35*2)</f>
        <v>-5.5891397142857145E-4</v>
      </c>
      <c r="P15" s="3">
        <f t="shared" si="1"/>
        <v>0.36077253698486383</v>
      </c>
      <c r="Q15" s="3"/>
      <c r="R15" s="3"/>
      <c r="S15" s="3"/>
      <c r="T15" s="3"/>
      <c r="U15" s="3"/>
      <c r="V15" s="3"/>
      <c r="W15" s="3"/>
    </row>
    <row r="16" spans="1:23" x14ac:dyDescent="0.25">
      <c r="A16" s="2">
        <v>0.01</v>
      </c>
      <c r="B16" s="2">
        <v>3.8000000000000002E-5</v>
      </c>
      <c r="C16" s="2">
        <v>1.4990000000000001E-4</v>
      </c>
      <c r="D16" s="2">
        <v>-4.6210000000000001E-4</v>
      </c>
      <c r="E16" s="2">
        <v>0</v>
      </c>
      <c r="F16" s="2">
        <v>0</v>
      </c>
      <c r="G16" s="2">
        <v>0</v>
      </c>
      <c r="H16" s="2">
        <v>7.0574398999999997E-5</v>
      </c>
      <c r="I16" s="2">
        <v>1.5236988E-5</v>
      </c>
      <c r="J16" s="2">
        <v>-1.9562006999999999E-4</v>
      </c>
      <c r="K16" s="3"/>
      <c r="L16" s="3">
        <f t="shared" si="0"/>
        <v>8.2233282839212288E-2</v>
      </c>
      <c r="M16" s="3"/>
      <c r="N16" s="2">
        <f>IF('Modell einstellen'!$B$1="Voll",H16/0.35,H16/0.35*2)</f>
        <v>2.0164114E-4</v>
      </c>
      <c r="O16" s="2">
        <f>IF('Modell einstellen'!$B$1="Voll",J16/0.35,J16/0.35*2)</f>
        <v>-5.5891448571428572E-4</v>
      </c>
      <c r="P16" s="3">
        <f t="shared" si="1"/>
        <v>0.36077279289389885</v>
      </c>
      <c r="Q16" s="3"/>
      <c r="R16" s="3"/>
      <c r="S16" s="3"/>
      <c r="T16" s="3"/>
      <c r="U16" s="3"/>
      <c r="V16" s="3"/>
      <c r="W16" s="3"/>
    </row>
    <row r="17" spans="1:23" x14ac:dyDescent="0.25">
      <c r="A17" s="2">
        <v>0.1</v>
      </c>
      <c r="B17" s="2">
        <v>3.8000000000000002E-5</v>
      </c>
      <c r="C17" s="2">
        <v>1.4990000000000001E-4</v>
      </c>
      <c r="D17" s="2">
        <v>-4.6210000000000001E-4</v>
      </c>
      <c r="E17" s="2">
        <v>0</v>
      </c>
      <c r="F17" s="2">
        <v>0</v>
      </c>
      <c r="G17" s="2">
        <v>0</v>
      </c>
      <c r="H17" s="2">
        <v>7.0575541999999997E-5</v>
      </c>
      <c r="I17" s="2">
        <v>1.5237115E-5</v>
      </c>
      <c r="J17" s="2">
        <v>-1.9562188E-4</v>
      </c>
      <c r="K17" s="3"/>
      <c r="L17" s="3">
        <f t="shared" si="0"/>
        <v>8.2233282839212288E-2</v>
      </c>
      <c r="M17" s="3"/>
      <c r="N17" s="2">
        <f>IF('Modell einstellen'!$B$1="Voll",H17/0.35,H17/0.35*2)</f>
        <v>2.0164440571428572E-4</v>
      </c>
      <c r="O17" s="2">
        <f>IF('Modell einstellen'!$B$1="Voll",J17/0.35,J17/0.35*2)</f>
        <v>-5.5891965714285712E-4</v>
      </c>
      <c r="P17" s="3">
        <f t="shared" si="1"/>
        <v>0.36077529773254408</v>
      </c>
      <c r="Q17" s="3"/>
      <c r="R17" s="3"/>
      <c r="S17" s="3"/>
      <c r="T17" s="3"/>
      <c r="U17" s="3"/>
      <c r="V17" s="3"/>
      <c r="W17" s="3"/>
    </row>
    <row r="18" spans="1:23" x14ac:dyDescent="0.25">
      <c r="A18" s="2">
        <v>1</v>
      </c>
      <c r="B18" s="2">
        <v>3.799E-5</v>
      </c>
      <c r="C18" s="2">
        <v>1.4990000000000001E-4</v>
      </c>
      <c r="D18" s="2">
        <v>-4.6220000000000001E-4</v>
      </c>
      <c r="E18" s="2">
        <v>0</v>
      </c>
      <c r="F18" s="2">
        <v>0</v>
      </c>
      <c r="G18" s="2">
        <v>0</v>
      </c>
      <c r="H18" s="2">
        <v>7.0586947999999998E-5</v>
      </c>
      <c r="I18" s="2">
        <v>1.523838E-5</v>
      </c>
      <c r="J18" s="2">
        <v>-1.9563986000000001E-4</v>
      </c>
      <c r="K18" s="3"/>
      <c r="L18" s="3">
        <f t="shared" si="0"/>
        <v>8.2193855473820854E-2</v>
      </c>
      <c r="M18" s="3"/>
      <c r="N18" s="2">
        <f>IF('Modell einstellen'!$B$1="Voll",H18/0.35,H18/0.35*2)</f>
        <v>2.0167699428571428E-4</v>
      </c>
      <c r="O18" s="2">
        <f>IF('Modell einstellen'!$B$1="Voll",J18/0.35,J18/0.35*2)</f>
        <v>-5.5897102857142866E-4</v>
      </c>
      <c r="P18" s="3">
        <f t="shared" si="1"/>
        <v>0.36080044220027546</v>
      </c>
      <c r="Q18" s="3"/>
      <c r="R18" s="3"/>
      <c r="S18" s="3"/>
      <c r="T18" s="3"/>
      <c r="U18" s="3"/>
      <c r="V18" s="3"/>
      <c r="W18" s="3"/>
    </row>
    <row r="19" spans="1:23" x14ac:dyDescent="0.25">
      <c r="A19" s="2">
        <v>10</v>
      </c>
      <c r="B19" s="2">
        <v>3.786E-5</v>
      </c>
      <c r="C19" s="2">
        <v>1.4999999999999999E-4</v>
      </c>
      <c r="D19" s="2">
        <v>-4.6220000000000001E-4</v>
      </c>
      <c r="E19" s="2">
        <v>0</v>
      </c>
      <c r="F19" s="2">
        <v>0</v>
      </c>
      <c r="G19" s="2">
        <v>0</v>
      </c>
      <c r="H19" s="2">
        <v>7.0698582999999994E-5</v>
      </c>
      <c r="I19" s="2">
        <v>1.5250763E-5</v>
      </c>
      <c r="J19" s="2">
        <v>-1.9581582000000001E-4</v>
      </c>
      <c r="K19" s="3"/>
      <c r="L19" s="3">
        <f t="shared" si="0"/>
        <v>8.1912591951536134E-2</v>
      </c>
      <c r="M19" s="3"/>
      <c r="N19" s="2">
        <f>IF('Modell einstellen'!$B$1="Voll",H19/0.35,H19/0.35*2)</f>
        <v>2.0199595142857143E-4</v>
      </c>
      <c r="O19" s="2">
        <f>IF('Modell einstellen'!$B$1="Voll",J19/0.35,J19/0.35*2)</f>
        <v>-5.5947377142857152E-4</v>
      </c>
      <c r="P19" s="3">
        <f t="shared" si="1"/>
        <v>0.36104632914746104</v>
      </c>
      <c r="Q19" s="3"/>
      <c r="R19" s="3"/>
      <c r="S19" s="3"/>
      <c r="T19" s="3"/>
      <c r="U19" s="3"/>
      <c r="V19" s="3"/>
      <c r="W19" s="3"/>
    </row>
    <row r="20" spans="1:23" x14ac:dyDescent="0.25">
      <c r="A20" s="2">
        <v>100</v>
      </c>
      <c r="B20" s="2">
        <v>3.6820000000000003E-5</v>
      </c>
      <c r="C20" s="2">
        <v>1.5090000000000001E-4</v>
      </c>
      <c r="D20" s="2">
        <v>-4.6289999999999998E-4</v>
      </c>
      <c r="E20" s="2">
        <v>0</v>
      </c>
      <c r="F20" s="2">
        <v>0</v>
      </c>
      <c r="G20" s="2">
        <v>0</v>
      </c>
      <c r="H20" s="2">
        <v>7.1605658000000003E-5</v>
      </c>
      <c r="I20" s="2">
        <v>1.5351167999999999E-5</v>
      </c>
      <c r="J20" s="2">
        <v>-1.9724388999999999E-4</v>
      </c>
      <c r="K20" s="3"/>
      <c r="L20" s="3">
        <f t="shared" si="0"/>
        <v>7.9542017714409177E-2</v>
      </c>
      <c r="M20" s="3"/>
      <c r="N20" s="2">
        <f>IF('Modell einstellen'!$B$1="Voll",H20/0.35,H20/0.35*2)</f>
        <v>2.0458759428571431E-4</v>
      </c>
      <c r="O20" s="2">
        <f>IF('Modell einstellen'!$B$1="Voll",J20/0.35,J20/0.35*2)</f>
        <v>-5.6355397142857143E-4</v>
      </c>
      <c r="P20" s="3">
        <f t="shared" si="1"/>
        <v>0.36303105764137994</v>
      </c>
      <c r="Q20" s="3"/>
      <c r="R20" s="3"/>
      <c r="S20" s="3"/>
      <c r="T20" s="3"/>
      <c r="U20" s="3"/>
      <c r="V20" s="3"/>
      <c r="W20" s="3"/>
    </row>
    <row r="21" spans="1:23" x14ac:dyDescent="0.25">
      <c r="A21" s="2">
        <v>1000</v>
      </c>
      <c r="B21" s="2">
        <v>3.4539999999999998E-5</v>
      </c>
      <c r="C21" s="2">
        <v>1.5359999999999999E-4</v>
      </c>
      <c r="D21" s="2">
        <v>-4.6529999999999998E-4</v>
      </c>
      <c r="E21" s="2">
        <v>0</v>
      </c>
      <c r="F21" s="2">
        <v>0</v>
      </c>
      <c r="G21" s="2">
        <v>0</v>
      </c>
      <c r="H21" s="2">
        <v>7.4043992000000003E-5</v>
      </c>
      <c r="I21" s="2">
        <v>1.5652086E-5</v>
      </c>
      <c r="J21" s="2">
        <v>-2.011618E-4</v>
      </c>
      <c r="K21" s="3"/>
      <c r="L21" s="3">
        <f t="shared" si="0"/>
        <v>7.4231678486997632E-2</v>
      </c>
      <c r="M21" s="3"/>
      <c r="N21" s="2">
        <f>IF('Modell einstellen'!$B$1="Voll",H21/0.35,H21/0.35*2)</f>
        <v>2.1155426285714287E-4</v>
      </c>
      <c r="O21" s="2">
        <f>IF('Modell einstellen'!$B$1="Voll",J21/0.35,J21/0.35*2)</f>
        <v>-5.7474800000000003E-4</v>
      </c>
      <c r="P21" s="3">
        <f t="shared" si="1"/>
        <v>0.36808177298075478</v>
      </c>
      <c r="Q21" s="3"/>
      <c r="R21" s="3"/>
      <c r="S21" s="3"/>
      <c r="T21" s="3"/>
      <c r="U21" s="3"/>
      <c r="V21" s="3"/>
      <c r="W21" s="3"/>
    </row>
    <row r="22" spans="1:23" x14ac:dyDescent="0.25">
      <c r="A22" s="2">
        <v>10000</v>
      </c>
      <c r="B22" s="2">
        <v>3.222E-5</v>
      </c>
      <c r="C22" s="2">
        <v>1.5689999999999999E-4</v>
      </c>
      <c r="D22" s="2">
        <v>-4.682E-4</v>
      </c>
      <c r="E22" s="2">
        <v>0</v>
      </c>
      <c r="F22" s="2">
        <v>0</v>
      </c>
      <c r="G22" s="2">
        <v>0</v>
      </c>
      <c r="H22" s="2">
        <v>7.6758646000000007E-5</v>
      </c>
      <c r="I22" s="2">
        <v>1.6019991000000001E-5</v>
      </c>
      <c r="J22" s="2">
        <v>-2.0558295E-4</v>
      </c>
      <c r="K22" s="3"/>
      <c r="L22" s="3">
        <f t="shared" si="0"/>
        <v>6.8816744980777445E-2</v>
      </c>
      <c r="M22" s="3"/>
      <c r="N22" s="2">
        <f>IF('Modell einstellen'!$B$1="Voll",H22/0.35,H22/0.35*2)</f>
        <v>2.1931041714285719E-4</v>
      </c>
      <c r="O22" s="2">
        <f>IF('Modell einstellen'!$B$1="Voll",J22/0.35,J22/0.35*2)</f>
        <v>-5.8737985714285719E-4</v>
      </c>
      <c r="P22" s="3">
        <f t="shared" si="1"/>
        <v>0.37337068078846036</v>
      </c>
      <c r="Q22" s="3"/>
      <c r="R22" s="3"/>
      <c r="S22" s="3"/>
      <c r="T22" s="3"/>
      <c r="U22" s="3"/>
      <c r="V22" s="3"/>
      <c r="W22" s="3"/>
    </row>
    <row r="23" spans="1:23" x14ac:dyDescent="0.25">
      <c r="A23" s="2">
        <v>100000</v>
      </c>
      <c r="B23" s="2">
        <v>3.3930000000000002E-5</v>
      </c>
      <c r="C23" s="2">
        <v>1.652E-4</v>
      </c>
      <c r="D23" s="2">
        <v>-4.7919999999999999E-4</v>
      </c>
      <c r="E23" s="2">
        <v>0</v>
      </c>
      <c r="F23" s="2">
        <v>0</v>
      </c>
      <c r="G23" s="2">
        <v>0</v>
      </c>
      <c r="H23" s="2">
        <v>8.0551175999999996E-5</v>
      </c>
      <c r="I23" s="2">
        <v>1.6932984000000002E-5</v>
      </c>
      <c r="J23" s="2">
        <v>-2.1281621E-4</v>
      </c>
      <c r="K23" s="3"/>
      <c r="L23" s="3">
        <f t="shared" si="0"/>
        <v>7.0805509181969956E-2</v>
      </c>
      <c r="M23" s="3"/>
      <c r="N23" s="2">
        <f>IF('Modell einstellen'!$B$1="Voll",H23/0.35,H23/0.35*2)</f>
        <v>2.3014621714285714E-4</v>
      </c>
      <c r="O23" s="2">
        <f>IF('Modell einstellen'!$B$1="Voll",J23/0.35,J23/0.35*2)</f>
        <v>-6.0804631428571431E-4</v>
      </c>
      <c r="P23" s="3">
        <f t="shared" si="1"/>
        <v>0.3785011301535724</v>
      </c>
      <c r="Q23" s="3"/>
      <c r="R23" s="3"/>
      <c r="S23" s="3"/>
      <c r="T23" s="3"/>
      <c r="U23" s="3"/>
      <c r="V23" s="3"/>
      <c r="W23" s="3"/>
    </row>
    <row r="24" spans="1:23" x14ac:dyDescent="0.25">
      <c r="A24" s="2">
        <v>1000000</v>
      </c>
      <c r="B24" s="2">
        <v>5.1549999999999999E-5</v>
      </c>
      <c r="C24" s="2">
        <v>1.886E-4</v>
      </c>
      <c r="D24" s="2">
        <v>-5.1730000000000005E-4</v>
      </c>
      <c r="E24" s="2">
        <v>0</v>
      </c>
      <c r="F24" s="2">
        <v>0</v>
      </c>
      <c r="G24" s="2">
        <v>0</v>
      </c>
      <c r="H24" s="2">
        <v>8.6782694999999998E-5</v>
      </c>
      <c r="I24" s="2">
        <v>1.9571083E-5</v>
      </c>
      <c r="J24" s="2">
        <v>-2.2780095000000001E-4</v>
      </c>
      <c r="K24" s="3"/>
      <c r="L24" s="3">
        <f t="shared" si="0"/>
        <v>9.9652039435530623E-2</v>
      </c>
      <c r="M24" s="3"/>
      <c r="N24" s="2">
        <f>IF('Modell einstellen'!$B$1="Voll",H24/0.35,H24/0.35*2)</f>
        <v>2.4795055714285717E-4</v>
      </c>
      <c r="O24" s="2">
        <f>IF('Modell einstellen'!$B$1="Voll",J24/0.35,J24/0.35*2)</f>
        <v>-6.5085985714285718E-4</v>
      </c>
      <c r="P24" s="3">
        <f t="shared" si="1"/>
        <v>0.3809584420082533</v>
      </c>
      <c r="Q24" s="3"/>
      <c r="R24" s="3"/>
      <c r="S24" s="3"/>
      <c r="T24" s="3"/>
      <c r="U24" s="3"/>
      <c r="V24" s="3"/>
      <c r="W24" s="3"/>
    </row>
    <row r="25" spans="1:23" x14ac:dyDescent="0.25">
      <c r="A25" s="2">
        <v>10000000</v>
      </c>
      <c r="B25" s="2">
        <v>8.6429999999999997E-5</v>
      </c>
      <c r="C25" s="2">
        <v>2.2599999999999999E-4</v>
      </c>
      <c r="D25" s="2">
        <v>-5.8290000000000002E-4</v>
      </c>
      <c r="E25" s="2">
        <v>0</v>
      </c>
      <c r="F25" s="2">
        <v>0</v>
      </c>
      <c r="G25" s="2">
        <v>0</v>
      </c>
      <c r="H25" s="2">
        <v>9.5096234999999995E-5</v>
      </c>
      <c r="I25" s="2">
        <v>2.3913036000000001E-5</v>
      </c>
      <c r="J25" s="2">
        <v>-2.5016577000000001E-4</v>
      </c>
      <c r="K25" s="3"/>
      <c r="L25" s="3">
        <f t="shared" si="0"/>
        <v>0.14827586206896551</v>
      </c>
      <c r="M25" s="3"/>
      <c r="N25" s="2">
        <f>IF('Modell einstellen'!$B$1="Voll",H25/0.35,H25/0.35*2)</f>
        <v>2.7170352857142858E-4</v>
      </c>
      <c r="O25" s="2">
        <f>IF('Modell einstellen'!$B$1="Voll",J25/0.35,J25/0.35*2)</f>
        <v>-7.1475934285714299E-4</v>
      </c>
      <c r="P25" s="3">
        <f t="shared" si="1"/>
        <v>0.38013288148894225</v>
      </c>
      <c r="Q25" s="3"/>
      <c r="R25" s="3"/>
      <c r="S25" s="3"/>
      <c r="T25" s="3"/>
      <c r="U25" s="3"/>
      <c r="V25" s="3"/>
      <c r="W25" s="3"/>
    </row>
    <row r="26" spans="1:23" x14ac:dyDescent="0.25">
      <c r="A26" s="2">
        <v>100000000</v>
      </c>
      <c r="B26" s="2">
        <v>1.2239999999999999E-4</v>
      </c>
      <c r="C26" s="2">
        <v>2.6810000000000001E-4</v>
      </c>
      <c r="D26" s="2">
        <v>-6.5490000000000004E-4</v>
      </c>
      <c r="E26" s="2">
        <v>0</v>
      </c>
      <c r="F26" s="2">
        <v>0</v>
      </c>
      <c r="G26" s="2">
        <v>0</v>
      </c>
      <c r="H26" s="2">
        <v>1.0505922E-4</v>
      </c>
      <c r="I26" s="2">
        <v>2.8941176000000001E-5</v>
      </c>
      <c r="J26" s="2">
        <v>-2.7677771000000001E-4</v>
      </c>
      <c r="K26" s="3"/>
      <c r="L26" s="3">
        <f t="shared" si="0"/>
        <v>0.18689876316994958</v>
      </c>
      <c r="M26" s="3"/>
      <c r="N26" s="2">
        <f>IF('Modell einstellen'!$B$1="Voll",H26/0.35,H26/0.35*2)</f>
        <v>3.0016919999999999E-4</v>
      </c>
      <c r="O26" s="2">
        <f>IF('Modell einstellen'!$B$1="Voll",J26/0.35,J26/0.35*2)</f>
        <v>-7.9079345714285724E-4</v>
      </c>
      <c r="P26" s="3">
        <f t="shared" si="1"/>
        <v>0.37957977179592961</v>
      </c>
      <c r="Q26" s="3"/>
      <c r="R26" s="3"/>
      <c r="S26" s="3"/>
      <c r="T26" s="3"/>
      <c r="U26" s="3"/>
      <c r="V26" s="3"/>
      <c r="W26" s="3"/>
    </row>
    <row r="27" spans="1:23" x14ac:dyDescent="0.25">
      <c r="A27" s="2">
        <v>1000000000</v>
      </c>
      <c r="B27" s="2">
        <v>1.5320000000000001E-4</v>
      </c>
      <c r="C27" s="2">
        <v>3.0880000000000002E-4</v>
      </c>
      <c r="D27" s="2">
        <v>-7.224E-4</v>
      </c>
      <c r="E27" s="2">
        <v>0</v>
      </c>
      <c r="F27" s="2">
        <v>0</v>
      </c>
      <c r="G27" s="2">
        <v>0</v>
      </c>
      <c r="H27" s="2">
        <v>1.1559988E-4</v>
      </c>
      <c r="I27" s="2">
        <v>3.3982442000000003E-5</v>
      </c>
      <c r="J27" s="2">
        <v>-3.0446972999999998E-4</v>
      </c>
      <c r="K27" s="3"/>
      <c r="L27" s="3">
        <f t="shared" si="0"/>
        <v>0.21207087486157256</v>
      </c>
      <c r="M27" s="3"/>
      <c r="N27" s="2">
        <f>IF('Modell einstellen'!$B$1="Voll",H27/0.35,H27/0.35*2)</f>
        <v>3.3028537142857143E-4</v>
      </c>
      <c r="O27" s="2">
        <f>IF('Modell einstellen'!$B$1="Voll",J27/0.35,J27/0.35*2)</f>
        <v>-8.6991351428571432E-4</v>
      </c>
      <c r="P27" s="3">
        <f t="shared" si="1"/>
        <v>0.37967610113491412</v>
      </c>
      <c r="Q27" s="3"/>
      <c r="R27" s="3"/>
      <c r="S27" s="3"/>
      <c r="T27" s="3"/>
      <c r="U27" s="3"/>
      <c r="V27" s="3"/>
      <c r="W27" s="3"/>
    </row>
    <row r="28" spans="1:23" x14ac:dyDescent="0.25">
      <c r="A28" s="2">
        <v>10000000000</v>
      </c>
      <c r="B28" s="2">
        <v>1.771E-4</v>
      </c>
      <c r="C28" s="2">
        <v>3.4620000000000001E-4</v>
      </c>
      <c r="D28" s="2">
        <v>-7.8149999999999997E-4</v>
      </c>
      <c r="E28" s="2">
        <v>0</v>
      </c>
      <c r="F28" s="2">
        <v>0</v>
      </c>
      <c r="G28" s="2">
        <v>0</v>
      </c>
      <c r="H28" s="2">
        <v>1.2604727000000001E-4</v>
      </c>
      <c r="I28" s="2">
        <v>3.8786586000000001E-5</v>
      </c>
      <c r="J28" s="2">
        <v>-3.3164030000000001E-4</v>
      </c>
      <c r="K28" s="3"/>
      <c r="L28" s="3">
        <f t="shared" si="0"/>
        <v>0.22661548304542548</v>
      </c>
      <c r="M28" s="3"/>
      <c r="N28" s="2">
        <f>IF('Modell einstellen'!$B$1="Voll",H28/0.35,H28/0.35*2)</f>
        <v>3.6013505714285721E-4</v>
      </c>
      <c r="O28" s="2">
        <f>IF('Modell einstellen'!$B$1="Voll",J28/0.35,J28/0.35*2)</f>
        <v>-9.4754371428571436E-4</v>
      </c>
      <c r="P28" s="3">
        <f t="shared" si="1"/>
        <v>0.38007223488822078</v>
      </c>
      <c r="Q28" s="3"/>
      <c r="R28" s="3"/>
      <c r="S28" s="3"/>
      <c r="T28" s="3"/>
      <c r="U28" s="3"/>
      <c r="V28" s="3"/>
      <c r="W28" s="3"/>
    </row>
    <row r="29" spans="1:23" x14ac:dyDescent="0.25">
      <c r="A29" s="2">
        <v>100000000000</v>
      </c>
      <c r="B29" s="2">
        <v>1.9340000000000001E-4</v>
      </c>
      <c r="C29" s="2">
        <v>3.834E-4</v>
      </c>
      <c r="D29" s="2">
        <v>-8.3469999999999996E-4</v>
      </c>
      <c r="E29" s="2">
        <v>0</v>
      </c>
      <c r="F29" s="2">
        <v>0</v>
      </c>
      <c r="G29" s="2">
        <v>0</v>
      </c>
      <c r="H29" s="2">
        <v>1.3764195E-4</v>
      </c>
      <c r="I29" s="2">
        <v>4.3714880000000003E-5</v>
      </c>
      <c r="J29" s="2">
        <v>-3.6085418000000001E-4</v>
      </c>
      <c r="K29" s="3"/>
      <c r="L29" s="3">
        <f t="shared" si="0"/>
        <v>0.23170001198035226</v>
      </c>
      <c r="M29" s="3"/>
      <c r="N29" s="2">
        <f>IF('Modell einstellen'!$B$1="Voll",H29/0.35,H29/0.35*2)</f>
        <v>3.9326271428571431E-4</v>
      </c>
      <c r="O29" s="2">
        <f>IF('Modell einstellen'!$B$1="Voll",J29/0.35,J29/0.35*2)</f>
        <v>-1.0310119428571429E-3</v>
      </c>
      <c r="P29" s="3">
        <f t="shared" si="1"/>
        <v>0.38143371375107804</v>
      </c>
      <c r="Q29" s="3"/>
      <c r="R29" s="3"/>
      <c r="S29" s="3"/>
      <c r="T29" s="3"/>
      <c r="U29" s="3"/>
      <c r="V29" s="3"/>
      <c r="W29" s="3"/>
    </row>
    <row r="30" spans="1:23" x14ac:dyDescent="0.25">
      <c r="A30" s="2">
        <v>1000000000000</v>
      </c>
      <c r="B30" s="2">
        <v>2.018E-4</v>
      </c>
      <c r="C30" s="2">
        <v>4.2240000000000002E-4</v>
      </c>
      <c r="D30" s="2">
        <v>-8.8340000000000001E-4</v>
      </c>
      <c r="E30" s="2">
        <v>0</v>
      </c>
      <c r="F30" s="2">
        <v>0</v>
      </c>
      <c r="G30" s="2">
        <v>0</v>
      </c>
      <c r="H30" s="2">
        <v>1.5079275E-4</v>
      </c>
      <c r="I30" s="2">
        <v>4.9058842E-5</v>
      </c>
      <c r="J30" s="2">
        <v>-3.9345111000000001E-4</v>
      </c>
      <c r="K30" s="3"/>
      <c r="L30" s="3">
        <f t="shared" si="0"/>
        <v>0.22843558976681005</v>
      </c>
      <c r="M30" s="3"/>
      <c r="N30" s="2">
        <f>IF('Modell einstellen'!$B$1="Voll",H30/0.35,H30/0.35*2)</f>
        <v>4.308364285714286E-4</v>
      </c>
      <c r="O30" s="2">
        <f>IF('Modell einstellen'!$B$1="Voll",J30/0.35,J30/0.35*2)</f>
        <v>-1.1241460285714286E-3</v>
      </c>
      <c r="P30" s="3">
        <f t="shared" si="1"/>
        <v>0.3832566389252276</v>
      </c>
      <c r="Q30" s="3"/>
      <c r="R30" s="3"/>
      <c r="S30" s="3"/>
      <c r="T30" s="3"/>
      <c r="U30" s="3"/>
      <c r="V30" s="3"/>
      <c r="W30" s="3"/>
    </row>
    <row r="31" spans="1:23" x14ac:dyDescent="0.25">
      <c r="A31" s="2">
        <v>10000000000000</v>
      </c>
      <c r="B31" s="2">
        <v>1.9689999999999999E-4</v>
      </c>
      <c r="C31" s="2">
        <v>4.7429999999999998E-4</v>
      </c>
      <c r="D31" s="2">
        <v>-9.3380000000000004E-4</v>
      </c>
      <c r="E31" s="2">
        <v>0</v>
      </c>
      <c r="F31" s="2">
        <v>0</v>
      </c>
      <c r="G31" s="2">
        <v>0</v>
      </c>
      <c r="H31" s="2">
        <v>1.7001620000000001E-4</v>
      </c>
      <c r="I31" s="2">
        <v>5.6363604000000001E-5</v>
      </c>
      <c r="J31" s="2">
        <v>-4.3969864000000002E-4</v>
      </c>
      <c r="K31" s="3"/>
      <c r="L31" s="3">
        <f t="shared" si="0"/>
        <v>0.21085885628614262</v>
      </c>
      <c r="M31" s="3"/>
      <c r="N31" s="2">
        <f>IF('Modell einstellen'!$B$1="Voll",H31/0.35,H31/0.35*2)</f>
        <v>4.8576057142857146E-4</v>
      </c>
      <c r="O31" s="2">
        <f>IF('Modell einstellen'!$B$1="Voll",J31/0.35,J31/0.35*2)</f>
        <v>-1.2562818285714286E-3</v>
      </c>
      <c r="P31" s="3">
        <f t="shared" si="1"/>
        <v>0.38666528511436832</v>
      </c>
      <c r="Q31" s="3"/>
      <c r="R31" s="3"/>
      <c r="S31" s="3"/>
      <c r="T31" s="3"/>
      <c r="U31" s="3"/>
      <c r="V31" s="3"/>
      <c r="W31" s="3"/>
    </row>
    <row r="32" spans="1:23" x14ac:dyDescent="0.25">
      <c r="A32" s="2">
        <v>100000000000000</v>
      </c>
      <c r="B32" s="2">
        <v>1.6589999999999999E-4</v>
      </c>
      <c r="C32" s="2">
        <v>5.5060000000000005E-4</v>
      </c>
      <c r="D32" s="2">
        <v>-9.8489999999999992E-4</v>
      </c>
      <c r="E32" s="2">
        <v>0</v>
      </c>
      <c r="F32" s="2">
        <v>0</v>
      </c>
      <c r="G32" s="2">
        <v>0</v>
      </c>
      <c r="H32" s="2">
        <v>2.0030227E-4</v>
      </c>
      <c r="I32" s="2">
        <v>6.7535314999999998E-5</v>
      </c>
      <c r="J32" s="2">
        <v>-5.1150855999999997E-4</v>
      </c>
      <c r="K32" s="3"/>
      <c r="L32" s="3">
        <f t="shared" si="0"/>
        <v>0.16844349680170576</v>
      </c>
      <c r="M32" s="3"/>
      <c r="N32" s="2">
        <f>IF('Modell einstellen'!$B$1="Voll",H32/0.35,H32/0.35*2)</f>
        <v>5.7229220000000003E-4</v>
      </c>
      <c r="O32" s="2">
        <f>IF('Modell einstellen'!$B$1="Voll",J32/0.35,J32/0.35*2)</f>
        <v>-1.4614530285714286E-3</v>
      </c>
      <c r="P32" s="3">
        <f t="shared" si="1"/>
        <v>0.39159123749561497</v>
      </c>
      <c r="Q32" s="3"/>
      <c r="R32" s="3"/>
      <c r="S32" s="3"/>
      <c r="T32" s="3"/>
      <c r="U32" s="3"/>
      <c r="V32" s="3"/>
      <c r="W32" s="3"/>
    </row>
    <row r="33" spans="1:23" x14ac:dyDescent="0.25">
      <c r="A33" s="2">
        <v>1000000000000000</v>
      </c>
      <c r="B33" s="2">
        <v>7.6569999999999994E-5</v>
      </c>
      <c r="C33" s="2">
        <v>6.7009999999999997E-4</v>
      </c>
      <c r="D33" s="2">
        <v>-1.023E-3</v>
      </c>
      <c r="E33" s="2">
        <v>0</v>
      </c>
      <c r="F33" s="2">
        <v>0</v>
      </c>
      <c r="G33" s="2">
        <v>0</v>
      </c>
      <c r="H33" s="2">
        <v>2.5166108999999999E-4</v>
      </c>
      <c r="I33" s="2">
        <v>8.5884998000000003E-5</v>
      </c>
      <c r="J33" s="2">
        <v>-6.3097520000000005E-4</v>
      </c>
      <c r="K33" s="3"/>
      <c r="L33" s="3">
        <f t="shared" si="0"/>
        <v>7.4848484848484845E-2</v>
      </c>
      <c r="M33" s="3"/>
      <c r="N33" s="2">
        <f>IF('Modell einstellen'!$B$1="Voll",H33/0.35,H33/0.35*2)</f>
        <v>7.1903168571428578E-4</v>
      </c>
      <c r="O33" s="2">
        <f>IF('Modell einstellen'!$B$1="Voll",J33/0.35,J33/0.35*2)</f>
        <v>-1.802786285714286E-3</v>
      </c>
      <c r="P33" s="3">
        <f t="shared" si="1"/>
        <v>0.39884466140666064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4.0639999999999997E-5</v>
      </c>
      <c r="C3" s="3">
        <v>1.518E-4</v>
      </c>
      <c r="D3" s="3">
        <v>-4.661E-4</v>
      </c>
      <c r="E3" s="3">
        <v>0</v>
      </c>
      <c r="F3" s="3">
        <v>0</v>
      </c>
      <c r="G3" s="3">
        <v>0</v>
      </c>
      <c r="H3" s="3">
        <v>7.0840387000000005E-5</v>
      </c>
      <c r="I3" s="3">
        <v>1.5443532E-5</v>
      </c>
      <c r="J3" s="3">
        <v>-1.9659138E-4</v>
      </c>
      <c r="L3" s="3">
        <f>-B3/D3</f>
        <v>8.7191589787599222E-2</v>
      </c>
      <c r="M3" s="3"/>
      <c r="N3" s="2">
        <f>IF('Modell einstellen'!$B$1="Voll",H3/0.35,H3/0.35*2)</f>
        <v>2.0240110571428574E-4</v>
      </c>
      <c r="O3" s="2">
        <f>IF('Modell einstellen'!$B$1="Voll",J3/0.35,J3/0.35*2)</f>
        <v>-5.6168965714285715E-4</v>
      </c>
      <c r="P3" s="3">
        <f>-N3/O3</f>
        <v>0.36034330192910802</v>
      </c>
    </row>
    <row r="4" spans="1:16" x14ac:dyDescent="0.25">
      <c r="A4" s="3">
        <v>1E-14</v>
      </c>
      <c r="B4" s="3">
        <v>4.0639999999999997E-5</v>
      </c>
      <c r="C4" s="3">
        <v>1.518E-4</v>
      </c>
      <c r="D4" s="3">
        <v>-4.661E-4</v>
      </c>
      <c r="E4" s="3">
        <v>0</v>
      </c>
      <c r="F4" s="3">
        <v>0</v>
      </c>
      <c r="G4" s="3">
        <v>0</v>
      </c>
      <c r="H4" s="3">
        <v>7.0841911E-5</v>
      </c>
      <c r="I4" s="3">
        <v>1.5444687999999999E-5</v>
      </c>
      <c r="J4" s="3">
        <v>-1.9658762000000001E-4</v>
      </c>
      <c r="L4" s="3">
        <f t="shared" ref="L4:L33" si="0">-B4/D4</f>
        <v>8.7191589787599222E-2</v>
      </c>
      <c r="M4" s="3"/>
      <c r="N4" s="2">
        <f>IF('Modell einstellen'!$B$1="Voll",H4/0.35,H4/0.35*2)</f>
        <v>2.0240546000000002E-4</v>
      </c>
      <c r="O4" s="2">
        <f>IF('Modell einstellen'!$B$1="Voll",J4/0.35,J4/0.35*2)</f>
        <v>-5.6167891428571433E-4</v>
      </c>
      <c r="P4" s="3">
        <f t="shared" ref="P4:P33" si="1">-N4/O4</f>
        <v>0.36035794624300349</v>
      </c>
    </row>
    <row r="5" spans="1:16" x14ac:dyDescent="0.25">
      <c r="A5" s="3">
        <v>1E-13</v>
      </c>
      <c r="B5" s="3">
        <v>4.0639999999999997E-5</v>
      </c>
      <c r="C5" s="3">
        <v>1.518E-4</v>
      </c>
      <c r="D5" s="3">
        <v>-4.661E-4</v>
      </c>
      <c r="E5" s="3">
        <v>0</v>
      </c>
      <c r="F5" s="3">
        <v>0</v>
      </c>
      <c r="G5" s="3">
        <v>0</v>
      </c>
      <c r="H5" s="3">
        <v>7.0842286000000006E-5</v>
      </c>
      <c r="I5" s="3">
        <v>1.5444859999999999E-5</v>
      </c>
      <c r="J5" s="3">
        <v>-1.9658862E-4</v>
      </c>
      <c r="L5" s="3">
        <f t="shared" si="0"/>
        <v>8.7191589787599222E-2</v>
      </c>
      <c r="M5" s="3"/>
      <c r="N5" s="2">
        <f>IF('Modell einstellen'!$B$1="Voll",H5/0.35,H5/0.35*2)</f>
        <v>2.0240653142857145E-4</v>
      </c>
      <c r="O5" s="2">
        <f>IF('Modell einstellen'!$B$1="Voll",J5/0.35,J5/0.35*2)</f>
        <v>-5.6168177142857149E-4</v>
      </c>
      <c r="P5" s="3">
        <f t="shared" si="1"/>
        <v>0.36035802072368178</v>
      </c>
    </row>
    <row r="6" spans="1:16" x14ac:dyDescent="0.25">
      <c r="A6" s="3">
        <v>9.9999999999999998E-13</v>
      </c>
      <c r="B6" s="3">
        <v>4.0639999999999997E-5</v>
      </c>
      <c r="C6" s="3">
        <v>1.518E-4</v>
      </c>
      <c r="D6" s="3">
        <v>-4.661E-4</v>
      </c>
      <c r="E6" s="3">
        <v>0</v>
      </c>
      <c r="F6" s="3">
        <v>0</v>
      </c>
      <c r="G6" s="3">
        <v>0</v>
      </c>
      <c r="H6" s="3">
        <v>7.0842402999999999E-5</v>
      </c>
      <c r="I6" s="3">
        <v>1.5444908E-5</v>
      </c>
      <c r="J6" s="3">
        <v>-1.9658891E-4</v>
      </c>
      <c r="L6" s="3">
        <f t="shared" si="0"/>
        <v>8.7191589787599222E-2</v>
      </c>
      <c r="M6" s="3"/>
      <c r="N6" s="2">
        <f>IF('Modell einstellen'!$B$1="Voll",H6/0.35,H6/0.35*2)</f>
        <v>2.0240686571428571E-4</v>
      </c>
      <c r="O6" s="2">
        <f>IF('Modell einstellen'!$B$1="Voll",J6/0.35,J6/0.35*2)</f>
        <v>-5.6168260000000008E-4</v>
      </c>
      <c r="P6" s="3">
        <f t="shared" si="1"/>
        <v>0.36035808428868132</v>
      </c>
    </row>
    <row r="7" spans="1:16" x14ac:dyDescent="0.25">
      <c r="A7" s="3">
        <v>9.9999999999999994E-12</v>
      </c>
      <c r="B7" s="3">
        <v>4.0639999999999997E-5</v>
      </c>
      <c r="C7" s="3">
        <v>1.518E-4</v>
      </c>
      <c r="D7" s="3">
        <v>-4.661E-4</v>
      </c>
      <c r="E7" s="3">
        <v>0</v>
      </c>
      <c r="F7" s="3">
        <v>0</v>
      </c>
      <c r="G7" s="3">
        <v>0</v>
      </c>
      <c r="H7" s="3">
        <v>7.0842440999999997E-5</v>
      </c>
      <c r="I7" s="3">
        <v>1.5444921999999999E-5</v>
      </c>
      <c r="J7" s="3">
        <v>-1.96589E-4</v>
      </c>
      <c r="L7" s="3">
        <f t="shared" si="0"/>
        <v>8.7191589787599222E-2</v>
      </c>
      <c r="M7" s="3"/>
      <c r="N7" s="2">
        <f>IF('Modell einstellen'!$B$1="Voll",H7/0.35,H7/0.35*2)</f>
        <v>2.0240697428571428E-4</v>
      </c>
      <c r="O7" s="2">
        <f>IF('Modell einstellen'!$B$1="Voll",J7/0.35,J7/0.35*2)</f>
        <v>-5.6168285714285721E-4</v>
      </c>
      <c r="P7" s="3">
        <f t="shared" si="1"/>
        <v>0.36035811261057327</v>
      </c>
    </row>
    <row r="8" spans="1:16" x14ac:dyDescent="0.25">
      <c r="A8" s="3">
        <v>1E-10</v>
      </c>
      <c r="B8" s="3">
        <v>4.0639999999999997E-5</v>
      </c>
      <c r="C8" s="3">
        <v>1.518E-4</v>
      </c>
      <c r="D8" s="3">
        <v>-4.661E-4</v>
      </c>
      <c r="E8" s="3">
        <v>0</v>
      </c>
      <c r="F8" s="3">
        <v>0</v>
      </c>
      <c r="G8" s="3">
        <v>0</v>
      </c>
      <c r="H8" s="3">
        <v>7.0842453999999999E-5</v>
      </c>
      <c r="I8" s="3">
        <v>1.5444926E-5</v>
      </c>
      <c r="J8" s="3">
        <v>-1.9658903000000001E-4</v>
      </c>
      <c r="L8" s="3">
        <f t="shared" si="0"/>
        <v>8.7191589787599222E-2</v>
      </c>
      <c r="M8" s="3"/>
      <c r="N8" s="2">
        <f>IF('Modell einstellen'!$B$1="Voll",H8/0.35,H8/0.35*2)</f>
        <v>2.0240701142857143E-4</v>
      </c>
      <c r="O8" s="2">
        <f>IF('Modell einstellen'!$B$1="Voll",J8/0.35,J8/0.35*2)</f>
        <v>-5.6168294285714293E-4</v>
      </c>
      <c r="P8" s="3">
        <f t="shared" si="1"/>
        <v>0.36035812374678278</v>
      </c>
    </row>
    <row r="9" spans="1:16" x14ac:dyDescent="0.25">
      <c r="A9" s="3">
        <v>1.0000000000000001E-9</v>
      </c>
      <c r="B9" s="3">
        <v>4.0639999999999997E-5</v>
      </c>
      <c r="C9" s="3">
        <v>1.518E-4</v>
      </c>
      <c r="D9" s="3">
        <v>-4.661E-4</v>
      </c>
      <c r="E9" s="3">
        <v>0</v>
      </c>
      <c r="F9" s="3">
        <v>0</v>
      </c>
      <c r="G9" s="3">
        <v>0</v>
      </c>
      <c r="H9" s="3">
        <v>7.0842457999999997E-5</v>
      </c>
      <c r="I9" s="3">
        <v>1.5444927999999998E-5</v>
      </c>
      <c r="J9" s="3">
        <v>-1.9658904E-4</v>
      </c>
      <c r="L9" s="3">
        <f t="shared" si="0"/>
        <v>8.7191589787599222E-2</v>
      </c>
      <c r="M9" s="3"/>
      <c r="N9" s="2">
        <f>IF('Modell einstellen'!$B$1="Voll",H9/0.35,H9/0.35*2)</f>
        <v>2.0240702285714287E-4</v>
      </c>
      <c r="O9" s="2">
        <f>IF('Modell einstellen'!$B$1="Voll",J9/0.35,J9/0.35*2)</f>
        <v>-5.6168297142857146E-4</v>
      </c>
      <c r="P9" s="3">
        <f t="shared" si="1"/>
        <v>0.36035812576326737</v>
      </c>
    </row>
    <row r="10" spans="1:16" x14ac:dyDescent="0.25">
      <c r="A10" s="3">
        <v>1E-8</v>
      </c>
      <c r="B10" s="3">
        <v>4.0639999999999997E-5</v>
      </c>
      <c r="C10" s="3">
        <v>1.518E-4</v>
      </c>
      <c r="D10" s="3">
        <v>-4.661E-4</v>
      </c>
      <c r="E10" s="3">
        <v>0</v>
      </c>
      <c r="F10" s="3">
        <v>0</v>
      </c>
      <c r="G10" s="3">
        <v>0</v>
      </c>
      <c r="H10" s="3">
        <v>7.0842460000000002E-5</v>
      </c>
      <c r="I10" s="3">
        <v>1.5444927999999998E-5</v>
      </c>
      <c r="J10" s="3">
        <v>-1.9658904E-4</v>
      </c>
      <c r="L10" s="3">
        <f t="shared" si="0"/>
        <v>8.7191589787599222E-2</v>
      </c>
      <c r="M10" s="3"/>
      <c r="N10" s="2">
        <f>IF('Modell einstellen'!$B$1="Voll",H10/0.35,H10/0.35*2)</f>
        <v>2.0240702857142858E-4</v>
      </c>
      <c r="O10" s="2">
        <f>IF('Modell einstellen'!$B$1="Voll",J10/0.35,J10/0.35*2)</f>
        <v>-5.6168297142857146E-4</v>
      </c>
      <c r="P10" s="3">
        <f t="shared" si="1"/>
        <v>0.36035813593677452</v>
      </c>
    </row>
    <row r="11" spans="1:16" x14ac:dyDescent="0.25">
      <c r="A11" s="3">
        <v>9.9999999999999995E-8</v>
      </c>
      <c r="B11" s="3">
        <v>4.0639999999999997E-5</v>
      </c>
      <c r="C11" s="3">
        <v>1.518E-4</v>
      </c>
      <c r="D11" s="3">
        <v>-4.661E-4</v>
      </c>
      <c r="E11" s="3">
        <v>0</v>
      </c>
      <c r="F11" s="3">
        <v>0</v>
      </c>
      <c r="G11" s="3">
        <v>0</v>
      </c>
      <c r="H11" s="3">
        <v>7.0842460000000002E-5</v>
      </c>
      <c r="I11" s="3">
        <v>1.5444927999999998E-5</v>
      </c>
      <c r="J11" s="3">
        <v>-1.9658904999999999E-4</v>
      </c>
      <c r="L11" s="3">
        <f t="shared" si="0"/>
        <v>8.7191589787599222E-2</v>
      </c>
      <c r="M11" s="3"/>
      <c r="N11" s="2">
        <f>IF('Modell einstellen'!$B$1="Voll",H11/0.35,H11/0.35*2)</f>
        <v>2.0240702857142858E-4</v>
      </c>
      <c r="O11" s="2">
        <f>IF('Modell einstellen'!$B$1="Voll",J11/0.35,J11/0.35*2)</f>
        <v>-5.61683E-4</v>
      </c>
      <c r="P11" s="3">
        <f t="shared" si="1"/>
        <v>0.36035811760624514</v>
      </c>
    </row>
    <row r="12" spans="1:16" x14ac:dyDescent="0.25">
      <c r="A12" s="3">
        <v>9.9999999999999995E-7</v>
      </c>
      <c r="B12" s="3">
        <v>4.0639999999999997E-5</v>
      </c>
      <c r="C12" s="3">
        <v>1.518E-4</v>
      </c>
      <c r="D12" s="3">
        <v>-4.661E-4</v>
      </c>
      <c r="E12" s="3">
        <v>0</v>
      </c>
      <c r="F12" s="3">
        <v>0</v>
      </c>
      <c r="G12" s="3">
        <v>0</v>
      </c>
      <c r="H12" s="3">
        <v>7.0842460999999998E-5</v>
      </c>
      <c r="I12" s="3">
        <v>1.5444927999999998E-5</v>
      </c>
      <c r="J12" s="3">
        <v>-1.9658904999999999E-4</v>
      </c>
      <c r="L12" s="3">
        <f t="shared" si="0"/>
        <v>8.7191589787599222E-2</v>
      </c>
      <c r="M12" s="3"/>
      <c r="N12" s="2">
        <f>IF('Modell einstellen'!$B$1="Voll",H12/0.35,H12/0.35*2)</f>
        <v>2.0240703142857143E-4</v>
      </c>
      <c r="O12" s="2">
        <f>IF('Modell einstellen'!$B$1="Voll",J12/0.35,J12/0.35*2)</f>
        <v>-5.61683E-4</v>
      </c>
      <c r="P12" s="3">
        <f t="shared" si="1"/>
        <v>0.36035812269299844</v>
      </c>
    </row>
    <row r="13" spans="1:16" x14ac:dyDescent="0.25">
      <c r="A13" s="3">
        <v>1.0000000000000001E-5</v>
      </c>
      <c r="B13" s="3">
        <v>4.0639999999999997E-5</v>
      </c>
      <c r="C13" s="3">
        <v>1.518E-4</v>
      </c>
      <c r="D13" s="3">
        <v>-4.661E-4</v>
      </c>
      <c r="E13" s="3">
        <v>0</v>
      </c>
      <c r="F13" s="3">
        <v>0</v>
      </c>
      <c r="G13" s="3">
        <v>0</v>
      </c>
      <c r="H13" s="3">
        <v>7.0842464999999996E-5</v>
      </c>
      <c r="I13" s="3">
        <v>1.5444929000000001E-5</v>
      </c>
      <c r="J13" s="3">
        <v>-1.9658904999999999E-4</v>
      </c>
      <c r="L13" s="3">
        <f t="shared" si="0"/>
        <v>8.7191589787599222E-2</v>
      </c>
      <c r="M13" s="3"/>
      <c r="N13" s="2">
        <f>IF('Modell einstellen'!$B$1="Voll",H13/0.35,H13/0.35*2)</f>
        <v>2.0240704285714284E-4</v>
      </c>
      <c r="O13" s="2">
        <f>IF('Modell einstellen'!$B$1="Voll",J13/0.35,J13/0.35*2)</f>
        <v>-5.61683E-4</v>
      </c>
      <c r="P13" s="3">
        <f t="shared" si="1"/>
        <v>0.36035814304001162</v>
      </c>
    </row>
    <row r="14" spans="1:16" x14ac:dyDescent="0.25">
      <c r="A14" s="3">
        <v>1E-4</v>
      </c>
      <c r="B14" s="3">
        <v>4.0639999999999997E-5</v>
      </c>
      <c r="C14" s="3">
        <v>1.518E-4</v>
      </c>
      <c r="D14" s="3">
        <v>-4.661E-4</v>
      </c>
      <c r="E14" s="3">
        <v>0</v>
      </c>
      <c r="F14" s="3">
        <v>0</v>
      </c>
      <c r="G14" s="3">
        <v>0</v>
      </c>
      <c r="H14" s="3">
        <v>7.0842507000000004E-5</v>
      </c>
      <c r="I14" s="3">
        <v>1.5444934000000001E-5</v>
      </c>
      <c r="J14" s="3">
        <v>-1.9658912000000001E-4</v>
      </c>
      <c r="L14" s="3">
        <f t="shared" si="0"/>
        <v>8.7191589787599222E-2</v>
      </c>
      <c r="M14" s="3"/>
      <c r="N14" s="2">
        <f>IF('Modell einstellen'!$B$1="Voll",H14/0.35,H14/0.35*2)</f>
        <v>2.0240716285714288E-4</v>
      </c>
      <c r="O14" s="2">
        <f>IF('Modell einstellen'!$B$1="Voll",J14/0.35,J14/0.35*2)</f>
        <v>-5.6168320000000006E-4</v>
      </c>
      <c r="P14" s="3">
        <f t="shared" si="1"/>
        <v>0.36035822836991183</v>
      </c>
    </row>
    <row r="15" spans="1:16" x14ac:dyDescent="0.25">
      <c r="A15" s="3">
        <v>1E-3</v>
      </c>
      <c r="B15" s="3">
        <v>4.0639999999999997E-5</v>
      </c>
      <c r="C15" s="3">
        <v>1.518E-4</v>
      </c>
      <c r="D15" s="3">
        <v>-4.661E-4</v>
      </c>
      <c r="E15" s="3">
        <v>0</v>
      </c>
      <c r="F15" s="3">
        <v>0</v>
      </c>
      <c r="G15" s="3">
        <v>0</v>
      </c>
      <c r="H15" s="3">
        <v>7.0842922999999995E-5</v>
      </c>
      <c r="I15" s="3">
        <v>1.5444981E-5</v>
      </c>
      <c r="J15" s="3">
        <v>-1.9658978E-4</v>
      </c>
      <c r="L15" s="3">
        <f t="shared" si="0"/>
        <v>8.7191589787599222E-2</v>
      </c>
      <c r="M15" s="3"/>
      <c r="N15" s="2">
        <f>IF('Modell einstellen'!$B$1="Voll",H15/0.35,H15/0.35*2)</f>
        <v>2.0240835142857141E-4</v>
      </c>
      <c r="O15" s="2">
        <f>IF('Modell einstellen'!$B$1="Voll",J15/0.35,J15/0.35*2)</f>
        <v>-5.6168508571428574E-4</v>
      </c>
      <c r="P15" s="3">
        <f t="shared" si="1"/>
        <v>0.36035913464067154</v>
      </c>
    </row>
    <row r="16" spans="1:16" x14ac:dyDescent="0.25">
      <c r="A16" s="3">
        <v>0.01</v>
      </c>
      <c r="B16" s="3">
        <v>4.0639999999999997E-5</v>
      </c>
      <c r="C16" s="3">
        <v>1.518E-4</v>
      </c>
      <c r="D16" s="3">
        <v>-4.661E-4</v>
      </c>
      <c r="E16" s="3">
        <v>0</v>
      </c>
      <c r="F16" s="3">
        <v>0</v>
      </c>
      <c r="G16" s="3">
        <v>0</v>
      </c>
      <c r="H16" s="3">
        <v>7.0847080999999996E-5</v>
      </c>
      <c r="I16" s="3">
        <v>1.5445455999999999E-5</v>
      </c>
      <c r="J16" s="3">
        <v>-1.9659637000000001E-4</v>
      </c>
      <c r="L16" s="3">
        <f t="shared" si="0"/>
        <v>8.7191589787599222E-2</v>
      </c>
      <c r="M16" s="3"/>
      <c r="N16" s="2">
        <f>IF('Modell einstellen'!$B$1="Voll",H16/0.35,H16/0.35*2)</f>
        <v>2.0242023142857143E-4</v>
      </c>
      <c r="O16" s="2">
        <f>IF('Modell einstellen'!$B$1="Voll",J16/0.35,J16/0.35*2)</f>
        <v>-5.617039142857144E-4</v>
      </c>
      <c r="P16" s="3">
        <f t="shared" si="1"/>
        <v>0.36036820517082785</v>
      </c>
    </row>
    <row r="17" spans="1:16" x14ac:dyDescent="0.25">
      <c r="A17" s="3">
        <v>0.1</v>
      </c>
      <c r="B17" s="3">
        <v>4.0590000000000003E-5</v>
      </c>
      <c r="C17" s="3">
        <v>1.518E-4</v>
      </c>
      <c r="D17" s="3">
        <v>-4.661E-4</v>
      </c>
      <c r="E17" s="3">
        <v>0</v>
      </c>
      <c r="F17" s="3">
        <v>0</v>
      </c>
      <c r="G17" s="3">
        <v>0</v>
      </c>
      <c r="H17" s="3">
        <v>7.0888340999999996E-5</v>
      </c>
      <c r="I17" s="3">
        <v>1.5450167E-5</v>
      </c>
      <c r="J17" s="3">
        <v>-1.9666181000000001E-4</v>
      </c>
      <c r="L17" s="3">
        <f t="shared" si="0"/>
        <v>8.708431667024244E-2</v>
      </c>
      <c r="M17" s="3"/>
      <c r="N17" s="2">
        <f>IF('Modell einstellen'!$B$1="Voll",H17/0.35,H17/0.35*2)</f>
        <v>2.0253811714285715E-4</v>
      </c>
      <c r="O17" s="2">
        <f>IF('Modell einstellen'!$B$1="Voll",J17/0.35,J17/0.35*2)</f>
        <v>-5.6189088571428577E-4</v>
      </c>
      <c r="P17" s="3">
        <f t="shared" si="1"/>
        <v>0.36045809300748322</v>
      </c>
    </row>
    <row r="18" spans="1:16" x14ac:dyDescent="0.25">
      <c r="A18" s="3">
        <v>1</v>
      </c>
      <c r="B18" s="3">
        <v>4.0160000000000002E-5</v>
      </c>
      <c r="C18" s="3">
        <v>1.5220000000000001E-4</v>
      </c>
      <c r="D18" s="3">
        <v>-4.6640000000000001E-4</v>
      </c>
      <c r="E18" s="3">
        <v>0</v>
      </c>
      <c r="F18" s="3">
        <v>0</v>
      </c>
      <c r="G18" s="3">
        <v>0</v>
      </c>
      <c r="H18" s="3">
        <v>7.1270091999999999E-5</v>
      </c>
      <c r="I18" s="3">
        <v>1.5493726000000002E-5</v>
      </c>
      <c r="J18" s="3">
        <v>-1.9726695999999999E-4</v>
      </c>
      <c r="L18" s="3">
        <f t="shared" si="0"/>
        <v>8.6106346483704979E-2</v>
      </c>
      <c r="M18" s="3"/>
      <c r="N18" s="2">
        <f>IF('Modell einstellen'!$B$1="Voll",H18/0.35,H18/0.35*2)</f>
        <v>2.0362883428571429E-4</v>
      </c>
      <c r="O18" s="2">
        <f>IF('Modell einstellen'!$B$1="Voll",J18/0.35,J18/0.35*2)</f>
        <v>-5.6361988571428567E-4</v>
      </c>
      <c r="P18" s="3">
        <f t="shared" si="1"/>
        <v>0.36128752630445571</v>
      </c>
    </row>
    <row r="19" spans="1:16" x14ac:dyDescent="0.25">
      <c r="A19" s="3">
        <v>10</v>
      </c>
      <c r="B19" s="3">
        <v>3.8269999999999998E-5</v>
      </c>
      <c r="C19" s="3">
        <v>1.5449999999999999E-4</v>
      </c>
      <c r="D19" s="3">
        <v>-4.685E-4</v>
      </c>
      <c r="E19" s="3">
        <v>0</v>
      </c>
      <c r="F19" s="3">
        <v>0</v>
      </c>
      <c r="G19" s="3">
        <v>0</v>
      </c>
      <c r="H19" s="3">
        <v>7.3294918999999994E-5</v>
      </c>
      <c r="I19" s="3">
        <v>1.5746303E-5</v>
      </c>
      <c r="J19" s="3">
        <v>-2.0053561000000001E-4</v>
      </c>
      <c r="L19" s="3">
        <f t="shared" si="0"/>
        <v>8.1686232657417285E-2</v>
      </c>
      <c r="M19" s="3"/>
      <c r="N19" s="2">
        <f>IF('Modell einstellen'!$B$1="Voll",H19/0.35,H19/0.35*2)</f>
        <v>2.0941405428571427E-4</v>
      </c>
      <c r="O19" s="2">
        <f>IF('Modell einstellen'!$B$1="Voll",J19/0.35,J19/0.35*2)</f>
        <v>-5.7295888571428581E-4</v>
      </c>
      <c r="P19" s="3">
        <f t="shared" si="1"/>
        <v>0.36549577902897135</v>
      </c>
    </row>
    <row r="20" spans="1:16" x14ac:dyDescent="0.25">
      <c r="A20" s="3">
        <v>100</v>
      </c>
      <c r="B20" s="3">
        <v>3.5939999999999998E-5</v>
      </c>
      <c r="C20" s="3">
        <v>1.574E-4</v>
      </c>
      <c r="D20" s="3">
        <v>-4.7100000000000001E-4</v>
      </c>
      <c r="E20" s="3">
        <v>0</v>
      </c>
      <c r="F20" s="3">
        <v>0</v>
      </c>
      <c r="G20" s="3">
        <v>0</v>
      </c>
      <c r="H20" s="3">
        <v>7.5819420000000003E-5</v>
      </c>
      <c r="I20" s="3">
        <v>1.6075078000000001E-5</v>
      </c>
      <c r="J20" s="3">
        <v>-2.0462267000000001E-4</v>
      </c>
      <c r="L20" s="3">
        <f t="shared" si="0"/>
        <v>7.6305732484076433E-2</v>
      </c>
      <c r="M20" s="3"/>
      <c r="N20" s="2">
        <f>IF('Modell einstellen'!$B$1="Voll",H20/0.35,H20/0.35*2)</f>
        <v>2.1662691428571431E-4</v>
      </c>
      <c r="O20" s="2">
        <f>IF('Modell einstellen'!$B$1="Voll",J20/0.35,J20/0.35*2)</f>
        <v>-5.846362000000001E-4</v>
      </c>
      <c r="P20" s="3">
        <f t="shared" si="1"/>
        <v>0.37053284467454167</v>
      </c>
    </row>
    <row r="21" spans="1:16" x14ac:dyDescent="0.25">
      <c r="A21" s="3">
        <v>1000</v>
      </c>
      <c r="B21" s="3">
        <v>3.5809999999999998E-5</v>
      </c>
      <c r="C21" s="3">
        <v>1.6330000000000001E-4</v>
      </c>
      <c r="D21" s="3">
        <v>-4.7820000000000002E-4</v>
      </c>
      <c r="E21" s="3">
        <v>0</v>
      </c>
      <c r="F21" s="3">
        <v>0</v>
      </c>
      <c r="G21" s="3">
        <v>0</v>
      </c>
      <c r="H21" s="3">
        <v>7.9053747999999996E-5</v>
      </c>
      <c r="I21" s="3">
        <v>1.6731359000000002E-5</v>
      </c>
      <c r="J21" s="3">
        <v>-2.1046916999999999E-4</v>
      </c>
      <c r="L21" s="3">
        <f t="shared" si="0"/>
        <v>7.4884985361773307E-2</v>
      </c>
      <c r="M21" s="3"/>
      <c r="N21" s="2">
        <f>IF('Modell einstellen'!$B$1="Voll",H21/0.35,H21/0.35*2)</f>
        <v>2.2586785142857143E-4</v>
      </c>
      <c r="O21" s="2">
        <f>IF('Modell einstellen'!$B$1="Voll",J21/0.35,J21/0.35*2)</f>
        <v>-6.0134048571428575E-4</v>
      </c>
      <c r="P21" s="3">
        <f t="shared" si="1"/>
        <v>0.37560725877333956</v>
      </c>
    </row>
    <row r="22" spans="1:16" x14ac:dyDescent="0.25">
      <c r="A22" s="3">
        <v>10000</v>
      </c>
      <c r="B22" s="3">
        <v>4.8189999999999998E-5</v>
      </c>
      <c r="C22" s="3">
        <v>1.816E-4</v>
      </c>
      <c r="D22" s="3">
        <v>-5.0719999999999997E-4</v>
      </c>
      <c r="E22" s="3">
        <v>0</v>
      </c>
      <c r="F22" s="3">
        <v>0</v>
      </c>
      <c r="G22" s="3">
        <v>0</v>
      </c>
      <c r="H22" s="3">
        <v>8.4400398E-5</v>
      </c>
      <c r="I22" s="3">
        <v>1.8779892000000001E-5</v>
      </c>
      <c r="J22" s="3">
        <v>-2.2272618000000001E-4</v>
      </c>
      <c r="L22" s="3">
        <f t="shared" si="0"/>
        <v>9.5011829652996843E-2</v>
      </c>
      <c r="M22" s="3"/>
      <c r="N22" s="2">
        <f>IF('Modell einstellen'!$B$1="Voll",H22/0.35,H22/0.35*2)</f>
        <v>2.4114399428571431E-4</v>
      </c>
      <c r="O22" s="2">
        <f>IF('Modell einstellen'!$B$1="Voll",J22/0.35,J22/0.35*2)</f>
        <v>-6.3636051428571437E-4</v>
      </c>
      <c r="P22" s="3">
        <f t="shared" si="1"/>
        <v>0.378942421586901</v>
      </c>
    </row>
    <row r="23" spans="1:16" x14ac:dyDescent="0.25">
      <c r="A23" s="3">
        <v>100000</v>
      </c>
      <c r="B23" s="3">
        <v>7.9670000000000001E-5</v>
      </c>
      <c r="C23" s="3">
        <v>2.1560000000000001E-4</v>
      </c>
      <c r="D23" s="3">
        <v>-5.666E-4</v>
      </c>
      <c r="E23" s="3">
        <v>0</v>
      </c>
      <c r="F23" s="3">
        <v>0</v>
      </c>
      <c r="G23" s="3">
        <v>0</v>
      </c>
      <c r="H23" s="3">
        <v>9.2072274999999994E-5</v>
      </c>
      <c r="I23" s="3">
        <v>2.2693725000000001E-5</v>
      </c>
      <c r="J23" s="3">
        <v>-2.4303783E-4</v>
      </c>
      <c r="L23" s="3">
        <f t="shared" si="0"/>
        <v>0.14061066007765619</v>
      </c>
      <c r="M23" s="3"/>
      <c r="N23" s="2">
        <f>IF('Modell einstellen'!$B$1="Voll",H23/0.35,H23/0.35*2)</f>
        <v>2.6306364285714286E-4</v>
      </c>
      <c r="O23" s="2">
        <f>IF('Modell einstellen'!$B$1="Voll",J23/0.35,J23/0.35*2)</f>
        <v>-6.9439380000000002E-4</v>
      </c>
      <c r="P23" s="3">
        <f t="shared" si="1"/>
        <v>0.37883927370483844</v>
      </c>
    </row>
    <row r="24" spans="1:16" x14ac:dyDescent="0.25">
      <c r="A24" s="3">
        <v>1000000</v>
      </c>
      <c r="B24" s="3">
        <v>1.16E-4</v>
      </c>
      <c r="C24" s="3">
        <v>2.5599999999999999E-4</v>
      </c>
      <c r="D24" s="3">
        <v>-6.3670000000000003E-4</v>
      </c>
      <c r="E24" s="3">
        <v>0</v>
      </c>
      <c r="F24" s="3">
        <v>0</v>
      </c>
      <c r="G24" s="3">
        <v>0</v>
      </c>
      <c r="H24" s="3">
        <v>1.0125284E-4</v>
      </c>
      <c r="I24" s="3">
        <v>2.7471817999999999E-5</v>
      </c>
      <c r="J24" s="3">
        <v>-2.678499E-4</v>
      </c>
      <c r="L24" s="3">
        <f t="shared" si="0"/>
        <v>0.18218941416679754</v>
      </c>
      <c r="M24" s="3"/>
      <c r="N24" s="2">
        <f>IF('Modell einstellen'!$B$1="Voll",H24/0.35,H24/0.35*2)</f>
        <v>2.8929382857142857E-4</v>
      </c>
      <c r="O24" s="2">
        <f>IF('Modell einstellen'!$B$1="Voll",J24/0.35,J24/0.35*2)</f>
        <v>-7.6528542857142866E-4</v>
      </c>
      <c r="P24" s="3">
        <f t="shared" si="1"/>
        <v>0.37802082434975703</v>
      </c>
    </row>
    <row r="25" spans="1:16" x14ac:dyDescent="0.25">
      <c r="A25" s="3">
        <v>10000000</v>
      </c>
      <c r="B25" s="3">
        <v>1.482E-4</v>
      </c>
      <c r="C25" s="3">
        <v>2.9609999999999999E-4</v>
      </c>
      <c r="D25" s="3">
        <v>-7.0450000000000005E-4</v>
      </c>
      <c r="E25" s="3">
        <v>0</v>
      </c>
      <c r="F25" s="3">
        <v>0</v>
      </c>
      <c r="G25" s="3">
        <v>0</v>
      </c>
      <c r="H25" s="3">
        <v>1.1137828E-4</v>
      </c>
      <c r="I25" s="3">
        <v>3.2387022E-5</v>
      </c>
      <c r="J25" s="3">
        <v>-2.9454394999999997E-4</v>
      </c>
      <c r="L25" s="3">
        <f t="shared" si="0"/>
        <v>0.21036195883605391</v>
      </c>
      <c r="M25" s="3"/>
      <c r="N25" s="2">
        <f>IF('Modell einstellen'!$B$1="Voll",H25/0.35,H25/0.35*2)</f>
        <v>3.1822365714285713E-4</v>
      </c>
      <c r="O25" s="2">
        <f>IF('Modell einstellen'!$B$1="Voll",J25/0.35,J25/0.35*2)</f>
        <v>-8.4155414285714278E-4</v>
      </c>
      <c r="P25" s="3">
        <f t="shared" si="1"/>
        <v>0.37813806734105387</v>
      </c>
    </row>
    <row r="26" spans="1:16" x14ac:dyDescent="0.25">
      <c r="A26" s="3">
        <v>100000000</v>
      </c>
      <c r="B26" s="3">
        <v>1.739E-4</v>
      </c>
      <c r="C26" s="3">
        <v>3.3340000000000003E-4</v>
      </c>
      <c r="D26" s="3">
        <v>-7.649E-4</v>
      </c>
      <c r="E26" s="3">
        <v>0</v>
      </c>
      <c r="F26" s="3">
        <v>0</v>
      </c>
      <c r="G26" s="3">
        <v>0</v>
      </c>
      <c r="H26" s="3">
        <v>1.2162253000000001E-4</v>
      </c>
      <c r="I26" s="3">
        <v>3.7121218000000002E-5</v>
      </c>
      <c r="J26" s="3">
        <v>-3.2116217999999998E-4</v>
      </c>
      <c r="L26" s="3">
        <f t="shared" si="0"/>
        <v>0.22734998038959342</v>
      </c>
      <c r="M26" s="3"/>
      <c r="N26" s="2">
        <f>IF('Modell einstellen'!$B$1="Voll",H26/0.35,H26/0.35*2)</f>
        <v>3.4749294285714292E-4</v>
      </c>
      <c r="O26" s="2">
        <f>IF('Modell einstellen'!$B$1="Voll",J26/0.35,J26/0.35*2)</f>
        <v>-9.1760622857142856E-4</v>
      </c>
      <c r="P26" s="3">
        <f t="shared" si="1"/>
        <v>0.37869505680899296</v>
      </c>
    </row>
    <row r="27" spans="1:16" x14ac:dyDescent="0.25">
      <c r="A27" s="3">
        <v>1000000000</v>
      </c>
      <c r="B27" s="3">
        <v>1.9239999999999999E-4</v>
      </c>
      <c r="C27" s="3">
        <v>3.6900000000000002E-4</v>
      </c>
      <c r="D27" s="3">
        <v>-8.1820000000000005E-4</v>
      </c>
      <c r="E27" s="3">
        <v>0</v>
      </c>
      <c r="F27" s="3">
        <v>0</v>
      </c>
      <c r="G27" s="3">
        <v>0</v>
      </c>
      <c r="H27" s="3">
        <v>1.3237888999999999E-4</v>
      </c>
      <c r="I27" s="3">
        <v>4.1795149999999999E-5</v>
      </c>
      <c r="J27" s="3">
        <v>-3.4849375E-4</v>
      </c>
      <c r="L27" s="3">
        <f t="shared" si="0"/>
        <v>0.2351503299926668</v>
      </c>
      <c r="M27" s="3"/>
      <c r="N27" s="2">
        <f>IF('Modell einstellen'!$B$1="Voll",H27/0.35,H27/0.35*2)</f>
        <v>3.7822540000000002E-4</v>
      </c>
      <c r="O27" s="2">
        <f>IF('Modell einstellen'!$B$1="Voll",J27/0.35,J27/0.35*2)</f>
        <v>-9.9569642857142869E-4</v>
      </c>
      <c r="P27" s="3">
        <f t="shared" si="1"/>
        <v>0.37986015531125017</v>
      </c>
    </row>
    <row r="28" spans="1:16" x14ac:dyDescent="0.25">
      <c r="A28" s="3">
        <v>10000000000</v>
      </c>
      <c r="B28" s="3">
        <v>2.0340000000000001E-4</v>
      </c>
      <c r="C28" s="3">
        <v>4.059E-4</v>
      </c>
      <c r="D28" s="3">
        <v>-8.6700000000000004E-4</v>
      </c>
      <c r="E28" s="3">
        <v>0</v>
      </c>
      <c r="F28" s="3">
        <v>0</v>
      </c>
      <c r="G28" s="3">
        <v>0</v>
      </c>
      <c r="H28" s="3">
        <v>1.4451937999999999E-4</v>
      </c>
      <c r="I28" s="3">
        <v>4.6781912E-5</v>
      </c>
      <c r="J28" s="3">
        <v>-3.7869610999999997E-4</v>
      </c>
      <c r="L28" s="3">
        <f t="shared" si="0"/>
        <v>0.23460207612456749</v>
      </c>
      <c r="M28" s="3"/>
      <c r="N28" s="2">
        <f>IF('Modell einstellen'!$B$1="Voll",H28/0.35,H28/0.35*2)</f>
        <v>4.1291251428571425E-4</v>
      </c>
      <c r="O28" s="2">
        <f>IF('Modell einstellen'!$B$1="Voll",J28/0.35,J28/0.35*2)</f>
        <v>-1.0819888857142856E-3</v>
      </c>
      <c r="P28" s="3">
        <f t="shared" si="1"/>
        <v>0.38162361900152603</v>
      </c>
    </row>
    <row r="29" spans="1:16" x14ac:dyDescent="0.25">
      <c r="A29" s="3">
        <v>100000000000</v>
      </c>
      <c r="B29" s="3">
        <v>2.0489999999999999E-4</v>
      </c>
      <c r="C29" s="3">
        <v>4.4959999999999998E-4</v>
      </c>
      <c r="D29" s="3">
        <v>-9.1469999999999995E-4</v>
      </c>
      <c r="E29" s="3">
        <v>0</v>
      </c>
      <c r="F29" s="3">
        <v>0</v>
      </c>
      <c r="G29" s="3">
        <v>0</v>
      </c>
      <c r="H29" s="3">
        <v>1.6011431999999999E-4</v>
      </c>
      <c r="I29" s="3">
        <v>5.2865356999999999E-5</v>
      </c>
      <c r="J29" s="3">
        <v>-4.1667959000000001E-4</v>
      </c>
      <c r="L29" s="3">
        <f t="shared" si="0"/>
        <v>0.22400787143325682</v>
      </c>
      <c r="M29" s="3"/>
      <c r="N29" s="2">
        <f>IF('Modell einstellen'!$B$1="Voll",H29/0.35,H29/0.35*2)</f>
        <v>4.5746948571428569E-4</v>
      </c>
      <c r="O29" s="2">
        <f>IF('Modell einstellen'!$B$1="Voll",J29/0.35,J29/0.35*2)</f>
        <v>-1.1905131142857144E-3</v>
      </c>
      <c r="P29" s="3">
        <f t="shared" si="1"/>
        <v>0.38426244971585954</v>
      </c>
    </row>
    <row r="30" spans="1:16" x14ac:dyDescent="0.25">
      <c r="A30" s="3">
        <v>1000000000000</v>
      </c>
      <c r="B30" s="3">
        <v>1.874E-4</v>
      </c>
      <c r="C30" s="3">
        <v>5.1309999999999995E-4</v>
      </c>
      <c r="D30" s="3">
        <v>-9.655E-4</v>
      </c>
      <c r="E30" s="3">
        <v>0</v>
      </c>
      <c r="F30" s="3">
        <v>0</v>
      </c>
      <c r="G30" s="3">
        <v>0</v>
      </c>
      <c r="H30" s="3">
        <v>1.8452810999999999E-4</v>
      </c>
      <c r="I30" s="3">
        <v>6.1983619999999995E-5</v>
      </c>
      <c r="J30" s="3">
        <v>-4.7496307E-4</v>
      </c>
      <c r="L30" s="3">
        <f t="shared" si="0"/>
        <v>0.19409632314862765</v>
      </c>
      <c r="M30" s="3"/>
      <c r="N30" s="2">
        <f>IF('Modell einstellen'!$B$1="Voll",H30/0.35,H30/0.35*2)</f>
        <v>5.2722317142857137E-4</v>
      </c>
      <c r="O30" s="2">
        <f>IF('Modell einstellen'!$B$1="Voll",J30/0.35,J30/0.35*2)</f>
        <v>-1.357037342857143E-3</v>
      </c>
      <c r="P30" s="3">
        <f t="shared" si="1"/>
        <v>0.38851043724304701</v>
      </c>
    </row>
    <row r="31" spans="1:16" x14ac:dyDescent="0.25">
      <c r="A31" s="3">
        <v>10000000000000</v>
      </c>
      <c r="B31" s="3">
        <v>1.2980000000000001E-4</v>
      </c>
      <c r="C31" s="3">
        <v>6.1039999999999998E-4</v>
      </c>
      <c r="D31" s="3">
        <v>-1.0120000000000001E-3</v>
      </c>
      <c r="E31" s="3">
        <v>0</v>
      </c>
      <c r="F31" s="3">
        <v>0</v>
      </c>
      <c r="G31" s="3">
        <v>0</v>
      </c>
      <c r="H31" s="3">
        <v>2.2475705999999999E-4</v>
      </c>
      <c r="I31" s="3">
        <v>7.6597258999999994E-5</v>
      </c>
      <c r="J31" s="3">
        <v>-5.6949243999999998E-4</v>
      </c>
      <c r="L31" s="3">
        <f t="shared" si="0"/>
        <v>0.1282608695652174</v>
      </c>
      <c r="M31" s="3"/>
      <c r="N31" s="2">
        <f>IF('Modell einstellen'!$B$1="Voll",H31/0.35,H31/0.35*2)</f>
        <v>6.421630285714286E-4</v>
      </c>
      <c r="O31" s="2">
        <f>IF('Modell einstellen'!$B$1="Voll",J31/0.35,J31/0.35*2)</f>
        <v>-1.6271212571428572E-3</v>
      </c>
      <c r="P31" s="3">
        <f t="shared" si="1"/>
        <v>0.39466206083438088</v>
      </c>
    </row>
    <row r="32" spans="1:16" x14ac:dyDescent="0.25">
      <c r="A32" s="3">
        <v>100000000000000</v>
      </c>
      <c r="B32" s="3">
        <v>-3.1359999999999998E-5</v>
      </c>
      <c r="C32" s="3">
        <v>7.7430000000000001E-4</v>
      </c>
      <c r="D32" s="3">
        <v>-1.0250000000000001E-3</v>
      </c>
      <c r="E32" s="3">
        <v>0</v>
      </c>
      <c r="F32" s="3">
        <v>0</v>
      </c>
      <c r="G32" s="3">
        <v>0</v>
      </c>
      <c r="H32" s="3">
        <v>2.9923858999999998E-4</v>
      </c>
      <c r="I32" s="3">
        <v>1.0260775E-4</v>
      </c>
      <c r="J32" s="3">
        <v>-7.4028763000000004E-4</v>
      </c>
      <c r="L32" s="3">
        <f t="shared" si="0"/>
        <v>-3.0595121951219509E-2</v>
      </c>
      <c r="M32" s="3"/>
      <c r="N32" s="2">
        <f>IF('Modell einstellen'!$B$1="Voll",H32/0.35,H32/0.35*2)</f>
        <v>8.5496740000000002E-4</v>
      </c>
      <c r="O32" s="2">
        <f>IF('Modell einstellen'!$B$1="Voll",J32/0.35,J32/0.35*2)</f>
        <v>-2.1151075142857145E-3</v>
      </c>
      <c r="P32" s="3">
        <f t="shared" si="1"/>
        <v>0.4042193572787377</v>
      </c>
    </row>
    <row r="33" spans="1:16" x14ac:dyDescent="0.25">
      <c r="A33" s="3">
        <v>1000000000000000</v>
      </c>
      <c r="B33" s="3">
        <v>-5.0319999999999998E-4</v>
      </c>
      <c r="C33" s="3">
        <v>1.093E-3</v>
      </c>
      <c r="D33" s="3">
        <v>-8.8500000000000004E-4</v>
      </c>
      <c r="E33" s="3">
        <v>0</v>
      </c>
      <c r="F33" s="3">
        <v>0</v>
      </c>
      <c r="G33" s="3">
        <v>0</v>
      </c>
      <c r="H33" s="3">
        <v>4.6265922000000002E-4</v>
      </c>
      <c r="I33" s="3">
        <v>1.5662211999999999E-4</v>
      </c>
      <c r="J33" s="3">
        <v>-1.1024379E-3</v>
      </c>
      <c r="L33" s="3">
        <f t="shared" si="0"/>
        <v>-0.56858757062146892</v>
      </c>
      <c r="M33" s="3"/>
      <c r="N33" s="2">
        <f>IF('Modell einstellen'!$B$1="Voll",H33/0.35,H33/0.35*2)</f>
        <v>1.3218834857142859E-3</v>
      </c>
      <c r="O33" s="2">
        <f>IF('Modell einstellen'!$B$1="Voll",J33/0.35,J33/0.35*2)</f>
        <v>-3.1498225714285716E-3</v>
      </c>
      <c r="P33" s="3">
        <f t="shared" si="1"/>
        <v>0.41966918952985927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4.2360000000000001E-5</v>
      </c>
      <c r="C3" s="3">
        <v>1.5300000000000001E-4</v>
      </c>
      <c r="D3" s="3">
        <v>-4.6860000000000001E-4</v>
      </c>
      <c r="E3" s="3">
        <v>0</v>
      </c>
      <c r="F3" s="3">
        <v>0</v>
      </c>
      <c r="G3" s="3">
        <v>0</v>
      </c>
      <c r="H3" s="3">
        <v>7.1015355999999997E-5</v>
      </c>
      <c r="I3" s="3">
        <v>1.5578399E-5</v>
      </c>
      <c r="J3" s="3">
        <v>-1.9722127000000001E-4</v>
      </c>
      <c r="K3" s="3"/>
      <c r="L3" s="3">
        <f>-B3/D3</f>
        <v>9.0396927016645326E-2</v>
      </c>
      <c r="M3" s="3"/>
      <c r="N3" s="2">
        <f>IF('Modell einstellen'!$B$1="Voll",H3/0.35,H3/0.35*2)</f>
        <v>2.0290101714285714E-4</v>
      </c>
      <c r="O3" s="2">
        <f>IF('Modell einstellen'!$B$1="Voll",J3/0.35,J3/0.35*2)</f>
        <v>-5.6348934285714288E-4</v>
      </c>
      <c r="P3" s="3">
        <f>-N3/O3</f>
        <v>0.36007959993361766</v>
      </c>
      <c r="Q3" s="3"/>
      <c r="R3" s="3"/>
      <c r="S3" s="3"/>
      <c r="T3" s="3"/>
      <c r="U3" s="3"/>
    </row>
    <row r="4" spans="1:21" x14ac:dyDescent="0.25">
      <c r="A4" s="3">
        <v>1E-14</v>
      </c>
      <c r="B4" s="3">
        <v>4.2349999999999999E-5</v>
      </c>
      <c r="C4" s="3">
        <v>1.5300000000000001E-4</v>
      </c>
      <c r="D4" s="3">
        <v>-4.6860000000000001E-4</v>
      </c>
      <c r="E4" s="3">
        <v>0</v>
      </c>
      <c r="F4" s="3">
        <v>0</v>
      </c>
      <c r="G4" s="3">
        <v>0</v>
      </c>
      <c r="H4" s="3">
        <v>7.1016938000000005E-5</v>
      </c>
      <c r="I4" s="3">
        <v>1.5579525000000001E-5</v>
      </c>
      <c r="J4" s="3">
        <v>-1.9721747000000001E-4</v>
      </c>
      <c r="K4" s="3"/>
      <c r="L4" s="3">
        <f t="shared" ref="L4:L33" si="0">-B4/D4</f>
        <v>9.0375586854460094E-2</v>
      </c>
      <c r="M4" s="3"/>
      <c r="N4" s="2">
        <f>IF('Modell einstellen'!$B$1="Voll",H4/0.35,H4/0.35*2)</f>
        <v>2.0290553714285718E-4</v>
      </c>
      <c r="O4" s="2">
        <f>IF('Modell einstellen'!$B$1="Voll",J4/0.35,J4/0.35*2)</f>
        <v>-5.6347848571428581E-4</v>
      </c>
      <c r="P4" s="3">
        <f t="shared" ref="P4:P33" si="1">-N4/O4</f>
        <v>0.36009455957426084</v>
      </c>
      <c r="Q4" s="3"/>
      <c r="R4" s="3"/>
      <c r="S4" s="3"/>
      <c r="T4" s="3"/>
      <c r="U4" s="3"/>
    </row>
    <row r="5" spans="1:21" x14ac:dyDescent="0.25">
      <c r="A5" s="3">
        <v>1E-13</v>
      </c>
      <c r="B5" s="3">
        <v>4.2360000000000001E-5</v>
      </c>
      <c r="C5" s="3">
        <v>1.5300000000000001E-4</v>
      </c>
      <c r="D5" s="3">
        <v>-4.6860000000000001E-4</v>
      </c>
      <c r="E5" s="3">
        <v>0</v>
      </c>
      <c r="F5" s="3">
        <v>0</v>
      </c>
      <c r="G5" s="3">
        <v>0</v>
      </c>
      <c r="H5" s="3">
        <v>7.1017313999999993E-5</v>
      </c>
      <c r="I5" s="3">
        <v>1.5579694E-5</v>
      </c>
      <c r="J5" s="3">
        <v>-1.9721846000000001E-4</v>
      </c>
      <c r="K5" s="3"/>
      <c r="L5" s="3">
        <f t="shared" si="0"/>
        <v>9.0396927016645326E-2</v>
      </c>
      <c r="M5" s="3"/>
      <c r="N5" s="2">
        <f>IF('Modell einstellen'!$B$1="Voll",H5/0.35,H5/0.35*2)</f>
        <v>2.0290661142857141E-4</v>
      </c>
      <c r="O5" s="2">
        <f>IF('Modell einstellen'!$B$1="Voll",J5/0.35,J5/0.35*2)</f>
        <v>-5.6348131428571432E-4</v>
      </c>
      <c r="P5" s="3">
        <f t="shared" si="1"/>
        <v>0.36009465848176681</v>
      </c>
      <c r="Q5" s="3"/>
      <c r="R5" s="3"/>
      <c r="S5" s="3"/>
      <c r="T5" s="3"/>
      <c r="U5" s="3"/>
    </row>
    <row r="6" spans="1:21" x14ac:dyDescent="0.25">
      <c r="A6" s="3">
        <v>9.9999999999999998E-13</v>
      </c>
      <c r="B6" s="3">
        <v>4.2360000000000001E-5</v>
      </c>
      <c r="C6" s="3">
        <v>1.5300000000000001E-4</v>
      </c>
      <c r="D6" s="3">
        <v>-4.6860000000000001E-4</v>
      </c>
      <c r="E6" s="3">
        <v>0</v>
      </c>
      <c r="F6" s="3">
        <v>0</v>
      </c>
      <c r="G6" s="3">
        <v>0</v>
      </c>
      <c r="H6" s="3">
        <v>7.1017430000000004E-5</v>
      </c>
      <c r="I6" s="3">
        <v>1.5579741000000001E-5</v>
      </c>
      <c r="J6" s="3">
        <v>-1.9721874999999999E-4</v>
      </c>
      <c r="K6" s="3"/>
      <c r="L6" s="3">
        <f t="shared" si="0"/>
        <v>9.0396927016645326E-2</v>
      </c>
      <c r="M6" s="3"/>
      <c r="N6" s="2">
        <f>IF('Modell einstellen'!$B$1="Voll",H6/0.35,H6/0.35*2)</f>
        <v>2.0290694285714288E-4</v>
      </c>
      <c r="O6" s="2">
        <f>IF('Modell einstellen'!$B$1="Voll",J6/0.35,J6/0.35*2)</f>
        <v>-5.6348214285714291E-4</v>
      </c>
      <c r="P6" s="3">
        <f t="shared" si="1"/>
        <v>0.36009471716051339</v>
      </c>
      <c r="Q6" s="3"/>
      <c r="R6" s="3"/>
      <c r="S6" s="3"/>
      <c r="T6" s="3"/>
      <c r="U6" s="3"/>
    </row>
    <row r="7" spans="1:21" x14ac:dyDescent="0.25">
      <c r="A7" s="3">
        <v>9.9999999999999994E-12</v>
      </c>
      <c r="B7" s="3">
        <v>4.2360000000000001E-5</v>
      </c>
      <c r="C7" s="3">
        <v>1.5300000000000001E-4</v>
      </c>
      <c r="D7" s="3">
        <v>-4.6860000000000001E-4</v>
      </c>
      <c r="E7" s="3">
        <v>0</v>
      </c>
      <c r="F7" s="3">
        <v>0</v>
      </c>
      <c r="G7" s="3">
        <v>0</v>
      </c>
      <c r="H7" s="3">
        <v>7.1017468000000001E-5</v>
      </c>
      <c r="I7" s="3">
        <v>1.5579755E-5</v>
      </c>
      <c r="J7" s="3">
        <v>-1.9721884000000001E-4</v>
      </c>
      <c r="K7" s="3"/>
      <c r="L7" s="3">
        <f t="shared" si="0"/>
        <v>9.0396927016645326E-2</v>
      </c>
      <c r="M7" s="3"/>
      <c r="N7" s="2">
        <f>IF('Modell einstellen'!$B$1="Voll",H7/0.35,H7/0.35*2)</f>
        <v>2.0290705142857144E-4</v>
      </c>
      <c r="O7" s="2">
        <f>IF('Modell einstellen'!$B$1="Voll",J7/0.35,J7/0.35*2)</f>
        <v>-5.6348240000000005E-4</v>
      </c>
      <c r="P7" s="3">
        <f t="shared" si="1"/>
        <v>0.36009474551214277</v>
      </c>
      <c r="Q7" s="3"/>
      <c r="R7" s="3"/>
      <c r="S7" s="3"/>
      <c r="T7" s="3"/>
      <c r="U7" s="3"/>
    </row>
    <row r="8" spans="1:21" x14ac:dyDescent="0.25">
      <c r="A8" s="3">
        <v>1E-10</v>
      </c>
      <c r="B8" s="3">
        <v>4.2360000000000001E-5</v>
      </c>
      <c r="C8" s="3">
        <v>1.5300000000000001E-4</v>
      </c>
      <c r="D8" s="3">
        <v>-4.6860000000000001E-4</v>
      </c>
      <c r="E8" s="3">
        <v>0</v>
      </c>
      <c r="F8" s="3">
        <v>0</v>
      </c>
      <c r="G8" s="3">
        <v>0</v>
      </c>
      <c r="H8" s="3">
        <v>7.1017481000000004E-5</v>
      </c>
      <c r="I8" s="3">
        <v>1.5579759000000001E-5</v>
      </c>
      <c r="J8" s="3">
        <v>-1.9721887E-4</v>
      </c>
      <c r="K8" s="3"/>
      <c r="L8" s="3">
        <f t="shared" si="0"/>
        <v>9.0396927016645326E-2</v>
      </c>
      <c r="M8" s="3"/>
      <c r="N8" s="2">
        <f>IF('Modell einstellen'!$B$1="Voll",H8/0.35,H8/0.35*2)</f>
        <v>2.0290708857142859E-4</v>
      </c>
      <c r="O8" s="2">
        <f>IF('Modell einstellen'!$B$1="Voll",J8/0.35,J8/0.35*2)</f>
        <v>-5.6348248571428576E-4</v>
      </c>
      <c r="P8" s="3">
        <f t="shared" si="1"/>
        <v>0.36009475665284973</v>
      </c>
      <c r="Q8" s="3"/>
      <c r="R8" s="3"/>
      <c r="S8" s="3"/>
      <c r="T8" s="3"/>
      <c r="U8" s="3"/>
    </row>
    <row r="9" spans="1:21" x14ac:dyDescent="0.25">
      <c r="A9" s="3">
        <v>1.0000000000000001E-9</v>
      </c>
      <c r="B9" s="3">
        <v>4.2360000000000001E-5</v>
      </c>
      <c r="C9" s="3">
        <v>1.5300000000000001E-4</v>
      </c>
      <c r="D9" s="3">
        <v>-4.6860000000000001E-4</v>
      </c>
      <c r="E9" s="3">
        <v>0</v>
      </c>
      <c r="F9" s="3">
        <v>0</v>
      </c>
      <c r="G9" s="3">
        <v>0</v>
      </c>
      <c r="H9" s="3">
        <v>7.1017485000000001E-5</v>
      </c>
      <c r="I9" s="3">
        <v>1.5579760999999999E-5</v>
      </c>
      <c r="J9" s="3">
        <v>-1.9721887999999999E-4</v>
      </c>
      <c r="K9" s="3"/>
      <c r="L9" s="3">
        <f t="shared" si="0"/>
        <v>9.0396927016645326E-2</v>
      </c>
      <c r="M9" s="3"/>
      <c r="N9" s="2">
        <f>IF('Modell einstellen'!$B$1="Voll",H9/0.35,H9/0.35*2)</f>
        <v>2.0290710000000001E-4</v>
      </c>
      <c r="O9" s="2">
        <f>IF('Modell einstellen'!$B$1="Voll",J9/0.35,J9/0.35*2)</f>
        <v>-5.634825142857143E-4</v>
      </c>
      <c r="P9" s="3">
        <f t="shared" si="1"/>
        <v>0.36009475867624846</v>
      </c>
      <c r="Q9" s="3"/>
      <c r="R9" s="3"/>
      <c r="S9" s="3"/>
      <c r="T9" s="3"/>
      <c r="U9" s="3"/>
    </row>
    <row r="10" spans="1:21" x14ac:dyDescent="0.25">
      <c r="A10" s="3">
        <v>1E-8</v>
      </c>
      <c r="B10" s="3">
        <v>4.2360000000000001E-5</v>
      </c>
      <c r="C10" s="3">
        <v>1.5300000000000001E-4</v>
      </c>
      <c r="D10" s="3">
        <v>-4.6860000000000001E-4</v>
      </c>
      <c r="E10" s="3">
        <v>0</v>
      </c>
      <c r="F10" s="3">
        <v>0</v>
      </c>
      <c r="G10" s="3">
        <v>0</v>
      </c>
      <c r="H10" s="3">
        <v>7.1017486999999993E-5</v>
      </c>
      <c r="I10" s="3">
        <v>1.5579760999999999E-5</v>
      </c>
      <c r="J10" s="3">
        <v>-1.9721887999999999E-4</v>
      </c>
      <c r="K10" s="3"/>
      <c r="L10" s="3">
        <f t="shared" si="0"/>
        <v>9.0396927016645326E-2</v>
      </c>
      <c r="M10" s="3"/>
      <c r="N10" s="2">
        <f>IF('Modell einstellen'!$B$1="Voll",H10/0.35,H10/0.35*2)</f>
        <v>2.0290710571428571E-4</v>
      </c>
      <c r="O10" s="2">
        <f>IF('Modell einstellen'!$B$1="Voll",J10/0.35,J10/0.35*2)</f>
        <v>-5.634825142857143E-4</v>
      </c>
      <c r="P10" s="3">
        <f t="shared" si="1"/>
        <v>0.36009476881726538</v>
      </c>
      <c r="Q10" s="3"/>
      <c r="R10" s="3"/>
      <c r="S10" s="3"/>
      <c r="T10" s="3"/>
      <c r="U10" s="3"/>
    </row>
    <row r="11" spans="1:21" x14ac:dyDescent="0.25">
      <c r="A11" s="3">
        <v>9.9999999999999995E-8</v>
      </c>
      <c r="B11" s="3">
        <v>4.2360000000000001E-5</v>
      </c>
      <c r="C11" s="3">
        <v>1.5300000000000001E-4</v>
      </c>
      <c r="D11" s="3">
        <v>-4.6860000000000001E-4</v>
      </c>
      <c r="E11" s="3">
        <v>0</v>
      </c>
      <c r="F11" s="3">
        <v>0</v>
      </c>
      <c r="G11" s="3">
        <v>0</v>
      </c>
      <c r="H11" s="3">
        <v>7.1017491000000004E-5</v>
      </c>
      <c r="I11" s="3">
        <v>1.5579761999999999E-5</v>
      </c>
      <c r="J11" s="3">
        <v>-1.9721889E-4</v>
      </c>
      <c r="K11" s="3"/>
      <c r="L11" s="3">
        <f t="shared" si="0"/>
        <v>9.0396927016645326E-2</v>
      </c>
      <c r="M11" s="3"/>
      <c r="N11" s="2">
        <f>IF('Modell einstellen'!$B$1="Voll",H11/0.35,H11/0.35*2)</f>
        <v>2.0290711714285716E-4</v>
      </c>
      <c r="O11" s="2">
        <f>IF('Modell einstellen'!$B$1="Voll",J11/0.35,J11/0.35*2)</f>
        <v>-5.6348254285714294E-4</v>
      </c>
      <c r="P11" s="3">
        <f t="shared" si="1"/>
        <v>0.36009477084066338</v>
      </c>
      <c r="Q11" s="3"/>
      <c r="R11" s="3"/>
      <c r="S11" s="3"/>
      <c r="T11" s="3"/>
      <c r="U11" s="3"/>
    </row>
    <row r="12" spans="1:21" x14ac:dyDescent="0.25">
      <c r="A12" s="3">
        <v>9.9999999999999995E-7</v>
      </c>
      <c r="B12" s="3">
        <v>4.2360000000000001E-5</v>
      </c>
      <c r="C12" s="3">
        <v>1.5300000000000001E-4</v>
      </c>
      <c r="D12" s="3">
        <v>-4.6860000000000001E-4</v>
      </c>
      <c r="E12" s="3">
        <v>0</v>
      </c>
      <c r="F12" s="3">
        <v>0</v>
      </c>
      <c r="G12" s="3">
        <v>0</v>
      </c>
      <c r="H12" s="3">
        <v>7.1017530999999994E-5</v>
      </c>
      <c r="I12" s="3">
        <v>1.5579766E-5</v>
      </c>
      <c r="J12" s="3">
        <v>-1.9721895000000001E-4</v>
      </c>
      <c r="K12" s="3"/>
      <c r="L12" s="3">
        <f t="shared" si="0"/>
        <v>9.0396927016645326E-2</v>
      </c>
      <c r="M12" s="3"/>
      <c r="N12" s="2">
        <f>IF('Modell einstellen'!$B$1="Voll",H12/0.35,H12/0.35*2)</f>
        <v>2.0290723142857143E-4</v>
      </c>
      <c r="O12" s="2">
        <f>IF('Modell einstellen'!$B$1="Voll",J12/0.35,J12/0.35*2)</f>
        <v>-5.6348271428571437E-4</v>
      </c>
      <c r="P12" s="3">
        <f t="shared" si="1"/>
        <v>0.36009486410915376</v>
      </c>
      <c r="Q12" s="3"/>
      <c r="R12" s="3"/>
      <c r="S12" s="3"/>
      <c r="T12" s="3"/>
      <c r="U12" s="3"/>
    </row>
    <row r="13" spans="1:21" x14ac:dyDescent="0.25">
      <c r="A13" s="3">
        <v>1.0000000000000001E-5</v>
      </c>
      <c r="B13" s="3">
        <v>4.2360000000000001E-5</v>
      </c>
      <c r="C13" s="3">
        <v>1.5300000000000001E-4</v>
      </c>
      <c r="D13" s="3">
        <v>-4.6860000000000001E-4</v>
      </c>
      <c r="E13" s="3">
        <v>0</v>
      </c>
      <c r="F13" s="3">
        <v>0</v>
      </c>
      <c r="G13" s="3">
        <v>0</v>
      </c>
      <c r="H13" s="3">
        <v>7.1017919999999998E-5</v>
      </c>
      <c r="I13" s="3">
        <v>1.5579811E-5</v>
      </c>
      <c r="J13" s="3">
        <v>-1.9721957E-4</v>
      </c>
      <c r="K13" s="3"/>
      <c r="L13" s="3">
        <f t="shared" si="0"/>
        <v>9.0396927016645326E-2</v>
      </c>
      <c r="M13" s="3"/>
      <c r="N13" s="2">
        <f>IF('Modell einstellen'!$B$1="Voll",H13/0.35,H13/0.35*2)</f>
        <v>2.0290834285714287E-4</v>
      </c>
      <c r="O13" s="2">
        <f>IF('Modell einstellen'!$B$1="Voll",J13/0.35,J13/0.35*2)</f>
        <v>-5.6348448571428569E-4</v>
      </c>
      <c r="P13" s="3">
        <f t="shared" si="1"/>
        <v>0.36009570449829092</v>
      </c>
      <c r="Q13" s="3"/>
      <c r="R13" s="3"/>
      <c r="S13" s="3"/>
      <c r="T13" s="3"/>
      <c r="U13" s="3"/>
    </row>
    <row r="14" spans="1:21" x14ac:dyDescent="0.25">
      <c r="A14" s="3">
        <v>1E-4</v>
      </c>
      <c r="B14" s="3">
        <v>4.2349999999999999E-5</v>
      </c>
      <c r="C14" s="3">
        <v>1.5300000000000001E-4</v>
      </c>
      <c r="D14" s="3">
        <v>-4.6860000000000001E-4</v>
      </c>
      <c r="E14" s="3">
        <v>0</v>
      </c>
      <c r="F14" s="3">
        <v>0</v>
      </c>
      <c r="G14" s="3">
        <v>0</v>
      </c>
      <c r="H14" s="3">
        <v>7.1021809999999999E-5</v>
      </c>
      <c r="I14" s="3">
        <v>1.5580261000000001E-5</v>
      </c>
      <c r="J14" s="3">
        <v>-1.9722576000000001E-4</v>
      </c>
      <c r="K14" s="3"/>
      <c r="L14" s="3">
        <f t="shared" si="0"/>
        <v>9.0375586854460094E-2</v>
      </c>
      <c r="M14" s="3"/>
      <c r="N14" s="2">
        <f>IF('Modell einstellen'!$B$1="Voll",H14/0.35,H14/0.35*2)</f>
        <v>2.0291945714285715E-4</v>
      </c>
      <c r="O14" s="2">
        <f>IF('Modell einstellen'!$B$1="Voll",J14/0.35,J14/0.35*2)</f>
        <v>-5.6350217142857144E-4</v>
      </c>
      <c r="P14" s="3">
        <f t="shared" si="1"/>
        <v>0.36010412635753059</v>
      </c>
      <c r="Q14" s="3"/>
      <c r="R14" s="3"/>
      <c r="S14" s="3"/>
      <c r="T14" s="3"/>
      <c r="U14" s="3"/>
    </row>
    <row r="15" spans="1:21" x14ac:dyDescent="0.25">
      <c r="A15" s="3">
        <v>1E-3</v>
      </c>
      <c r="B15" s="3">
        <v>4.231E-5</v>
      </c>
      <c r="C15" s="3">
        <v>1.5300000000000001E-4</v>
      </c>
      <c r="D15" s="3">
        <v>-4.6860000000000001E-4</v>
      </c>
      <c r="E15" s="3">
        <v>0</v>
      </c>
      <c r="F15" s="3">
        <v>0</v>
      </c>
      <c r="G15" s="3">
        <v>0</v>
      </c>
      <c r="H15" s="3">
        <v>7.1060424000000001E-5</v>
      </c>
      <c r="I15" s="3">
        <v>1.5584727000000001E-5</v>
      </c>
      <c r="J15" s="3">
        <v>-1.9728717000000001E-4</v>
      </c>
      <c r="K15" s="3"/>
      <c r="L15" s="3">
        <f t="shared" si="0"/>
        <v>9.0290226205719165E-2</v>
      </c>
      <c r="M15" s="3"/>
      <c r="N15" s="2">
        <f>IF('Modell einstellen'!$B$1="Voll",H15/0.35,H15/0.35*2)</f>
        <v>2.0302978285714288E-4</v>
      </c>
      <c r="O15" s="2">
        <f>IF('Modell einstellen'!$B$1="Voll",J15/0.35,J15/0.35*2)</f>
        <v>-5.6367762857142858E-4</v>
      </c>
      <c r="P15" s="3">
        <f t="shared" si="1"/>
        <v>0.36018776081587062</v>
      </c>
      <c r="Q15" s="3"/>
      <c r="R15" s="3"/>
      <c r="S15" s="3"/>
      <c r="T15" s="3"/>
      <c r="U15" s="3"/>
    </row>
    <row r="16" spans="1:21" x14ac:dyDescent="0.25">
      <c r="A16" s="3">
        <v>0.01</v>
      </c>
      <c r="B16" s="3">
        <v>4.1900000000000002E-5</v>
      </c>
      <c r="C16" s="3">
        <v>1.5339999999999999E-4</v>
      </c>
      <c r="D16" s="3">
        <v>-4.6890000000000001E-4</v>
      </c>
      <c r="E16" s="3">
        <v>0</v>
      </c>
      <c r="F16" s="3">
        <v>0</v>
      </c>
      <c r="G16" s="3">
        <v>0</v>
      </c>
      <c r="H16" s="3">
        <v>7.1419427999999999E-5</v>
      </c>
      <c r="I16" s="3">
        <v>1.5626209000000001E-5</v>
      </c>
      <c r="J16" s="3">
        <v>-1.9785787999999999E-4</v>
      </c>
      <c r="K16" s="3"/>
      <c r="L16" s="3">
        <f t="shared" si="0"/>
        <v>8.9358072083599915E-2</v>
      </c>
      <c r="M16" s="3"/>
      <c r="N16" s="2">
        <f>IF('Modell einstellen'!$B$1="Voll",H16/0.35,H16/0.35*2)</f>
        <v>2.0405550857142859E-4</v>
      </c>
      <c r="O16" s="2">
        <f>IF('Modell einstellen'!$B$1="Voll",J16/0.35,J16/0.35*2)</f>
        <v>-5.6530822857142854E-4</v>
      </c>
      <c r="P16" s="3">
        <f t="shared" si="1"/>
        <v>0.36096327323430338</v>
      </c>
      <c r="Q16" s="3"/>
      <c r="R16" s="3"/>
      <c r="S16" s="3"/>
      <c r="T16" s="3"/>
      <c r="U16" s="3"/>
    </row>
    <row r="17" spans="1:25" x14ac:dyDescent="0.25">
      <c r="A17" s="3">
        <v>0.1</v>
      </c>
      <c r="B17" s="3">
        <v>4.0059999999999999E-5</v>
      </c>
      <c r="C17" s="3">
        <v>1.5559999999999999E-4</v>
      </c>
      <c r="D17" s="3">
        <v>-4.7090000000000001E-4</v>
      </c>
      <c r="E17" s="3">
        <v>0</v>
      </c>
      <c r="F17" s="3">
        <v>0</v>
      </c>
      <c r="G17" s="3">
        <v>0</v>
      </c>
      <c r="H17" s="3">
        <v>7.3390922000000003E-5</v>
      </c>
      <c r="I17" s="3">
        <v>1.5873325000000001E-5</v>
      </c>
      <c r="J17" s="3">
        <v>-2.0104523000000001E-4</v>
      </c>
      <c r="K17" s="3"/>
      <c r="L17" s="3">
        <f t="shared" si="0"/>
        <v>8.5071140369505194E-2</v>
      </c>
      <c r="M17" s="3"/>
      <c r="N17" s="2">
        <f>IF('Modell einstellen'!$B$1="Voll",H17/0.35,H17/0.35*2)</f>
        <v>2.0968834857142859E-4</v>
      </c>
      <c r="O17" s="2">
        <f>IF('Modell einstellen'!$B$1="Voll",J17/0.35,J17/0.35*2)</f>
        <v>-5.7441494285714293E-4</v>
      </c>
      <c r="P17" s="3">
        <f t="shared" si="1"/>
        <v>0.36504682055873694</v>
      </c>
      <c r="Q17" s="3"/>
      <c r="R17" s="3"/>
      <c r="S17" s="3"/>
      <c r="T17" s="3"/>
      <c r="U17" s="3"/>
      <c r="V17" s="3"/>
      <c r="W17" s="3"/>
      <c r="X17" s="3"/>
      <c r="Y17" s="3"/>
    </row>
    <row r="18" spans="1:25" x14ac:dyDescent="0.25">
      <c r="A18" s="3">
        <v>1</v>
      </c>
      <c r="B18" s="3">
        <v>3.7450000000000002E-5</v>
      </c>
      <c r="C18" s="3">
        <v>1.583E-4</v>
      </c>
      <c r="D18" s="3">
        <v>-4.73E-4</v>
      </c>
      <c r="E18" s="3">
        <v>0</v>
      </c>
      <c r="F18" s="3">
        <v>0</v>
      </c>
      <c r="G18" s="3">
        <v>0</v>
      </c>
      <c r="H18" s="3">
        <v>7.5874908000000003E-5</v>
      </c>
      <c r="I18" s="3">
        <v>1.6173991999999999E-5</v>
      </c>
      <c r="J18" s="3">
        <v>-2.0500756000000001E-4</v>
      </c>
      <c r="K18" s="3"/>
      <c r="L18" s="3">
        <f t="shared" si="0"/>
        <v>7.9175475687103591E-2</v>
      </c>
      <c r="M18" s="3"/>
      <c r="N18" s="2">
        <f>IF('Modell einstellen'!$B$1="Voll",H18/0.35,H18/0.35*2)</f>
        <v>2.1678545142857146E-4</v>
      </c>
      <c r="O18" s="2">
        <f>IF('Modell einstellen'!$B$1="Voll",J18/0.35,J18/0.35*2)</f>
        <v>-5.8573588571428576E-4</v>
      </c>
      <c r="P18" s="3">
        <f t="shared" si="1"/>
        <v>0.37010785358354592</v>
      </c>
      <c r="Q18" s="3"/>
      <c r="R18" s="3"/>
      <c r="S18" s="3"/>
      <c r="T18" s="3"/>
      <c r="U18" s="3"/>
      <c r="V18" s="3"/>
      <c r="W18" s="3"/>
      <c r="X18" s="3"/>
      <c r="Y18" s="3"/>
    </row>
    <row r="19" spans="1:25" x14ac:dyDescent="0.25">
      <c r="A19" s="3">
        <v>10</v>
      </c>
      <c r="B19" s="3">
        <v>3.4379999999999999E-5</v>
      </c>
      <c r="C19" s="3">
        <v>1.615E-4</v>
      </c>
      <c r="D19" s="3">
        <v>-4.7540000000000001E-4</v>
      </c>
      <c r="E19" s="3">
        <v>0</v>
      </c>
      <c r="F19" s="3">
        <v>0</v>
      </c>
      <c r="G19" s="3">
        <v>0</v>
      </c>
      <c r="H19" s="3">
        <v>7.8801469999999999E-5</v>
      </c>
      <c r="I19" s="3">
        <v>1.6538379E-5</v>
      </c>
      <c r="J19" s="3">
        <v>-2.0967678E-4</v>
      </c>
      <c r="K19" s="3"/>
      <c r="L19" s="3">
        <f t="shared" si="0"/>
        <v>7.2318047959612955E-2</v>
      </c>
      <c r="M19" s="3"/>
      <c r="N19" s="2">
        <f>IF('Modell einstellen'!$B$1="Voll",H19/0.35,H19/0.35*2)</f>
        <v>2.2514705714285716E-4</v>
      </c>
      <c r="O19" s="2">
        <f>IF('Modell einstellen'!$B$1="Voll",J19/0.35,J19/0.35*2)</f>
        <v>-5.9907651428571431E-4</v>
      </c>
      <c r="P19" s="3">
        <f t="shared" si="1"/>
        <v>0.37582354135732149</v>
      </c>
      <c r="Q19" s="3"/>
      <c r="R19" s="3"/>
      <c r="S19" s="3"/>
      <c r="T19" s="3"/>
      <c r="U19" s="3"/>
      <c r="V19" s="3"/>
      <c r="W19" s="3"/>
      <c r="X19" s="3"/>
      <c r="Y19" s="3"/>
    </row>
    <row r="20" spans="1:25" x14ac:dyDescent="0.25">
      <c r="A20" s="3">
        <v>100</v>
      </c>
      <c r="B20" s="3">
        <v>3.235E-5</v>
      </c>
      <c r="C20" s="3">
        <v>1.6750000000000001E-4</v>
      </c>
      <c r="D20" s="3">
        <v>-4.8139999999999999E-4</v>
      </c>
      <c r="E20" s="3">
        <v>0</v>
      </c>
      <c r="F20" s="3">
        <v>0</v>
      </c>
      <c r="G20" s="3">
        <v>0</v>
      </c>
      <c r="H20" s="3">
        <v>8.2716410999999996E-5</v>
      </c>
      <c r="I20" s="3">
        <v>1.7208137999999999E-5</v>
      </c>
      <c r="J20" s="3">
        <v>-2.1638798E-4</v>
      </c>
      <c r="K20" s="3"/>
      <c r="L20" s="3">
        <f t="shared" si="0"/>
        <v>6.7199833818030741E-2</v>
      </c>
      <c r="M20" s="3"/>
      <c r="N20" s="2">
        <f>IF('Modell einstellen'!$B$1="Voll",H20/0.35,H20/0.35*2)</f>
        <v>2.3633260285714285E-4</v>
      </c>
      <c r="O20" s="2">
        <f>IF('Modell einstellen'!$B$1="Voll",J20/0.35,J20/0.35*2)</f>
        <v>-6.1825137142857149E-4</v>
      </c>
      <c r="P20" s="3">
        <f t="shared" si="1"/>
        <v>0.3822597308778426</v>
      </c>
      <c r="Q20" s="3"/>
      <c r="R20" s="3"/>
      <c r="S20" s="3"/>
      <c r="T20" s="3"/>
      <c r="U20" s="3"/>
      <c r="V20" s="3"/>
      <c r="W20" s="3"/>
      <c r="X20" s="3"/>
      <c r="Y20" s="3"/>
    </row>
    <row r="21" spans="1:25" x14ac:dyDescent="0.25">
      <c r="A21" s="3">
        <v>1000</v>
      </c>
      <c r="B21" s="3">
        <v>4.1669999999999999E-5</v>
      </c>
      <c r="C21" s="3">
        <v>1.8450000000000001E-4</v>
      </c>
      <c r="D21" s="3">
        <v>-5.0690000000000002E-4</v>
      </c>
      <c r="E21" s="3">
        <v>0</v>
      </c>
      <c r="F21" s="3">
        <v>0</v>
      </c>
      <c r="G21" s="3">
        <v>0</v>
      </c>
      <c r="H21" s="3">
        <v>8.8251495000000007E-5</v>
      </c>
      <c r="I21" s="3">
        <v>1.9129532000000001E-5</v>
      </c>
      <c r="J21" s="3">
        <v>-2.2853998999999999E-4</v>
      </c>
      <c r="K21" s="3"/>
      <c r="L21" s="3">
        <f t="shared" si="0"/>
        <v>8.2205563227461032E-2</v>
      </c>
      <c r="M21" s="3"/>
      <c r="N21" s="2">
        <f>IF('Modell einstellen'!$B$1="Voll",H21/0.35,H21/0.35*2)</f>
        <v>2.5214712857142861E-4</v>
      </c>
      <c r="O21" s="2">
        <f>IF('Modell einstellen'!$B$1="Voll",J21/0.35,J21/0.35*2)</f>
        <v>-6.5297140000000005E-4</v>
      </c>
      <c r="P21" s="3">
        <f t="shared" si="1"/>
        <v>0.38615340361220812</v>
      </c>
      <c r="Q21" s="3"/>
      <c r="R21" s="3"/>
      <c r="S21" s="3"/>
      <c r="T21" s="3"/>
      <c r="U21" s="3"/>
      <c r="V21" s="3"/>
      <c r="W21" s="3"/>
      <c r="X21" s="3"/>
      <c r="Y21" s="3"/>
    </row>
    <row r="22" spans="1:25" x14ac:dyDescent="0.25">
      <c r="A22" s="3">
        <v>10000</v>
      </c>
      <c r="B22" s="3">
        <v>7.0560000000000002E-5</v>
      </c>
      <c r="C22" s="3">
        <v>2.197E-4</v>
      </c>
      <c r="D22" s="3">
        <v>-5.6579999999999998E-4</v>
      </c>
      <c r="E22" s="3">
        <v>0</v>
      </c>
      <c r="F22" s="3">
        <v>0</v>
      </c>
      <c r="G22" s="3">
        <v>0</v>
      </c>
      <c r="H22" s="3">
        <v>9.6856348000000001E-5</v>
      </c>
      <c r="I22" s="3">
        <v>2.3198132000000002E-5</v>
      </c>
      <c r="J22" s="3">
        <v>-2.5051377999999998E-4</v>
      </c>
      <c r="K22" s="3"/>
      <c r="L22" s="3">
        <f t="shared" si="0"/>
        <v>0.1247083775185578</v>
      </c>
      <c r="M22" s="3"/>
      <c r="N22" s="2">
        <f>IF('Modell einstellen'!$B$1="Voll",H22/0.35,H22/0.35*2)</f>
        <v>2.7673242285714288E-4</v>
      </c>
      <c r="O22" s="2">
        <f>IF('Modell einstellen'!$B$1="Voll",J22/0.35,J22/0.35*2)</f>
        <v>-7.1575365714285713E-4</v>
      </c>
      <c r="P22" s="3">
        <f t="shared" si="1"/>
        <v>0.38663081927070042</v>
      </c>
      <c r="Q22" s="3"/>
      <c r="R22" s="3"/>
      <c r="S22" s="3"/>
      <c r="T22" s="3"/>
      <c r="U22" s="3"/>
      <c r="V22" s="3"/>
      <c r="W22" s="3"/>
      <c r="X22" s="3"/>
      <c r="Y22" s="3"/>
    </row>
    <row r="23" spans="1:25" x14ac:dyDescent="0.25">
      <c r="A23" s="3">
        <v>100000</v>
      </c>
      <c r="B23" s="3">
        <v>1.063E-4</v>
      </c>
      <c r="C23" s="3">
        <v>2.6420000000000003E-4</v>
      </c>
      <c r="D23" s="3">
        <v>-6.399E-4</v>
      </c>
      <c r="E23" s="3">
        <v>0</v>
      </c>
      <c r="F23" s="3">
        <v>0</v>
      </c>
      <c r="G23" s="3">
        <v>0</v>
      </c>
      <c r="H23" s="3">
        <v>1.0747357000000001E-4</v>
      </c>
      <c r="I23" s="3">
        <v>2.8507005E-5</v>
      </c>
      <c r="J23" s="3">
        <v>-2.7874197000000002E-4</v>
      </c>
      <c r="K23" s="3"/>
      <c r="L23" s="3">
        <f t="shared" si="0"/>
        <v>0.16611970620409439</v>
      </c>
      <c r="M23" s="3"/>
      <c r="N23" s="2">
        <f>IF('Modell einstellen'!$B$1="Voll",H23/0.35,H23/0.35*2)</f>
        <v>3.0706734285714291E-4</v>
      </c>
      <c r="O23" s="2">
        <f>IF('Modell einstellen'!$B$1="Voll",J23/0.35,J23/0.35*2)</f>
        <v>-7.9640562857142866E-4</v>
      </c>
      <c r="P23" s="3">
        <f t="shared" si="1"/>
        <v>0.38556651515378187</v>
      </c>
      <c r="Q23" s="3"/>
      <c r="R23" s="3"/>
      <c r="S23" s="3"/>
      <c r="T23" s="3"/>
      <c r="U23" s="3"/>
      <c r="V23" s="3"/>
      <c r="W23" s="3"/>
      <c r="X23" s="3"/>
      <c r="Y23" s="3"/>
    </row>
    <row r="24" spans="1:25" x14ac:dyDescent="0.25">
      <c r="A24" s="3">
        <v>1000000</v>
      </c>
      <c r="B24" s="3">
        <v>1.3889999999999999E-4</v>
      </c>
      <c r="C24" s="3">
        <v>3.0850000000000002E-4</v>
      </c>
      <c r="D24" s="3">
        <v>-7.1199999999999996E-4</v>
      </c>
      <c r="E24" s="3">
        <v>0</v>
      </c>
      <c r="F24" s="3">
        <v>0</v>
      </c>
      <c r="G24" s="3">
        <v>0</v>
      </c>
      <c r="H24" s="3">
        <v>1.1850418E-4</v>
      </c>
      <c r="I24" s="3">
        <v>3.3981201000000002E-5</v>
      </c>
      <c r="J24" s="3">
        <v>-3.0829308999999998E-4</v>
      </c>
      <c r="K24" s="3"/>
      <c r="L24" s="3">
        <f t="shared" si="0"/>
        <v>0.19508426966292133</v>
      </c>
      <c r="M24" s="3"/>
      <c r="N24" s="2">
        <f>IF('Modell einstellen'!$B$1="Voll",H24/0.35,H24/0.35*2)</f>
        <v>3.3858337142857143E-4</v>
      </c>
      <c r="O24" s="2">
        <f>IF('Modell einstellen'!$B$1="Voll",J24/0.35,J24/0.35*2)</f>
        <v>-8.8083740000000001E-4</v>
      </c>
      <c r="P24" s="3">
        <f t="shared" si="1"/>
        <v>0.38438805099394219</v>
      </c>
      <c r="Q24" s="3"/>
      <c r="R24" s="3"/>
      <c r="S24" s="3"/>
      <c r="T24" s="3"/>
      <c r="U24" s="3"/>
      <c r="V24" s="3"/>
      <c r="W24" s="3"/>
      <c r="X24" s="3"/>
      <c r="Y24" s="3"/>
    </row>
    <row r="25" spans="1:25" x14ac:dyDescent="0.25">
      <c r="A25" s="3">
        <v>10000000</v>
      </c>
      <c r="B25" s="3">
        <v>1.6440000000000001E-4</v>
      </c>
      <c r="C25" s="3">
        <v>3.503E-4</v>
      </c>
      <c r="D25" s="3">
        <v>-7.7649999999999996E-4</v>
      </c>
      <c r="E25" s="3">
        <v>0</v>
      </c>
      <c r="F25" s="3">
        <v>0</v>
      </c>
      <c r="G25" s="3">
        <v>0</v>
      </c>
      <c r="H25" s="3">
        <v>1.2995853E-4</v>
      </c>
      <c r="I25" s="3">
        <v>3.9342389000000001E-5</v>
      </c>
      <c r="J25" s="3">
        <v>-3.3834384000000001E-4</v>
      </c>
      <c r="K25" s="3"/>
      <c r="L25" s="3">
        <f t="shared" si="0"/>
        <v>0.21171925305859629</v>
      </c>
      <c r="M25" s="3"/>
      <c r="N25" s="2">
        <f>IF('Modell einstellen'!$B$1="Voll",H25/0.35,H25/0.35*2)</f>
        <v>3.7131008571428573E-4</v>
      </c>
      <c r="O25" s="2">
        <f>IF('Modell einstellen'!$B$1="Voll",J25/0.35,J25/0.35*2)</f>
        <v>-9.6669668571428577E-4</v>
      </c>
      <c r="P25" s="3">
        <f t="shared" si="1"/>
        <v>0.38410195379942486</v>
      </c>
      <c r="Q25" s="3"/>
      <c r="R25" s="3"/>
      <c r="S25" s="3"/>
      <c r="T25" s="3"/>
      <c r="U25" s="3"/>
      <c r="V25" s="3"/>
      <c r="W25" s="3"/>
      <c r="X25" s="3"/>
      <c r="Y25" s="3"/>
    </row>
    <row r="26" spans="1:25" x14ac:dyDescent="0.25">
      <c r="A26" s="3">
        <v>100000000</v>
      </c>
      <c r="B26" s="3">
        <v>1.8129999999999999E-4</v>
      </c>
      <c r="C26" s="3">
        <v>3.9159999999999998E-4</v>
      </c>
      <c r="D26" s="3">
        <v>-8.3410000000000005E-4</v>
      </c>
      <c r="E26" s="3">
        <v>0</v>
      </c>
      <c r="F26" s="3">
        <v>0</v>
      </c>
      <c r="G26" s="3">
        <v>0</v>
      </c>
      <c r="H26" s="3">
        <v>1.4269632000000001E-4</v>
      </c>
      <c r="I26" s="3">
        <v>4.4847800000000001E-5</v>
      </c>
      <c r="J26" s="3">
        <v>-3.7068078E-4</v>
      </c>
      <c r="K26" s="3"/>
      <c r="L26" s="3">
        <f t="shared" si="0"/>
        <v>0.21736002877352834</v>
      </c>
      <c r="M26" s="3"/>
      <c r="N26" s="2">
        <f>IF('Modell einstellen'!$B$1="Voll",H26/0.35,H26/0.35*2)</f>
        <v>4.077037714285715E-4</v>
      </c>
      <c r="O26" s="2">
        <f>IF('Modell einstellen'!$B$1="Voll",J26/0.35,J26/0.35*2)</f>
        <v>-1.0590879428571428E-3</v>
      </c>
      <c r="P26" s="3">
        <f t="shared" si="1"/>
        <v>0.38495742886912027</v>
      </c>
      <c r="Q26" s="3"/>
      <c r="R26" s="3"/>
      <c r="S26" s="3"/>
      <c r="T26" s="3"/>
      <c r="U26" s="3"/>
      <c r="V26" s="3"/>
      <c r="W26" s="3"/>
      <c r="X26" s="3"/>
      <c r="Y26" s="3"/>
    </row>
    <row r="27" spans="1:25" x14ac:dyDescent="0.25">
      <c r="A27" s="3">
        <v>1000000000</v>
      </c>
      <c r="B27" s="3">
        <v>1.875E-4</v>
      </c>
      <c r="C27" s="3">
        <v>4.3770000000000001E-4</v>
      </c>
      <c r="D27" s="3">
        <v>-8.8800000000000001E-4</v>
      </c>
      <c r="E27" s="3">
        <v>0</v>
      </c>
      <c r="F27" s="3">
        <v>0</v>
      </c>
      <c r="G27" s="3">
        <v>0</v>
      </c>
      <c r="H27" s="3">
        <v>1.5867605E-4</v>
      </c>
      <c r="I27" s="3">
        <v>5.1213568E-5</v>
      </c>
      <c r="J27" s="3">
        <v>-4.0983232000000002E-4</v>
      </c>
      <c r="K27" s="3"/>
      <c r="L27" s="3">
        <f t="shared" si="0"/>
        <v>0.21114864864864866</v>
      </c>
      <c r="M27" s="3"/>
      <c r="N27" s="2">
        <f>IF('Modell einstellen'!$B$1="Voll",H27/0.35,H27/0.35*2)</f>
        <v>4.5336014285714287E-4</v>
      </c>
      <c r="O27" s="2">
        <f>IF('Modell einstellen'!$B$1="Voll",J27/0.35,J27/0.35*2)</f>
        <v>-1.1709494857142858E-3</v>
      </c>
      <c r="P27" s="3">
        <f t="shared" si="1"/>
        <v>0.38717310045239967</v>
      </c>
      <c r="Q27" s="3"/>
      <c r="R27" s="3"/>
      <c r="S27" s="3"/>
      <c r="T27" s="3"/>
      <c r="U27" s="3"/>
      <c r="V27" s="3"/>
      <c r="W27" s="3"/>
      <c r="X27" s="3"/>
      <c r="Y27" s="3"/>
    </row>
    <row r="28" spans="1:25" x14ac:dyDescent="0.25">
      <c r="A28" s="3">
        <v>10000000000</v>
      </c>
      <c r="B28" s="3">
        <v>1.738E-4</v>
      </c>
      <c r="C28" s="3">
        <v>5.0180000000000005E-4</v>
      </c>
      <c r="D28" s="3">
        <v>-9.4260000000000004E-4</v>
      </c>
      <c r="E28" s="3">
        <v>0</v>
      </c>
      <c r="F28" s="3">
        <v>0</v>
      </c>
      <c r="G28" s="3">
        <v>0</v>
      </c>
      <c r="H28" s="3">
        <v>1.8332404000000001E-4</v>
      </c>
      <c r="I28" s="3">
        <v>6.0387133E-5</v>
      </c>
      <c r="J28" s="3">
        <v>-4.6838439999999999E-4</v>
      </c>
      <c r="K28" s="3"/>
      <c r="L28" s="3">
        <f t="shared" si="0"/>
        <v>0.18438361977509016</v>
      </c>
      <c r="M28" s="3"/>
      <c r="N28" s="2">
        <f>IF('Modell einstellen'!$B$1="Voll",H28/0.35,H28/0.35*2)</f>
        <v>5.2378297142857146E-4</v>
      </c>
      <c r="O28" s="2">
        <f>IF('Modell einstellen'!$B$1="Voll",J28/0.35,J28/0.35*2)</f>
        <v>-1.338241142857143E-3</v>
      </c>
      <c r="P28" s="3">
        <f t="shared" si="1"/>
        <v>0.39139655377079169</v>
      </c>
      <c r="Q28" s="3"/>
      <c r="R28" s="3"/>
      <c r="S28" s="3"/>
      <c r="T28" s="3"/>
      <c r="U28" s="3"/>
      <c r="V28" s="3"/>
      <c r="W28" s="3"/>
      <c r="X28" s="3"/>
      <c r="Y28" s="3"/>
    </row>
    <row r="29" spans="1:25" x14ac:dyDescent="0.25">
      <c r="A29" s="3">
        <v>100000000000</v>
      </c>
      <c r="B29" s="3">
        <v>1.1900000000000001E-4</v>
      </c>
      <c r="C29" s="3">
        <v>5.9860000000000002E-4</v>
      </c>
      <c r="D29" s="3">
        <v>-9.9130000000000008E-4</v>
      </c>
      <c r="E29" s="3">
        <v>0</v>
      </c>
      <c r="F29" s="3">
        <v>0</v>
      </c>
      <c r="G29" s="3">
        <v>0</v>
      </c>
      <c r="H29" s="3">
        <v>2.2337402000000001E-4</v>
      </c>
      <c r="I29" s="3">
        <v>7.4849756999999999E-5</v>
      </c>
      <c r="J29" s="3">
        <v>-5.6205003000000002E-4</v>
      </c>
      <c r="K29" s="3"/>
      <c r="L29" s="3">
        <f t="shared" si="0"/>
        <v>0.12004438615958841</v>
      </c>
      <c r="M29" s="3"/>
      <c r="N29" s="2">
        <f>IF('Modell einstellen'!$B$1="Voll",H29/0.35,H29/0.35*2)</f>
        <v>6.3821148571428581E-4</v>
      </c>
      <c r="O29" s="2">
        <f>IF('Modell einstellen'!$B$1="Voll",J29/0.35,J29/0.35*2)</f>
        <v>-1.6058572285714287E-3</v>
      </c>
      <c r="P29" s="3">
        <f t="shared" si="1"/>
        <v>0.39742728952438633</v>
      </c>
      <c r="Q29" s="3"/>
      <c r="R29" s="3"/>
      <c r="S29" s="3"/>
      <c r="T29" s="3"/>
      <c r="U29" s="3"/>
      <c r="V29" s="3"/>
      <c r="W29" s="3"/>
      <c r="X29" s="3"/>
      <c r="Y29" s="3"/>
    </row>
    <row r="30" spans="1:25" x14ac:dyDescent="0.25">
      <c r="A30" s="3">
        <v>1000000000000</v>
      </c>
      <c r="B30" s="3">
        <v>-3.8389999999999997E-5</v>
      </c>
      <c r="C30" s="3">
        <v>7.5960000000000003E-4</v>
      </c>
      <c r="D30" s="3">
        <v>-1.005E-3</v>
      </c>
      <c r="E30" s="3">
        <v>0</v>
      </c>
      <c r="F30" s="3">
        <v>0</v>
      </c>
      <c r="G30" s="3">
        <v>0</v>
      </c>
      <c r="H30" s="3">
        <v>2.9678852000000001E-4</v>
      </c>
      <c r="I30" s="3">
        <v>1.0030274E-4</v>
      </c>
      <c r="J30" s="3">
        <v>-7.2962943999999995E-4</v>
      </c>
      <c r="K30" s="3"/>
      <c r="L30" s="3">
        <f t="shared" si="0"/>
        <v>-3.8199004975124372E-2</v>
      </c>
      <c r="M30" s="3"/>
      <c r="N30" s="2">
        <f>IF('Modell einstellen'!$B$1="Voll",H30/0.35,H30/0.35*2)</f>
        <v>8.479672000000001E-4</v>
      </c>
      <c r="O30" s="2">
        <f>IF('Modell einstellen'!$B$1="Voll",J30/0.35,J30/0.35*2)</f>
        <v>-2.0846555428571428E-3</v>
      </c>
      <c r="P30" s="3">
        <f t="shared" si="1"/>
        <v>0.40676609759606197</v>
      </c>
      <c r="Q30" s="3"/>
      <c r="R30" s="3"/>
      <c r="S30" s="3"/>
      <c r="T30" s="3"/>
      <c r="U30" s="3"/>
      <c r="V30" s="3"/>
      <c r="W30" s="3"/>
      <c r="X30" s="3"/>
      <c r="Y30" s="3"/>
    </row>
    <row r="31" spans="1:25" x14ac:dyDescent="0.25">
      <c r="A31" s="3">
        <v>10000000000000</v>
      </c>
      <c r="B31" s="3">
        <v>-4.9989999999999995E-4</v>
      </c>
      <c r="C31" s="3">
        <v>1.072E-3</v>
      </c>
      <c r="D31" s="3">
        <v>-8.6729999999999999E-4</v>
      </c>
      <c r="E31" s="3">
        <v>0</v>
      </c>
      <c r="F31" s="3">
        <v>0</v>
      </c>
      <c r="G31" s="3">
        <v>0</v>
      </c>
      <c r="H31" s="3">
        <v>4.5733916999999999E-4</v>
      </c>
      <c r="I31" s="3">
        <v>1.5295201E-4</v>
      </c>
      <c r="J31" s="3">
        <v>-1.0838454999999999E-3</v>
      </c>
      <c r="K31" s="3"/>
      <c r="L31" s="3">
        <f t="shared" si="0"/>
        <v>-0.576386486798109</v>
      </c>
      <c r="M31" s="3"/>
      <c r="N31" s="2">
        <f>IF('Modell einstellen'!$B$1="Voll",H31/0.35,H31/0.35*2)</f>
        <v>1.306683342857143E-3</v>
      </c>
      <c r="O31" s="2">
        <f>IF('Modell einstellen'!$B$1="Voll",J31/0.35,J31/0.35*2)</f>
        <v>-3.0967014285714287E-3</v>
      </c>
      <c r="P31" s="3">
        <f t="shared" si="1"/>
        <v>0.42195974426244331</v>
      </c>
      <c r="Q31" s="3"/>
      <c r="R31" s="3"/>
      <c r="S31" s="3"/>
      <c r="T31" s="3"/>
      <c r="U31" s="3"/>
      <c r="V31" s="3"/>
      <c r="W31" s="3"/>
      <c r="X31" s="3"/>
      <c r="Y31" s="3"/>
    </row>
    <row r="32" spans="1:25" x14ac:dyDescent="0.25">
      <c r="A32" s="3">
        <v>100000000000000</v>
      </c>
      <c r="B32" s="3">
        <v>-1.6310000000000001E-3</v>
      </c>
      <c r="C32" s="3">
        <v>1.6479999999999999E-3</v>
      </c>
      <c r="D32" s="3">
        <v>-3.233E-4</v>
      </c>
      <c r="E32" s="3">
        <v>0</v>
      </c>
      <c r="F32" s="3">
        <v>0</v>
      </c>
      <c r="G32" s="3">
        <v>0</v>
      </c>
      <c r="H32" s="3">
        <v>7.8587009E-4</v>
      </c>
      <c r="I32" s="3">
        <v>2.5526029000000003E-4</v>
      </c>
      <c r="J32" s="3">
        <v>-1.785729E-3</v>
      </c>
      <c r="K32" s="3"/>
      <c r="L32" s="3">
        <f t="shared" si="0"/>
        <v>-5.0448499845344887</v>
      </c>
      <c r="M32" s="3"/>
      <c r="N32" s="2">
        <f>IF('Modell einstellen'!$B$1="Voll",H32/0.35,H32/0.35*2)</f>
        <v>2.2453431142857145E-3</v>
      </c>
      <c r="O32" s="2">
        <f>IF('Modell einstellen'!$B$1="Voll",J32/0.35,J32/0.35*2)</f>
        <v>-5.1020828571428575E-3</v>
      </c>
      <c r="P32" s="3">
        <f t="shared" si="1"/>
        <v>0.44008362411093732</v>
      </c>
      <c r="Q32" s="3"/>
      <c r="R32" s="3"/>
      <c r="S32" s="3"/>
      <c r="T32" s="3"/>
      <c r="U32" s="3"/>
      <c r="V32" s="3"/>
      <c r="W32" s="3"/>
      <c r="X32" s="3"/>
      <c r="Y32" s="3"/>
    </row>
    <row r="33" spans="1:25" x14ac:dyDescent="0.25">
      <c r="A33" s="2">
        <v>1000000000000000</v>
      </c>
      <c r="B33" s="3">
        <v>-3.9459999999999999E-3</v>
      </c>
      <c r="C33" s="3">
        <v>2.6770000000000001E-3</v>
      </c>
      <c r="D33" s="3">
        <v>9.5529999999999996E-4</v>
      </c>
      <c r="E33" s="3">
        <v>0</v>
      </c>
      <c r="F33" s="3">
        <v>0</v>
      </c>
      <c r="G33" s="3">
        <v>0</v>
      </c>
      <c r="H33" s="3">
        <v>1.4097812E-3</v>
      </c>
      <c r="I33" s="3">
        <v>4.4221259000000001E-4</v>
      </c>
      <c r="J33" s="3">
        <v>-3.0850089000000001E-3</v>
      </c>
      <c r="K33" s="3"/>
      <c r="L33" s="3">
        <f t="shared" si="0"/>
        <v>4.1306395896576991</v>
      </c>
      <c r="M33" s="3"/>
      <c r="N33" s="2">
        <f>IF('Modell einstellen'!$B$1="Voll",H33/0.35,H33/0.35*2)</f>
        <v>4.0279462857142857E-3</v>
      </c>
      <c r="O33" s="2">
        <f>IF('Modell einstellen'!$B$1="Voll",J33/0.35,J33/0.35*2)</f>
        <v>-8.8143111428571428E-3</v>
      </c>
      <c r="P33" s="3">
        <f t="shared" si="1"/>
        <v>0.45697800093866831</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4.4129999999999999E-5</v>
      </c>
      <c r="C3" s="3">
        <v>1.5420000000000001E-4</v>
      </c>
      <c r="D3" s="3">
        <v>-4.7120000000000002E-4</v>
      </c>
      <c r="E3" s="3">
        <v>0</v>
      </c>
      <c r="F3" s="3">
        <v>0</v>
      </c>
      <c r="G3" s="3">
        <v>0</v>
      </c>
      <c r="H3" s="3">
        <v>7.1196389000000005E-5</v>
      </c>
      <c r="I3" s="3">
        <v>1.5717216999999999E-5</v>
      </c>
      <c r="J3" s="3">
        <v>-1.9787082999999999E-4</v>
      </c>
      <c r="K3" s="3"/>
      <c r="L3" s="3">
        <f>-B3/D3</f>
        <v>9.3654499151103562E-2</v>
      </c>
      <c r="M3" s="3"/>
      <c r="N3" s="2">
        <f>IF('Modell einstellen'!$B$1="Voll",H3/0.35,H3/0.35*2)</f>
        <v>2.0341825428571431E-4</v>
      </c>
      <c r="O3" s="2">
        <f>IF('Modell einstellen'!$B$1="Voll",J3/0.35,J3/0.35*2)</f>
        <v>-5.6534522857142858E-4</v>
      </c>
      <c r="P3" s="3">
        <f>-N3/O3</f>
        <v>0.35981245441786447</v>
      </c>
      <c r="Q3" s="3"/>
      <c r="R3" s="3"/>
      <c r="S3" s="3"/>
      <c r="T3" s="3"/>
      <c r="U3" s="3"/>
    </row>
    <row r="4" spans="1:21" x14ac:dyDescent="0.25">
      <c r="A4" s="3">
        <v>1E-14</v>
      </c>
      <c r="B4" s="3">
        <v>4.4129999999999999E-5</v>
      </c>
      <c r="C4" s="3">
        <v>1.5420000000000001E-4</v>
      </c>
      <c r="D4" s="3">
        <v>-4.7120000000000002E-4</v>
      </c>
      <c r="E4" s="3">
        <v>0</v>
      </c>
      <c r="F4" s="3">
        <v>0</v>
      </c>
      <c r="G4" s="3">
        <v>0</v>
      </c>
      <c r="H4" s="3">
        <v>7.1198031999999999E-5</v>
      </c>
      <c r="I4" s="3">
        <v>1.5718310999999998E-5</v>
      </c>
      <c r="J4" s="3">
        <v>-1.9786698000000001E-4</v>
      </c>
      <c r="K4" s="3"/>
      <c r="L4" s="3">
        <f t="shared" ref="L4:L33" si="0">-B4/D4</f>
        <v>9.3654499151103562E-2</v>
      </c>
      <c r="M4" s="3"/>
      <c r="N4" s="2">
        <f>IF('Modell einstellen'!$B$1="Voll",H4/0.35,H4/0.35*2)</f>
        <v>2.0342294857142858E-4</v>
      </c>
      <c r="O4" s="2">
        <f>IF('Modell einstellen'!$B$1="Voll",J4/0.35,J4/0.35*2)</f>
        <v>-5.6533422857142862E-4</v>
      </c>
      <c r="P4" s="3">
        <f t="shared" ref="P4:P33" si="1">-N4/O4</f>
        <v>0.35982775903286135</v>
      </c>
      <c r="Q4" s="3"/>
      <c r="R4" s="3"/>
      <c r="S4" s="3"/>
      <c r="T4" s="3"/>
      <c r="U4" s="3"/>
    </row>
    <row r="5" spans="1:21" x14ac:dyDescent="0.25">
      <c r="A5" s="3">
        <v>1E-13</v>
      </c>
      <c r="B5" s="3">
        <v>4.4129999999999999E-5</v>
      </c>
      <c r="C5" s="3">
        <v>1.5420000000000001E-4</v>
      </c>
      <c r="D5" s="3">
        <v>-4.7120000000000002E-4</v>
      </c>
      <c r="E5" s="3">
        <v>0</v>
      </c>
      <c r="F5" s="3">
        <v>0</v>
      </c>
      <c r="G5" s="3">
        <v>0</v>
      </c>
      <c r="H5" s="3">
        <v>7.1198407000000005E-5</v>
      </c>
      <c r="I5" s="3">
        <v>1.5718477999999998E-5</v>
      </c>
      <c r="J5" s="3">
        <v>-1.9786797000000001E-4</v>
      </c>
      <c r="K5" s="3"/>
      <c r="L5" s="3">
        <f t="shared" si="0"/>
        <v>9.3654499151103562E-2</v>
      </c>
      <c r="M5" s="3"/>
      <c r="N5" s="2">
        <f>IF('Modell einstellen'!$B$1="Voll",H5/0.35,H5/0.35*2)</f>
        <v>2.0342402000000004E-4</v>
      </c>
      <c r="O5" s="2">
        <f>IF('Modell einstellen'!$B$1="Voll",J5/0.35,J5/0.35*2)</f>
        <v>-5.6533705714285724E-4</v>
      </c>
      <c r="P5" s="3">
        <f t="shared" si="1"/>
        <v>0.35982785389671706</v>
      </c>
      <c r="Q5" s="3"/>
      <c r="R5" s="3"/>
      <c r="S5" s="3"/>
      <c r="T5" s="3"/>
      <c r="U5" s="3"/>
    </row>
    <row r="6" spans="1:21" x14ac:dyDescent="0.25">
      <c r="A6" s="3">
        <v>9.9999999999999998E-13</v>
      </c>
      <c r="B6" s="3">
        <v>4.4129999999999999E-5</v>
      </c>
      <c r="C6" s="3">
        <v>1.5420000000000001E-4</v>
      </c>
      <c r="D6" s="3">
        <v>-4.7120000000000002E-4</v>
      </c>
      <c r="E6" s="3">
        <v>0</v>
      </c>
      <c r="F6" s="3">
        <v>0</v>
      </c>
      <c r="G6" s="3">
        <v>0</v>
      </c>
      <c r="H6" s="3">
        <v>7.1198523000000002E-5</v>
      </c>
      <c r="I6" s="3">
        <v>1.5718524000000001E-5</v>
      </c>
      <c r="J6" s="3">
        <v>-1.9786825999999999E-4</v>
      </c>
      <c r="K6" s="3"/>
      <c r="L6" s="3">
        <f t="shared" si="0"/>
        <v>9.3654499151103562E-2</v>
      </c>
      <c r="M6" s="3"/>
      <c r="N6" s="2">
        <f>IF('Modell einstellen'!$B$1="Voll",H6/0.35,H6/0.35*2)</f>
        <v>2.0342435142857145E-4</v>
      </c>
      <c r="O6" s="2">
        <f>IF('Modell einstellen'!$B$1="Voll",J6/0.35,J6/0.35*2)</f>
        <v>-5.6533788571428573E-4</v>
      </c>
      <c r="P6" s="3">
        <f t="shared" si="1"/>
        <v>0.35982791277388299</v>
      </c>
      <c r="Q6" s="3"/>
      <c r="R6" s="3"/>
      <c r="S6" s="3"/>
      <c r="T6" s="3"/>
      <c r="U6" s="3"/>
    </row>
    <row r="7" spans="1:21" x14ac:dyDescent="0.25">
      <c r="A7" s="3">
        <v>9.9999999999999994E-12</v>
      </c>
      <c r="B7" s="3">
        <v>4.4129999999999999E-5</v>
      </c>
      <c r="C7" s="3">
        <v>1.5420000000000001E-4</v>
      </c>
      <c r="D7" s="3">
        <v>-4.7120000000000002E-4</v>
      </c>
      <c r="E7" s="3">
        <v>0</v>
      </c>
      <c r="F7" s="3">
        <v>0</v>
      </c>
      <c r="G7" s="3">
        <v>0</v>
      </c>
      <c r="H7" s="3">
        <v>7.1198561E-5</v>
      </c>
      <c r="I7" s="3">
        <v>1.5718537E-5</v>
      </c>
      <c r="J7" s="3">
        <v>-1.9786835000000001E-4</v>
      </c>
      <c r="K7" s="3"/>
      <c r="L7" s="3">
        <f t="shared" si="0"/>
        <v>9.3654499151103562E-2</v>
      </c>
      <c r="M7" s="3"/>
      <c r="N7" s="2">
        <f>IF('Modell einstellen'!$B$1="Voll",H7/0.35,H7/0.35*2)</f>
        <v>2.0342446000000001E-4</v>
      </c>
      <c r="O7" s="2">
        <f>IF('Modell einstellen'!$B$1="Voll",J7/0.35,J7/0.35*2)</f>
        <v>-5.6533814285714286E-4</v>
      </c>
      <c r="P7" s="3">
        <f t="shared" si="1"/>
        <v>0.35982794115380251</v>
      </c>
      <c r="Q7" s="3"/>
      <c r="R7" s="3"/>
      <c r="S7" s="3"/>
      <c r="T7" s="3"/>
      <c r="U7" s="3"/>
    </row>
    <row r="8" spans="1:21" x14ac:dyDescent="0.25">
      <c r="A8" s="3">
        <v>1E-10</v>
      </c>
      <c r="B8" s="3">
        <v>4.4129999999999999E-5</v>
      </c>
      <c r="C8" s="3">
        <v>1.5420000000000001E-4</v>
      </c>
      <c r="D8" s="3">
        <v>-4.7120000000000002E-4</v>
      </c>
      <c r="E8" s="3">
        <v>0</v>
      </c>
      <c r="F8" s="3">
        <v>0</v>
      </c>
      <c r="G8" s="3">
        <v>0</v>
      </c>
      <c r="H8" s="3">
        <v>7.1198577000000003E-5</v>
      </c>
      <c r="I8" s="3">
        <v>1.5718542E-5</v>
      </c>
      <c r="J8" s="3">
        <v>-1.9786838E-4</v>
      </c>
      <c r="K8" s="3"/>
      <c r="L8" s="3">
        <f t="shared" si="0"/>
        <v>9.3654499151103562E-2</v>
      </c>
      <c r="M8" s="3"/>
      <c r="N8" s="2">
        <f>IF('Modell einstellen'!$B$1="Voll",H8/0.35,H8/0.35*2)</f>
        <v>2.0342450571428572E-4</v>
      </c>
      <c r="O8" s="2">
        <f>IF('Modell einstellen'!$B$1="Voll",J8/0.35,J8/0.35*2)</f>
        <v>-5.6533822857142858E-4</v>
      </c>
      <c r="P8" s="3">
        <f t="shared" si="1"/>
        <v>0.3598279674599853</v>
      </c>
      <c r="Q8" s="3"/>
      <c r="R8" s="3"/>
      <c r="S8" s="3"/>
      <c r="T8" s="3"/>
      <c r="U8" s="3"/>
    </row>
    <row r="9" spans="1:21" x14ac:dyDescent="0.25">
      <c r="A9" s="3">
        <v>1.0000000000000001E-9</v>
      </c>
      <c r="B9" s="3">
        <v>4.4129999999999999E-5</v>
      </c>
      <c r="C9" s="3">
        <v>1.5420000000000001E-4</v>
      </c>
      <c r="D9" s="3">
        <v>-4.7120000000000002E-4</v>
      </c>
      <c r="E9" s="3">
        <v>0</v>
      </c>
      <c r="F9" s="3">
        <v>0</v>
      </c>
      <c r="G9" s="3">
        <v>0</v>
      </c>
      <c r="H9" s="3">
        <v>7.1198617000000006E-5</v>
      </c>
      <c r="I9" s="3">
        <v>1.5718548E-5</v>
      </c>
      <c r="J9" s="3">
        <v>-1.9786844999999999E-4</v>
      </c>
      <c r="K9" s="3"/>
      <c r="L9" s="3">
        <f t="shared" si="0"/>
        <v>9.3654499151103562E-2</v>
      </c>
      <c r="M9" s="3"/>
      <c r="N9" s="2">
        <f>IF('Modell einstellen'!$B$1="Voll",H9/0.35,H9/0.35*2)</f>
        <v>2.0342462000000003E-4</v>
      </c>
      <c r="O9" s="2">
        <f>IF('Modell einstellen'!$B$1="Voll",J9/0.35,J9/0.35*2)</f>
        <v>-5.6533842857142854E-4</v>
      </c>
      <c r="P9" s="3">
        <f t="shared" si="1"/>
        <v>0.35982804231801491</v>
      </c>
      <c r="Q9" s="3"/>
      <c r="R9" s="3"/>
      <c r="S9" s="3"/>
      <c r="T9" s="3"/>
      <c r="U9" s="3"/>
    </row>
    <row r="10" spans="1:21" x14ac:dyDescent="0.25">
      <c r="A10" s="3">
        <v>1E-8</v>
      </c>
      <c r="B10" s="3">
        <v>4.4129999999999999E-5</v>
      </c>
      <c r="C10" s="3">
        <v>1.5420000000000001E-4</v>
      </c>
      <c r="D10" s="3">
        <v>-4.7120000000000002E-4</v>
      </c>
      <c r="E10" s="3">
        <v>0</v>
      </c>
      <c r="F10" s="3">
        <v>0</v>
      </c>
      <c r="G10" s="3">
        <v>0</v>
      </c>
      <c r="H10" s="3">
        <v>7.1198967000000004E-5</v>
      </c>
      <c r="I10" s="3">
        <v>1.5718588999999999E-5</v>
      </c>
      <c r="J10" s="3">
        <v>-1.9786901E-4</v>
      </c>
      <c r="K10" s="3"/>
      <c r="L10" s="3">
        <f t="shared" si="0"/>
        <v>9.3654499151103562E-2</v>
      </c>
      <c r="M10" s="3"/>
      <c r="N10" s="2">
        <f>IF('Modell einstellen'!$B$1="Voll",H10/0.35,H10/0.35*2)</f>
        <v>2.0342562000000001E-4</v>
      </c>
      <c r="O10" s="2">
        <f>IF('Modell einstellen'!$B$1="Voll",J10/0.35,J10/0.35*2)</f>
        <v>-5.6534002857142865E-4</v>
      </c>
      <c r="P10" s="3">
        <f t="shared" si="1"/>
        <v>0.3598287927957996</v>
      </c>
      <c r="Q10" s="3"/>
      <c r="R10" s="3"/>
      <c r="S10" s="3"/>
      <c r="T10" s="3"/>
      <c r="U10" s="3"/>
    </row>
    <row r="11" spans="1:21" x14ac:dyDescent="0.25">
      <c r="A11" s="3">
        <v>9.9999999999999995E-8</v>
      </c>
      <c r="B11" s="3">
        <v>4.4129999999999999E-5</v>
      </c>
      <c r="C11" s="3">
        <v>1.5420000000000001E-4</v>
      </c>
      <c r="D11" s="3">
        <v>-4.7120000000000002E-4</v>
      </c>
      <c r="E11" s="3">
        <v>0</v>
      </c>
      <c r="F11" s="3">
        <v>0</v>
      </c>
      <c r="G11" s="3">
        <v>0</v>
      </c>
      <c r="H11" s="3">
        <v>7.1202458999999996E-5</v>
      </c>
      <c r="I11" s="3">
        <v>1.5719E-5</v>
      </c>
      <c r="J11" s="3">
        <v>-1.9787459000000001E-4</v>
      </c>
      <c r="K11" s="3"/>
      <c r="L11" s="3">
        <f t="shared" si="0"/>
        <v>9.3654499151103562E-2</v>
      </c>
      <c r="M11" s="3"/>
      <c r="N11" s="2">
        <f>IF('Modell einstellen'!$B$1="Voll",H11/0.35,H11/0.35*2)</f>
        <v>2.0343559714285715E-4</v>
      </c>
      <c r="O11" s="2">
        <f>IF('Modell einstellen'!$B$1="Voll",J11/0.35,J11/0.35*2)</f>
        <v>-5.6535597142857151E-4</v>
      </c>
      <c r="P11" s="3">
        <f t="shared" si="1"/>
        <v>0.35983629328050659</v>
      </c>
      <c r="Q11" s="3"/>
      <c r="R11" s="3"/>
      <c r="S11" s="3"/>
      <c r="T11" s="3"/>
      <c r="U11" s="3"/>
    </row>
    <row r="12" spans="1:21" x14ac:dyDescent="0.25">
      <c r="A12" s="3">
        <v>9.9999999999999995E-7</v>
      </c>
      <c r="B12" s="3">
        <v>4.409E-5</v>
      </c>
      <c r="C12" s="3">
        <v>1.5420000000000001E-4</v>
      </c>
      <c r="D12" s="3">
        <v>-4.7130000000000002E-4</v>
      </c>
      <c r="E12" s="3">
        <v>0</v>
      </c>
      <c r="F12" s="3">
        <v>0</v>
      </c>
      <c r="G12" s="3">
        <v>0</v>
      </c>
      <c r="H12" s="3">
        <v>7.1237144000000003E-5</v>
      </c>
      <c r="I12" s="3">
        <v>1.5723084000000002E-5</v>
      </c>
      <c r="J12" s="3">
        <v>-1.9792995999999999E-4</v>
      </c>
      <c r="K12" s="3"/>
      <c r="L12" s="3">
        <f t="shared" si="0"/>
        <v>9.3549755994058986E-2</v>
      </c>
      <c r="M12" s="3"/>
      <c r="N12" s="2">
        <f>IF('Modell einstellen'!$B$1="Voll",H12/0.35,H12/0.35*2)</f>
        <v>2.0353469714285717E-4</v>
      </c>
      <c r="O12" s="2">
        <f>IF('Modell einstellen'!$B$1="Voll",J12/0.35,J12/0.35*2)</f>
        <v>-5.6551417142857146E-4</v>
      </c>
      <c r="P12" s="3">
        <f t="shared" si="1"/>
        <v>0.35991086948130546</v>
      </c>
      <c r="Q12" s="3"/>
      <c r="R12" s="3"/>
      <c r="S12" s="3"/>
      <c r="T12" s="3"/>
      <c r="U12" s="3"/>
    </row>
    <row r="13" spans="1:21" x14ac:dyDescent="0.25">
      <c r="A13" s="3">
        <v>1.0000000000000001E-5</v>
      </c>
      <c r="B13" s="3">
        <v>4.3720000000000002E-5</v>
      </c>
      <c r="C13" s="3">
        <v>1.5459999999999999E-4</v>
      </c>
      <c r="D13" s="3">
        <v>-4.7150000000000002E-4</v>
      </c>
      <c r="E13" s="3">
        <v>0</v>
      </c>
      <c r="F13" s="3">
        <v>0</v>
      </c>
      <c r="G13" s="3">
        <v>0</v>
      </c>
      <c r="H13" s="3">
        <v>7.1561984999999996E-5</v>
      </c>
      <c r="I13" s="3">
        <v>1.5761291999999999E-5</v>
      </c>
      <c r="J13" s="3">
        <v>-1.9844835999999999E-4</v>
      </c>
      <c r="K13" s="3"/>
      <c r="L13" s="3">
        <f t="shared" si="0"/>
        <v>9.2725344644750796E-2</v>
      </c>
      <c r="M13" s="3"/>
      <c r="N13" s="2">
        <f>IF('Modell einstellen'!$B$1="Voll",H13/0.35,H13/0.35*2)</f>
        <v>2.0446281428571428E-4</v>
      </c>
      <c r="O13" s="2">
        <f>IF('Modell einstellen'!$B$1="Voll",J13/0.35,J13/0.35*2)</f>
        <v>-5.6699531428571425E-4</v>
      </c>
      <c r="P13" s="3">
        <f t="shared" si="1"/>
        <v>0.36060759081103017</v>
      </c>
      <c r="Q13" s="3"/>
      <c r="R13" s="3"/>
      <c r="S13" s="3"/>
      <c r="T13" s="3"/>
      <c r="U13" s="3"/>
    </row>
    <row r="14" spans="1:21" x14ac:dyDescent="0.25">
      <c r="A14" s="3">
        <v>1E-4</v>
      </c>
      <c r="B14" s="3">
        <v>4.1980000000000001E-5</v>
      </c>
      <c r="C14" s="3">
        <v>1.5669999999999999E-4</v>
      </c>
      <c r="D14" s="3">
        <v>-4.7350000000000002E-4</v>
      </c>
      <c r="E14" s="3">
        <v>0</v>
      </c>
      <c r="F14" s="3">
        <v>0</v>
      </c>
      <c r="G14" s="3">
        <v>0</v>
      </c>
      <c r="H14" s="3">
        <v>7.3446963000000002E-5</v>
      </c>
      <c r="I14" s="3">
        <v>1.6001136E-5</v>
      </c>
      <c r="J14" s="3">
        <v>-2.0150705000000001E-4</v>
      </c>
      <c r="K14" s="3"/>
      <c r="L14" s="3">
        <f t="shared" si="0"/>
        <v>8.865892291446674E-2</v>
      </c>
      <c r="M14" s="3"/>
      <c r="N14" s="2">
        <f>IF('Modell einstellen'!$B$1="Voll",H14/0.35,H14/0.35*2)</f>
        <v>2.0984846571428574E-4</v>
      </c>
      <c r="O14" s="2">
        <f>IF('Modell einstellen'!$B$1="Voll",J14/0.35,J14/0.35*2)</f>
        <v>-5.7573442857142862E-4</v>
      </c>
      <c r="P14" s="3">
        <f t="shared" si="1"/>
        <v>0.36448830450349007</v>
      </c>
      <c r="Q14" s="3"/>
      <c r="R14" s="3"/>
      <c r="S14" s="3"/>
      <c r="T14" s="3"/>
      <c r="U14" s="3"/>
    </row>
    <row r="15" spans="1:21" x14ac:dyDescent="0.25">
      <c r="A15" s="3">
        <v>1E-3</v>
      </c>
      <c r="B15" s="3">
        <v>3.9409999999999997E-5</v>
      </c>
      <c r="C15" s="3">
        <v>1.594E-4</v>
      </c>
      <c r="D15" s="3">
        <v>-4.7560000000000001E-4</v>
      </c>
      <c r="E15" s="3">
        <v>0</v>
      </c>
      <c r="F15" s="3">
        <v>0</v>
      </c>
      <c r="G15" s="3">
        <v>0</v>
      </c>
      <c r="H15" s="3">
        <v>7.5915032999999998E-5</v>
      </c>
      <c r="I15" s="3">
        <v>1.6303140999999999E-5</v>
      </c>
      <c r="J15" s="3">
        <v>-2.0545565000000001E-4</v>
      </c>
      <c r="K15" s="3"/>
      <c r="L15" s="3">
        <f t="shared" si="0"/>
        <v>8.2863751051303614E-2</v>
      </c>
      <c r="M15" s="3"/>
      <c r="N15" s="2">
        <f>IF('Modell einstellen'!$B$1="Voll",H15/0.35,H15/0.35*2)</f>
        <v>2.1690009428571429E-4</v>
      </c>
      <c r="O15" s="2">
        <f>IF('Modell einstellen'!$B$1="Voll",J15/0.35,J15/0.35*2)</f>
        <v>-5.8701614285714288E-4</v>
      </c>
      <c r="P15" s="3">
        <f t="shared" si="1"/>
        <v>0.36949596178055943</v>
      </c>
      <c r="Q15" s="3"/>
      <c r="R15" s="3"/>
      <c r="S15" s="3"/>
      <c r="T15" s="3"/>
      <c r="U15" s="3"/>
    </row>
    <row r="16" spans="1:21" x14ac:dyDescent="0.25">
      <c r="A16" s="3">
        <v>0.01</v>
      </c>
      <c r="B16" s="3">
        <v>3.6159999999999999E-5</v>
      </c>
      <c r="C16" s="3">
        <v>1.6239999999999999E-4</v>
      </c>
      <c r="D16" s="3">
        <v>-4.7770000000000001E-4</v>
      </c>
      <c r="E16" s="3">
        <v>0</v>
      </c>
      <c r="F16" s="3">
        <v>0</v>
      </c>
      <c r="G16" s="3">
        <v>0</v>
      </c>
      <c r="H16" s="3">
        <v>7.8785680000000006E-5</v>
      </c>
      <c r="I16" s="3">
        <v>1.6644215E-5</v>
      </c>
      <c r="J16" s="3">
        <v>-2.0999422000000001E-4</v>
      </c>
      <c r="K16" s="3"/>
      <c r="L16" s="3">
        <f t="shared" si="0"/>
        <v>7.5696043541971944E-2</v>
      </c>
      <c r="M16" s="3"/>
      <c r="N16" s="2">
        <f>IF('Modell einstellen'!$B$1="Voll",H16/0.35,H16/0.35*2)</f>
        <v>2.2510194285714288E-4</v>
      </c>
      <c r="O16" s="2">
        <f>IF('Modell einstellen'!$B$1="Voll",J16/0.35,J16/0.35*2)</f>
        <v>-5.9998348571428575E-4</v>
      </c>
      <c r="P16" s="3">
        <f t="shared" si="1"/>
        <v>0.37518023115112409</v>
      </c>
      <c r="Q16" s="3"/>
      <c r="R16" s="3"/>
      <c r="S16" s="3"/>
      <c r="T16" s="3"/>
      <c r="U16" s="3"/>
    </row>
    <row r="17" spans="1:21" x14ac:dyDescent="0.25">
      <c r="A17" s="3">
        <v>0.1</v>
      </c>
      <c r="B17" s="3">
        <v>3.171E-5</v>
      </c>
      <c r="C17" s="3">
        <v>1.661E-4</v>
      </c>
      <c r="D17" s="3">
        <v>-4.796E-4</v>
      </c>
      <c r="E17" s="3">
        <v>0</v>
      </c>
      <c r="F17" s="3">
        <v>0</v>
      </c>
      <c r="G17" s="3">
        <v>0</v>
      </c>
      <c r="H17" s="3">
        <v>8.2424144000000003E-5</v>
      </c>
      <c r="I17" s="3">
        <v>1.7062135E-5</v>
      </c>
      <c r="J17" s="3">
        <v>-2.1566983999999999E-4</v>
      </c>
      <c r="K17" s="3"/>
      <c r="L17" s="3">
        <f t="shared" si="0"/>
        <v>6.6117597998331945E-2</v>
      </c>
      <c r="M17" s="3"/>
      <c r="N17" s="2">
        <f>IF('Modell einstellen'!$B$1="Voll",H17/0.35,H17/0.35*2)</f>
        <v>2.3549755428571432E-4</v>
      </c>
      <c r="O17" s="2">
        <f>IF('Modell einstellen'!$B$1="Voll",J17/0.35,J17/0.35*2)</f>
        <v>-6.1619954285714292E-4</v>
      </c>
      <c r="P17" s="3">
        <f t="shared" si="1"/>
        <v>0.38217742453001313</v>
      </c>
      <c r="Q17" s="3"/>
      <c r="R17" s="3"/>
      <c r="S17" s="3"/>
      <c r="T17" s="3"/>
      <c r="U17" s="3"/>
    </row>
    <row r="18" spans="1:21" x14ac:dyDescent="0.25">
      <c r="A18" s="3">
        <v>1</v>
      </c>
      <c r="B18" s="3">
        <v>2.6299999999999999E-5</v>
      </c>
      <c r="C18" s="3">
        <v>1.7019999999999999E-4</v>
      </c>
      <c r="D18" s="3">
        <v>-4.8119999999999999E-4</v>
      </c>
      <c r="E18" s="3">
        <v>0</v>
      </c>
      <c r="F18" s="3">
        <v>0</v>
      </c>
      <c r="G18" s="3">
        <v>0</v>
      </c>
      <c r="H18" s="3">
        <v>8.6592362000000004E-5</v>
      </c>
      <c r="I18" s="3">
        <v>1.7532123000000001E-5</v>
      </c>
      <c r="J18" s="3">
        <v>-2.2209684E-4</v>
      </c>
      <c r="K18" s="3"/>
      <c r="L18" s="3">
        <f t="shared" si="0"/>
        <v>5.4655029093931835E-2</v>
      </c>
      <c r="M18" s="3"/>
      <c r="N18" s="2">
        <f>IF('Modell einstellen'!$B$1="Voll",H18/0.35,H18/0.35*2)</f>
        <v>2.4740674857142862E-4</v>
      </c>
      <c r="O18" s="2">
        <f>IF('Modell einstellen'!$B$1="Voll",J18/0.35,J18/0.35*2)</f>
        <v>-6.345624E-4</v>
      </c>
      <c r="P18" s="3">
        <f t="shared" si="1"/>
        <v>0.38988561025902041</v>
      </c>
      <c r="Q18" s="3"/>
      <c r="R18" s="3"/>
      <c r="S18" s="3"/>
      <c r="T18" s="3"/>
      <c r="U18" s="3"/>
    </row>
    <row r="19" spans="1:21" x14ac:dyDescent="0.25">
      <c r="A19" s="3">
        <v>10</v>
      </c>
      <c r="B19" s="3">
        <v>2.0299999999999999E-5</v>
      </c>
      <c r="C19" s="3">
        <v>1.7650000000000001E-4</v>
      </c>
      <c r="D19" s="3">
        <v>-4.8460000000000002E-4</v>
      </c>
      <c r="E19" s="3">
        <v>0</v>
      </c>
      <c r="F19" s="3">
        <v>0</v>
      </c>
      <c r="G19" s="3">
        <v>0</v>
      </c>
      <c r="H19" s="3">
        <v>9.1992653000000002E-5</v>
      </c>
      <c r="I19" s="3">
        <v>1.8252865E-5</v>
      </c>
      <c r="J19" s="3">
        <v>-2.3068123E-4</v>
      </c>
      <c r="K19" s="3"/>
      <c r="L19" s="3">
        <f t="shared" si="0"/>
        <v>4.1890218737102761E-2</v>
      </c>
      <c r="M19" s="3"/>
      <c r="N19" s="2">
        <f>IF('Modell einstellen'!$B$1="Voll",H19/0.35,H19/0.35*2)</f>
        <v>2.6283615142857147E-4</v>
      </c>
      <c r="O19" s="2">
        <f>IF('Modell einstellen'!$B$1="Voll",J19/0.35,J19/0.35*2)</f>
        <v>-6.5908922857142857E-4</v>
      </c>
      <c r="P19" s="3">
        <f t="shared" si="1"/>
        <v>0.3987869017344845</v>
      </c>
      <c r="Q19" s="3"/>
      <c r="R19" s="3"/>
      <c r="S19" s="3"/>
      <c r="T19" s="3"/>
      <c r="U19" s="3"/>
    </row>
    <row r="20" spans="1:21" x14ac:dyDescent="0.25">
      <c r="A20" s="3">
        <v>100</v>
      </c>
      <c r="B20" s="3">
        <v>2.1350000000000001E-5</v>
      </c>
      <c r="C20" s="3">
        <v>1.9320000000000001E-4</v>
      </c>
      <c r="D20" s="3">
        <v>-5.0379999999999999E-4</v>
      </c>
      <c r="E20" s="3">
        <v>0</v>
      </c>
      <c r="F20" s="3">
        <v>0</v>
      </c>
      <c r="G20" s="3">
        <v>0</v>
      </c>
      <c r="H20" s="3">
        <v>9.9872318999999994E-5</v>
      </c>
      <c r="I20" s="3">
        <v>2.0176715000000001E-5</v>
      </c>
      <c r="J20" s="3">
        <v>-2.4564283000000001E-4</v>
      </c>
      <c r="K20" s="3"/>
      <c r="L20" s="3">
        <f t="shared" si="0"/>
        <v>4.2377927749106793E-2</v>
      </c>
      <c r="M20" s="3"/>
      <c r="N20" s="2">
        <f>IF('Modell einstellen'!$B$1="Voll",H20/0.35,H20/0.35*2)</f>
        <v>2.8534948285714284E-4</v>
      </c>
      <c r="O20" s="2">
        <f>IF('Modell einstellen'!$B$1="Voll",J20/0.35,J20/0.35*2)</f>
        <v>-7.0183665714285723E-4</v>
      </c>
      <c r="P20" s="3">
        <f t="shared" si="1"/>
        <v>0.40657534762972719</v>
      </c>
      <c r="Q20" s="3"/>
      <c r="R20" s="3"/>
      <c r="S20" s="3"/>
      <c r="T20" s="3"/>
      <c r="U20" s="3"/>
    </row>
    <row r="21" spans="1:21" x14ac:dyDescent="0.25">
      <c r="A21" s="3">
        <v>1000</v>
      </c>
      <c r="B21" s="3">
        <v>4.3770000000000003E-5</v>
      </c>
      <c r="C21" s="3">
        <v>2.3110000000000001E-4</v>
      </c>
      <c r="D21" s="3">
        <v>-5.6030000000000001E-4</v>
      </c>
      <c r="E21" s="3">
        <v>0</v>
      </c>
      <c r="F21" s="3">
        <v>0</v>
      </c>
      <c r="G21" s="3">
        <v>0</v>
      </c>
      <c r="H21" s="3">
        <v>1.1064323999999999E-4</v>
      </c>
      <c r="I21" s="3">
        <v>2.4620198E-5</v>
      </c>
      <c r="J21" s="3">
        <v>-2.7143738999999998E-4</v>
      </c>
      <c r="K21" s="3"/>
      <c r="L21" s="3">
        <f t="shared" si="0"/>
        <v>7.8118864893806886E-2</v>
      </c>
      <c r="M21" s="3"/>
      <c r="N21" s="2">
        <f>IF('Modell einstellen'!$B$1="Voll",H21/0.35,H21/0.35*2)</f>
        <v>3.1612354285714289E-4</v>
      </c>
      <c r="O21" s="2">
        <f>IF('Modell einstellen'!$B$1="Voll",J21/0.35,J21/0.35*2)</f>
        <v>-7.7553539999999997E-4</v>
      </c>
      <c r="P21" s="3">
        <f t="shared" si="1"/>
        <v>0.40761974612266944</v>
      </c>
      <c r="Q21" s="3"/>
      <c r="R21" s="3"/>
      <c r="S21" s="3"/>
      <c r="T21" s="3"/>
      <c r="U21" s="3"/>
    </row>
    <row r="22" spans="1:21" x14ac:dyDescent="0.25">
      <c r="A22" s="3">
        <v>10000</v>
      </c>
      <c r="B22" s="3">
        <v>7.7529999999999998E-5</v>
      </c>
      <c r="C22" s="3">
        <v>2.8269999999999999E-4</v>
      </c>
      <c r="D22" s="3">
        <v>-6.3969999999999999E-4</v>
      </c>
      <c r="E22" s="3">
        <v>0</v>
      </c>
      <c r="F22" s="3">
        <v>0</v>
      </c>
      <c r="G22" s="3">
        <v>0</v>
      </c>
      <c r="H22" s="3">
        <v>1.2323548E-4</v>
      </c>
      <c r="I22" s="3">
        <v>3.0881842999999997E-5</v>
      </c>
      <c r="J22" s="3">
        <v>-3.0507026E-4</v>
      </c>
      <c r="K22" s="3"/>
      <c r="L22" s="3">
        <f t="shared" si="0"/>
        <v>0.12119743629826481</v>
      </c>
      <c r="M22" s="3"/>
      <c r="N22" s="2">
        <f>IF('Modell einstellen'!$B$1="Voll",H22/0.35,H22/0.35*2)</f>
        <v>3.5210137142857145E-4</v>
      </c>
      <c r="O22" s="2">
        <f>IF('Modell einstellen'!$B$1="Voll",J22/0.35,J22/0.35*2)</f>
        <v>-8.7162931428571438E-4</v>
      </c>
      <c r="P22" s="3">
        <f t="shared" si="1"/>
        <v>0.40395769813812726</v>
      </c>
      <c r="Q22" s="3"/>
      <c r="R22" s="3"/>
      <c r="S22" s="3"/>
      <c r="T22" s="3"/>
      <c r="U22" s="3"/>
    </row>
    <row r="23" spans="1:21" x14ac:dyDescent="0.25">
      <c r="A23" s="3">
        <v>100000</v>
      </c>
      <c r="B23" s="3">
        <v>1.081E-4</v>
      </c>
      <c r="C23" s="3">
        <v>3.3780000000000003E-4</v>
      </c>
      <c r="D23" s="3">
        <v>-7.205E-4</v>
      </c>
      <c r="E23" s="3">
        <v>0</v>
      </c>
      <c r="F23" s="3">
        <v>0</v>
      </c>
      <c r="G23" s="3">
        <v>0</v>
      </c>
      <c r="H23" s="3">
        <v>1.3742002E-4</v>
      </c>
      <c r="I23" s="3">
        <v>3.7848795999999998E-5</v>
      </c>
      <c r="J23" s="3">
        <v>-3.4312448000000002E-4</v>
      </c>
      <c r="K23" s="3"/>
      <c r="L23" s="3">
        <f t="shared" si="0"/>
        <v>0.15003469812630119</v>
      </c>
      <c r="M23" s="3"/>
      <c r="N23" s="2">
        <f>IF('Modell einstellen'!$B$1="Voll",H23/0.35,H23/0.35*2)</f>
        <v>3.9262862857142859E-4</v>
      </c>
      <c r="O23" s="2">
        <f>IF('Modell einstellen'!$B$1="Voll",J23/0.35,J23/0.35*2)</f>
        <v>-9.803556571428573E-4</v>
      </c>
      <c r="P23" s="3">
        <f t="shared" si="1"/>
        <v>0.40049611149866071</v>
      </c>
      <c r="Q23" s="3"/>
      <c r="R23" s="3"/>
      <c r="S23" s="3"/>
      <c r="T23" s="3"/>
      <c r="U23" s="3"/>
    </row>
    <row r="24" spans="1:21" x14ac:dyDescent="0.25">
      <c r="A24" s="3">
        <v>1000000</v>
      </c>
      <c r="B24" s="3">
        <v>1.2769999999999999E-4</v>
      </c>
      <c r="C24" s="3">
        <v>3.948E-4</v>
      </c>
      <c r="D24" s="3">
        <v>-7.9500000000000003E-4</v>
      </c>
      <c r="E24" s="3">
        <v>0</v>
      </c>
      <c r="F24" s="3">
        <v>0</v>
      </c>
      <c r="G24" s="3">
        <v>0</v>
      </c>
      <c r="H24" s="3">
        <v>1.5458875999999999E-4</v>
      </c>
      <c r="I24" s="3">
        <v>4.5409998999999998E-5</v>
      </c>
      <c r="J24" s="3">
        <v>-3.8692875000000002E-4</v>
      </c>
      <c r="K24" s="3"/>
      <c r="L24" s="3">
        <f t="shared" si="0"/>
        <v>0.16062893081761004</v>
      </c>
      <c r="M24" s="3"/>
      <c r="N24" s="2">
        <f>IF('Modell einstellen'!$B$1="Voll",H24/0.35,H24/0.35*2)</f>
        <v>4.4168217142857142E-4</v>
      </c>
      <c r="O24" s="2">
        <f>IF('Modell einstellen'!$B$1="Voll",J24/0.35,J24/0.35*2)</f>
        <v>-1.1055107142857144E-3</v>
      </c>
      <c r="P24" s="3">
        <f t="shared" si="1"/>
        <v>0.39952771666618203</v>
      </c>
      <c r="Q24" s="3"/>
      <c r="R24" s="3"/>
      <c r="S24" s="3"/>
      <c r="T24" s="3"/>
      <c r="U24" s="3"/>
    </row>
    <row r="25" spans="1:21" x14ac:dyDescent="0.25">
      <c r="A25" s="3">
        <v>10000000</v>
      </c>
      <c r="B25" s="3">
        <v>1.247E-4</v>
      </c>
      <c r="C25" s="3">
        <v>4.6440000000000001E-4</v>
      </c>
      <c r="D25" s="3">
        <v>-8.633E-4</v>
      </c>
      <c r="E25" s="3">
        <v>0</v>
      </c>
      <c r="F25" s="3">
        <v>0</v>
      </c>
      <c r="G25" s="3">
        <v>0</v>
      </c>
      <c r="H25" s="3">
        <v>1.8028515E-4</v>
      </c>
      <c r="I25" s="3">
        <v>5.5134611999999998E-5</v>
      </c>
      <c r="J25" s="3">
        <v>-4.4791862000000002E-4</v>
      </c>
      <c r="K25" s="3"/>
      <c r="L25" s="3">
        <f t="shared" si="0"/>
        <v>0.14444573149542453</v>
      </c>
      <c r="M25" s="3"/>
      <c r="N25" s="2">
        <f>IF('Modell einstellen'!$B$1="Voll",H25/0.35,H25/0.35*2)</f>
        <v>5.1510042857142856E-4</v>
      </c>
      <c r="O25" s="2">
        <f>IF('Modell einstellen'!$B$1="Voll",J25/0.35,J25/0.35*2)</f>
        <v>-1.2797674857142859E-3</v>
      </c>
      <c r="P25" s="3">
        <f t="shared" si="1"/>
        <v>0.40249532381574127</v>
      </c>
      <c r="Q25" s="3"/>
      <c r="R25" s="3"/>
      <c r="S25" s="3"/>
      <c r="T25" s="3"/>
      <c r="U25" s="3"/>
    </row>
    <row r="26" spans="1:21" x14ac:dyDescent="0.25">
      <c r="A26" s="3">
        <v>100000000</v>
      </c>
      <c r="B26" s="3">
        <v>7.9010000000000004E-5</v>
      </c>
      <c r="C26" s="3">
        <v>5.6150000000000004E-4</v>
      </c>
      <c r="D26" s="3">
        <v>-9.1980000000000002E-4</v>
      </c>
      <c r="E26" s="3">
        <v>0</v>
      </c>
      <c r="F26" s="3">
        <v>0</v>
      </c>
      <c r="G26" s="3">
        <v>0</v>
      </c>
      <c r="H26" s="3">
        <v>2.2108277000000001E-4</v>
      </c>
      <c r="I26" s="3">
        <v>6.9456720000000003E-5</v>
      </c>
      <c r="J26" s="3">
        <v>-5.4139352999999998E-4</v>
      </c>
      <c r="K26" s="3"/>
      <c r="L26" s="3">
        <f t="shared" si="0"/>
        <v>8.5899108501848231E-2</v>
      </c>
      <c r="M26" s="3"/>
      <c r="N26" s="2">
        <f>IF('Modell einstellen'!$B$1="Voll",H26/0.35,H26/0.35*2)</f>
        <v>6.3166505714285718E-4</v>
      </c>
      <c r="O26" s="2">
        <f>IF('Modell einstellen'!$B$1="Voll",J26/0.35,J26/0.35*2)</f>
        <v>-1.5468386571428571E-3</v>
      </c>
      <c r="P26" s="3">
        <f t="shared" si="1"/>
        <v>0.40835872198177181</v>
      </c>
      <c r="Q26" s="3"/>
      <c r="R26" s="3"/>
      <c r="S26" s="3"/>
      <c r="T26" s="3"/>
      <c r="U26" s="3"/>
    </row>
    <row r="27" spans="1:21" x14ac:dyDescent="0.25">
      <c r="A27" s="3">
        <v>1000000000</v>
      </c>
      <c r="B27" s="3">
        <v>-7.1299999999999998E-5</v>
      </c>
      <c r="C27" s="3">
        <v>7.1659999999999996E-4</v>
      </c>
      <c r="D27" s="3">
        <v>-9.3300000000000002E-4</v>
      </c>
      <c r="E27" s="3">
        <v>0</v>
      </c>
      <c r="F27" s="3">
        <v>0</v>
      </c>
      <c r="G27" s="3">
        <v>0</v>
      </c>
      <c r="H27" s="3">
        <v>2.9380897999999999E-4</v>
      </c>
      <c r="I27" s="3">
        <v>9.3722209E-5</v>
      </c>
      <c r="J27" s="3">
        <v>-7.0361765000000003E-4</v>
      </c>
      <c r="K27" s="3"/>
      <c r="L27" s="3">
        <f t="shared" si="0"/>
        <v>-7.6420150053590569E-2</v>
      </c>
      <c r="M27" s="3"/>
      <c r="N27" s="2">
        <f>IF('Modell einstellen'!$B$1="Voll",H27/0.35,H27/0.35*2)</f>
        <v>8.3945422857142861E-4</v>
      </c>
      <c r="O27" s="2">
        <f>IF('Modell einstellen'!$B$1="Voll",J27/0.35,J27/0.35*2)</f>
        <v>-2.0103361428571429E-3</v>
      </c>
      <c r="P27" s="3">
        <f t="shared" si="1"/>
        <v>0.41756908741558713</v>
      </c>
      <c r="Q27" s="3"/>
      <c r="R27" s="3"/>
      <c r="S27" s="3"/>
      <c r="T27" s="3"/>
      <c r="U27" s="3"/>
    </row>
    <row r="28" spans="1:21" x14ac:dyDescent="0.25">
      <c r="A28" s="3">
        <v>10000000000</v>
      </c>
      <c r="B28" s="3">
        <v>-5.2079999999999997E-4</v>
      </c>
      <c r="C28" s="3">
        <v>1.013E-3</v>
      </c>
      <c r="D28" s="3">
        <v>-7.9069999999999997E-4</v>
      </c>
      <c r="E28" s="3">
        <v>0</v>
      </c>
      <c r="F28" s="3">
        <v>0</v>
      </c>
      <c r="G28" s="3">
        <v>0</v>
      </c>
      <c r="H28" s="3">
        <v>4.5070971999999998E-4</v>
      </c>
      <c r="I28" s="3">
        <v>1.4327417000000001E-4</v>
      </c>
      <c r="J28" s="3">
        <v>-1.0426226E-3</v>
      </c>
      <c r="K28" s="3"/>
      <c r="L28" s="3">
        <f t="shared" si="0"/>
        <v>-0.65865688630327557</v>
      </c>
      <c r="M28" s="3"/>
      <c r="N28" s="2">
        <f>IF('Modell einstellen'!$B$1="Voll",H28/0.35,H28/0.35*2)</f>
        <v>1.2877420571428572E-3</v>
      </c>
      <c r="O28" s="2">
        <f>IF('Modell einstellen'!$B$1="Voll",J28/0.35,J28/0.35*2)</f>
        <v>-2.9789217142857146E-3</v>
      </c>
      <c r="P28" s="3">
        <f t="shared" si="1"/>
        <v>0.43228462532847456</v>
      </c>
      <c r="Q28" s="3"/>
      <c r="R28" s="3"/>
      <c r="S28" s="3"/>
      <c r="T28" s="3"/>
      <c r="U28" s="3"/>
    </row>
    <row r="29" spans="1:21" x14ac:dyDescent="0.25">
      <c r="A29" s="3">
        <v>100000000000</v>
      </c>
      <c r="B29" s="3">
        <v>-1.6260000000000001E-3</v>
      </c>
      <c r="C29" s="3">
        <v>1.5590000000000001E-3</v>
      </c>
      <c r="D29" s="3">
        <v>-2.4130000000000001E-4</v>
      </c>
      <c r="E29" s="3">
        <v>0</v>
      </c>
      <c r="F29" s="3">
        <v>0</v>
      </c>
      <c r="G29" s="3">
        <v>0</v>
      </c>
      <c r="H29" s="3">
        <v>7.7029338999999998E-4</v>
      </c>
      <c r="I29" s="3">
        <v>2.3965552999999999E-4</v>
      </c>
      <c r="J29" s="3">
        <v>-1.7138715E-3</v>
      </c>
      <c r="K29" s="3"/>
      <c r="L29" s="3">
        <f t="shared" si="0"/>
        <v>-6.7384997927890593</v>
      </c>
      <c r="M29" s="3"/>
      <c r="N29" s="2">
        <f>IF('Modell einstellen'!$B$1="Voll",H29/0.35,H29/0.35*2)</f>
        <v>2.200838257142857E-3</v>
      </c>
      <c r="O29" s="2">
        <f>IF('Modell einstellen'!$B$1="Voll",J29/0.35,J29/0.35*2)</f>
        <v>-4.8967757142857147E-3</v>
      </c>
      <c r="P29" s="3">
        <f t="shared" si="1"/>
        <v>0.44944640832174404</v>
      </c>
      <c r="Q29" s="3"/>
      <c r="R29" s="3"/>
      <c r="S29" s="3"/>
      <c r="T29" s="3"/>
      <c r="U29" s="3"/>
    </row>
    <row r="30" spans="1:21" x14ac:dyDescent="0.25">
      <c r="A30" s="3">
        <v>1000000000000</v>
      </c>
      <c r="B30" s="3">
        <v>-3.8960000000000002E-3</v>
      </c>
      <c r="C30" s="3">
        <v>2.539E-3</v>
      </c>
      <c r="D30" s="3">
        <v>1.041E-3</v>
      </c>
      <c r="E30" s="3">
        <v>0</v>
      </c>
      <c r="F30" s="3">
        <v>0</v>
      </c>
      <c r="G30" s="3">
        <v>0</v>
      </c>
      <c r="H30" s="3">
        <v>1.3771527E-3</v>
      </c>
      <c r="I30" s="3">
        <v>4.1724421999999998E-4</v>
      </c>
      <c r="J30" s="3">
        <v>-2.9625049999999998E-3</v>
      </c>
      <c r="K30" s="3"/>
      <c r="L30" s="3">
        <f t="shared" si="0"/>
        <v>3.7425552353506246</v>
      </c>
      <c r="M30" s="3"/>
      <c r="N30" s="2">
        <f>IF('Modell einstellen'!$B$1="Voll",H30/0.35,H30/0.35*2)</f>
        <v>3.9347219999999999E-3</v>
      </c>
      <c r="O30" s="2">
        <f>IF('Modell einstellen'!$B$1="Voll",J30/0.35,J30/0.35*2)</f>
        <v>-8.4642999999999993E-3</v>
      </c>
      <c r="P30" s="3">
        <f t="shared" si="1"/>
        <v>0.46486088631074041</v>
      </c>
      <c r="Q30" s="3"/>
      <c r="R30" s="3"/>
      <c r="S30" s="3"/>
      <c r="T30" s="3"/>
      <c r="U30" s="3"/>
    </row>
    <row r="31" spans="1:21" x14ac:dyDescent="0.25">
      <c r="A31" s="3">
        <v>10000000000000</v>
      </c>
      <c r="B31" s="3">
        <v>-8.1429999999999992E-3</v>
      </c>
      <c r="C31" s="3">
        <v>4.267E-3</v>
      </c>
      <c r="D31" s="3">
        <v>3.5539999999999999E-3</v>
      </c>
      <c r="E31" s="3">
        <v>0</v>
      </c>
      <c r="F31" s="3">
        <v>0</v>
      </c>
      <c r="G31" s="3">
        <v>0</v>
      </c>
      <c r="H31" s="3">
        <v>2.4894317000000001E-3</v>
      </c>
      <c r="I31" s="3">
        <v>7.3721020000000004E-4</v>
      </c>
      <c r="J31" s="3">
        <v>-5.2133461000000002E-3</v>
      </c>
      <c r="K31" s="3"/>
      <c r="L31" s="3">
        <f t="shared" si="0"/>
        <v>2.2912211592571747</v>
      </c>
      <c r="M31" s="3"/>
      <c r="N31" s="2">
        <f>IF('Modell einstellen'!$B$1="Voll",H31/0.35,H31/0.35*2)</f>
        <v>7.1126620000000005E-3</v>
      </c>
      <c r="O31" s="2">
        <f>IF('Modell einstellen'!$B$1="Voll",J31/0.35,J31/0.35*2)</f>
        <v>-1.4895274571428573E-2</v>
      </c>
      <c r="P31" s="3">
        <f t="shared" si="1"/>
        <v>0.47751130507142042</v>
      </c>
      <c r="Q31" s="3"/>
      <c r="R31" s="3"/>
      <c r="S31" s="3"/>
      <c r="T31" s="3"/>
      <c r="U31" s="3"/>
    </row>
    <row r="32" spans="1:21" x14ac:dyDescent="0.25">
      <c r="A32" s="3">
        <v>100000000000000</v>
      </c>
      <c r="B32" s="3">
        <v>-1.244E-2</v>
      </c>
      <c r="C32" s="3">
        <v>5.9930000000000001E-3</v>
      </c>
      <c r="D32" s="3">
        <v>6.1180000000000002E-3</v>
      </c>
      <c r="E32" s="3">
        <v>0</v>
      </c>
      <c r="F32" s="3">
        <v>0</v>
      </c>
      <c r="G32" s="3">
        <v>0</v>
      </c>
      <c r="H32" s="3">
        <v>3.6301923000000001E-3</v>
      </c>
      <c r="I32" s="3">
        <v>1.0699716000000001E-3</v>
      </c>
      <c r="J32" s="3">
        <v>-7.5153310999999997E-3</v>
      </c>
      <c r="K32" s="3"/>
      <c r="L32" s="3">
        <f t="shared" si="0"/>
        <v>2.0333442301405689</v>
      </c>
      <c r="M32" s="3"/>
      <c r="N32" s="2">
        <f>IF('Modell einstellen'!$B$1="Voll",H32/0.35,H32/0.35*2)</f>
        <v>1.0371978E-2</v>
      </c>
      <c r="O32" s="2">
        <f>IF('Modell einstellen'!$B$1="Voll",J32/0.35,J32/0.35*2)</f>
        <v>-2.1472374571428574E-2</v>
      </c>
      <c r="P32" s="3">
        <f t="shared" si="1"/>
        <v>0.48303823899388809</v>
      </c>
      <c r="Q32" s="3"/>
      <c r="R32" s="3"/>
      <c r="S32" s="3"/>
      <c r="T32" s="3"/>
      <c r="U32" s="3"/>
    </row>
    <row r="33" spans="1:21" x14ac:dyDescent="0.25">
      <c r="A33" s="2">
        <v>1000000000000000</v>
      </c>
      <c r="B33" s="3">
        <v>-1.436E-2</v>
      </c>
      <c r="C33" s="3">
        <v>6.8149999999999999E-3</v>
      </c>
      <c r="D33" s="3">
        <v>7.2150000000000001E-3</v>
      </c>
      <c r="E33" s="3">
        <v>0</v>
      </c>
      <c r="F33" s="3">
        <v>0</v>
      </c>
      <c r="G33" s="3">
        <v>0</v>
      </c>
      <c r="H33" s="3">
        <v>4.1610880999999999E-3</v>
      </c>
      <c r="I33" s="3">
        <v>1.2351806E-3</v>
      </c>
      <c r="J33" s="3">
        <v>-8.6153549000000003E-3</v>
      </c>
      <c r="K33" s="3"/>
      <c r="L33" s="3">
        <f t="shared" si="0"/>
        <v>1.9902979902979903</v>
      </c>
      <c r="M33" s="3"/>
      <c r="N33" s="2">
        <f>IF('Modell einstellen'!$B$1="Voll",H33/0.35,H33/0.35*2)</f>
        <v>1.1888823142857143E-2</v>
      </c>
      <c r="O33" s="2">
        <f>IF('Modell einstellen'!$B$1="Voll",J33/0.35,J33/0.35*2)</f>
        <v>-2.4615299714285718E-2</v>
      </c>
      <c r="P33" s="3">
        <f t="shared" si="1"/>
        <v>0.48298510604595052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4.634E-5</v>
      </c>
      <c r="C3" s="3">
        <v>1.5569999999999999E-4</v>
      </c>
      <c r="D3" s="3">
        <v>-4.7449999999999999E-4</v>
      </c>
      <c r="E3" s="3">
        <v>0</v>
      </c>
      <c r="F3" s="3">
        <v>0</v>
      </c>
      <c r="G3" s="3">
        <v>0</v>
      </c>
      <c r="H3" s="3">
        <v>7.1422107999999997E-5</v>
      </c>
      <c r="I3" s="3">
        <v>1.5889279999999999E-5</v>
      </c>
      <c r="J3" s="3">
        <v>-1.9867771999999999E-4</v>
      </c>
      <c r="K3" s="2"/>
      <c r="L3" s="3"/>
      <c r="M3" s="3"/>
      <c r="N3" s="2">
        <f>IF('Modell einstellen'!$B$1="Voll",H3/0.35,H3/0.35*2)</f>
        <v>2.0406316571428571E-4</v>
      </c>
      <c r="O3" s="2">
        <f>IF('Modell einstellen'!$B$1="Voll",J3/0.35,J3/0.35*2)</f>
        <v>-5.6765062857142858E-4</v>
      </c>
      <c r="P3" s="3">
        <f>-N3/O3</f>
        <v>0.35948725403130255</v>
      </c>
      <c r="Q3" s="3"/>
      <c r="R3" s="3"/>
      <c r="S3" s="3"/>
      <c r="T3" s="3"/>
      <c r="U3" s="3"/>
    </row>
    <row r="4" spans="1:21" x14ac:dyDescent="0.25">
      <c r="A4" s="3">
        <v>1E-14</v>
      </c>
      <c r="B4" s="3">
        <v>4.634E-5</v>
      </c>
      <c r="C4" s="3">
        <v>1.5569999999999999E-4</v>
      </c>
      <c r="D4" s="3">
        <v>-4.7449999999999999E-4</v>
      </c>
      <c r="E4" s="3">
        <v>0</v>
      </c>
      <c r="F4" s="3">
        <v>0</v>
      </c>
      <c r="G4" s="3">
        <v>0</v>
      </c>
      <c r="H4" s="3">
        <v>7.1423918000000002E-5</v>
      </c>
      <c r="I4" s="3">
        <v>1.5890344999999999E-5</v>
      </c>
      <c r="J4" s="3">
        <v>-1.9867396999999999E-4</v>
      </c>
      <c r="K4" s="2"/>
      <c r="L4" s="3"/>
      <c r="M4" s="3"/>
      <c r="N4" s="2">
        <f>IF('Modell einstellen'!$B$1="Voll",H4/0.35,H4/0.35*2)</f>
        <v>2.0406833714285716E-4</v>
      </c>
      <c r="O4" s="2">
        <f>IF('Modell einstellen'!$B$1="Voll",J4/0.35,J4/0.35*2)</f>
        <v>-5.6763991428571429E-4</v>
      </c>
      <c r="P4" s="3">
        <f t="shared" ref="P4:P33" si="0">-N4/O4</f>
        <v>0.35950314980870418</v>
      </c>
      <c r="Q4" s="3"/>
      <c r="R4" s="3"/>
      <c r="S4" s="3"/>
      <c r="T4" s="3"/>
      <c r="U4" s="3"/>
    </row>
    <row r="5" spans="1:21" x14ac:dyDescent="0.25">
      <c r="A5" s="3">
        <v>1E-13</v>
      </c>
      <c r="B5" s="3">
        <v>4.634E-5</v>
      </c>
      <c r="C5" s="3">
        <v>1.5569999999999999E-4</v>
      </c>
      <c r="D5" s="3">
        <v>-4.7449999999999999E-4</v>
      </c>
      <c r="E5" s="3">
        <v>0</v>
      </c>
      <c r="F5" s="3">
        <v>0</v>
      </c>
      <c r="G5" s="3">
        <v>0</v>
      </c>
      <c r="H5" s="3">
        <v>7.1425220999999999E-5</v>
      </c>
      <c r="I5" s="3">
        <v>1.5890621000000001E-5</v>
      </c>
      <c r="J5" s="3">
        <v>-1.9867644000000001E-4</v>
      </c>
      <c r="K5" s="2"/>
      <c r="L5" s="3"/>
      <c r="M5" s="3"/>
      <c r="N5" s="2">
        <f>IF('Modell einstellen'!$B$1="Voll",H5/0.35,H5/0.35*2)</f>
        <v>2.0407206E-4</v>
      </c>
      <c r="O5" s="2">
        <f>IF('Modell einstellen'!$B$1="Voll",J5/0.35,J5/0.35*2)</f>
        <v>-5.6764697142857147E-4</v>
      </c>
      <c r="P5" s="3">
        <f t="shared" si="0"/>
        <v>0.35950523876912627</v>
      </c>
      <c r="Q5" s="3"/>
      <c r="R5" s="3"/>
      <c r="S5" s="3"/>
      <c r="T5" s="3"/>
      <c r="U5" s="3"/>
    </row>
    <row r="6" spans="1:21" x14ac:dyDescent="0.25">
      <c r="A6" s="3">
        <v>9.9999999999999998E-13</v>
      </c>
      <c r="B6" s="3">
        <v>4.6329999999999999E-5</v>
      </c>
      <c r="C6" s="3">
        <v>1.5569999999999999E-4</v>
      </c>
      <c r="D6" s="3">
        <v>-4.7449999999999999E-4</v>
      </c>
      <c r="E6" s="3">
        <v>0</v>
      </c>
      <c r="F6" s="3">
        <v>0</v>
      </c>
      <c r="G6" s="3">
        <v>0</v>
      </c>
      <c r="H6" s="3">
        <v>7.1434596999999994E-5</v>
      </c>
      <c r="I6" s="3">
        <v>1.5891780000000001E-5</v>
      </c>
      <c r="J6" s="3">
        <v>-1.9869158000000001E-4</v>
      </c>
      <c r="K6" s="2"/>
      <c r="L6" s="3"/>
      <c r="M6" s="3"/>
      <c r="N6" s="2">
        <f>IF('Modell einstellen'!$B$1="Voll",H6/0.35,H6/0.35*2)</f>
        <v>2.0409884857142856E-4</v>
      </c>
      <c r="O6" s="2">
        <f>IF('Modell einstellen'!$B$1="Voll",J6/0.35,J6/0.35*2)</f>
        <v>-5.6769022857142864E-4</v>
      </c>
      <c r="P6" s="3">
        <f t="shared" si="0"/>
        <v>0.35952503372311995</v>
      </c>
      <c r="Q6" s="3"/>
      <c r="R6" s="3"/>
      <c r="S6" s="3"/>
      <c r="T6" s="3"/>
      <c r="U6" s="3"/>
    </row>
    <row r="7" spans="1:21" x14ac:dyDescent="0.25">
      <c r="A7" s="3">
        <v>9.9999999999999994E-12</v>
      </c>
      <c r="B7" s="3">
        <v>4.6230000000000003E-5</v>
      </c>
      <c r="C7" s="3">
        <v>1.5579999999999999E-4</v>
      </c>
      <c r="D7" s="3">
        <v>-4.7459999999999999E-4</v>
      </c>
      <c r="E7" s="3">
        <v>0</v>
      </c>
      <c r="F7" s="3">
        <v>0</v>
      </c>
      <c r="G7" s="3">
        <v>0</v>
      </c>
      <c r="H7" s="3">
        <v>7.1525632999999995E-5</v>
      </c>
      <c r="I7" s="3">
        <v>1.5902747000000001E-5</v>
      </c>
      <c r="J7" s="3">
        <v>-1.9883764000000001E-4</v>
      </c>
      <c r="K7" s="2"/>
      <c r="L7" s="3"/>
      <c r="M7" s="3"/>
      <c r="N7" s="2">
        <f>IF('Modell einstellen'!$B$1="Voll",H7/0.35,H7/0.35*2)</f>
        <v>2.0435895142857142E-4</v>
      </c>
      <c r="O7" s="2">
        <f>IF('Modell einstellen'!$B$1="Voll",J7/0.35,J7/0.35*2)</f>
        <v>-5.6810754285714291E-4</v>
      </c>
      <c r="P7" s="3">
        <f t="shared" si="0"/>
        <v>0.35971877859745266</v>
      </c>
      <c r="Q7" s="3"/>
      <c r="R7" s="3"/>
      <c r="S7" s="3"/>
      <c r="T7" s="3"/>
      <c r="U7" s="3"/>
    </row>
    <row r="8" spans="1:21" x14ac:dyDescent="0.25">
      <c r="A8" s="3">
        <v>1E-10</v>
      </c>
      <c r="B8" s="3">
        <v>4.5370000000000001E-5</v>
      </c>
      <c r="C8" s="3">
        <v>1.5660000000000001E-4</v>
      </c>
      <c r="D8" s="3">
        <v>-4.752E-4</v>
      </c>
      <c r="E8" s="3">
        <v>0</v>
      </c>
      <c r="F8" s="3">
        <v>0</v>
      </c>
      <c r="G8" s="3">
        <v>0</v>
      </c>
      <c r="H8" s="3">
        <v>7.2292843999999994E-5</v>
      </c>
      <c r="I8" s="3">
        <v>1.5994869E-5</v>
      </c>
      <c r="J8" s="3">
        <v>-2.0006703E-4</v>
      </c>
      <c r="K8" s="2"/>
      <c r="L8" s="3"/>
      <c r="M8" s="3"/>
      <c r="N8" s="2">
        <f>IF('Modell einstellen'!$B$1="Voll",H8/0.35,H8/0.35*2)</f>
        <v>2.0655098285714285E-4</v>
      </c>
      <c r="O8" s="2">
        <f>IF('Modell einstellen'!$B$1="Voll",J8/0.35,J8/0.35*2)</f>
        <v>-5.7162008571428572E-4</v>
      </c>
      <c r="P8" s="3">
        <f t="shared" si="0"/>
        <v>0.36134311585472129</v>
      </c>
      <c r="Q8" s="3"/>
      <c r="R8" s="3"/>
      <c r="S8" s="3"/>
      <c r="T8" s="3"/>
      <c r="U8" s="3"/>
    </row>
    <row r="9" spans="1:21" x14ac:dyDescent="0.25">
      <c r="A9" s="3">
        <v>1.0000000000000001E-9</v>
      </c>
      <c r="B9" s="3">
        <v>4.32E-5</v>
      </c>
      <c r="C9" s="3">
        <v>1.594E-4</v>
      </c>
      <c r="D9" s="3">
        <v>-4.7780000000000001E-4</v>
      </c>
      <c r="E9" s="3">
        <v>0</v>
      </c>
      <c r="F9" s="3">
        <v>0</v>
      </c>
      <c r="G9" s="3">
        <v>0</v>
      </c>
      <c r="H9" s="3">
        <v>7.4688289999999994E-5</v>
      </c>
      <c r="I9" s="3">
        <v>1.6306532000000001E-5</v>
      </c>
      <c r="J9" s="3">
        <v>-2.0396804000000001E-4</v>
      </c>
      <c r="K9" s="2"/>
      <c r="L9" s="3"/>
      <c r="M9" s="3"/>
      <c r="N9" s="2">
        <f>IF('Modell einstellen'!$B$1="Voll",H9/0.35,H9/0.35*2)</f>
        <v>2.1339511428571429E-4</v>
      </c>
      <c r="O9" s="2">
        <f>IF('Modell einstellen'!$B$1="Voll",J9/0.35,J9/0.35*2)</f>
        <v>-5.8276582857142865E-4</v>
      </c>
      <c r="P9" s="3">
        <f t="shared" si="0"/>
        <v>0.3661764362691331</v>
      </c>
      <c r="Q9" s="3"/>
      <c r="R9" s="3"/>
      <c r="S9" s="3"/>
      <c r="T9" s="3"/>
      <c r="U9" s="3"/>
    </row>
    <row r="10" spans="1:21" x14ac:dyDescent="0.25">
      <c r="A10" s="3">
        <v>1E-8</v>
      </c>
      <c r="B10" s="3">
        <v>4.0410000000000001E-5</v>
      </c>
      <c r="C10" s="3">
        <v>1.6229999999999999E-4</v>
      </c>
      <c r="D10" s="3">
        <v>-4.7990000000000001E-4</v>
      </c>
      <c r="E10" s="3">
        <v>0</v>
      </c>
      <c r="F10" s="3">
        <v>0</v>
      </c>
      <c r="G10" s="3">
        <v>0</v>
      </c>
      <c r="H10" s="3">
        <v>7.7300443E-5</v>
      </c>
      <c r="I10" s="3">
        <v>1.6628824000000001E-5</v>
      </c>
      <c r="J10" s="3">
        <v>-2.0814609999999999E-4</v>
      </c>
      <c r="K10" s="2"/>
      <c r="L10" s="3"/>
      <c r="M10" s="3"/>
      <c r="N10" s="2">
        <f>IF('Modell einstellen'!$B$1="Voll",H10/0.35,H10/0.35*2)</f>
        <v>2.2085840857142858E-4</v>
      </c>
      <c r="O10" s="2">
        <f>IF('Modell einstellen'!$B$1="Voll",J10/0.35,J10/0.35*2)</f>
        <v>-5.9470314285714281E-4</v>
      </c>
      <c r="P10" s="3">
        <f t="shared" si="0"/>
        <v>0.37137588933926702</v>
      </c>
      <c r="Q10" s="3"/>
      <c r="R10" s="3"/>
      <c r="S10" s="3"/>
      <c r="T10" s="3"/>
      <c r="U10" s="3"/>
    </row>
    <row r="11" spans="1:21" x14ac:dyDescent="0.25">
      <c r="A11" s="3">
        <v>9.9999999999999995E-8</v>
      </c>
      <c r="B11" s="3">
        <v>3.6730000000000002E-5</v>
      </c>
      <c r="C11" s="3">
        <v>1.6559999999999999E-4</v>
      </c>
      <c r="D11" s="3">
        <v>-4.8210000000000001E-4</v>
      </c>
      <c r="E11" s="3">
        <v>0</v>
      </c>
      <c r="F11" s="3">
        <v>0</v>
      </c>
      <c r="G11" s="3">
        <v>0</v>
      </c>
      <c r="H11" s="3">
        <v>8.0480961999999993E-5</v>
      </c>
      <c r="I11" s="3">
        <v>1.7008900999999998E-5</v>
      </c>
      <c r="J11" s="3">
        <v>-2.1316980999999999E-4</v>
      </c>
      <c r="K11" s="2"/>
      <c r="L11" s="3"/>
      <c r="M11" s="3"/>
      <c r="N11" s="2">
        <f>IF('Modell einstellen'!$B$1="Voll",H11/0.35,H11/0.35*2)</f>
        <v>2.299456057142857E-4</v>
      </c>
      <c r="O11" s="2">
        <f>IF('Modell einstellen'!$B$1="Voll",J11/0.35,J11/0.35*2)</f>
        <v>-6.0905660000000006E-4</v>
      </c>
      <c r="P11" s="3">
        <f t="shared" si="0"/>
        <v>0.37754390267552423</v>
      </c>
      <c r="Q11" s="3"/>
      <c r="R11" s="3"/>
      <c r="S11" s="3"/>
      <c r="T11" s="3"/>
      <c r="U11" s="3"/>
    </row>
    <row r="12" spans="1:21" x14ac:dyDescent="0.25">
      <c r="A12" s="3">
        <v>9.9999999999999995E-7</v>
      </c>
      <c r="B12" s="3">
        <v>3.167E-5</v>
      </c>
      <c r="C12" s="3">
        <v>1.696E-4</v>
      </c>
      <c r="D12" s="3">
        <v>-4.84E-4</v>
      </c>
      <c r="E12" s="3">
        <v>0</v>
      </c>
      <c r="F12" s="3">
        <v>0</v>
      </c>
      <c r="G12" s="3">
        <v>0</v>
      </c>
      <c r="H12" s="3">
        <v>8.4489036000000002E-5</v>
      </c>
      <c r="I12" s="3">
        <v>1.7468550000000001E-5</v>
      </c>
      <c r="J12" s="3">
        <v>-2.1940258000000001E-4</v>
      </c>
      <c r="K12" s="2"/>
      <c r="L12" s="3"/>
      <c r="M12" s="3"/>
      <c r="N12" s="2">
        <f>IF('Modell einstellen'!$B$1="Voll",H12/0.35,H12/0.35*2)</f>
        <v>2.4139724571428574E-4</v>
      </c>
      <c r="O12" s="2">
        <f>IF('Modell einstellen'!$B$1="Voll",J12/0.35,J12/0.35*2)</f>
        <v>-6.2686451428571436E-4</v>
      </c>
      <c r="P12" s="3">
        <f t="shared" si="0"/>
        <v>0.38508679341874646</v>
      </c>
      <c r="Q12" s="3"/>
      <c r="R12" s="3"/>
      <c r="S12" s="3"/>
      <c r="T12" s="3"/>
      <c r="U12" s="3"/>
    </row>
    <row r="13" spans="1:21" x14ac:dyDescent="0.25">
      <c r="A13" s="3">
        <v>1.0000000000000001E-5</v>
      </c>
      <c r="B13" s="3">
        <v>2.5539999999999999E-5</v>
      </c>
      <c r="C13" s="3">
        <v>1.738E-4</v>
      </c>
      <c r="D13" s="3">
        <v>-4.8509999999999997E-4</v>
      </c>
      <c r="E13" s="3">
        <v>0</v>
      </c>
      <c r="F13" s="3">
        <v>0</v>
      </c>
      <c r="G13" s="3">
        <v>0</v>
      </c>
      <c r="H13" s="3">
        <v>8.8926304E-5</v>
      </c>
      <c r="I13" s="3">
        <v>1.7952660999999998E-5</v>
      </c>
      <c r="J13" s="3">
        <v>-2.2617833000000001E-4</v>
      </c>
      <c r="K13" s="2"/>
      <c r="L13" s="3"/>
      <c r="M13" s="3"/>
      <c r="N13" s="2">
        <f>IF('Modell einstellen'!$B$1="Voll",H13/0.35,H13/0.35*2)</f>
        <v>2.5407515428571429E-4</v>
      </c>
      <c r="O13" s="2">
        <f>IF('Modell einstellen'!$B$1="Voll",J13/0.35,J13/0.35*2)</f>
        <v>-6.4622380000000008E-4</v>
      </c>
      <c r="P13" s="3">
        <f t="shared" si="0"/>
        <v>0.39316898307631853</v>
      </c>
      <c r="Q13" s="3"/>
      <c r="R13" s="3"/>
      <c r="S13" s="3"/>
      <c r="T13" s="3"/>
      <c r="U13" s="3"/>
    </row>
    <row r="14" spans="1:21" x14ac:dyDescent="0.25">
      <c r="A14" s="3">
        <v>1E-4</v>
      </c>
      <c r="B14" s="3">
        <v>1.6310000000000001E-5</v>
      </c>
      <c r="C14" s="3">
        <v>1.7919999999999999E-4</v>
      </c>
      <c r="D14" s="3">
        <v>-4.8529999999999998E-4</v>
      </c>
      <c r="E14" s="3">
        <v>0</v>
      </c>
      <c r="F14" s="3">
        <v>0</v>
      </c>
      <c r="G14" s="3">
        <v>0</v>
      </c>
      <c r="H14" s="3">
        <v>9.5062217000000006E-5</v>
      </c>
      <c r="I14" s="3">
        <v>1.8584547E-5</v>
      </c>
      <c r="J14" s="3">
        <v>-2.3536237000000001E-4</v>
      </c>
      <c r="K14" s="2"/>
      <c r="L14" s="3"/>
      <c r="M14" s="3"/>
      <c r="N14" s="2">
        <f>IF('Modell einstellen'!$B$1="Voll",H14/0.35,H14/0.35*2)</f>
        <v>2.7160633428571432E-4</v>
      </c>
      <c r="O14" s="2">
        <f>IF('Modell einstellen'!$B$1="Voll",J14/0.35,J14/0.35*2)</f>
        <v>-6.724639142857144E-4</v>
      </c>
      <c r="P14" s="3">
        <f t="shared" si="0"/>
        <v>0.40389726276124766</v>
      </c>
      <c r="Q14" s="3"/>
      <c r="R14" s="3"/>
      <c r="S14" s="3"/>
      <c r="T14" s="3"/>
      <c r="U14" s="3"/>
    </row>
    <row r="15" spans="1:21" x14ac:dyDescent="0.25">
      <c r="A15" s="3">
        <v>1E-3</v>
      </c>
      <c r="B15" s="3">
        <v>3.7290000000000002E-6</v>
      </c>
      <c r="C15" s="3">
        <v>1.853E-4</v>
      </c>
      <c r="D15" s="3">
        <v>-4.8319999999999998E-4</v>
      </c>
      <c r="E15" s="3">
        <v>0</v>
      </c>
      <c r="F15" s="3">
        <v>0</v>
      </c>
      <c r="G15" s="3">
        <v>0</v>
      </c>
      <c r="H15" s="3">
        <v>1.0261869999999999E-4</v>
      </c>
      <c r="I15" s="3">
        <v>1.9303414000000001E-5</v>
      </c>
      <c r="J15" s="3">
        <v>-2.4637964000000001E-4</v>
      </c>
      <c r="K15" s="2"/>
      <c r="L15" s="3"/>
      <c r="M15" s="3"/>
      <c r="N15" s="2">
        <f>IF('Modell einstellen'!$B$1="Voll",H15/0.35,H15/0.35*2)</f>
        <v>2.9319628571428569E-4</v>
      </c>
      <c r="O15" s="2">
        <f>IF('Modell einstellen'!$B$1="Voll",J15/0.35,J15/0.35*2)</f>
        <v>-7.0394182857142862E-4</v>
      </c>
      <c r="P15" s="3">
        <f t="shared" si="0"/>
        <v>0.4165064126240301</v>
      </c>
      <c r="Q15" s="3"/>
      <c r="R15" s="3"/>
      <c r="S15" s="3"/>
      <c r="T15" s="3"/>
      <c r="U15" s="3"/>
    </row>
    <row r="16" spans="1:21" x14ac:dyDescent="0.25">
      <c r="A16" s="3">
        <v>0.01</v>
      </c>
      <c r="B16" s="3">
        <v>-1.169E-5</v>
      </c>
      <c r="C16" s="3">
        <v>1.9139999999999999E-4</v>
      </c>
      <c r="D16" s="3">
        <v>-4.7839999999999997E-4</v>
      </c>
      <c r="E16" s="3">
        <v>0</v>
      </c>
      <c r="F16" s="3">
        <v>0</v>
      </c>
      <c r="G16" s="3">
        <v>0</v>
      </c>
      <c r="H16" s="3">
        <v>1.1104581999999999E-4</v>
      </c>
      <c r="I16" s="3">
        <v>2.0037308000000001E-5</v>
      </c>
      <c r="J16" s="3">
        <v>-2.5833106999999998E-4</v>
      </c>
      <c r="K16" s="2"/>
      <c r="L16" s="3"/>
      <c r="M16" s="3"/>
      <c r="N16" s="2">
        <f>IF('Modell einstellen'!$B$1="Voll",H16/0.35,H16/0.35*2)</f>
        <v>3.1727377142857144E-4</v>
      </c>
      <c r="O16" s="2">
        <f>IF('Modell einstellen'!$B$1="Voll",J16/0.35,J16/0.35*2)</f>
        <v>-7.3808877142857144E-4</v>
      </c>
      <c r="P16" s="3">
        <f t="shared" si="0"/>
        <v>0.42985855321235655</v>
      </c>
      <c r="Q16" s="3"/>
      <c r="R16" s="3"/>
      <c r="S16" s="3"/>
      <c r="T16" s="3"/>
      <c r="U16" s="3"/>
    </row>
    <row r="17" spans="1:21" x14ac:dyDescent="0.25">
      <c r="A17" s="3">
        <v>0.1</v>
      </c>
      <c r="B17" s="3">
        <v>-3.2299999999999999E-5</v>
      </c>
      <c r="C17" s="3">
        <v>1.9819999999999999E-4</v>
      </c>
      <c r="D17" s="3">
        <v>-4.6969999999999998E-4</v>
      </c>
      <c r="E17" s="3">
        <v>0</v>
      </c>
      <c r="F17" s="3">
        <v>0</v>
      </c>
      <c r="G17" s="3">
        <v>0</v>
      </c>
      <c r="H17" s="3">
        <v>1.2148573E-4</v>
      </c>
      <c r="I17" s="3">
        <v>2.0879131E-5</v>
      </c>
      <c r="J17" s="3">
        <v>-2.727804E-4</v>
      </c>
      <c r="K17" s="2"/>
      <c r="L17" s="3"/>
      <c r="M17" s="3"/>
      <c r="N17" s="2">
        <f>IF('Modell einstellen'!$B$1="Voll",H17/0.35,H17/0.35*2)</f>
        <v>3.4710208571428572E-4</v>
      </c>
      <c r="O17" s="2">
        <f>IF('Modell einstellen'!$B$1="Voll",J17/0.35,J17/0.35*2)</f>
        <v>-7.7937257142857153E-4</v>
      </c>
      <c r="P17" s="3">
        <f t="shared" si="0"/>
        <v>0.44536092035938063</v>
      </c>
      <c r="Q17" s="3"/>
      <c r="R17" s="3"/>
      <c r="S17" s="3"/>
      <c r="T17" s="3"/>
      <c r="U17" s="3"/>
    </row>
    <row r="18" spans="1:21" x14ac:dyDescent="0.25">
      <c r="A18" s="3">
        <v>1</v>
      </c>
      <c r="B18" s="3">
        <v>-5.8440000000000003E-5</v>
      </c>
      <c r="C18" s="3">
        <v>2.0719999999999999E-4</v>
      </c>
      <c r="D18" s="3">
        <v>-4.5770000000000001E-4</v>
      </c>
      <c r="E18" s="3">
        <v>0</v>
      </c>
      <c r="F18" s="3">
        <v>0</v>
      </c>
      <c r="G18" s="3">
        <v>0</v>
      </c>
      <c r="H18" s="3">
        <v>1.3446599000000001E-4</v>
      </c>
      <c r="I18" s="3">
        <v>2.1996543999999999E-5</v>
      </c>
      <c r="J18" s="3">
        <v>-2.9076988999999999E-4</v>
      </c>
      <c r="K18" s="2"/>
      <c r="L18" s="3"/>
      <c r="M18" s="3"/>
      <c r="N18" s="2">
        <f>IF('Modell einstellen'!$B$1="Voll",H18/0.35,H18/0.35*2)</f>
        <v>3.8418854285714291E-4</v>
      </c>
      <c r="O18" s="2">
        <f>IF('Modell einstellen'!$B$1="Voll",J18/0.35,J18/0.35*2)</f>
        <v>-8.3077111428571425E-4</v>
      </c>
      <c r="P18" s="3">
        <f t="shared" si="0"/>
        <v>0.4624481234972439</v>
      </c>
      <c r="Q18" s="3"/>
      <c r="R18" s="3"/>
      <c r="S18" s="3"/>
      <c r="T18" s="3"/>
      <c r="U18" s="3"/>
    </row>
    <row r="19" spans="1:21" x14ac:dyDescent="0.25">
      <c r="A19" s="3">
        <v>10</v>
      </c>
      <c r="B19" s="3">
        <v>-9.0669999999999998E-5</v>
      </c>
      <c r="C19" s="3">
        <v>2.3120000000000001E-4</v>
      </c>
      <c r="D19" s="3">
        <v>-4.5399999999999998E-4</v>
      </c>
      <c r="E19" s="3">
        <v>0</v>
      </c>
      <c r="F19" s="3">
        <v>0</v>
      </c>
      <c r="G19" s="3">
        <v>0</v>
      </c>
      <c r="H19" s="3">
        <v>1.5504871999999999E-4</v>
      </c>
      <c r="I19" s="3">
        <v>2.4951475000000002E-5</v>
      </c>
      <c r="J19" s="3">
        <v>-3.2275541999999998E-4</v>
      </c>
      <c r="K19" s="2"/>
      <c r="L19" s="3"/>
      <c r="M19" s="3"/>
      <c r="N19" s="2">
        <f>IF('Modell einstellen'!$B$1="Voll",H19/0.35,H19/0.35*2)</f>
        <v>4.4299634285714288E-4</v>
      </c>
      <c r="O19" s="2">
        <f>IF('Modell einstellen'!$B$1="Voll",J19/0.35,J19/0.35*2)</f>
        <v>-9.2215834285714292E-4</v>
      </c>
      <c r="P19" s="3">
        <f t="shared" si="0"/>
        <v>0.48039075532798176</v>
      </c>
      <c r="Q19" s="3"/>
      <c r="R19" s="3"/>
      <c r="S19" s="3"/>
      <c r="T19" s="3"/>
      <c r="U19" s="3"/>
    </row>
    <row r="20" spans="1:21" x14ac:dyDescent="0.25">
      <c r="A20" s="3">
        <v>100</v>
      </c>
      <c r="B20" s="3">
        <v>-1.261E-4</v>
      </c>
      <c r="C20" s="3">
        <v>2.943E-4</v>
      </c>
      <c r="D20" s="3">
        <v>-4.8289999999999997E-4</v>
      </c>
      <c r="E20" s="3">
        <v>0</v>
      </c>
      <c r="F20" s="3">
        <v>0</v>
      </c>
      <c r="G20" s="3">
        <v>0</v>
      </c>
      <c r="H20" s="3">
        <v>1.8963494999999999E-4</v>
      </c>
      <c r="I20" s="3">
        <v>3.2943091999999998E-5</v>
      </c>
      <c r="J20" s="3">
        <v>-3.8606619000000001E-4</v>
      </c>
      <c r="K20" s="2"/>
      <c r="L20" s="3"/>
      <c r="M20" s="3"/>
      <c r="N20" s="2">
        <f>IF('Modell einstellen'!$B$1="Voll",H20/0.35,H20/0.35*2)</f>
        <v>5.4181414285714284E-4</v>
      </c>
      <c r="O20" s="2">
        <f>IF('Modell einstellen'!$B$1="Voll",J20/0.35,J20/0.35*2)</f>
        <v>-1.1030462571428572E-3</v>
      </c>
      <c r="P20" s="3">
        <f t="shared" si="0"/>
        <v>0.49119802487754749</v>
      </c>
      <c r="Q20" s="3"/>
      <c r="R20" s="3"/>
      <c r="S20" s="3"/>
      <c r="T20" s="3"/>
      <c r="U20" s="3"/>
    </row>
    <row r="21" spans="1:21" x14ac:dyDescent="0.25">
      <c r="A21" s="3">
        <v>1000</v>
      </c>
      <c r="B21" s="3">
        <v>-2.0770000000000001E-4</v>
      </c>
      <c r="C21" s="3">
        <v>4.0269999999999998E-4</v>
      </c>
      <c r="D21" s="3">
        <v>-5.1029999999999999E-4</v>
      </c>
      <c r="E21" s="3">
        <v>0</v>
      </c>
      <c r="F21" s="3">
        <v>0</v>
      </c>
      <c r="G21" s="3">
        <v>0</v>
      </c>
      <c r="H21" s="3">
        <v>2.4670156999999999E-4</v>
      </c>
      <c r="I21" s="3">
        <v>4.7645570000000001E-5</v>
      </c>
      <c r="J21" s="3">
        <v>-4.9591957000000005E-4</v>
      </c>
      <c r="K21" s="2"/>
      <c r="L21" s="3"/>
      <c r="M21" s="3"/>
      <c r="N21" s="2">
        <f>IF('Modell einstellen'!$B$1="Voll",H21/0.35,H21/0.35*2)</f>
        <v>7.0486162857142862E-4</v>
      </c>
      <c r="O21" s="2">
        <f>IF('Modell einstellen'!$B$1="Voll",J21/0.35,J21/0.35*2)</f>
        <v>-1.4169130571428574E-3</v>
      </c>
      <c r="P21" s="3">
        <f t="shared" si="0"/>
        <v>0.49746286479478913</v>
      </c>
      <c r="Q21" s="3"/>
      <c r="R21" s="3"/>
      <c r="S21" s="3"/>
      <c r="T21" s="3"/>
      <c r="U21" s="3"/>
    </row>
    <row r="22" spans="1:21" x14ac:dyDescent="0.25">
      <c r="A22" s="3">
        <v>10000</v>
      </c>
      <c r="B22" s="3">
        <v>-4.595E-4</v>
      </c>
      <c r="C22" s="3">
        <v>5.71E-4</v>
      </c>
      <c r="D22" s="3">
        <v>-4.3110000000000002E-4</v>
      </c>
      <c r="E22" s="3">
        <v>0</v>
      </c>
      <c r="F22" s="3">
        <v>0</v>
      </c>
      <c r="G22" s="3">
        <v>0</v>
      </c>
      <c r="H22" s="3">
        <v>3.5507052000000001E-4</v>
      </c>
      <c r="I22" s="3">
        <v>7.2934597999999999E-5</v>
      </c>
      <c r="J22" s="3">
        <v>-6.9622724000000002E-4</v>
      </c>
      <c r="K22" s="2"/>
      <c r="L22" s="3"/>
      <c r="M22" s="3"/>
      <c r="N22" s="2">
        <f>IF('Modell einstellen'!$B$1="Voll",H22/0.35,H22/0.35*2)</f>
        <v>1.0144872000000002E-3</v>
      </c>
      <c r="O22" s="2">
        <f>IF('Modell einstellen'!$B$1="Voll",J22/0.35,J22/0.35*2)</f>
        <v>-1.989220685714286E-3</v>
      </c>
      <c r="P22" s="3">
        <f t="shared" si="0"/>
        <v>0.50999228355385806</v>
      </c>
      <c r="Q22" s="3"/>
      <c r="R22" s="3"/>
      <c r="S22" s="3"/>
      <c r="T22" s="3"/>
      <c r="U22" s="3"/>
    </row>
    <row r="23" spans="1:21" x14ac:dyDescent="0.25">
      <c r="A23" s="3">
        <v>100000</v>
      </c>
      <c r="B23" s="3">
        <v>-1.1670000000000001E-3</v>
      </c>
      <c r="C23" s="3">
        <v>8.5959999999999997E-4</v>
      </c>
      <c r="D23" s="3">
        <v>-1.906E-5</v>
      </c>
      <c r="E23" s="3">
        <v>0</v>
      </c>
      <c r="F23" s="3">
        <v>0</v>
      </c>
      <c r="G23" s="3">
        <v>0</v>
      </c>
      <c r="H23" s="3">
        <v>5.8302310000000004E-4</v>
      </c>
      <c r="I23" s="3">
        <v>1.2111107E-4</v>
      </c>
      <c r="J23" s="3">
        <v>-1.0997963E-3</v>
      </c>
      <c r="K23" s="2"/>
      <c r="L23" s="3"/>
      <c r="M23" s="3"/>
      <c r="N23" s="2">
        <f>IF('Modell einstellen'!$B$1="Voll",H23/0.35,H23/0.35*2)</f>
        <v>1.6657802857142859E-3</v>
      </c>
      <c r="O23" s="2">
        <f>IF('Modell einstellen'!$B$1="Voll",J23/0.35,J23/0.35*2)</f>
        <v>-3.1422751428571431E-3</v>
      </c>
      <c r="P23" s="3">
        <f t="shared" si="0"/>
        <v>0.53011916843146323</v>
      </c>
      <c r="Q23" s="3"/>
      <c r="R23" s="3"/>
      <c r="S23" s="3"/>
      <c r="T23" s="3"/>
      <c r="U23" s="3"/>
    </row>
    <row r="24" spans="1:21" x14ac:dyDescent="0.25">
      <c r="A24" s="3">
        <v>1000000</v>
      </c>
      <c r="B24" s="3">
        <v>-2.7959999999999999E-3</v>
      </c>
      <c r="C24" s="3">
        <v>1.41E-3</v>
      </c>
      <c r="D24" s="3">
        <v>1.0549999999999999E-3</v>
      </c>
      <c r="E24" s="3">
        <v>0</v>
      </c>
      <c r="F24" s="3">
        <v>0</v>
      </c>
      <c r="G24" s="3">
        <v>0</v>
      </c>
      <c r="H24" s="3">
        <v>1.0345126E-3</v>
      </c>
      <c r="I24" s="3">
        <v>2.1798738E-4</v>
      </c>
      <c r="J24" s="3">
        <v>-1.9022453E-3</v>
      </c>
      <c r="K24" s="2"/>
      <c r="L24" s="3"/>
      <c r="M24" s="3"/>
      <c r="N24" s="2">
        <f>IF('Modell einstellen'!$B$1="Voll",H24/0.35,H24/0.35*2)</f>
        <v>2.955750285714286E-3</v>
      </c>
      <c r="O24" s="2">
        <f>IF('Modell einstellen'!$B$1="Voll",J24/0.35,J24/0.35*2)</f>
        <v>-5.4349865714285722E-3</v>
      </c>
      <c r="P24" s="3">
        <f t="shared" si="0"/>
        <v>0.54383764281084046</v>
      </c>
      <c r="Q24" s="3"/>
      <c r="R24" s="3"/>
      <c r="S24" s="3"/>
      <c r="T24" s="3"/>
      <c r="U24" s="3"/>
    </row>
    <row r="25" spans="1:21" x14ac:dyDescent="0.25">
      <c r="A25" s="3">
        <v>10000000</v>
      </c>
      <c r="B25" s="3">
        <v>-6.0039999999999998E-3</v>
      </c>
      <c r="C25" s="3">
        <v>2.4729999999999999E-3</v>
      </c>
      <c r="D25" s="3">
        <v>3.1979999999999999E-3</v>
      </c>
      <c r="E25" s="3">
        <v>0</v>
      </c>
      <c r="F25" s="3">
        <v>0</v>
      </c>
      <c r="G25" s="3">
        <v>0</v>
      </c>
      <c r="H25" s="3">
        <v>1.8615423E-3</v>
      </c>
      <c r="I25" s="3">
        <v>4.0890441999999998E-4</v>
      </c>
      <c r="J25" s="3">
        <v>-3.4140388000000002E-3</v>
      </c>
      <c r="K25" s="2"/>
      <c r="L25" s="3"/>
      <c r="M25" s="3"/>
      <c r="N25" s="2">
        <f>IF('Modell einstellen'!$B$1="Voll",H25/0.35,H25/0.35*2)</f>
        <v>5.3186922857142863E-3</v>
      </c>
      <c r="O25" s="2">
        <f>IF('Modell einstellen'!$B$1="Voll",J25/0.35,J25/0.35*2)</f>
        <v>-9.7543965714285731E-3</v>
      </c>
      <c r="P25" s="3">
        <f t="shared" si="0"/>
        <v>0.54526102632459827</v>
      </c>
      <c r="Q25" s="3"/>
      <c r="R25" s="3"/>
      <c r="S25" s="3"/>
      <c r="T25" s="3"/>
      <c r="U25" s="3"/>
    </row>
    <row r="26" spans="1:21" x14ac:dyDescent="0.25">
      <c r="A26" s="3">
        <v>100000000</v>
      </c>
      <c r="B26" s="3">
        <v>-1.1209999999999999E-2</v>
      </c>
      <c r="C26" s="3">
        <v>4.2770000000000004E-3</v>
      </c>
      <c r="D26" s="3">
        <v>6.5970000000000004E-3</v>
      </c>
      <c r="E26" s="3">
        <v>0</v>
      </c>
      <c r="F26" s="3">
        <v>0</v>
      </c>
      <c r="G26" s="3">
        <v>0</v>
      </c>
      <c r="H26" s="3">
        <v>3.1772236000000001E-3</v>
      </c>
      <c r="I26" s="3">
        <v>7.4146759999999998E-4</v>
      </c>
      <c r="J26" s="3">
        <v>-5.9029757000000002E-3</v>
      </c>
      <c r="K26" s="2"/>
      <c r="L26" s="3"/>
      <c r="M26" s="3"/>
      <c r="N26" s="2">
        <f>IF('Modell einstellen'!$B$1="Voll",H26/0.35,H26/0.35*2)</f>
        <v>9.0777817142857157E-3</v>
      </c>
      <c r="O26" s="2">
        <f>IF('Modell einstellen'!$B$1="Voll",J26/0.35,J26/0.35*2)</f>
        <v>-1.6865644857142859E-2</v>
      </c>
      <c r="P26" s="3">
        <f t="shared" si="0"/>
        <v>0.53824100953015952</v>
      </c>
      <c r="Q26" s="3"/>
      <c r="R26" s="3"/>
      <c r="S26" s="3"/>
      <c r="T26" s="3"/>
      <c r="U26" s="3"/>
    </row>
    <row r="27" spans="1:21" x14ac:dyDescent="0.25">
      <c r="A27" s="3">
        <v>1000000000</v>
      </c>
      <c r="B27" s="3">
        <v>-1.4489999999999999E-2</v>
      </c>
      <c r="C27" s="3">
        <v>5.7590000000000002E-3</v>
      </c>
      <c r="D27" s="3">
        <v>8.4010000000000005E-3</v>
      </c>
      <c r="E27" s="3">
        <v>0</v>
      </c>
      <c r="F27" s="3">
        <v>0</v>
      </c>
      <c r="G27" s="3">
        <v>0</v>
      </c>
      <c r="H27" s="3">
        <v>4.0207708000000002E-3</v>
      </c>
      <c r="I27" s="3">
        <v>1.0243871999999999E-3</v>
      </c>
      <c r="J27" s="3">
        <v>-7.7326360999999998E-3</v>
      </c>
      <c r="K27" s="2"/>
      <c r="L27" s="3"/>
      <c r="M27" s="3"/>
      <c r="N27" s="2">
        <f>IF('Modell einstellen'!$B$1="Voll",H27/0.35,H27/0.35*2)</f>
        <v>1.1487916571428572E-2</v>
      </c>
      <c r="O27" s="2">
        <f>IF('Modell einstellen'!$B$1="Voll",J27/0.35,J27/0.35*2)</f>
        <v>-2.2093246E-2</v>
      </c>
      <c r="P27" s="3">
        <f t="shared" si="0"/>
        <v>0.51997413922012958</v>
      </c>
      <c r="Q27" s="3"/>
      <c r="R27" s="3"/>
      <c r="S27" s="3"/>
      <c r="T27" s="3"/>
      <c r="U27" s="3"/>
    </row>
    <row r="28" spans="1:21" x14ac:dyDescent="0.25">
      <c r="A28" s="3">
        <v>10000000000</v>
      </c>
      <c r="B28" s="3">
        <v>-1.5800000000000002E-2</v>
      </c>
      <c r="C28" s="3">
        <v>6.6140000000000001E-3</v>
      </c>
      <c r="D28" s="3">
        <v>8.8529999999999998E-3</v>
      </c>
      <c r="E28" s="3">
        <v>0</v>
      </c>
      <c r="F28" s="3">
        <v>0</v>
      </c>
      <c r="G28" s="3">
        <v>0</v>
      </c>
      <c r="H28" s="3">
        <v>4.3751425999999996E-3</v>
      </c>
      <c r="I28" s="3">
        <v>1.1929093999999999E-3</v>
      </c>
      <c r="J28" s="3">
        <v>-8.6727476000000008E-3</v>
      </c>
      <c r="K28" s="2"/>
      <c r="L28" s="3"/>
      <c r="M28" s="3"/>
      <c r="N28" s="2">
        <f>IF('Modell einstellen'!$B$1="Voll",H28/0.35,H28/0.35*2)</f>
        <v>1.2500407428571428E-2</v>
      </c>
      <c r="O28" s="2">
        <f>IF('Modell einstellen'!$B$1="Voll",J28/0.35,J28/0.35*2)</f>
        <v>-2.4779278857142862E-2</v>
      </c>
      <c r="P28" s="3">
        <f t="shared" si="0"/>
        <v>0.50447018658769671</v>
      </c>
      <c r="Q28" s="3"/>
      <c r="R28" s="3"/>
      <c r="S28" s="3"/>
      <c r="T28" s="3"/>
      <c r="U28" s="3"/>
    </row>
    <row r="29" spans="1:21" x14ac:dyDescent="0.25">
      <c r="A29" s="3">
        <v>100000000000</v>
      </c>
      <c r="B29" s="3">
        <v>-1.6709999999999999E-2</v>
      </c>
      <c r="C29" s="3">
        <v>7.2259999999999998E-3</v>
      </c>
      <c r="D29" s="3">
        <v>9.1529999999999997E-3</v>
      </c>
      <c r="E29" s="3">
        <v>0</v>
      </c>
      <c r="F29" s="3">
        <v>0</v>
      </c>
      <c r="G29" s="3">
        <v>0</v>
      </c>
      <c r="H29" s="3">
        <v>4.6427061000000004E-3</v>
      </c>
      <c r="I29" s="3">
        <v>1.3168068000000001E-3</v>
      </c>
      <c r="J29" s="3">
        <v>-9.3682716999999999E-3</v>
      </c>
      <c r="K29" s="2"/>
      <c r="L29" s="3"/>
      <c r="M29" s="3"/>
      <c r="N29" s="2">
        <f>IF('Modell einstellen'!$B$1="Voll",H29/0.35,H29/0.35*2)</f>
        <v>1.3264874571428574E-2</v>
      </c>
      <c r="O29" s="2">
        <f>IF('Modell einstellen'!$B$1="Voll",J29/0.35,J29/0.35*2)</f>
        <v>-2.6766490571428572E-2</v>
      </c>
      <c r="P29" s="3">
        <f t="shared" si="0"/>
        <v>0.49557765281295169</v>
      </c>
      <c r="Q29" s="3"/>
      <c r="R29" s="3"/>
      <c r="S29" s="3"/>
      <c r="T29" s="3"/>
      <c r="U29" s="3"/>
    </row>
    <row r="30" spans="1:21" x14ac:dyDescent="0.25">
      <c r="A30" s="3">
        <v>1000000000000</v>
      </c>
      <c r="B30" s="3">
        <v>-1.6670000000000001E-2</v>
      </c>
      <c r="C30" s="3">
        <v>7.2830000000000004E-3</v>
      </c>
      <c r="D30" s="3">
        <v>9.0600000000000003E-3</v>
      </c>
      <c r="E30" s="3">
        <v>0</v>
      </c>
      <c r="F30" s="3">
        <v>0</v>
      </c>
      <c r="G30" s="3">
        <v>0</v>
      </c>
      <c r="H30" s="3">
        <v>4.6364841000000002E-3</v>
      </c>
      <c r="I30" s="3">
        <v>1.328638E-3</v>
      </c>
      <c r="J30" s="3">
        <v>-9.4039443999999993E-3</v>
      </c>
      <c r="K30" s="2"/>
      <c r="L30" s="3"/>
      <c r="M30" s="3"/>
      <c r="N30" s="2">
        <f>IF('Modell einstellen'!$B$1="Voll",H30/0.35,H30/0.35*2)</f>
        <v>1.3247097428571429E-2</v>
      </c>
      <c r="O30" s="2">
        <f>IF('Modell einstellen'!$B$1="Voll",J30/0.35,J30/0.35*2)</f>
        <v>-2.6868412571428572E-2</v>
      </c>
      <c r="P30" s="3">
        <f t="shared" si="0"/>
        <v>0.49303610302077072</v>
      </c>
      <c r="Q30" s="3"/>
      <c r="R30" s="3"/>
      <c r="S30" s="3"/>
      <c r="T30" s="3"/>
      <c r="U30" s="3"/>
    </row>
    <row r="31" spans="1:21" x14ac:dyDescent="0.25">
      <c r="A31" s="3">
        <v>10000000000000</v>
      </c>
      <c r="B31" s="3">
        <v>-1.634E-2</v>
      </c>
      <c r="C31" s="3">
        <v>7.4749999999999999E-3</v>
      </c>
      <c r="D31" s="3">
        <v>8.5400000000000007E-3</v>
      </c>
      <c r="E31" s="3">
        <v>0</v>
      </c>
      <c r="F31" s="3">
        <v>0</v>
      </c>
      <c r="G31" s="3">
        <v>0</v>
      </c>
      <c r="H31" s="3">
        <v>4.6079310999999996E-3</v>
      </c>
      <c r="I31" s="3">
        <v>1.3685167E-3</v>
      </c>
      <c r="J31" s="3">
        <v>-9.5169318999999992E-3</v>
      </c>
      <c r="K31" s="2"/>
      <c r="L31" s="3"/>
      <c r="M31" s="3"/>
      <c r="N31" s="2">
        <f>IF('Modell einstellen'!$B$1="Voll",H31/0.35,H31/0.35*2)</f>
        <v>1.3165517428571428E-2</v>
      </c>
      <c r="O31" s="2">
        <f>IF('Modell einstellen'!$B$1="Voll",J31/0.35,J31/0.35*2)</f>
        <v>-2.7191233999999998E-2</v>
      </c>
      <c r="P31" s="3">
        <f t="shared" si="0"/>
        <v>0.48418241807530432</v>
      </c>
      <c r="Q31" s="3"/>
      <c r="R31" s="3"/>
      <c r="S31" s="3"/>
      <c r="T31" s="3"/>
      <c r="U31" s="3"/>
    </row>
    <row r="32" spans="1:21" x14ac:dyDescent="0.25">
      <c r="A32" s="3">
        <v>100000000000000</v>
      </c>
      <c r="B32" s="3">
        <v>-1.634E-2</v>
      </c>
      <c r="C32" s="3">
        <v>7.4780000000000003E-3</v>
      </c>
      <c r="D32" s="3">
        <v>8.5319999999999997E-3</v>
      </c>
      <c r="E32" s="3">
        <v>0</v>
      </c>
      <c r="F32" s="3">
        <v>0</v>
      </c>
      <c r="G32" s="3">
        <v>0</v>
      </c>
      <c r="H32" s="3">
        <v>4.6076093E-3</v>
      </c>
      <c r="I32" s="3">
        <v>1.3690834E-3</v>
      </c>
      <c r="J32" s="3">
        <v>-9.5185996999999998E-3</v>
      </c>
      <c r="K32" s="2"/>
      <c r="L32" s="3"/>
      <c r="M32" s="3"/>
      <c r="N32" s="2">
        <f>IF('Modell einstellen'!$B$1="Voll",H32/0.35,H32/0.35*2)</f>
        <v>1.3164598000000001E-2</v>
      </c>
      <c r="O32" s="2">
        <f>IF('Modell einstellen'!$B$1="Voll",J32/0.35,J32/0.35*2)</f>
        <v>-2.7195999142857145E-2</v>
      </c>
      <c r="P32" s="3">
        <f t="shared" si="0"/>
        <v>0.48406377463273303</v>
      </c>
      <c r="Q32" s="3"/>
      <c r="R32" s="3"/>
      <c r="S32" s="3"/>
      <c r="T32" s="3"/>
      <c r="U32" s="3"/>
    </row>
    <row r="33" spans="1:21" x14ac:dyDescent="0.25">
      <c r="A33" s="2">
        <v>1000000000000000</v>
      </c>
      <c r="B33" s="3">
        <v>-1.6129999999999999E-2</v>
      </c>
      <c r="C33" s="3">
        <v>7.5440000000000004E-3</v>
      </c>
      <c r="D33" s="3">
        <v>8.2559999999999995E-3</v>
      </c>
      <c r="E33" s="3">
        <v>0</v>
      </c>
      <c r="F33" s="3">
        <v>0</v>
      </c>
      <c r="G33" s="3">
        <v>0</v>
      </c>
      <c r="H33" s="3">
        <v>4.6053161000000004E-3</v>
      </c>
      <c r="I33" s="3">
        <v>1.3836384000000001E-3</v>
      </c>
      <c r="J33" s="3">
        <v>-9.5676252000000007E-3</v>
      </c>
      <c r="K33" s="2"/>
      <c r="L33" s="3"/>
      <c r="M33" s="3"/>
      <c r="N33" s="2">
        <f>IF('Modell einstellen'!$B$1="Voll",H33/0.35,H33/0.35*2)</f>
        <v>1.3158046000000001E-2</v>
      </c>
      <c r="O33" s="2">
        <f>IF('Modell einstellen'!$B$1="Voll",J33/0.35,J33/0.35*2)</f>
        <v>-2.7336072000000003E-2</v>
      </c>
      <c r="P33" s="3">
        <f t="shared" si="0"/>
        <v>0.48134369853869274</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3.8630000000000001E-5</v>
      </c>
      <c r="C3" s="3">
        <v>1.696E-4</v>
      </c>
      <c r="D3" s="3">
        <v>-4.8799999999999999E-4</v>
      </c>
      <c r="E3" s="3">
        <v>0</v>
      </c>
      <c r="F3" s="3">
        <v>0</v>
      </c>
      <c r="G3" s="3">
        <v>0</v>
      </c>
      <c r="H3" s="3">
        <v>8.2006550999999994E-5</v>
      </c>
      <c r="I3" s="3">
        <v>1.7469031999999999E-5</v>
      </c>
      <c r="J3" s="3">
        <v>-2.1644068999999999E-4</v>
      </c>
      <c r="L3" s="3">
        <f>-B3/D3</f>
        <v>7.915983606557378E-2</v>
      </c>
      <c r="M3" s="3"/>
      <c r="N3" s="2">
        <f>IF('Modell einstellen'!$B$1="Voll",H3/0.35,H3/0.35*2)</f>
        <v>2.3430443142857143E-4</v>
      </c>
      <c r="O3" s="2">
        <f>IF('Modell einstellen'!$B$1="Voll",J3/0.35,J3/0.35*2)</f>
        <v>-6.1840197142857146E-4</v>
      </c>
      <c r="P3" s="3">
        <f>-N3/O3</f>
        <v>0.37888694126783645</v>
      </c>
    </row>
    <row r="4" spans="1:16" x14ac:dyDescent="0.25">
      <c r="A4" s="3">
        <v>1E-14</v>
      </c>
      <c r="B4" s="3">
        <v>3.1919999999999999E-5</v>
      </c>
      <c r="C4" s="3">
        <v>1.749E-4</v>
      </c>
      <c r="D4" s="3">
        <v>-4.9050000000000005E-4</v>
      </c>
      <c r="E4" s="3">
        <v>0</v>
      </c>
      <c r="F4" s="3">
        <v>0</v>
      </c>
      <c r="G4" s="3">
        <v>0</v>
      </c>
      <c r="H4" s="3">
        <v>8.7314182000000002E-5</v>
      </c>
      <c r="I4" s="3">
        <v>1.8080686999999999E-5</v>
      </c>
      <c r="J4" s="3">
        <v>-2.2467367E-4</v>
      </c>
      <c r="L4" s="3">
        <f t="shared" ref="L4:L33" si="0">-B4/D4</f>
        <v>6.5076452599388365E-2</v>
      </c>
      <c r="M4" s="3"/>
      <c r="N4" s="2">
        <f>IF('Modell einstellen'!$B$1="Voll",H4/0.35,H4/0.35*2)</f>
        <v>2.4946909142857147E-4</v>
      </c>
      <c r="O4" s="2">
        <f>IF('Modell einstellen'!$B$1="Voll",J4/0.35,J4/0.35*2)</f>
        <v>-6.4192477142857151E-4</v>
      </c>
      <c r="P4" s="3">
        <f t="shared" ref="P4:P33" si="1">-N4/O4</f>
        <v>0.38862667797254569</v>
      </c>
    </row>
    <row r="5" spans="1:16" x14ac:dyDescent="0.25">
      <c r="A5" s="3">
        <v>1E-13</v>
      </c>
      <c r="B5" s="3">
        <v>2.4090000000000001E-5</v>
      </c>
      <c r="C5" s="3">
        <v>1.8009999999999999E-4</v>
      </c>
      <c r="D5" s="3">
        <v>-4.9140000000000002E-4</v>
      </c>
      <c r="E5" s="3">
        <v>0</v>
      </c>
      <c r="F5" s="3">
        <v>0</v>
      </c>
      <c r="G5" s="3">
        <v>0</v>
      </c>
      <c r="H5" s="3">
        <v>9.2814993999999995E-5</v>
      </c>
      <c r="I5" s="3">
        <v>1.8677027000000001E-5</v>
      </c>
      <c r="J5" s="3">
        <v>-2.3302498000000001E-4</v>
      </c>
      <c r="L5" s="3">
        <f t="shared" si="0"/>
        <v>4.9023199023199023E-2</v>
      </c>
      <c r="M5" s="3"/>
      <c r="N5" s="2">
        <f>IF('Modell einstellen'!$B$1="Voll",H5/0.35,H5/0.35*2)</f>
        <v>2.6518569714285714E-4</v>
      </c>
      <c r="O5" s="2">
        <f>IF('Modell einstellen'!$B$1="Voll",J5/0.35,J5/0.35*2)</f>
        <v>-6.6578565714285718E-4</v>
      </c>
      <c r="P5" s="3">
        <f t="shared" si="1"/>
        <v>0.39830491134469787</v>
      </c>
    </row>
    <row r="6" spans="1:16" x14ac:dyDescent="0.25">
      <c r="A6" s="3">
        <v>9.9999999999999998E-13</v>
      </c>
      <c r="B6" s="3">
        <v>1.3010000000000001E-5</v>
      </c>
      <c r="C6" s="3">
        <v>1.861E-4</v>
      </c>
      <c r="D6" s="3">
        <v>-4.9069999999999995E-4</v>
      </c>
      <c r="E6" s="3">
        <v>0</v>
      </c>
      <c r="F6" s="3">
        <v>0</v>
      </c>
      <c r="G6" s="3">
        <v>0</v>
      </c>
      <c r="H6" s="3">
        <v>9.9837783000000002E-5</v>
      </c>
      <c r="I6" s="3">
        <v>1.9387842999999999E-5</v>
      </c>
      <c r="J6" s="3">
        <v>-2.4343722000000001E-4</v>
      </c>
      <c r="L6" s="3">
        <f t="shared" si="0"/>
        <v>2.6513144487466889E-2</v>
      </c>
      <c r="M6" s="3"/>
      <c r="N6" s="2">
        <f>IF('Modell einstellen'!$B$1="Voll",H6/0.35,H6/0.35*2)</f>
        <v>2.8525080857142858E-4</v>
      </c>
      <c r="O6" s="2">
        <f>IF('Modell einstellen'!$B$1="Voll",J6/0.35,J6/0.35*2)</f>
        <v>-6.9553491428571434E-4</v>
      </c>
      <c r="P6" s="3">
        <f t="shared" si="1"/>
        <v>0.41011716696403283</v>
      </c>
    </row>
    <row r="7" spans="1:16" x14ac:dyDescent="0.25">
      <c r="A7" s="3">
        <v>9.9999999999999994E-12</v>
      </c>
      <c r="B7" s="3">
        <v>-1.11E-6</v>
      </c>
      <c r="C7" s="3">
        <v>1.9230000000000001E-4</v>
      </c>
      <c r="D7" s="3">
        <v>-4.8730000000000003E-4</v>
      </c>
      <c r="E7" s="3">
        <v>0</v>
      </c>
      <c r="F7" s="3">
        <v>0</v>
      </c>
      <c r="G7" s="3">
        <v>0</v>
      </c>
      <c r="H7" s="3">
        <v>1.0790886E-4</v>
      </c>
      <c r="I7" s="3">
        <v>2.0139274000000001E-5</v>
      </c>
      <c r="J7" s="3">
        <v>-2.5508288000000002E-4</v>
      </c>
      <c r="L7" s="3">
        <f t="shared" si="0"/>
        <v>-2.2778575825979888E-3</v>
      </c>
      <c r="M7" s="3"/>
      <c r="N7" s="2">
        <f>IF('Modell einstellen'!$B$1="Voll",H7/0.35,H7/0.35*2)</f>
        <v>3.0831102857142861E-4</v>
      </c>
      <c r="O7" s="2">
        <f>IF('Modell einstellen'!$B$1="Voll",J7/0.35,J7/0.35*2)</f>
        <v>-7.2880822857142866E-4</v>
      </c>
      <c r="P7" s="3">
        <f t="shared" si="1"/>
        <v>0.42303450549092125</v>
      </c>
    </row>
    <row r="8" spans="1:16" x14ac:dyDescent="0.25">
      <c r="A8" s="3">
        <v>1E-10</v>
      </c>
      <c r="B8" s="3">
        <v>-1.931E-5</v>
      </c>
      <c r="C8" s="3">
        <v>1.9900000000000001E-4</v>
      </c>
      <c r="D8" s="3">
        <v>-4.8060000000000003E-4</v>
      </c>
      <c r="E8" s="3">
        <v>0</v>
      </c>
      <c r="F8" s="3">
        <v>0</v>
      </c>
      <c r="G8" s="3">
        <v>0</v>
      </c>
      <c r="H8" s="3">
        <v>1.1742024E-4</v>
      </c>
      <c r="I8" s="3">
        <v>2.0948769E-5</v>
      </c>
      <c r="J8" s="3">
        <v>-2.6843792999999998E-4</v>
      </c>
      <c r="L8" s="3">
        <f t="shared" si="0"/>
        <v>-4.0178942987931753E-2</v>
      </c>
      <c r="M8" s="3"/>
      <c r="N8" s="2">
        <f>IF('Modell einstellen'!$B$1="Voll",H8/0.35,H8/0.35*2)</f>
        <v>3.3548640000000005E-4</v>
      </c>
      <c r="O8" s="2">
        <f>IF('Modell einstellen'!$B$1="Voll",J8/0.35,J8/0.35*2)</f>
        <v>-7.6696551428571426E-4</v>
      </c>
      <c r="P8" s="3">
        <f t="shared" si="1"/>
        <v>0.4374204494871497</v>
      </c>
    </row>
    <row r="9" spans="1:16" x14ac:dyDescent="0.25">
      <c r="A9" s="3">
        <v>1.0000000000000001E-9</v>
      </c>
      <c r="B9" s="3">
        <v>-4.409E-5</v>
      </c>
      <c r="C9" s="3">
        <v>2.062E-4</v>
      </c>
      <c r="D9" s="3">
        <v>-4.684E-4</v>
      </c>
      <c r="E9" s="3">
        <v>0</v>
      </c>
      <c r="F9" s="3">
        <v>0</v>
      </c>
      <c r="G9" s="3">
        <v>0</v>
      </c>
      <c r="H9" s="3">
        <v>1.2927351999999999E-4</v>
      </c>
      <c r="I9" s="3">
        <v>2.1854801999999998E-5</v>
      </c>
      <c r="J9" s="3">
        <v>-2.8458550999999998E-4</v>
      </c>
      <c r="L9" s="3">
        <f t="shared" si="0"/>
        <v>-9.4128949615713067E-2</v>
      </c>
      <c r="M9" s="3"/>
      <c r="N9" s="2">
        <f>IF('Modell einstellen'!$B$1="Voll",H9/0.35,H9/0.35*2)</f>
        <v>3.6935291428571429E-4</v>
      </c>
      <c r="O9" s="2">
        <f>IF('Modell einstellen'!$B$1="Voll",J9/0.35,J9/0.35*2)</f>
        <v>-8.1310145714285709E-4</v>
      </c>
      <c r="P9" s="3">
        <f t="shared" si="1"/>
        <v>0.45425193995295127</v>
      </c>
    </row>
    <row r="10" spans="1:16" x14ac:dyDescent="0.25">
      <c r="A10" s="3">
        <v>1E-8</v>
      </c>
      <c r="B10" s="3">
        <v>-8.1630000000000003E-5</v>
      </c>
      <c r="C10" s="3">
        <v>2.1479999999999999E-4</v>
      </c>
      <c r="D10" s="3">
        <v>-4.46E-4</v>
      </c>
      <c r="E10" s="3">
        <v>0</v>
      </c>
      <c r="F10" s="3">
        <v>0</v>
      </c>
      <c r="G10" s="3">
        <v>0</v>
      </c>
      <c r="H10" s="3">
        <v>1.4575826E-4</v>
      </c>
      <c r="I10" s="3">
        <v>2.2964623E-5</v>
      </c>
      <c r="J10" s="3">
        <v>-3.0632062999999998E-4</v>
      </c>
      <c r="L10" s="3">
        <f t="shared" si="0"/>
        <v>-0.18302690582959641</v>
      </c>
      <c r="M10" s="3"/>
      <c r="N10" s="2">
        <f>IF('Modell einstellen'!$B$1="Voll",H10/0.35,H10/0.35*2)</f>
        <v>4.1645217142857147E-4</v>
      </c>
      <c r="O10" s="2">
        <f>IF('Modell einstellen'!$B$1="Voll",J10/0.35,J10/0.35*2)</f>
        <v>-8.7520179999999999E-4</v>
      </c>
      <c r="P10" s="3">
        <f t="shared" si="1"/>
        <v>0.47583559749142595</v>
      </c>
    </row>
    <row r="11" spans="1:16" x14ac:dyDescent="0.25">
      <c r="A11" s="3">
        <v>9.9999999999999995E-8</v>
      </c>
      <c r="B11" s="3">
        <v>-1.5090000000000001E-4</v>
      </c>
      <c r="C11" s="3">
        <v>2.264E-4</v>
      </c>
      <c r="D11" s="3">
        <v>-3.9720000000000001E-4</v>
      </c>
      <c r="E11" s="3">
        <v>0</v>
      </c>
      <c r="F11" s="3">
        <v>0</v>
      </c>
      <c r="G11" s="3">
        <v>0</v>
      </c>
      <c r="H11" s="3">
        <v>1.7330551999999999E-4</v>
      </c>
      <c r="I11" s="3">
        <v>2.4504752000000002E-5</v>
      </c>
      <c r="J11" s="3">
        <v>-3.4113465E-4</v>
      </c>
      <c r="L11" s="3">
        <f t="shared" si="0"/>
        <v>-0.37990936555891242</v>
      </c>
      <c r="M11" s="3"/>
      <c r="N11" s="2">
        <f>IF('Modell einstellen'!$B$1="Voll",H11/0.35,H11/0.35*2)</f>
        <v>4.9515862857142862E-4</v>
      </c>
      <c r="O11" s="2">
        <f>IF('Modell einstellen'!$B$1="Voll",J11/0.35,J11/0.35*2)</f>
        <v>-9.7467042857142863E-4</v>
      </c>
      <c r="P11" s="3">
        <f t="shared" si="1"/>
        <v>0.50802672786244374</v>
      </c>
    </row>
    <row r="12" spans="1:16" x14ac:dyDescent="0.25">
      <c r="A12" s="3">
        <v>9.9999999999999995E-7</v>
      </c>
      <c r="B12" s="3">
        <v>-2.8459999999999998E-4</v>
      </c>
      <c r="C12" s="3">
        <v>2.4039999999999999E-4</v>
      </c>
      <c r="D12" s="3">
        <v>-2.8889999999999997E-4</v>
      </c>
      <c r="E12" s="3">
        <v>0</v>
      </c>
      <c r="F12" s="3">
        <v>0</v>
      </c>
      <c r="G12" s="3">
        <v>0</v>
      </c>
      <c r="H12" s="3">
        <v>2.2088927E-4</v>
      </c>
      <c r="I12" s="3">
        <v>2.6508899E-5</v>
      </c>
      <c r="J12" s="3">
        <v>-3.9812992000000001E-4</v>
      </c>
      <c r="L12" s="3">
        <f t="shared" si="0"/>
        <v>-0.98511595707857391</v>
      </c>
      <c r="M12" s="3"/>
      <c r="N12" s="2">
        <f>IF('Modell einstellen'!$B$1="Voll",H12/0.35,H12/0.35*2)</f>
        <v>6.3111220000000004E-4</v>
      </c>
      <c r="O12" s="2">
        <f>IF('Modell einstellen'!$B$1="Voll",J12/0.35,J12/0.35*2)</f>
        <v>-1.1375140571428571E-3</v>
      </c>
      <c r="P12" s="3">
        <f t="shared" si="1"/>
        <v>0.55481705569880313</v>
      </c>
    </row>
    <row r="13" spans="1:16" x14ac:dyDescent="0.25">
      <c r="A13" s="3">
        <v>1.0000000000000001E-5</v>
      </c>
      <c r="B13" s="3">
        <v>-5.7090000000000005E-4</v>
      </c>
      <c r="C13" s="3">
        <v>2.5619999999999999E-4</v>
      </c>
      <c r="D13" s="3">
        <v>-3.2110000000000003E-5</v>
      </c>
      <c r="E13" s="3">
        <v>0</v>
      </c>
      <c r="F13" s="3">
        <v>0</v>
      </c>
      <c r="G13" s="3">
        <v>0</v>
      </c>
      <c r="H13" s="3">
        <v>3.1236333E-4</v>
      </c>
      <c r="I13" s="3">
        <v>2.9021910000000001E-5</v>
      </c>
      <c r="J13" s="3">
        <v>-5.0128924000000005E-4</v>
      </c>
      <c r="L13" s="3">
        <f t="shared" si="0"/>
        <v>-17.779507941451261</v>
      </c>
      <c r="M13" s="3"/>
      <c r="N13" s="2">
        <f>IF('Modell einstellen'!$B$1="Voll",H13/0.35,H13/0.35*2)</f>
        <v>8.9246665714285724E-4</v>
      </c>
      <c r="O13" s="2">
        <f>IF('Modell einstellen'!$B$1="Voll",J13/0.35,J13/0.35*2)</f>
        <v>-1.4322549714285717E-3</v>
      </c>
      <c r="P13" s="3">
        <f t="shared" si="1"/>
        <v>0.62311995765159445</v>
      </c>
    </row>
    <row r="14" spans="1:16" x14ac:dyDescent="0.25">
      <c r="A14" s="3">
        <v>1E-4</v>
      </c>
      <c r="B14" s="3">
        <v>-1.2830000000000001E-3</v>
      </c>
      <c r="C14" s="3">
        <v>2.7119999999999998E-4</v>
      </c>
      <c r="D14" s="3">
        <v>6.5039999999999998E-4</v>
      </c>
      <c r="E14" s="3">
        <v>0</v>
      </c>
      <c r="F14" s="3">
        <v>0</v>
      </c>
      <c r="G14" s="3">
        <v>0</v>
      </c>
      <c r="H14" s="3">
        <v>5.1945691E-4</v>
      </c>
      <c r="I14" s="3">
        <v>3.1877664999999999E-5</v>
      </c>
      <c r="J14" s="3">
        <v>-7.2122037E-4</v>
      </c>
      <c r="L14" s="3">
        <f t="shared" si="0"/>
        <v>1.9726322263222633</v>
      </c>
      <c r="M14" s="3"/>
      <c r="N14" s="2">
        <f>IF('Modell einstellen'!$B$1="Voll",H14/0.35,H14/0.35*2)</f>
        <v>1.4841626E-3</v>
      </c>
      <c r="O14" s="2">
        <f>IF('Modell einstellen'!$B$1="Voll",J14/0.35,J14/0.35*2)</f>
        <v>-2.0606296285714289E-3</v>
      </c>
      <c r="P14" s="3">
        <f t="shared" si="1"/>
        <v>0.72024714166073811</v>
      </c>
    </row>
    <row r="15" spans="1:16" x14ac:dyDescent="0.25">
      <c r="A15" s="3">
        <v>1E-3</v>
      </c>
      <c r="B15" s="3">
        <v>-2.862E-3</v>
      </c>
      <c r="C15" s="3">
        <v>2.8069999999999999E-4</v>
      </c>
      <c r="D15" s="3">
        <v>2.209E-3</v>
      </c>
      <c r="E15" s="3">
        <v>0</v>
      </c>
      <c r="F15" s="3">
        <v>0</v>
      </c>
      <c r="G15" s="3">
        <v>0</v>
      </c>
      <c r="H15" s="3">
        <v>9.5341641999999996E-4</v>
      </c>
      <c r="I15" s="3">
        <v>3.4106410999999999E-5</v>
      </c>
      <c r="J15" s="3">
        <v>-1.1634855999999999E-3</v>
      </c>
      <c r="L15" s="3">
        <f t="shared" si="0"/>
        <v>1.295608872793119</v>
      </c>
      <c r="M15" s="3"/>
      <c r="N15" s="2">
        <f>IF('Modell einstellen'!$B$1="Voll",H15/0.35,H15/0.35*2)</f>
        <v>2.7240469142857143E-3</v>
      </c>
      <c r="O15" s="2">
        <f>IF('Modell einstellen'!$B$1="Voll",J15/0.35,J15/0.35*2)</f>
        <v>-3.3242445714285712E-3</v>
      </c>
      <c r="P15" s="3">
        <f t="shared" si="1"/>
        <v>0.81944840572156641</v>
      </c>
    </row>
    <row r="16" spans="1:16" x14ac:dyDescent="0.25">
      <c r="A16" s="3">
        <v>0.01</v>
      </c>
      <c r="B16" s="3">
        <v>-5.9490000000000003E-3</v>
      </c>
      <c r="C16" s="3">
        <v>2.9050000000000001E-4</v>
      </c>
      <c r="D16" s="3">
        <v>5.2820000000000002E-3</v>
      </c>
      <c r="E16" s="3">
        <v>0</v>
      </c>
      <c r="F16" s="3">
        <v>0</v>
      </c>
      <c r="G16" s="3">
        <v>0</v>
      </c>
      <c r="H16" s="3">
        <v>1.7844221E-3</v>
      </c>
      <c r="I16" s="3">
        <v>3.5670718E-5</v>
      </c>
      <c r="J16" s="3">
        <v>-1.9943846999999999E-3</v>
      </c>
      <c r="L16" s="3">
        <f t="shared" si="0"/>
        <v>1.1262779250283983</v>
      </c>
      <c r="M16" s="3"/>
      <c r="N16" s="2">
        <f>IF('Modell einstellen'!$B$1="Voll",H16/0.35,H16/0.35*2)</f>
        <v>5.0983488571428575E-3</v>
      </c>
      <c r="O16" s="2">
        <f>IF('Modell einstellen'!$B$1="Voll",J16/0.35,J16/0.35*2)</f>
        <v>-5.6982420000000001E-3</v>
      </c>
      <c r="P16" s="3">
        <f t="shared" si="1"/>
        <v>0.89472311936608828</v>
      </c>
    </row>
    <row r="17" spans="1:16" x14ac:dyDescent="0.25">
      <c r="A17" s="3">
        <v>0.1</v>
      </c>
      <c r="B17" s="3">
        <v>-1.1599999999999999E-2</v>
      </c>
      <c r="C17" s="3">
        <v>3.2519999999999999E-4</v>
      </c>
      <c r="D17" s="3">
        <v>1.09E-2</v>
      </c>
      <c r="E17" s="3">
        <v>0</v>
      </c>
      <c r="F17" s="3">
        <v>0</v>
      </c>
      <c r="G17" s="3">
        <v>0</v>
      </c>
      <c r="H17" s="3">
        <v>3.3019172999999998E-3</v>
      </c>
      <c r="I17" s="3">
        <v>3.8662180999999999E-5</v>
      </c>
      <c r="J17" s="3">
        <v>-3.5001774999999999E-3</v>
      </c>
      <c r="L17" s="3">
        <f t="shared" si="0"/>
        <v>1.0642201834862384</v>
      </c>
      <c r="M17" s="3"/>
      <c r="N17" s="2">
        <f>IF('Modell einstellen'!$B$1="Voll",H17/0.35,H17/0.35*2)</f>
        <v>9.4340494285714283E-3</v>
      </c>
      <c r="O17" s="2">
        <f>IF('Modell einstellen'!$B$1="Voll",J17/0.35,J17/0.35*2)</f>
        <v>-1.0000507142857143E-2</v>
      </c>
      <c r="P17" s="3">
        <f t="shared" si="1"/>
        <v>0.94335710117558313</v>
      </c>
    </row>
    <row r="18" spans="1:16" x14ac:dyDescent="0.25">
      <c r="A18" s="3">
        <v>1</v>
      </c>
      <c r="B18" s="3">
        <v>-1.6979999999999999E-2</v>
      </c>
      <c r="C18" s="3">
        <v>4.2860000000000001E-4</v>
      </c>
      <c r="D18" s="3">
        <v>1.618E-2</v>
      </c>
      <c r="E18" s="3">
        <v>0</v>
      </c>
      <c r="F18" s="3">
        <v>0</v>
      </c>
      <c r="G18" s="3">
        <v>0</v>
      </c>
      <c r="H18" s="3">
        <v>4.7583382E-3</v>
      </c>
      <c r="I18" s="3">
        <v>5.0548772000000003E-5</v>
      </c>
      <c r="J18" s="3">
        <v>-4.9649228000000004E-3</v>
      </c>
      <c r="L18" s="3">
        <f t="shared" si="0"/>
        <v>1.0494437577255871</v>
      </c>
      <c r="M18" s="3"/>
      <c r="N18" s="2">
        <f>IF('Modell einstellen'!$B$1="Voll",H18/0.35,H18/0.35*2)</f>
        <v>1.3595252E-2</v>
      </c>
      <c r="O18" s="2">
        <f>IF('Modell einstellen'!$B$1="Voll",J18/0.35,J18/0.35*2)</f>
        <v>-1.4185493714285716E-2</v>
      </c>
      <c r="P18" s="3">
        <f t="shared" si="1"/>
        <v>0.9583911757902861</v>
      </c>
    </row>
    <row r="19" spans="1:16" x14ac:dyDescent="0.25">
      <c r="A19" s="3">
        <v>10</v>
      </c>
      <c r="B19" s="3">
        <v>-1.9310000000000001E-2</v>
      </c>
      <c r="C19" s="3">
        <v>6.4199999999999999E-4</v>
      </c>
      <c r="D19" s="3">
        <v>1.8290000000000001E-2</v>
      </c>
      <c r="E19" s="3">
        <v>0</v>
      </c>
      <c r="F19" s="3">
        <v>0</v>
      </c>
      <c r="G19" s="3">
        <v>0</v>
      </c>
      <c r="H19" s="3">
        <v>5.4005772999999998E-3</v>
      </c>
      <c r="I19" s="3">
        <v>8.3572263999999994E-5</v>
      </c>
      <c r="J19" s="3">
        <v>-5.7064085999999998E-3</v>
      </c>
      <c r="L19" s="3">
        <f t="shared" si="0"/>
        <v>1.0557681793329687</v>
      </c>
      <c r="M19" s="3"/>
      <c r="N19" s="2">
        <f>IF('Modell einstellen'!$B$1="Voll",H19/0.35,H19/0.35*2)</f>
        <v>1.5430220857142858E-2</v>
      </c>
      <c r="O19" s="2">
        <f>IF('Modell einstellen'!$B$1="Voll",J19/0.35,J19/0.35*2)</f>
        <v>-1.6304024571428571E-2</v>
      </c>
      <c r="P19" s="3">
        <f t="shared" si="1"/>
        <v>0.94640564294677398</v>
      </c>
    </row>
    <row r="20" spans="1:16" x14ac:dyDescent="0.25">
      <c r="A20" s="3">
        <v>100</v>
      </c>
      <c r="B20" s="3">
        <v>-2.0930000000000001E-2</v>
      </c>
      <c r="C20" s="3">
        <v>1.0690000000000001E-3</v>
      </c>
      <c r="D20" s="3">
        <v>1.949E-2</v>
      </c>
      <c r="E20" s="3">
        <v>0</v>
      </c>
      <c r="F20" s="3">
        <v>0</v>
      </c>
      <c r="G20" s="3">
        <v>0</v>
      </c>
      <c r="H20" s="3">
        <v>5.8350820999999997E-3</v>
      </c>
      <c r="I20" s="3">
        <v>1.5745679000000001E-4</v>
      </c>
      <c r="J20" s="3">
        <v>-6.3915326999999999E-3</v>
      </c>
      <c r="L20" s="3">
        <f t="shared" si="0"/>
        <v>1.0738840430990251</v>
      </c>
      <c r="M20" s="3"/>
      <c r="N20" s="2">
        <f>IF('Modell einstellen'!$B$1="Voll",H20/0.35,H20/0.35*2)</f>
        <v>1.6671663142857143E-2</v>
      </c>
      <c r="O20" s="2">
        <f>IF('Modell einstellen'!$B$1="Voll",J20/0.35,J20/0.35*2)</f>
        <v>-1.8261522000000002E-2</v>
      </c>
      <c r="P20" s="3">
        <f t="shared" si="1"/>
        <v>0.91293941123073641</v>
      </c>
    </row>
    <row r="21" spans="1:16" x14ac:dyDescent="0.25">
      <c r="A21" s="3">
        <v>1000</v>
      </c>
      <c r="B21" s="3">
        <v>-2.0709999999999999E-2</v>
      </c>
      <c r="C21" s="3">
        <v>1.952E-3</v>
      </c>
      <c r="D21" s="3">
        <v>1.839E-2</v>
      </c>
      <c r="E21" s="3">
        <v>0</v>
      </c>
      <c r="F21" s="3">
        <v>0</v>
      </c>
      <c r="G21" s="3">
        <v>0</v>
      </c>
      <c r="H21" s="3">
        <v>5.7256420000000004E-3</v>
      </c>
      <c r="I21" s="3">
        <v>3.177856E-4</v>
      </c>
      <c r="J21" s="3">
        <v>-6.8607281000000004E-3</v>
      </c>
      <c r="L21" s="3">
        <f t="shared" si="0"/>
        <v>1.1261555193039694</v>
      </c>
      <c r="M21" s="3"/>
      <c r="N21" s="2">
        <f>IF('Modell einstellen'!$B$1="Voll",H21/0.35,H21/0.35*2)</f>
        <v>1.6358977142857146E-2</v>
      </c>
      <c r="O21" s="2">
        <f>IF('Modell einstellen'!$B$1="Voll",J21/0.35,J21/0.35*2)</f>
        <v>-1.960208028571429E-2</v>
      </c>
      <c r="P21" s="3">
        <f t="shared" si="1"/>
        <v>0.83455311397634313</v>
      </c>
    </row>
    <row r="22" spans="1:16" x14ac:dyDescent="0.25">
      <c r="A22" s="3">
        <v>10000</v>
      </c>
      <c r="B22" s="3">
        <v>-1.9970000000000002E-2</v>
      </c>
      <c r="C22" s="3">
        <v>3.297E-3</v>
      </c>
      <c r="D22" s="3">
        <v>1.6320000000000001E-2</v>
      </c>
      <c r="E22" s="3">
        <v>0</v>
      </c>
      <c r="F22" s="3">
        <v>0</v>
      </c>
      <c r="G22" s="3">
        <v>0</v>
      </c>
      <c r="H22" s="3">
        <v>5.4393910999999996E-3</v>
      </c>
      <c r="I22" s="3">
        <v>5.6414085000000005E-4</v>
      </c>
      <c r="J22" s="3">
        <v>-7.4656122999999996E-3</v>
      </c>
      <c r="L22" s="3">
        <f t="shared" si="0"/>
        <v>1.2236519607843137</v>
      </c>
      <c r="M22" s="3"/>
      <c r="N22" s="2">
        <f>IF('Modell einstellen'!$B$1="Voll",H22/0.35,H22/0.35*2)</f>
        <v>1.5541117428571428E-2</v>
      </c>
      <c r="O22" s="2">
        <f>IF('Modell einstellen'!$B$1="Voll",J22/0.35,J22/0.35*2)</f>
        <v>-2.1330320857142857E-2</v>
      </c>
      <c r="P22" s="3">
        <f t="shared" si="1"/>
        <v>0.7285927639183728</v>
      </c>
    </row>
    <row r="23" spans="1:16" x14ac:dyDescent="0.25">
      <c r="A23" s="3">
        <v>100000</v>
      </c>
      <c r="B23" s="3">
        <v>-1.917E-2</v>
      </c>
      <c r="C23" s="3">
        <v>4.6189999999999998E-3</v>
      </c>
      <c r="D23" s="3">
        <v>1.4200000000000001E-2</v>
      </c>
      <c r="E23" s="3">
        <v>0</v>
      </c>
      <c r="F23" s="3">
        <v>0</v>
      </c>
      <c r="G23" s="3">
        <v>0</v>
      </c>
      <c r="H23" s="3">
        <v>5.1606600999999997E-3</v>
      </c>
      <c r="I23" s="3">
        <v>8.1033110999999996E-4</v>
      </c>
      <c r="J23" s="3">
        <v>-8.0739181000000007E-3</v>
      </c>
      <c r="L23" s="3">
        <f t="shared" si="0"/>
        <v>1.3499999999999999</v>
      </c>
      <c r="M23" s="3"/>
      <c r="N23" s="2">
        <f>IF('Modell einstellen'!$B$1="Voll",H23/0.35,H23/0.35*2)</f>
        <v>1.4744743142857142E-2</v>
      </c>
      <c r="O23" s="2">
        <f>IF('Modell einstellen'!$B$1="Voll",J23/0.35,J23/0.35*2)</f>
        <v>-2.3068337428571433E-2</v>
      </c>
      <c r="P23" s="3">
        <f t="shared" si="1"/>
        <v>0.63917667185650529</v>
      </c>
    </row>
    <row r="24" spans="1:16" x14ac:dyDescent="0.25">
      <c r="A24" s="3">
        <v>1000000</v>
      </c>
      <c r="B24" s="3">
        <v>-1.8460000000000001E-2</v>
      </c>
      <c r="C24" s="3">
        <v>5.6449999999999998E-3</v>
      </c>
      <c r="D24" s="3">
        <v>1.248E-2</v>
      </c>
      <c r="E24" s="3">
        <v>0</v>
      </c>
      <c r="F24" s="3">
        <v>0</v>
      </c>
      <c r="G24" s="3">
        <v>0</v>
      </c>
      <c r="H24" s="3">
        <v>4.9459591000000002E-3</v>
      </c>
      <c r="I24" s="3">
        <v>1.0051057999999999E-3</v>
      </c>
      <c r="J24" s="3">
        <v>-8.558398E-3</v>
      </c>
      <c r="L24" s="3">
        <f t="shared" si="0"/>
        <v>1.4791666666666667</v>
      </c>
      <c r="M24" s="3"/>
      <c r="N24" s="2">
        <f>IF('Modell einstellen'!$B$1="Voll",H24/0.35,H24/0.35*2)</f>
        <v>1.4131311714285716E-2</v>
      </c>
      <c r="O24" s="2">
        <f>IF('Modell einstellen'!$B$1="Voll",J24/0.35,J24/0.35*2)</f>
        <v>-2.4452565714285716E-2</v>
      </c>
      <c r="P24" s="3">
        <f t="shared" si="1"/>
        <v>0.57790711532695727</v>
      </c>
    </row>
    <row r="25" spans="1:16" x14ac:dyDescent="0.25">
      <c r="A25" s="3">
        <v>10000000</v>
      </c>
      <c r="B25" s="3">
        <v>-1.7899999999999999E-2</v>
      </c>
      <c r="C25" s="3">
        <v>6.3619999999999996E-3</v>
      </c>
      <c r="D25" s="3">
        <v>1.12E-2</v>
      </c>
      <c r="E25" s="3">
        <v>0</v>
      </c>
      <c r="F25" s="3">
        <v>0</v>
      </c>
      <c r="G25" s="3">
        <v>0</v>
      </c>
      <c r="H25" s="3">
        <v>4.7967645E-3</v>
      </c>
      <c r="I25" s="3">
        <v>1.1438411999999999E-3</v>
      </c>
      <c r="J25" s="3">
        <v>-8.9057734000000006E-3</v>
      </c>
      <c r="L25" s="3">
        <f t="shared" si="0"/>
        <v>1.5982142857142856</v>
      </c>
      <c r="M25" s="3"/>
      <c r="N25" s="2">
        <f>IF('Modell einstellen'!$B$1="Voll",H25/0.35,H25/0.35*2)</f>
        <v>1.3705041428571429E-2</v>
      </c>
      <c r="O25" s="2">
        <f>IF('Modell einstellen'!$B$1="Voll",J25/0.35,J25/0.35*2)</f>
        <v>-2.5445066857142859E-2</v>
      </c>
      <c r="P25" s="3">
        <f t="shared" si="1"/>
        <v>0.5386129069935689</v>
      </c>
    </row>
    <row r="26" spans="1:16" x14ac:dyDescent="0.25">
      <c r="A26" s="3">
        <v>100000000</v>
      </c>
      <c r="B26" s="3">
        <v>-1.7479999999999999E-2</v>
      </c>
      <c r="C26" s="3">
        <v>6.8380000000000003E-3</v>
      </c>
      <c r="D26" s="3">
        <v>1.031E-2</v>
      </c>
      <c r="E26" s="3">
        <v>0</v>
      </c>
      <c r="F26" s="3">
        <v>0</v>
      </c>
      <c r="G26" s="3">
        <v>0</v>
      </c>
      <c r="H26" s="3">
        <v>4.6988378999999999E-3</v>
      </c>
      <c r="I26" s="3">
        <v>1.2374249999999999E-3</v>
      </c>
      <c r="J26" s="3">
        <v>-9.1420766999999997E-3</v>
      </c>
      <c r="L26" s="3">
        <f t="shared" si="0"/>
        <v>1.6954413191076625</v>
      </c>
      <c r="M26" s="3"/>
      <c r="N26" s="2">
        <f>IF('Modell einstellen'!$B$1="Voll",H26/0.35,H26/0.35*2)</f>
        <v>1.3425251142857144E-2</v>
      </c>
      <c r="O26" s="2">
        <f>IF('Modell einstellen'!$B$1="Voll",J26/0.35,J26/0.35*2)</f>
        <v>-2.6120219142857143E-2</v>
      </c>
      <c r="P26" s="3">
        <f t="shared" si="1"/>
        <v>0.51397926906476299</v>
      </c>
    </row>
    <row r="27" spans="1:16" x14ac:dyDescent="0.25">
      <c r="A27" s="3">
        <v>1000000000</v>
      </c>
      <c r="B27" s="3">
        <v>-1.7149999999999999E-2</v>
      </c>
      <c r="C27" s="3">
        <v>7.1510000000000002E-3</v>
      </c>
      <c r="D27" s="3">
        <v>9.6699999999999998E-3</v>
      </c>
      <c r="E27" s="3">
        <v>0</v>
      </c>
      <c r="F27" s="3">
        <v>0</v>
      </c>
      <c r="G27" s="3">
        <v>0</v>
      </c>
      <c r="H27" s="3">
        <v>4.6372510999999998E-3</v>
      </c>
      <c r="I27" s="3">
        <v>1.3000408E-3</v>
      </c>
      <c r="J27" s="3">
        <v>-9.3036834999999998E-3</v>
      </c>
      <c r="L27" s="3">
        <f t="shared" si="0"/>
        <v>1.7735263702171664</v>
      </c>
      <c r="M27" s="3"/>
      <c r="N27" s="2">
        <f>IF('Modell einstellen'!$B$1="Voll",H27/0.35,H27/0.35*2)</f>
        <v>1.3249288857142858E-2</v>
      </c>
      <c r="O27" s="2">
        <f>IF('Modell einstellen'!$B$1="Voll",J27/0.35,J27/0.35*2)</f>
        <v>-2.6581952857142859E-2</v>
      </c>
      <c r="P27" s="3">
        <f t="shared" si="1"/>
        <v>0.49843173405458169</v>
      </c>
    </row>
    <row r="28" spans="1:16" x14ac:dyDescent="0.25">
      <c r="A28" s="3">
        <v>10000000000</v>
      </c>
      <c r="B28" s="3">
        <v>-1.686E-2</v>
      </c>
      <c r="C28" s="3">
        <v>7.3460000000000001E-3</v>
      </c>
      <c r="D28" s="3">
        <v>9.188E-3</v>
      </c>
      <c r="E28" s="3">
        <v>0</v>
      </c>
      <c r="F28" s="3">
        <v>0</v>
      </c>
      <c r="G28" s="3">
        <v>0</v>
      </c>
      <c r="H28" s="3">
        <v>4.6044768999999996E-3</v>
      </c>
      <c r="I28" s="3">
        <v>1.3401654000000001E-3</v>
      </c>
      <c r="J28" s="3">
        <v>-9.4135470999999991E-3</v>
      </c>
      <c r="L28" s="3">
        <f t="shared" si="0"/>
        <v>1.8350021767522855</v>
      </c>
      <c r="M28" s="3"/>
      <c r="N28" s="2">
        <f>IF('Modell einstellen'!$B$1="Voll",H28/0.35,H28/0.35*2)</f>
        <v>1.3155648285714285E-2</v>
      </c>
      <c r="O28" s="2">
        <f>IF('Modell einstellen'!$B$1="Voll",J28/0.35,J28/0.35*2)</f>
        <v>-2.6895848857142857E-2</v>
      </c>
      <c r="P28" s="3">
        <f t="shared" si="1"/>
        <v>0.48913303891579824</v>
      </c>
    </row>
    <row r="29" spans="1:16" x14ac:dyDescent="0.25">
      <c r="A29" s="3">
        <v>100000000000</v>
      </c>
      <c r="B29" s="3">
        <v>-1.6799999999999999E-2</v>
      </c>
      <c r="C29" s="3">
        <v>7.3810000000000004E-3</v>
      </c>
      <c r="D29" s="3">
        <v>9.0950000000000007E-3</v>
      </c>
      <c r="E29" s="3">
        <v>0</v>
      </c>
      <c r="F29" s="3">
        <v>0</v>
      </c>
      <c r="G29" s="3">
        <v>0</v>
      </c>
      <c r="H29" s="3">
        <v>4.5991373999999998E-3</v>
      </c>
      <c r="I29" s="3">
        <v>1.3474572999999999E-3</v>
      </c>
      <c r="J29" s="3">
        <v>-9.4340731000000008E-3</v>
      </c>
      <c r="L29" s="3">
        <f t="shared" si="0"/>
        <v>1.8471687740516765</v>
      </c>
      <c r="M29" s="3"/>
      <c r="N29" s="2">
        <f>IF('Modell einstellen'!$B$1="Voll",H29/0.35,H29/0.35*2)</f>
        <v>1.3140392571428572E-2</v>
      </c>
      <c r="O29" s="2">
        <f>IF('Modell einstellen'!$B$1="Voll",J29/0.35,J29/0.35*2)</f>
        <v>-2.6954494571428574E-2</v>
      </c>
      <c r="P29" s="3">
        <f t="shared" si="1"/>
        <v>0.48750283692417007</v>
      </c>
    </row>
    <row r="30" spans="1:16" x14ac:dyDescent="0.25">
      <c r="A30" s="3">
        <v>1000000000000</v>
      </c>
      <c r="B30" s="3">
        <v>-1.6410000000000001E-2</v>
      </c>
      <c r="C30" s="3">
        <v>7.5059999999999997E-3</v>
      </c>
      <c r="D30" s="3">
        <v>8.5730000000000008E-3</v>
      </c>
      <c r="E30" s="3">
        <v>0</v>
      </c>
      <c r="F30" s="3">
        <v>0</v>
      </c>
      <c r="G30" s="3">
        <v>0</v>
      </c>
      <c r="H30" s="3">
        <v>4.5951357999999996E-3</v>
      </c>
      <c r="I30" s="3">
        <v>1.3747103E-3</v>
      </c>
      <c r="J30" s="3">
        <v>-9.5261902999999992E-3</v>
      </c>
      <c r="L30" s="3">
        <f t="shared" si="0"/>
        <v>1.9141490726700103</v>
      </c>
      <c r="M30" s="3"/>
      <c r="N30" s="2">
        <f>IF('Modell einstellen'!$B$1="Voll",H30/0.35,H30/0.35*2)</f>
        <v>1.3128959428571427E-2</v>
      </c>
      <c r="O30" s="2">
        <f>IF('Modell einstellen'!$B$1="Voll",J30/0.35,J30/0.35*2)</f>
        <v>-2.7217686571428569E-2</v>
      </c>
      <c r="P30" s="3">
        <f t="shared" si="1"/>
        <v>0.48236867575488179</v>
      </c>
    </row>
    <row r="31" spans="1:16" x14ac:dyDescent="0.25">
      <c r="A31" s="3">
        <v>10000000000000</v>
      </c>
      <c r="B31" s="3">
        <v>-1.6400000000000001E-2</v>
      </c>
      <c r="C31" s="3">
        <v>7.5079999999999999E-3</v>
      </c>
      <c r="D31" s="3">
        <v>8.5649999999999997E-3</v>
      </c>
      <c r="E31" s="3">
        <v>0</v>
      </c>
      <c r="F31" s="3">
        <v>0</v>
      </c>
      <c r="G31" s="3">
        <v>0</v>
      </c>
      <c r="H31" s="3">
        <v>4.595142E-3</v>
      </c>
      <c r="I31" s="3">
        <v>1.3751137000000001E-3</v>
      </c>
      <c r="J31" s="3">
        <v>-9.5276032999999996E-3</v>
      </c>
      <c r="L31" s="3">
        <f t="shared" si="0"/>
        <v>1.9147694103911268</v>
      </c>
      <c r="M31" s="3"/>
      <c r="N31" s="2">
        <f>IF('Modell einstellen'!$B$1="Voll",H31/0.35,H31/0.35*2)</f>
        <v>1.3128977142857143E-2</v>
      </c>
      <c r="O31" s="2">
        <f>IF('Modell einstellen'!$B$1="Voll",J31/0.35,J31/0.35*2)</f>
        <v>-2.7221723714285714E-2</v>
      </c>
      <c r="P31" s="3">
        <f t="shared" si="1"/>
        <v>0.48229778836404746</v>
      </c>
    </row>
    <row r="32" spans="1:16" x14ac:dyDescent="0.25">
      <c r="A32" s="3">
        <v>100000000000000</v>
      </c>
      <c r="B32" s="3">
        <v>-1.626E-2</v>
      </c>
      <c r="C32" s="3">
        <v>7.5440000000000004E-3</v>
      </c>
      <c r="D32" s="3">
        <v>8.3899999999999999E-3</v>
      </c>
      <c r="E32" s="3">
        <v>0</v>
      </c>
      <c r="F32" s="3">
        <v>0</v>
      </c>
      <c r="G32" s="3">
        <v>0</v>
      </c>
      <c r="H32" s="3">
        <v>4.5952611999999999E-3</v>
      </c>
      <c r="I32" s="3">
        <v>1.38345E-3</v>
      </c>
      <c r="J32" s="3">
        <v>-9.5570550999999997E-3</v>
      </c>
      <c r="L32" s="3">
        <f t="shared" si="0"/>
        <v>1.9380214541120382</v>
      </c>
      <c r="M32" s="3"/>
      <c r="N32" s="2">
        <f>IF('Modell einstellen'!$B$1="Voll",H32/0.35,H32/0.35*2)</f>
        <v>1.3129317714285715E-2</v>
      </c>
      <c r="O32" s="2">
        <f>IF('Modell einstellen'!$B$1="Voll",J32/0.35,J32/0.35*2)</f>
        <v>-2.7305871714285716E-2</v>
      </c>
      <c r="P32" s="3">
        <f t="shared" si="1"/>
        <v>0.48082397264822718</v>
      </c>
    </row>
    <row r="33" spans="1:16" x14ac:dyDescent="0.25">
      <c r="A33" s="3">
        <v>1000000000000000</v>
      </c>
      <c r="B33" s="3">
        <v>-1.6250000000000001E-2</v>
      </c>
      <c r="C33" s="3">
        <v>7.5459999999999998E-3</v>
      </c>
      <c r="D33" s="3">
        <v>8.3820000000000006E-3</v>
      </c>
      <c r="E33" s="3">
        <v>0</v>
      </c>
      <c r="F33" s="3">
        <v>0</v>
      </c>
      <c r="G33" s="3">
        <v>0</v>
      </c>
      <c r="H33" s="3">
        <v>4.5955003999999999E-3</v>
      </c>
      <c r="I33" s="3">
        <v>1.3837652E-3</v>
      </c>
      <c r="J33" s="3">
        <v>-9.5583870999999994E-3</v>
      </c>
      <c r="L33" s="3">
        <f t="shared" si="0"/>
        <v>1.9386781197804819</v>
      </c>
      <c r="M33" s="3"/>
      <c r="N33" s="2">
        <f>IF('Modell einstellen'!$B$1="Voll",H33/0.35,H33/0.35*2)</f>
        <v>1.3130001142857143E-2</v>
      </c>
      <c r="O33" s="2">
        <f>IF('Modell einstellen'!$B$1="Voll",J33/0.35,J33/0.35*2)</f>
        <v>-2.7309677428571429E-2</v>
      </c>
      <c r="P33" s="3">
        <f t="shared" si="1"/>
        <v>0.48078199302055891</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3.1189999999999998E-5</v>
      </c>
      <c r="C3" s="3">
        <v>1.7980000000000001E-4</v>
      </c>
      <c r="D3" s="3">
        <v>-4.9560000000000001E-4</v>
      </c>
      <c r="E3" s="3">
        <v>0</v>
      </c>
      <c r="F3" s="3">
        <v>0</v>
      </c>
      <c r="G3" s="3">
        <v>0</v>
      </c>
      <c r="H3" s="3">
        <v>9.0164786999999999E-5</v>
      </c>
      <c r="I3" s="3">
        <v>1.8647970999999999E-5</v>
      </c>
      <c r="J3" s="3">
        <v>-2.2981839E-4</v>
      </c>
      <c r="L3" s="3">
        <f>-B3/D3</f>
        <v>6.2933817594834532E-2</v>
      </c>
      <c r="M3" s="3"/>
      <c r="N3" s="2">
        <f>IF('Modell einstellen'!$B$1="Voll",H3/0.35,H3/0.35*2)</f>
        <v>2.5761367714285716E-4</v>
      </c>
      <c r="O3" s="2">
        <f>IF('Modell einstellen'!$B$1="Voll",J3/0.35,J3/0.35*2)</f>
        <v>-6.5662397142857143E-4</v>
      </c>
      <c r="P3" s="3">
        <f>-N3/O3</f>
        <v>0.39233060069735937</v>
      </c>
    </row>
    <row r="4" spans="1:16" x14ac:dyDescent="0.25">
      <c r="A4" s="3">
        <v>1E-14</v>
      </c>
      <c r="B4" s="3">
        <v>1.925E-5</v>
      </c>
      <c r="C4" s="3">
        <v>1.872E-4</v>
      </c>
      <c r="D4" s="3">
        <v>-4.9620000000000003E-4</v>
      </c>
      <c r="E4" s="3">
        <v>0</v>
      </c>
      <c r="F4" s="3">
        <v>0</v>
      </c>
      <c r="G4" s="3">
        <v>0</v>
      </c>
      <c r="H4" s="3">
        <v>9.8224922999999998E-5</v>
      </c>
      <c r="I4" s="3">
        <v>1.9508681E-5</v>
      </c>
      <c r="J4" s="3">
        <v>-2.4194911999999999E-4</v>
      </c>
      <c r="L4" s="3">
        <f t="shared" ref="L4:L33" si="0">-B4/D4</f>
        <v>3.8794840790004032E-2</v>
      </c>
      <c r="M4" s="3"/>
      <c r="N4" s="2">
        <f>IF('Modell einstellen'!$B$1="Voll",H4/0.35,H4/0.35*2)</f>
        <v>2.8064263714285714E-4</v>
      </c>
      <c r="O4" s="2">
        <f>IF('Modell einstellen'!$B$1="Voll",J4/0.35,J4/0.35*2)</f>
        <v>-6.9128320000000007E-4</v>
      </c>
      <c r="P4" s="3">
        <f t="shared" ref="P4:P33" si="1">-N4/O4</f>
        <v>0.40597346665282347</v>
      </c>
    </row>
    <row r="5" spans="1:16" x14ac:dyDescent="0.25">
      <c r="A5" s="3">
        <v>1E-13</v>
      </c>
      <c r="B5" s="3">
        <v>5.541E-6</v>
      </c>
      <c r="C5" s="3">
        <v>1.9379999999999999E-4</v>
      </c>
      <c r="D5" s="3">
        <v>-4.9370000000000002E-4</v>
      </c>
      <c r="E5" s="3">
        <v>0</v>
      </c>
      <c r="F5" s="3">
        <v>0</v>
      </c>
      <c r="G5" s="3">
        <v>0</v>
      </c>
      <c r="H5" s="3">
        <v>1.0633346E-4</v>
      </c>
      <c r="I5" s="3">
        <v>2.0298851999999998E-5</v>
      </c>
      <c r="J5" s="3">
        <v>-2.5378739999999998E-4</v>
      </c>
      <c r="L5" s="3">
        <f t="shared" si="0"/>
        <v>1.1223415029370062E-2</v>
      </c>
      <c r="M5" s="3"/>
      <c r="N5" s="2">
        <f>IF('Modell einstellen'!$B$1="Voll",H5/0.35,H5/0.35*2)</f>
        <v>3.0380988571428576E-4</v>
      </c>
      <c r="O5" s="2">
        <f>IF('Modell einstellen'!$B$1="Voll",J5/0.35,J5/0.35*2)</f>
        <v>-7.2510685714285712E-4</v>
      </c>
      <c r="P5" s="3">
        <f t="shared" si="1"/>
        <v>0.41898636417726026</v>
      </c>
    </row>
    <row r="6" spans="1:16" x14ac:dyDescent="0.25">
      <c r="A6" s="3">
        <v>9.9999999999999998E-13</v>
      </c>
      <c r="B6" s="3">
        <v>-1.1430000000000001E-5</v>
      </c>
      <c r="C6" s="3">
        <v>2.0039999999999999E-4</v>
      </c>
      <c r="D6" s="3">
        <v>-4.8819999999999999E-4</v>
      </c>
      <c r="E6" s="3">
        <v>0</v>
      </c>
      <c r="F6" s="3">
        <v>0</v>
      </c>
      <c r="G6" s="3">
        <v>0</v>
      </c>
      <c r="H6" s="3">
        <v>1.1544322E-4</v>
      </c>
      <c r="I6" s="3">
        <v>2.1112590000000001E-5</v>
      </c>
      <c r="J6" s="3">
        <v>-2.6672901000000001E-4</v>
      </c>
      <c r="L6" s="3">
        <f t="shared" si="0"/>
        <v>-2.3412535845964769E-2</v>
      </c>
      <c r="M6" s="3"/>
      <c r="N6" s="2">
        <f>IF('Modell einstellen'!$B$1="Voll",H6/0.35,H6/0.35*2)</f>
        <v>3.2983777142857145E-4</v>
      </c>
      <c r="O6" s="2">
        <f>IF('Modell einstellen'!$B$1="Voll",J6/0.35,J6/0.35*2)</f>
        <v>-7.6208288571428585E-4</v>
      </c>
      <c r="P6" s="3">
        <f t="shared" si="1"/>
        <v>0.43281088922423544</v>
      </c>
    </row>
    <row r="7" spans="1:16" x14ac:dyDescent="0.25">
      <c r="A7" s="3">
        <v>9.9999999999999994E-12</v>
      </c>
      <c r="B7" s="3">
        <v>-3.4770000000000001E-5</v>
      </c>
      <c r="C7" s="3">
        <v>2.0790000000000001E-4</v>
      </c>
      <c r="D7" s="3">
        <v>-4.7760000000000001E-4</v>
      </c>
      <c r="E7" s="3">
        <v>0</v>
      </c>
      <c r="F7" s="3">
        <v>0</v>
      </c>
      <c r="G7" s="3">
        <v>0</v>
      </c>
      <c r="H7" s="3">
        <v>1.2688257000000001E-4</v>
      </c>
      <c r="I7" s="3">
        <v>2.2036383000000001E-5</v>
      </c>
      <c r="J7" s="3">
        <v>-2.8250971E-4</v>
      </c>
      <c r="L7" s="3">
        <f t="shared" si="0"/>
        <v>-7.2801507537688437E-2</v>
      </c>
      <c r="M7" s="3"/>
      <c r="N7" s="2">
        <f>IF('Modell einstellen'!$B$1="Voll",H7/0.35,H7/0.35*2)</f>
        <v>3.6252162857142861E-4</v>
      </c>
      <c r="O7" s="2">
        <f>IF('Modell einstellen'!$B$1="Voll",J7/0.35,J7/0.35*2)</f>
        <v>-8.0717060000000005E-4</v>
      </c>
      <c r="P7" s="3">
        <f t="shared" si="1"/>
        <v>0.44912640347830879</v>
      </c>
    </row>
    <row r="8" spans="1:16" x14ac:dyDescent="0.25">
      <c r="A8" s="3">
        <v>1E-10</v>
      </c>
      <c r="B8" s="3">
        <v>-6.8150000000000003E-5</v>
      </c>
      <c r="C8" s="3">
        <v>2.163E-4</v>
      </c>
      <c r="D8" s="3">
        <v>-4.5869999999999998E-4</v>
      </c>
      <c r="E8" s="3">
        <v>0</v>
      </c>
      <c r="F8" s="3">
        <v>0</v>
      </c>
      <c r="G8" s="3">
        <v>0</v>
      </c>
      <c r="H8" s="3">
        <v>1.4185841000000001E-4</v>
      </c>
      <c r="I8" s="3">
        <v>2.310815E-5</v>
      </c>
      <c r="J8" s="3">
        <v>-3.0251200000000001E-4</v>
      </c>
      <c r="L8" s="3">
        <f t="shared" si="0"/>
        <v>-0.1485720514497493</v>
      </c>
      <c r="M8" s="3"/>
      <c r="N8" s="2">
        <f>IF('Modell einstellen'!$B$1="Voll",H8/0.35,H8/0.35*2)</f>
        <v>4.053097428571429E-4</v>
      </c>
      <c r="O8" s="2">
        <f>IF('Modell einstellen'!$B$1="Voll",J8/0.35,J8/0.35*2)</f>
        <v>-8.6432000000000013E-4</v>
      </c>
      <c r="P8" s="3">
        <f t="shared" si="1"/>
        <v>0.4689348191146136</v>
      </c>
    </row>
    <row r="9" spans="1:16" x14ac:dyDescent="0.25">
      <c r="A9" s="3">
        <v>1.0000000000000001E-9</v>
      </c>
      <c r="B9" s="3">
        <v>-1.292E-4</v>
      </c>
      <c r="C9" s="3">
        <v>2.2770000000000001E-4</v>
      </c>
      <c r="D9" s="3">
        <v>-4.1750000000000001E-4</v>
      </c>
      <c r="E9" s="3">
        <v>0</v>
      </c>
      <c r="F9" s="3">
        <v>0</v>
      </c>
      <c r="G9" s="3">
        <v>0</v>
      </c>
      <c r="H9" s="3">
        <v>1.6674733E-4</v>
      </c>
      <c r="I9" s="3">
        <v>2.4616183E-5</v>
      </c>
      <c r="J9" s="3">
        <v>-3.3445662999999999E-4</v>
      </c>
      <c r="L9" s="3">
        <f t="shared" si="0"/>
        <v>-0.30946107784431137</v>
      </c>
      <c r="M9" s="3"/>
      <c r="N9" s="2">
        <f>IF('Modell einstellen'!$B$1="Voll",H9/0.35,H9/0.35*2)</f>
        <v>4.7642094285714291E-4</v>
      </c>
      <c r="O9" s="2">
        <f>IF('Modell einstellen'!$B$1="Voll",J9/0.35,J9/0.35*2)</f>
        <v>-9.5559037142857147E-4</v>
      </c>
      <c r="P9" s="3">
        <f t="shared" si="1"/>
        <v>0.49856189126823414</v>
      </c>
    </row>
    <row r="10" spans="1:16" x14ac:dyDescent="0.25">
      <c r="A10" s="3">
        <v>1E-8</v>
      </c>
      <c r="B10" s="3">
        <v>-2.455E-4</v>
      </c>
      <c r="C10" s="3">
        <v>2.418E-4</v>
      </c>
      <c r="D10" s="3">
        <v>-3.2630000000000002E-4</v>
      </c>
      <c r="E10" s="3">
        <v>0</v>
      </c>
      <c r="F10" s="3">
        <v>0</v>
      </c>
      <c r="G10" s="3">
        <v>0</v>
      </c>
      <c r="H10" s="3">
        <v>2.0918240999999999E-4</v>
      </c>
      <c r="I10" s="3">
        <v>2.6602640000000001E-5</v>
      </c>
      <c r="J10" s="3">
        <v>-3.8614733999999998E-4</v>
      </c>
      <c r="L10" s="3">
        <f t="shared" si="0"/>
        <v>-0.75237511492491571</v>
      </c>
      <c r="M10" s="3"/>
      <c r="N10" s="2">
        <f>IF('Modell einstellen'!$B$1="Voll",H10/0.35,H10/0.35*2)</f>
        <v>5.9766402857142856E-4</v>
      </c>
      <c r="O10" s="2">
        <f>IF('Modell einstellen'!$B$1="Voll",J10/0.35,J10/0.35*2)</f>
        <v>-1.1032781142857142E-3</v>
      </c>
      <c r="P10" s="3">
        <f t="shared" si="1"/>
        <v>0.54171656342369212</v>
      </c>
    </row>
    <row r="11" spans="1:16" x14ac:dyDescent="0.25">
      <c r="A11" s="3">
        <v>9.9999999999999995E-8</v>
      </c>
      <c r="B11" s="3">
        <v>-4.86E-4</v>
      </c>
      <c r="C11" s="3">
        <v>2.5799999999999998E-4</v>
      </c>
      <c r="D11" s="3">
        <v>-1.153E-4</v>
      </c>
      <c r="E11" s="3">
        <v>0</v>
      </c>
      <c r="F11" s="3">
        <v>0</v>
      </c>
      <c r="G11" s="3">
        <v>0</v>
      </c>
      <c r="H11" s="3">
        <v>2.8778586999999998E-4</v>
      </c>
      <c r="I11" s="3">
        <v>2.910098E-5</v>
      </c>
      <c r="J11" s="3">
        <v>-4.7629915000000001E-4</v>
      </c>
      <c r="L11" s="3">
        <f t="shared" si="0"/>
        <v>-4.2150910667823069</v>
      </c>
      <c r="M11" s="3"/>
      <c r="N11" s="2">
        <f>IF('Modell einstellen'!$B$1="Voll",H11/0.35,H11/0.35*2)</f>
        <v>8.2224534285714284E-4</v>
      </c>
      <c r="O11" s="2">
        <f>IF('Modell einstellen'!$B$1="Voll",J11/0.35,J11/0.35*2)</f>
        <v>-1.3608547142857144E-3</v>
      </c>
      <c r="P11" s="3">
        <f t="shared" si="1"/>
        <v>0.60421243665876778</v>
      </c>
    </row>
    <row r="12" spans="1:16" x14ac:dyDescent="0.25">
      <c r="A12" s="3">
        <v>9.9999999999999995E-7</v>
      </c>
      <c r="B12" s="3">
        <v>-1.0709999999999999E-3</v>
      </c>
      <c r="C12" s="3">
        <v>2.744E-4</v>
      </c>
      <c r="D12" s="3">
        <v>4.3790000000000002E-4</v>
      </c>
      <c r="E12" s="3">
        <v>0</v>
      </c>
      <c r="F12" s="3">
        <v>0</v>
      </c>
      <c r="G12" s="3">
        <v>0</v>
      </c>
      <c r="H12" s="3">
        <v>4.6102841999999999E-4</v>
      </c>
      <c r="I12" s="3">
        <v>3.2086821000000003E-5</v>
      </c>
      <c r="J12" s="3">
        <v>-6.6302007E-4</v>
      </c>
      <c r="L12" s="3">
        <f t="shared" si="0"/>
        <v>2.4457638730303719</v>
      </c>
      <c r="M12" s="3"/>
      <c r="N12" s="2">
        <f>IF('Modell einstellen'!$B$1="Voll",H12/0.35,H12/0.35*2)</f>
        <v>1.3172240571428572E-3</v>
      </c>
      <c r="O12" s="2">
        <f>IF('Modell einstellen'!$B$1="Voll",J12/0.35,J12/0.35*2)</f>
        <v>-1.8943430571428572E-3</v>
      </c>
      <c r="P12" s="3">
        <f t="shared" si="1"/>
        <v>0.69534610015651555</v>
      </c>
    </row>
    <row r="13" spans="1:16" x14ac:dyDescent="0.25">
      <c r="A13" s="3">
        <v>1.0000000000000001E-5</v>
      </c>
      <c r="B13" s="3">
        <v>-2.385E-3</v>
      </c>
      <c r="C13" s="3">
        <v>2.853E-4</v>
      </c>
      <c r="D13" s="3">
        <v>1.73E-3</v>
      </c>
      <c r="E13" s="3">
        <v>0</v>
      </c>
      <c r="F13" s="3">
        <v>0</v>
      </c>
      <c r="G13" s="3">
        <v>0</v>
      </c>
      <c r="H13" s="3">
        <v>8.2528720000000003E-4</v>
      </c>
      <c r="I13" s="3">
        <v>3.4553237000000001E-5</v>
      </c>
      <c r="J13" s="3">
        <v>-1.0371720000000001E-3</v>
      </c>
      <c r="L13" s="3">
        <f t="shared" si="0"/>
        <v>1.3786127167630058</v>
      </c>
      <c r="M13" s="3"/>
      <c r="N13" s="2">
        <f>IF('Modell einstellen'!$B$1="Voll",H13/0.35,H13/0.35*2)</f>
        <v>2.3579634285714286E-3</v>
      </c>
      <c r="O13" s="2">
        <f>IF('Modell einstellen'!$B$1="Voll",J13/0.35,J13/0.35*2)</f>
        <v>-2.9633485714285718E-3</v>
      </c>
      <c r="P13" s="3">
        <f t="shared" si="1"/>
        <v>0.79570910128696104</v>
      </c>
    </row>
    <row r="14" spans="1:16" x14ac:dyDescent="0.25">
      <c r="A14" s="3">
        <v>1E-4</v>
      </c>
      <c r="B14" s="3">
        <v>-5.0229999999999997E-3</v>
      </c>
      <c r="C14" s="3">
        <v>2.9300000000000002E-4</v>
      </c>
      <c r="D14" s="3">
        <v>4.3550000000000004E-3</v>
      </c>
      <c r="E14" s="3">
        <v>0</v>
      </c>
      <c r="F14" s="3">
        <v>0</v>
      </c>
      <c r="G14" s="3">
        <v>0</v>
      </c>
      <c r="H14" s="3">
        <v>1.5371814E-3</v>
      </c>
      <c r="I14" s="3">
        <v>3.6106402000000003E-5</v>
      </c>
      <c r="J14" s="3">
        <v>-1.7509035E-3</v>
      </c>
      <c r="L14" s="3">
        <f t="shared" si="0"/>
        <v>1.1533869115958666</v>
      </c>
      <c r="M14" s="3"/>
      <c r="N14" s="2">
        <f>IF('Modell einstellen'!$B$1="Voll",H14/0.35,H14/0.35*2)</f>
        <v>4.3919468571428574E-3</v>
      </c>
      <c r="O14" s="2">
        <f>IF('Modell einstellen'!$B$1="Voll",J14/0.35,J14/0.35*2)</f>
        <v>-5.0025814285714291E-3</v>
      </c>
      <c r="P14" s="3">
        <f t="shared" si="1"/>
        <v>0.87793610555921553</v>
      </c>
    </row>
    <row r="15" spans="1:16" x14ac:dyDescent="0.25">
      <c r="A15" s="3">
        <v>1E-3</v>
      </c>
      <c r="B15" s="3">
        <v>-9.9970000000000007E-3</v>
      </c>
      <c r="C15" s="3">
        <v>3.0880000000000002E-4</v>
      </c>
      <c r="D15" s="3">
        <v>9.3120000000000008E-3</v>
      </c>
      <c r="E15" s="3">
        <v>0</v>
      </c>
      <c r="F15" s="3">
        <v>0</v>
      </c>
      <c r="G15" s="3">
        <v>0</v>
      </c>
      <c r="H15" s="3">
        <v>2.8698437999999998E-3</v>
      </c>
      <c r="I15" s="3">
        <v>3.70689E-5</v>
      </c>
      <c r="J15" s="3">
        <v>-3.0701286999999999E-3</v>
      </c>
      <c r="L15" s="3">
        <f t="shared" si="0"/>
        <v>1.073560996563574</v>
      </c>
      <c r="M15" s="3"/>
      <c r="N15" s="2">
        <f>IF('Modell einstellen'!$B$1="Voll",H15/0.35,H15/0.35*2)</f>
        <v>8.199553714285714E-3</v>
      </c>
      <c r="O15" s="2">
        <f>IF('Modell einstellen'!$B$1="Voll",J15/0.35,J15/0.35*2)</f>
        <v>-8.7717962857142857E-3</v>
      </c>
      <c r="P15" s="3">
        <f t="shared" si="1"/>
        <v>0.93476335373171815</v>
      </c>
    </row>
    <row r="16" spans="1:16" x14ac:dyDescent="0.25">
      <c r="A16" s="3">
        <v>0.01</v>
      </c>
      <c r="B16" s="3">
        <v>-1.5980000000000001E-2</v>
      </c>
      <c r="C16" s="3">
        <v>3.4489999999999998E-4</v>
      </c>
      <c r="D16" s="3">
        <v>1.5259999999999999E-2</v>
      </c>
      <c r="E16" s="3">
        <v>0</v>
      </c>
      <c r="F16" s="3">
        <v>0</v>
      </c>
      <c r="G16" s="3">
        <v>0</v>
      </c>
      <c r="H16" s="3">
        <v>4.4754796999999999E-3</v>
      </c>
      <c r="I16" s="3">
        <v>3.832602E-5</v>
      </c>
      <c r="J16" s="3">
        <v>-4.6459316000000001E-3</v>
      </c>
      <c r="L16" s="3">
        <f t="shared" si="0"/>
        <v>1.0471821756225428</v>
      </c>
      <c r="M16" s="3"/>
      <c r="N16" s="2">
        <f>IF('Modell einstellen'!$B$1="Voll",H16/0.35,H16/0.35*2)</f>
        <v>1.2787084857142857E-2</v>
      </c>
      <c r="O16" s="2">
        <f>IF('Modell einstellen'!$B$1="Voll",J16/0.35,J16/0.35*2)</f>
        <v>-1.3274090285714286E-2</v>
      </c>
      <c r="P16" s="3">
        <f t="shared" si="1"/>
        <v>0.96331157781143395</v>
      </c>
    </row>
    <row r="17" spans="1:16" x14ac:dyDescent="0.25">
      <c r="A17" s="3">
        <v>0.1</v>
      </c>
      <c r="B17" s="3">
        <v>-1.9029999999999998E-2</v>
      </c>
      <c r="C17" s="3">
        <v>4.0549999999999999E-4</v>
      </c>
      <c r="D17" s="3">
        <v>1.8249999999999999E-2</v>
      </c>
      <c r="E17" s="3">
        <v>0</v>
      </c>
      <c r="F17" s="3">
        <v>0</v>
      </c>
      <c r="G17" s="3">
        <v>0</v>
      </c>
      <c r="H17" s="3">
        <v>5.3071715999999996E-3</v>
      </c>
      <c r="I17" s="3">
        <v>4.4678122999999998E-5</v>
      </c>
      <c r="J17" s="3">
        <v>-5.4767625999999998E-3</v>
      </c>
      <c r="L17" s="3">
        <f t="shared" si="0"/>
        <v>1.0427397260273972</v>
      </c>
      <c r="M17" s="3"/>
      <c r="N17" s="2">
        <f>IF('Modell einstellen'!$B$1="Voll",H17/0.35,H17/0.35*2)</f>
        <v>1.5163347428571429E-2</v>
      </c>
      <c r="O17" s="2">
        <f>IF('Modell einstellen'!$B$1="Voll",J17/0.35,J17/0.35*2)</f>
        <v>-1.5647893142857142E-2</v>
      </c>
      <c r="P17" s="3">
        <f t="shared" si="1"/>
        <v>0.96903444381540293</v>
      </c>
    </row>
    <row r="18" spans="1:16" x14ac:dyDescent="0.25">
      <c r="A18" s="3">
        <v>1</v>
      </c>
      <c r="B18" s="3">
        <v>-2.0889999999999999E-2</v>
      </c>
      <c r="C18" s="3">
        <v>5.5690000000000004E-4</v>
      </c>
      <c r="D18" s="3">
        <v>1.9959999999999999E-2</v>
      </c>
      <c r="E18" s="3">
        <v>0</v>
      </c>
      <c r="F18" s="3">
        <v>0</v>
      </c>
      <c r="G18" s="3">
        <v>0</v>
      </c>
      <c r="H18" s="3">
        <v>5.8234456000000002E-3</v>
      </c>
      <c r="I18" s="3">
        <v>6.7048406000000003E-5</v>
      </c>
      <c r="J18" s="3">
        <v>-6.0562947000000001E-3</v>
      </c>
      <c r="L18" s="3">
        <f t="shared" si="0"/>
        <v>1.0465931863727456</v>
      </c>
      <c r="M18" s="3"/>
      <c r="N18" s="2">
        <f>IF('Modell einstellen'!$B$1="Voll",H18/0.35,H18/0.35*2)</f>
        <v>1.6638416000000003E-2</v>
      </c>
      <c r="O18" s="2">
        <f>IF('Modell einstellen'!$B$1="Voll",J18/0.35,J18/0.35*2)</f>
        <v>-1.7303699142857145E-2</v>
      </c>
      <c r="P18" s="3">
        <f t="shared" si="1"/>
        <v>0.96155254796303102</v>
      </c>
    </row>
    <row r="19" spans="1:16" x14ac:dyDescent="0.25">
      <c r="A19" s="3">
        <v>10</v>
      </c>
      <c r="B19" s="3">
        <v>-2.1329999999999998E-2</v>
      </c>
      <c r="C19" s="3">
        <v>8.6729999999999999E-4</v>
      </c>
      <c r="D19" s="3">
        <v>2.01E-2</v>
      </c>
      <c r="E19" s="3">
        <v>0</v>
      </c>
      <c r="F19" s="3">
        <v>0</v>
      </c>
      <c r="G19" s="3">
        <v>0</v>
      </c>
      <c r="H19" s="3">
        <v>5.9491891000000002E-3</v>
      </c>
      <c r="I19" s="3">
        <v>1.2050900999999999E-4</v>
      </c>
      <c r="J19" s="3">
        <v>-6.3690363000000003E-3</v>
      </c>
      <c r="L19" s="3">
        <f t="shared" si="0"/>
        <v>1.0611940298507463</v>
      </c>
      <c r="M19" s="3"/>
      <c r="N19" s="2">
        <f>IF('Modell einstellen'!$B$1="Voll",H19/0.35,H19/0.35*2)</f>
        <v>1.6997683142857146E-2</v>
      </c>
      <c r="O19" s="2">
        <f>IF('Modell einstellen'!$B$1="Voll",J19/0.35,J19/0.35*2)</f>
        <v>-1.8197246571428575E-2</v>
      </c>
      <c r="P19" s="3">
        <f t="shared" si="1"/>
        <v>0.93407994864152366</v>
      </c>
    </row>
    <row r="20" spans="1:16" x14ac:dyDescent="0.25">
      <c r="A20" s="3">
        <v>100</v>
      </c>
      <c r="B20" s="3">
        <v>-2.0959999999999999E-2</v>
      </c>
      <c r="C20" s="3">
        <v>1.5E-3</v>
      </c>
      <c r="D20" s="3">
        <v>1.9089999999999999E-2</v>
      </c>
      <c r="E20" s="3">
        <v>0</v>
      </c>
      <c r="F20" s="3">
        <v>0</v>
      </c>
      <c r="G20" s="3">
        <v>0</v>
      </c>
      <c r="H20" s="3">
        <v>5.8213177000000001E-3</v>
      </c>
      <c r="I20" s="3">
        <v>2.3534715000000001E-4</v>
      </c>
      <c r="J20" s="3">
        <v>-6.6572506000000002E-3</v>
      </c>
      <c r="L20" s="3">
        <f t="shared" si="0"/>
        <v>1.0979570455735987</v>
      </c>
      <c r="M20" s="3"/>
      <c r="N20" s="2">
        <f>IF('Modell einstellen'!$B$1="Voll",H20/0.35,H20/0.35*2)</f>
        <v>1.6632336285714287E-2</v>
      </c>
      <c r="O20" s="2">
        <f>IF('Modell einstellen'!$B$1="Voll",J20/0.35,J20/0.35*2)</f>
        <v>-1.9020716E-2</v>
      </c>
      <c r="P20" s="3">
        <f t="shared" si="1"/>
        <v>0.87443271250747268</v>
      </c>
    </row>
    <row r="21" spans="1:16" x14ac:dyDescent="0.25">
      <c r="A21" s="3">
        <v>1000</v>
      </c>
      <c r="B21" s="3">
        <v>-2.0310000000000002E-2</v>
      </c>
      <c r="C21" s="3">
        <v>2.7000000000000001E-3</v>
      </c>
      <c r="D21" s="3">
        <v>1.7250000000000001E-2</v>
      </c>
      <c r="E21" s="3">
        <v>0</v>
      </c>
      <c r="F21" s="3">
        <v>0</v>
      </c>
      <c r="G21" s="3">
        <v>0</v>
      </c>
      <c r="H21" s="3">
        <v>5.5660385999999999E-3</v>
      </c>
      <c r="I21" s="3">
        <v>4.5440855999999999E-4</v>
      </c>
      <c r="J21" s="3">
        <v>-7.1954176000000002E-3</v>
      </c>
      <c r="L21" s="3">
        <f t="shared" si="0"/>
        <v>1.1773913043478261</v>
      </c>
      <c r="M21" s="3"/>
      <c r="N21" s="2">
        <f>IF('Modell einstellen'!$B$1="Voll",H21/0.35,H21/0.35*2)</f>
        <v>1.5902967428571429E-2</v>
      </c>
      <c r="O21" s="2">
        <f>IF('Modell einstellen'!$B$1="Voll",J21/0.35,J21/0.35*2)</f>
        <v>-2.0558336000000003E-2</v>
      </c>
      <c r="P21" s="3">
        <f t="shared" si="1"/>
        <v>0.77355324032895589</v>
      </c>
    </row>
    <row r="22" spans="1:16" x14ac:dyDescent="0.25">
      <c r="A22" s="3">
        <v>10000</v>
      </c>
      <c r="B22" s="3">
        <v>-1.95E-2</v>
      </c>
      <c r="C22" s="3">
        <v>4.0889999999999998E-3</v>
      </c>
      <c r="D22" s="3">
        <v>1.507E-2</v>
      </c>
      <c r="E22" s="3">
        <v>0</v>
      </c>
      <c r="F22" s="3">
        <v>0</v>
      </c>
      <c r="G22" s="3">
        <v>0</v>
      </c>
      <c r="H22" s="3">
        <v>5.2721634E-3</v>
      </c>
      <c r="I22" s="3">
        <v>7.1094514999999999E-4</v>
      </c>
      <c r="J22" s="3">
        <v>-7.8274767000000006E-3</v>
      </c>
      <c r="L22" s="3">
        <f t="shared" si="0"/>
        <v>1.2939615129396151</v>
      </c>
      <c r="M22" s="3"/>
      <c r="N22" s="2">
        <f>IF('Modell einstellen'!$B$1="Voll",H22/0.35,H22/0.35*2)</f>
        <v>1.5063324000000001E-2</v>
      </c>
      <c r="O22" s="2">
        <f>IF('Modell einstellen'!$B$1="Voll",J22/0.35,J22/0.35*2)</f>
        <v>-2.2364219142857147E-2</v>
      </c>
      <c r="P22" s="3">
        <f t="shared" si="1"/>
        <v>0.67354571620762527</v>
      </c>
    </row>
    <row r="23" spans="1:16" x14ac:dyDescent="0.25">
      <c r="A23" s="3">
        <v>100000</v>
      </c>
      <c r="B23" s="3">
        <v>-1.874E-2</v>
      </c>
      <c r="C23" s="3">
        <v>5.2519999999999997E-3</v>
      </c>
      <c r="D23" s="3">
        <v>1.315E-2</v>
      </c>
      <c r="E23" s="3">
        <v>0</v>
      </c>
      <c r="F23" s="3">
        <v>0</v>
      </c>
      <c r="G23" s="3">
        <v>0</v>
      </c>
      <c r="H23" s="3">
        <v>5.0280302999999998E-3</v>
      </c>
      <c r="I23" s="3">
        <v>9.3004781000000005E-4</v>
      </c>
      <c r="J23" s="3">
        <v>-8.3710507999999999E-3</v>
      </c>
      <c r="L23" s="3">
        <f t="shared" si="0"/>
        <v>1.4250950570342205</v>
      </c>
      <c r="M23" s="3"/>
      <c r="N23" s="2">
        <f>IF('Modell einstellen'!$B$1="Voll",H23/0.35,H23/0.35*2)</f>
        <v>1.4365800857142858E-2</v>
      </c>
      <c r="O23" s="2">
        <f>IF('Modell einstellen'!$B$1="Voll",J23/0.35,J23/0.35*2)</f>
        <v>-2.3917288000000002E-2</v>
      </c>
      <c r="P23" s="3">
        <f t="shared" si="1"/>
        <v>0.60064505880193675</v>
      </c>
    </row>
    <row r="24" spans="1:16" x14ac:dyDescent="0.25">
      <c r="A24" s="3">
        <v>1000000</v>
      </c>
      <c r="B24" s="3">
        <v>-1.8120000000000001E-2</v>
      </c>
      <c r="C24" s="3">
        <v>6.0930000000000003E-3</v>
      </c>
      <c r="D24" s="3">
        <v>1.1690000000000001E-2</v>
      </c>
      <c r="E24" s="3">
        <v>0</v>
      </c>
      <c r="F24" s="3">
        <v>0</v>
      </c>
      <c r="G24" s="3">
        <v>0</v>
      </c>
      <c r="H24" s="3">
        <v>4.8526423000000004E-3</v>
      </c>
      <c r="I24" s="3">
        <v>1.0914903E-3</v>
      </c>
      <c r="J24" s="3">
        <v>-8.7741812999999995E-3</v>
      </c>
      <c r="L24" s="3">
        <f t="shared" si="0"/>
        <v>1.5500427715996579</v>
      </c>
      <c r="M24" s="3"/>
      <c r="N24" s="2">
        <f>IF('Modell einstellen'!$B$1="Voll",H24/0.35,H24/0.35*2)</f>
        <v>1.3864692285714289E-2</v>
      </c>
      <c r="O24" s="2">
        <f>IF('Modell einstellen'!$B$1="Voll",J24/0.35,J24/0.35*2)</f>
        <v>-2.5069089428571428E-2</v>
      </c>
      <c r="P24" s="3">
        <f t="shared" si="1"/>
        <v>0.55305926947281125</v>
      </c>
    </row>
    <row r="25" spans="1:16" x14ac:dyDescent="0.25">
      <c r="A25" s="3">
        <v>10000000</v>
      </c>
      <c r="B25" s="3">
        <v>-1.7649999999999999E-2</v>
      </c>
      <c r="C25" s="3">
        <v>6.6600000000000001E-3</v>
      </c>
      <c r="D25" s="3">
        <v>1.0659999999999999E-2</v>
      </c>
      <c r="E25" s="3">
        <v>0</v>
      </c>
      <c r="F25" s="3">
        <v>0</v>
      </c>
      <c r="G25" s="3">
        <v>0</v>
      </c>
      <c r="H25" s="3">
        <v>4.7353159000000002E-3</v>
      </c>
      <c r="I25" s="3">
        <v>1.2021076E-3</v>
      </c>
      <c r="J25" s="3">
        <v>-9.0522763000000003E-3</v>
      </c>
      <c r="L25" s="3">
        <f t="shared" si="0"/>
        <v>1.6557223264540337</v>
      </c>
      <c r="M25" s="3"/>
      <c r="N25" s="2">
        <f>IF('Modell einstellen'!$B$1="Voll",H25/0.35,H25/0.35*2)</f>
        <v>1.3529474000000001E-2</v>
      </c>
      <c r="O25" s="2">
        <f>IF('Modell einstellen'!$B$1="Voll",J25/0.35,J25/0.35*2)</f>
        <v>-2.5863646571428575E-2</v>
      </c>
      <c r="P25" s="3">
        <f t="shared" si="1"/>
        <v>0.52310775136194199</v>
      </c>
    </row>
    <row r="26" spans="1:16" x14ac:dyDescent="0.25">
      <c r="A26" s="3">
        <v>100000000</v>
      </c>
      <c r="B26" s="3">
        <v>-1.728E-2</v>
      </c>
      <c r="C26" s="3">
        <v>7.0359999999999997E-3</v>
      </c>
      <c r="D26" s="3">
        <v>9.9170000000000005E-3</v>
      </c>
      <c r="E26" s="3">
        <v>0</v>
      </c>
      <c r="F26" s="3">
        <v>0</v>
      </c>
      <c r="G26" s="3">
        <v>0</v>
      </c>
      <c r="H26" s="3">
        <v>4.6592912000000004E-3</v>
      </c>
      <c r="I26" s="3">
        <v>1.2768641E-3</v>
      </c>
      <c r="J26" s="3">
        <v>-9.2429578999999994E-3</v>
      </c>
      <c r="L26" s="3">
        <f t="shared" si="0"/>
        <v>1.7424624382373701</v>
      </c>
      <c r="M26" s="3"/>
      <c r="N26" s="2">
        <f>IF('Modell einstellen'!$B$1="Voll",H26/0.35,H26/0.35*2)</f>
        <v>1.3312260571428574E-2</v>
      </c>
      <c r="O26" s="2">
        <f>IF('Modell einstellen'!$B$1="Voll",J26/0.35,J26/0.35*2)</f>
        <v>-2.6408451142857142E-2</v>
      </c>
      <c r="P26" s="3">
        <f t="shared" si="1"/>
        <v>0.50409092526538513</v>
      </c>
    </row>
    <row r="27" spans="1:16" x14ac:dyDescent="0.25">
      <c r="A27" s="3">
        <v>1000000000</v>
      </c>
      <c r="B27" s="3">
        <v>-1.6979999999999999E-2</v>
      </c>
      <c r="C27" s="3">
        <v>7.2769999999999996E-3</v>
      </c>
      <c r="D27" s="3">
        <v>9.3760000000000007E-3</v>
      </c>
      <c r="E27" s="3">
        <v>0</v>
      </c>
      <c r="F27" s="3">
        <v>0</v>
      </c>
      <c r="G27" s="3">
        <v>0</v>
      </c>
      <c r="H27" s="3">
        <v>4.6151022999999999E-3</v>
      </c>
      <c r="I27" s="3">
        <v>1.3256622999999999E-3</v>
      </c>
      <c r="J27" s="3">
        <v>-9.3724732999999998E-3</v>
      </c>
      <c r="L27" s="3">
        <f t="shared" si="0"/>
        <v>1.8110068259385663</v>
      </c>
      <c r="M27" s="3"/>
      <c r="N27" s="2">
        <f>IF('Modell einstellen'!$B$1="Voll",H27/0.35,H27/0.35*2)</f>
        <v>1.3186006571428571E-2</v>
      </c>
      <c r="O27" s="2">
        <f>IF('Modell einstellen'!$B$1="Voll",J27/0.35,J27/0.35*2)</f>
        <v>-2.6778495142857142E-2</v>
      </c>
      <c r="P27" s="3">
        <f t="shared" si="1"/>
        <v>0.49241029046196377</v>
      </c>
    </row>
    <row r="28" spans="1:16" x14ac:dyDescent="0.25">
      <c r="A28" s="3">
        <v>10000000000</v>
      </c>
      <c r="B28" s="3">
        <v>-1.6920000000000001E-2</v>
      </c>
      <c r="C28" s="3">
        <v>7.3169999999999997E-3</v>
      </c>
      <c r="D28" s="3">
        <v>9.2779999999999998E-3</v>
      </c>
      <c r="E28" s="3">
        <v>0</v>
      </c>
      <c r="F28" s="3">
        <v>0</v>
      </c>
      <c r="G28" s="3">
        <v>0</v>
      </c>
      <c r="H28" s="3">
        <v>4.6080938E-3</v>
      </c>
      <c r="I28" s="3">
        <v>1.3340609000000001E-3</v>
      </c>
      <c r="J28" s="3">
        <v>-9.3952832999999996E-3</v>
      </c>
      <c r="L28" s="3">
        <f t="shared" si="0"/>
        <v>1.823668894158224</v>
      </c>
      <c r="M28" s="3"/>
      <c r="N28" s="2">
        <f>IF('Modell einstellen'!$B$1="Voll",H28/0.35,H28/0.35*2)</f>
        <v>1.3165982285714287E-2</v>
      </c>
      <c r="O28" s="2">
        <f>IF('Modell einstellen'!$B$1="Voll",J28/0.35,J28/0.35*2)</f>
        <v>-2.6843666571428573E-2</v>
      </c>
      <c r="P28" s="3">
        <f t="shared" si="1"/>
        <v>0.49046885047095923</v>
      </c>
    </row>
    <row r="29" spans="1:16" x14ac:dyDescent="0.25">
      <c r="A29" s="3">
        <v>100000000000</v>
      </c>
      <c r="B29" s="3">
        <v>-1.6840000000000001E-2</v>
      </c>
      <c r="C29" s="3">
        <v>7.3699999999999998E-3</v>
      </c>
      <c r="D29" s="3">
        <v>9.1420000000000008E-3</v>
      </c>
      <c r="E29" s="3">
        <v>0</v>
      </c>
      <c r="F29" s="3">
        <v>0</v>
      </c>
      <c r="G29" s="3">
        <v>0</v>
      </c>
      <c r="H29" s="3">
        <v>4.5993932000000003E-3</v>
      </c>
      <c r="I29" s="3">
        <v>1.3452367999999999E-3</v>
      </c>
      <c r="J29" s="3">
        <v>-9.4262922000000002E-3</v>
      </c>
      <c r="L29" s="3">
        <f t="shared" si="0"/>
        <v>1.8420476919711222</v>
      </c>
      <c r="M29" s="3"/>
      <c r="N29" s="2">
        <f>IF('Modell einstellen'!$B$1="Voll",H29/0.35,H29/0.35*2)</f>
        <v>1.3141123428571429E-2</v>
      </c>
      <c r="O29" s="2">
        <f>IF('Modell einstellen'!$B$1="Voll",J29/0.35,J29/0.35*2)</f>
        <v>-2.693226342857143E-2</v>
      </c>
      <c r="P29" s="3">
        <f t="shared" si="1"/>
        <v>0.48793238130258682</v>
      </c>
    </row>
    <row r="30" spans="1:16" x14ac:dyDescent="0.25">
      <c r="A30" s="3">
        <v>1000000000000</v>
      </c>
      <c r="B30" s="3">
        <v>-1.643E-2</v>
      </c>
      <c r="C30" s="3">
        <v>7.5240000000000003E-3</v>
      </c>
      <c r="D30" s="3">
        <v>8.5780000000000006E-3</v>
      </c>
      <c r="E30" s="3">
        <v>0</v>
      </c>
      <c r="F30" s="3">
        <v>0</v>
      </c>
      <c r="G30" s="3">
        <v>0</v>
      </c>
      <c r="H30" s="3">
        <v>4.5875834999999998E-3</v>
      </c>
      <c r="I30" s="3">
        <v>1.3786477E-3</v>
      </c>
      <c r="J30" s="3">
        <v>-9.5325911999999992E-3</v>
      </c>
      <c r="L30" s="3">
        <f t="shared" si="0"/>
        <v>1.9153648869200279</v>
      </c>
      <c r="M30" s="3"/>
      <c r="N30" s="2">
        <f>IF('Modell einstellen'!$B$1="Voll",H30/0.35,H30/0.35*2)</f>
        <v>1.310738142857143E-2</v>
      </c>
      <c r="O30" s="2">
        <f>IF('Modell einstellen'!$B$1="Voll",J30/0.35,J30/0.35*2)</f>
        <v>-2.7235974857142856E-2</v>
      </c>
      <c r="P30" s="3">
        <f t="shared" si="1"/>
        <v>0.48125251610496006</v>
      </c>
    </row>
    <row r="31" spans="1:16" x14ac:dyDescent="0.25">
      <c r="A31" s="3">
        <v>10000000000000</v>
      </c>
      <c r="B31" s="3">
        <v>-1.6420000000000001E-2</v>
      </c>
      <c r="C31" s="3">
        <v>7.5259999999999997E-3</v>
      </c>
      <c r="D31" s="3">
        <v>8.5699999999999995E-3</v>
      </c>
      <c r="E31" s="3">
        <v>0</v>
      </c>
      <c r="F31" s="3">
        <v>0</v>
      </c>
      <c r="G31" s="3">
        <v>0</v>
      </c>
      <c r="H31" s="3">
        <v>4.5875763999999996E-3</v>
      </c>
      <c r="I31" s="3">
        <v>1.3790854999999999E-3</v>
      </c>
      <c r="J31" s="3">
        <v>-9.5341123999999992E-3</v>
      </c>
      <c r="L31" s="3">
        <f t="shared" si="0"/>
        <v>1.9159859976662779</v>
      </c>
      <c r="M31" s="3"/>
      <c r="N31" s="2">
        <f>IF('Modell einstellen'!$B$1="Voll",H31/0.35,H31/0.35*2)</f>
        <v>1.3107361142857142E-2</v>
      </c>
      <c r="O31" s="2">
        <f>IF('Modell einstellen'!$B$1="Voll",J31/0.35,J31/0.35*2)</f>
        <v>-2.7240321142857141E-2</v>
      </c>
      <c r="P31" s="3">
        <f t="shared" si="1"/>
        <v>0.48117498593786245</v>
      </c>
    </row>
    <row r="32" spans="1:16" x14ac:dyDescent="0.25">
      <c r="A32" s="3">
        <v>100000000000000</v>
      </c>
      <c r="B32" s="3">
        <v>-1.617E-2</v>
      </c>
      <c r="C32" s="3">
        <v>7.5659999999999998E-3</v>
      </c>
      <c r="D32" s="3">
        <v>8.2749999999999994E-3</v>
      </c>
      <c r="E32" s="3">
        <v>0</v>
      </c>
      <c r="F32" s="3">
        <v>0</v>
      </c>
      <c r="G32" s="3">
        <v>0</v>
      </c>
      <c r="H32" s="3">
        <v>4.5965140999999999E-3</v>
      </c>
      <c r="I32" s="3">
        <v>1.3884939000000001E-3</v>
      </c>
      <c r="J32" s="3">
        <v>-9.5758117000000007E-3</v>
      </c>
      <c r="L32" s="3">
        <f t="shared" si="0"/>
        <v>1.9540785498489428</v>
      </c>
      <c r="M32" s="3"/>
      <c r="N32" s="2">
        <f>IF('Modell einstellen'!$B$1="Voll",H32/0.35,H32/0.35*2)</f>
        <v>1.3132897428571429E-2</v>
      </c>
      <c r="O32" s="2">
        <f>IF('Modell einstellen'!$B$1="Voll",J32/0.35,J32/0.35*2)</f>
        <v>-2.7359462000000005E-2</v>
      </c>
      <c r="P32" s="3">
        <f t="shared" si="1"/>
        <v>0.48001299983791446</v>
      </c>
    </row>
    <row r="33" spans="1:16" x14ac:dyDescent="0.25">
      <c r="A33" s="3">
        <v>1000000000000000</v>
      </c>
      <c r="B33" s="3">
        <v>-1.6160000000000001E-2</v>
      </c>
      <c r="C33" s="3">
        <v>7.5659999999999998E-3</v>
      </c>
      <c r="D33" s="3">
        <v>8.2690000000000003E-3</v>
      </c>
      <c r="E33" s="3">
        <v>0</v>
      </c>
      <c r="F33" s="3">
        <v>0</v>
      </c>
      <c r="G33" s="3">
        <v>0</v>
      </c>
      <c r="H33" s="3">
        <v>4.5968639000000004E-3</v>
      </c>
      <c r="I33" s="3">
        <v>1.3886720000000001E-3</v>
      </c>
      <c r="J33" s="3">
        <v>-9.5767743000000002E-3</v>
      </c>
      <c r="L33" s="3">
        <f t="shared" si="0"/>
        <v>1.9542870963840853</v>
      </c>
      <c r="M33" s="3"/>
      <c r="N33" s="2">
        <f>IF('Modell einstellen'!$B$1="Voll",H33/0.35,H33/0.35*2)</f>
        <v>1.3133896857142859E-2</v>
      </c>
      <c r="O33" s="2">
        <f>IF('Modell einstellen'!$B$1="Voll",J33/0.35,J33/0.35*2)</f>
        <v>-2.7362212285714289E-2</v>
      </c>
      <c r="P33" s="3">
        <f t="shared" si="1"/>
        <v>0.4800012776744671</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2022-01-08T09:12:43Z</dcterms:modified>
</cp:coreProperties>
</file>